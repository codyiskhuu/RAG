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codykhuu\Documents\Project\RAG_CK\dataset\"/>
    </mc:Choice>
  </mc:AlternateContent>
  <xr:revisionPtr revIDLastSave="0" documentId="8_{666EC5B9-16EF-4711-9F92-EE47188D5FC7}" xr6:coauthVersionLast="47" xr6:coauthVersionMax="47" xr10:uidLastSave="{00000000-0000-0000-0000-000000000000}"/>
  <bookViews>
    <workbookView xWindow="28710" yWindow="0" windowWidth="28980" windowHeight="23370" activeTab="2" xr2:uid="{A5DFB3E8-D5E8-4E42-B4C9-20ED078B681C}"/>
  </bookViews>
  <sheets>
    <sheet name="Summary" sheetId="2" r:id="rId1"/>
    <sheet name="Glossary WIP" sheetId="1" r:id="rId2"/>
    <sheet name="13F" sheetId="5" r:id="rId3"/>
    <sheet name="N-PORT" sheetId="8" r:id="rId4"/>
    <sheet name="N-CEN" sheetId="9" r:id="rId5"/>
    <sheet name="Business Definitions" sheetId="11" r:id="rId6"/>
    <sheet name="Template Identifiers" sheetId="10" r:id="rId7"/>
  </sheets>
  <definedNames>
    <definedName name="_xlnm._FilterDatabase" localSheetId="1" hidden="1">'Glossary WIP'!$A$1:$O$2542</definedName>
    <definedName name="_xlnm._FilterDatabase" localSheetId="3" hidden="1">'N-PORT'!$Q$1:$Q$1039</definedName>
    <definedName name="_xlnm._FilterDatabase" localSheetId="0" hidden="1">Summary!$A$1:$J$47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2" i="9"/>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2" i="5"/>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2" i="8"/>
  <c r="Q8" i="5"/>
  <c r="K649" i="9" a="1"/>
  <c r="K649" i="9" s="1"/>
  <c r="J1272" i="1" a="1"/>
  <c r="J1272" i="1" s="1"/>
  <c r="Q56" i="8"/>
  <c r="Q54" i="8"/>
  <c r="Q55" i="8"/>
  <c r="P366" i="1"/>
  <c r="P365" i="1"/>
  <c r="P3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Shiao, Kaemon</author>
  </authors>
  <commentList>
    <comment ref="I12" authorId="0" shapeId="0" xr:uid="{C6DEB188-E0DF-4994-AED0-90BB4E0831EF}">
      <text>
        <r>
          <rPr>
            <b/>
            <sz val="9"/>
            <color indexed="81"/>
            <rFont val="Tahoma"/>
            <family val="2"/>
          </rPr>
          <t>Shiao, Kaemon:</t>
        </r>
        <r>
          <rPr>
            <sz val="9"/>
            <color indexed="81"/>
            <rFont val="Tahoma"/>
            <family val="2"/>
          </rPr>
          <t xml:space="preserve">
GPT has a different answer</t>
        </r>
      </text>
    </comment>
    <comment ref="I21" authorId="0" shapeId="0" xr:uid="{9C7733DD-B070-4634-9261-3EDD31E86D0F}">
      <text>
        <r>
          <rPr>
            <b/>
            <sz val="9"/>
            <color indexed="81"/>
            <rFont val="Tahoma"/>
            <family val="2"/>
          </rPr>
          <t>Shiao, Kaemon:</t>
        </r>
        <r>
          <rPr>
            <sz val="9"/>
            <color indexed="81"/>
            <rFont val="Tahoma"/>
            <family val="2"/>
          </rPr>
          <t xml:space="preserve">
these two were initially left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Shiao, Kaemon</author>
  </authors>
  <commentList>
    <comment ref="P867" authorId="0" shapeId="0" xr:uid="{142EE897-907C-451A-91B2-7A956872C778}">
      <text>
        <r>
          <rPr>
            <b/>
            <sz val="9"/>
            <color indexed="81"/>
            <rFont val="Tahoma"/>
            <family val="2"/>
          </rPr>
          <t>Shiao, Kaemon:</t>
        </r>
        <r>
          <rPr>
            <sz val="9"/>
            <color indexed="81"/>
            <rFont val="Tahoma"/>
            <family val="2"/>
          </rPr>
          <t xml:space="preserve">
Multiple Custodian Records in the SEC form. I have added a few of them here.</t>
        </r>
      </text>
    </comment>
    <comment ref="H883" authorId="0" shapeId="0" xr:uid="{69630377-6A6F-43FD-9FA3-5DBDD6E91EE5}">
      <text>
        <r>
          <rPr>
            <b/>
            <sz val="9"/>
            <color indexed="81"/>
            <rFont val="Tahoma"/>
            <family val="2"/>
          </rPr>
          <t>Shiao, Kaemon:</t>
        </r>
        <r>
          <rPr>
            <sz val="9"/>
            <color indexed="81"/>
            <rFont val="Tahoma"/>
            <family val="2"/>
          </rPr>
          <t xml:space="preserve">
Manually added extra Custodian data here as it repeats many times in the SEC form
What would be the best way to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tc={E1BC50A4-915C-451A-AE3C-8EC8A27E03B0}</author>
    <author>Shiao, Kaemon</author>
  </authors>
  <commentList>
    <comment ref="I1" authorId="0" shapeId="0" xr:uid="{E1BC50A4-915C-451A-AE3C-8EC8A27E03B0}">
      <text>
        <t>[Threaded comment]
Your version of Excel allows you to read this threaded comment; however, any edits to it will get removed if the file is opened in a newer version of Excel. Learn more: https://go.microsoft.com/fwlink/?linkid=870924
Comment:
    concat</t>
      </text>
    </comment>
    <comment ref="Q8" authorId="1" shapeId="0" xr:uid="{F121D5F0-8113-41FA-81C9-BF7D8657F6F8}">
      <text>
        <r>
          <rPr>
            <b/>
            <sz val="9"/>
            <color indexed="81"/>
            <rFont val="Tahoma"/>
            <family val="2"/>
          </rPr>
          <t>Shiao, Kaemon:</t>
        </r>
        <r>
          <rPr>
            <sz val="9"/>
            <color indexed="81"/>
            <rFont val="Tahoma"/>
            <family val="2"/>
          </rPr>
          <t xml:space="preserve">
How can I input "N/A" for every cell that is blank w/o having to do it manually?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Shiao, Kaemon</author>
  </authors>
  <commentList>
    <comment ref="Q244" authorId="0" shapeId="0" xr:uid="{0B4F62AC-FA99-408D-AB8B-C5C6A413B194}">
      <text>
        <r>
          <rPr>
            <b/>
            <sz val="9"/>
            <color indexed="81"/>
            <rFont val="Tahoma"/>
            <family val="2"/>
          </rPr>
          <t>Shiao, Kaemon:</t>
        </r>
        <r>
          <rPr>
            <sz val="9"/>
            <color indexed="81"/>
            <rFont val="Tahoma"/>
            <family val="2"/>
          </rPr>
          <t xml:space="preserve">
Multiple Custodian Records in the SEC form. I have added a few of them here.</t>
        </r>
      </text>
    </comment>
    <comment ref="H260" authorId="0" shapeId="0" xr:uid="{2B388F93-9332-4503-B921-5798E21E7945}">
      <text>
        <r>
          <rPr>
            <b/>
            <sz val="9"/>
            <color indexed="81"/>
            <rFont val="Tahoma"/>
            <family val="2"/>
          </rPr>
          <t>Shiao, Kaemon:</t>
        </r>
        <r>
          <rPr>
            <sz val="9"/>
            <color indexed="81"/>
            <rFont val="Tahoma"/>
            <family val="2"/>
          </rPr>
          <t xml:space="preserve">
Manually added extra Custodian data here as it repeats many times in the SEC form
What would be the best way to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tc={E954243F-D302-4867-A7BE-A9E18BD8E7AF}</author>
  </authors>
  <commentList>
    <comment ref="A6" authorId="0" shapeId="0" xr:uid="{E954243F-D302-4867-A7BE-A9E18BD8E7AF}">
      <text>
        <t xml:space="preserve">[Threaded comment]
Your version of Excel allows you to read this threaded comment; however, any edits to it will get removed if the file is opened in a newer version of Excel. Learn more: https://go.microsoft.com/fwlink/?linkid=870924
Comment:
    All have names but some mean the name of funds, individuals, classes, etc so they do not fall under the same category.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<sst xmlns="http://schemas.openxmlformats.org/spreadsheetml/2006/main" count="76065" uniqueCount="9320">
  <si>
    <t>Filed By</t>
  </si>
  <si>
    <t>Statute</t>
  </si>
  <si>
    <t>Regulatory Form</t>
  </si>
  <si>
    <t>SEC Number</t>
  </si>
  <si>
    <t>Form Link</t>
  </si>
  <si>
    <t>Form Description</t>
  </si>
  <si>
    <t>Filing Frequency</t>
  </si>
  <si>
    <t>Checklist</t>
  </si>
  <si>
    <t>Report Level</t>
  </si>
  <si>
    <t>In CG Inventory</t>
  </si>
  <si>
    <t>Institutional Investment Managers</t>
  </si>
  <si>
    <t>Securities and Exchange Act of 1934</t>
  </si>
  <si>
    <t>13D</t>
  </si>
  <si>
    <t>-</t>
  </si>
  <si>
    <t>sec1746</t>
  </si>
  <si>
    <t>Schedule 13D is a filing with the U.S. Securities and Exchange Commission (SEC) required under Section 13(d) of the Securities Exchange Act of 1934. These filings are relevant for entities, including asset managers, who acquire beneficial ownership of more than 5% of a class of publicly traded equity securities.</t>
  </si>
  <si>
    <t>Adhoc: within 10 days of the transaction that results in the beneficial ownership of more than 5% of a class of equity securities</t>
  </si>
  <si>
    <t>Entity</t>
  </si>
  <si>
    <t>13F</t>
  </si>
  <si>
    <t>SEC1685</t>
  </si>
  <si>
    <t>INFORMATION REQUIRED OF INSTITUTIONAL INVESTMENT MANAGERS PURSUANT TO SECTION 13(f) OF THE SECURITIES EXCHANGE ACT OF 1934 AND RULES THEREUNDER</t>
  </si>
  <si>
    <t>SEC Form 13F is a quarterly report that institutional investment managers with at least $100 million in assets under management (AUM) must file with the U.S. Securities and Exchange Commission (SEC). These filings disclose the managers' holdings of certain US-listed stocks, options, and convertible debt, providing transparency into the investment strategies of major financial institutions. The goal is to increase investor confidence in the integrity of the markets by making this information publicly available</t>
  </si>
  <si>
    <t>Quarterly</t>
  </si>
  <si>
    <t>13G</t>
  </si>
  <si>
    <t>Microsoft Word - Sc13g.doc</t>
  </si>
  <si>
    <t>Schedule 13G is a filing with the U.S. Securities and Exchange Commission (SEC) required under Section 13(g) of the Securities Exchange Act of 1934. These filings are relevant for entities, including asset managers, who acquire beneficial ownership of more than 5% of a class of publicly traded equity securities.</t>
  </si>
  <si>
    <t>Fund level</t>
  </si>
  <si>
    <t>Yes</t>
  </si>
  <si>
    <t>13H</t>
  </si>
  <si>
    <t>Form 13H</t>
  </si>
  <si>
    <t>SEC Form 13H is a form used by large traders to register with the Securities and Exchange Commission (SEC). A large trader is typically defined as a person or entity that, through one or more accounts, exercises investment discretion over transactions in certain specified securities that equal or exceed 2 million shares or $20 million during any calendar day, or 20 million shares or $200 million during any calendar month.</t>
  </si>
  <si>
    <t>Annual and Adhoc (if there are changes to report)</t>
  </si>
  <si>
    <t>Investment Advisors</t>
  </si>
  <si>
    <t>Investment Advisers Act of 1940, Investment Advisers</t>
  </si>
  <si>
    <t>CRS</t>
  </si>
  <si>
    <t>SEC2942</t>
  </si>
  <si>
    <t>Customer Relationship Summary (PDF)</t>
  </si>
  <si>
    <t>This form serves as a standardized document that broker-dealers and investment advisers must provide to retail investors. It outlines the nature of the firm's services, applicable fees, potential conflicts of interest, and a record of disciplinary actions. The goal is to ensure transparency and help investors make informed decisions about their financial service providers.</t>
  </si>
  <si>
    <t>Annual and Adhoc: Initial filing and updates</t>
  </si>
  <si>
    <t>Investment Companies</t>
  </si>
  <si>
    <t>Investment Company Act of 1940, Investment Companies</t>
  </si>
  <si>
    <t>24F-2</t>
  </si>
  <si>
    <t>SEC2393</t>
  </si>
  <si>
    <t>Annual notice of securities sold pursuant to Rule 24-f2 (with amendments adopted in 2024 RILAs release) (PDF)</t>
  </si>
  <si>
    <t xml:space="preserve">This form is filed annually by mutual funds and other investment companies to report and pay registration fees for the actual amount of securities sold in the previous fiscal year. It provides a mechanism for funds to register an indeterminate number of shares initially and later report the exact amount sold. These filings facilitate the ongoing trading and distribution activities of the fund.	</t>
  </si>
  <si>
    <t>Annual</t>
  </si>
  <si>
    <t>24F-2/A</t>
  </si>
  <si>
    <t>Annual notice of securities sold pursuant to Rule 24-f2 (PDF)</t>
  </si>
  <si>
    <t>This amendment form corrects or updates information previously submitted in Form 24F-2. It may reflect changes in the number of shares sold or adjustments in the fee calculations to ensure accurate reporting and compliance with the SEC regulations. This form ensures that the registration and fee information is current and precise.</t>
  </si>
  <si>
    <t>Adhoc: Event-Driven</t>
  </si>
  <si>
    <t>N-14</t>
  </si>
  <si>
    <t>SEC2106</t>
  </si>
  <si>
    <t>Form for the registration of securities issued in business combination transactions by investment companies and business development companies (PDF)</t>
  </si>
  <si>
    <t>This form is used by investment companies undergoing mergers, consolidations, acquisitions, or other reorganizations that require security holder approval. It contains detailed information about the terms and implications of the transaction to facilitate informed voting by shareholders. The form serves to ensure transparency and compliance with securities laws during major structural changes.</t>
  </si>
  <si>
    <t>N-17D-1</t>
  </si>
  <si>
    <t>SEC1839</t>
  </si>
  <si>
    <t>Report filed by small business investment company (SBIC) (PDF)</t>
  </si>
  <si>
    <t>Filed by small business investment companies operating in cooperation with other entities, this form reports on financial arrangements and participations in certain joint ventures or securities. It supports the oversight of significant engagements and ensures regulatory compliance in controlling corporate partnerships or co-investments.</t>
  </si>
  <si>
    <t>N-17f-1</t>
  </si>
  <si>
    <t>SEC2205</t>
  </si>
  <si>
    <t>Certificate of accounting of securities and similar investments of a management investment company in the custody of members of national securities exchanges (PDF)</t>
  </si>
  <si>
    <t>This form requires registered management investment companies to report their securities' custody arrangements when placed with banks. It ensures that the safeguarding of assets complies with regulatory standards, providing additional protection against financial mismanagement or fraud. It is part of the oversight required for the secure holding of assets.</t>
  </si>
  <si>
    <t>Adhoc: Event-Driven or Annual, depending on whether changes or confirmations are required</t>
  </si>
  <si>
    <t>N-17f-2</t>
  </si>
  <si>
    <t>SEC2198</t>
  </si>
  <si>
    <t>Certificate of accounting of securities and similar investments in the custody of management investment companies (PDF)</t>
  </si>
  <si>
    <t>Used by registered management investment companies to document custody compliance when securities are held outside bank custody, it involves verification by independent public accountants. This form involves periodic audits to ensure that all securities are appropriately handled and accounted for. It serves to assure stakeholders of the integrity and the security of investment holdings.</t>
  </si>
  <si>
    <t>Semi-Annual</t>
  </si>
  <si>
    <t>N-18f-1</t>
  </si>
  <si>
    <t>SEC1846</t>
  </si>
  <si>
    <t>Notification of election pursuant to Rule 18f-1 under the Investment Company Act of 1940 (PDF)</t>
  </si>
  <si>
    <t>Through this form, an open-end management investment company elects to commit to an operational restriction on issuing senior securities, except for specific transactions. This election aligns with Rule 18f-1 under the Investment Company Act, usually enhancing shareholder value by limiting leverage. The form supports transparent governance regarding capital structure policies.</t>
  </si>
  <si>
    <t>One-Time: Initial election</t>
  </si>
  <si>
    <t>N-1A</t>
  </si>
  <si>
    <t>SEC2052</t>
  </si>
  <si>
    <t>Registration form for open-end management investment companies (PDF)</t>
  </si>
  <si>
    <t>This registration form is essential for mutual funds to disclose pertinent information to investors and the SEC, including fund investment objectives, strategies, risks, and financial statements. It functions as both an initial registration statement and a prospectus instrument for new investors, facilitating informed investment decisions. It ensures openness and accountability in fund management and operations.</t>
  </si>
  <si>
    <t>One-Time: Initial registration and amendments (if needed)</t>
  </si>
  <si>
    <t>N-2</t>
  </si>
  <si>
    <t>SEC1716</t>
  </si>
  <si>
    <t>Registration statement for closed-end management investment companies (PDF)</t>
  </si>
  <si>
    <t>Form N-2 is a registration statement used by closed-end management investment companies and business development companies (BDCs) to register with the Securities and Exchange Commission (SEC) under the Investment Company Act of 1940 and to offer their shares under the Securities Act of 1933. It provides investors with information to assess potential investments in these companies</t>
  </si>
  <si>
    <t>N-23c-3</t>
  </si>
  <si>
    <t>SEC2380</t>
  </si>
  <si>
    <t>Notification of repurchase offer (PDF)</t>
  </si>
  <si>
    <t>Filed by closed-end investment companies, this form reports plans for periodic share repurchases, ensuring compliance with rules designed to protect investors from unfair practices. It informs the SEC of such transactions, allowing oversight and protecting against manipulation of the company’s market price. This ensures transparency and equitable treatment of shareholders.</t>
  </si>
  <si>
    <t>N-27D-1</t>
  </si>
  <si>
    <t>SEC1840</t>
  </si>
  <si>
    <t>Accounting of Segregated Trust Account (PDF)</t>
  </si>
  <si>
    <t>A specific notice form for unit investment trusts, particularly when initiating a new series, it covers operational disclosures required under specific regulatory conditions. This enables oversight over the structure and financial operations of these trusts, helping maintain fair practices in offering unit investment trust securities. It supports market integrity through transparency.</t>
  </si>
  <si>
    <t>N-3</t>
  </si>
  <si>
    <t>SEC2124</t>
  </si>
  <si>
    <t>Registration statement of separate accounts organized as management investment companies (PDF)</t>
  </si>
  <si>
    <t>Utilized by separate accounts issuing variable annuities, this form encompasses registration requirements under both the Securities Act and the Investment Company Act. It requires detailed information on the annuity products, including investment objectives, risks, and charges. This ensures that prospective clients receive comprehensive information aiding in the evaluation of these investment products.</t>
  </si>
  <si>
    <t>N-4</t>
  </si>
  <si>
    <t>SEC2125</t>
  </si>
  <si>
    <t>Registration statement of separate accounts organized as unit investment trusts (with amendments adopted in 2024 RILAs release) (PDF)</t>
  </si>
  <si>
    <t> This registration form targets separate accounts organized as unit investment trusts for variable annuity contracts. It discloses contract provisions and investment options offered to policyholders, including risks and fees involved. The form ensures that investors are well-informed about the features and obligations associated with their annuity contracts.</t>
  </si>
  <si>
    <t>Registration statement of separate accounts organized as unit investment trusts (PDF)</t>
  </si>
  <si>
    <t>N-54A</t>
  </si>
  <si>
    <t>SEC1937</t>
  </si>
  <si>
    <t>Notification of election to be subject to Sections 55-65 of the Investment Company Act of 1940 (PDF)</t>
  </si>
  <si>
    <t>Entity Level</t>
  </si>
  <si>
    <t>N-54C</t>
  </si>
  <si>
    <t>SEC1938</t>
  </si>
  <si>
    <t>Notification of withdrawal of election to be subject to Sections 55-65 of the Investment Company Act of 1940 (PDF)</t>
  </si>
  <si>
    <t>Small businesses only. Withdrawal of election to be regulated as a small business investment company</t>
  </si>
  <si>
    <t>N-6</t>
  </si>
  <si>
    <t>SEC2567</t>
  </si>
  <si>
    <t>Registration statement for separate accounts organized as unit investment trusts that offer variable life insurance policies (PDF)</t>
  </si>
  <si>
    <t>This form is used by insurance company separate accounts to register with the SEC, specifically for accounts structured as unit investment trusts issuing variable life insurance policies. It provides detailed information about the investments underlying the policies, addressing both their potential and risks. The form supports consumer protection by ensuring policyholders understand their investment components and implications.</t>
  </si>
  <si>
    <t>N-6EI-1</t>
  </si>
  <si>
    <t>SEC1130</t>
  </si>
  <si>
    <t>Notification of claim of exemption pursuant to Rule 6e-2 or 6e-3(T) under the Investment Company Act of 1940 (PDF)</t>
  </si>
  <si>
    <t>This notice form is filed by separate accounts seeking specific exemptions related to their investment operations, often concerning requirements of other SEC forms or provisions. The filing enables special circumstances to be considered for unique investment structures or strategies. This is aimed at providing regulatory flexibility while maintaining investor protection.</t>
  </si>
  <si>
    <t>N-6F</t>
  </si>
  <si>
    <t>SEC1936</t>
  </si>
  <si>
    <t>Notice of intent to elect to be subject to Sections 55-65 of the Investment Company Act of 1940 (PDF)</t>
  </si>
  <si>
    <t>Used by companies intending to claim limited exceptions from certain provisions of the Investment Company Act, this form enables companies close to qualifying as investment companies but seeking temporary exemptions. It allows strategic flexibility necessary for limited circumstances while ensuring the entity’s regulatory compliance is aligned with investor protections.</t>
  </si>
  <si>
    <t>N-8A</t>
  </si>
  <si>
    <t>SEC1102</t>
  </si>
  <si>
    <t>Notification of registration filed pursuant to Section 8(a) of Investment Company Act of 1940 (PDF)</t>
  </si>
  <si>
    <t>Registered investment companies use this form as the initial step to notify the SEC of their intention to register under the Investment Company Act of 1940. It requires basic identification information, setting the stage for detailed compliance with regulatory standards. The filing ensures the company’s inclusion under the regulatory oversight structure.</t>
  </si>
  <si>
    <t>One-Time: Initial registration</t>
  </si>
  <si>
    <t>N-8B-2</t>
  </si>
  <si>
    <t>SEC977</t>
  </si>
  <si>
    <t>Registration statement of unit investment trusts which are currently issuing securities (PDF)</t>
  </si>
  <si>
    <t>This form is a comprehensive registration statement used by unit investment trusts that are presently offering securities, providing extensive disclosures about their structure and offering terms. This ensures unit holders have access to vital information concerning the trust’s characteristics and financial health.</t>
  </si>
  <si>
    <t>N-8B-4</t>
  </si>
  <si>
    <t>SEC1285</t>
  </si>
  <si>
    <t>Registration statement of face-amount certificate companies (PDF)</t>
  </si>
  <si>
    <t> Used by investment companies to register new offerings exempted under the investment company acting rules, this form caters to investment companies offering specialized securities not fully covered by regular product offerings. This filing supports tailored compliance needs while maintaining thorough disclosures.</t>
  </si>
  <si>
    <t>N-8F</t>
  </si>
  <si>
    <t>SEC1691</t>
  </si>
  <si>
    <t>Application for deregistration of certain registered investment companies (PDF)</t>
  </si>
  <si>
    <t> Filed by investment companies seeking to deregister under the Investment Company Act, this form is typically submitted when a fund is liquidated or ceasing operations. It provides the SEC and shareholders with essential termination details and ensures proper procedures and protections are followed during fund closure.</t>
  </si>
  <si>
    <t>Adhoc: Event-Driven (deregistration)</t>
  </si>
  <si>
    <t>N-CEN</t>
  </si>
  <si>
    <t>SEC 2846</t>
  </si>
  <si>
    <t>Annual Report for Registered Investment Companies (PDF)</t>
  </si>
  <si>
    <t>This annual form provides the SEC with census data about every registered investment company, covering aspects like organizational structure, service providers, and security types. It assists in regulatory oversight by compiling a standardized repository of comprehensive information on the landscape of registered investment entities.</t>
  </si>
  <si>
    <t>N-CR</t>
  </si>
  <si>
    <t>SEC2918</t>
  </si>
  <si>
    <t>Current Report, Money Market Fund Material Events (PDF)</t>
  </si>
  <si>
    <t> Money market funds use this form to promptly report significant events, like financial support received or deviations in net asset value, to the SEC. This timely disclosure supports investor protection and helps maintain market stability by notifying regulatory bodies of potential vulnerabilities or corrective measures.</t>
  </si>
  <si>
    <t>N-CSR</t>
  </si>
  <si>
    <t>SEC2569</t>
  </si>
  <si>
    <t>Certified shareholder report of registered management investment companies (PDF)</t>
  </si>
  <si>
    <t> Filed semi-annually by management investment companies, this form details the company’s shareholder reports under the Securities Exchange Act. It includes audited financial statements, fund performance, and other pertinent information, ensuring transparency and aiding investor analysis.</t>
  </si>
  <si>
    <t>N-MFP</t>
  </si>
  <si>
    <t>SEC2847</t>
  </si>
  <si>
    <t>Monthly Schedule of Portfolio Holdings of Money Market Funds (PDF)</t>
  </si>
  <si>
    <t>Money market funds use this monthly filing to report detailed information about their portfolio holdings. It assists the SEC in monitoring the funds’ compliance with investment regulations and enables broader market surveillance, which helps maintain the stability and transparency of money market funds' operations.</t>
  </si>
  <si>
    <t>Monthly</t>
  </si>
  <si>
    <t>N-PORT</t>
  </si>
  <si>
    <t>SEC 2940</t>
  </si>
  <si>
    <t>Monthly Portfolio Investments Report (PDF)</t>
  </si>
  <si>
    <t>Required of registered investment companies, this form provides the SEC with a monthly portfolio and risk report, detailing fund assets, liabilities, and accompanying risk metrics. It ensures ongoing compliance assessment and provides a comprehensive view of industry-wide risk exposure and trends.</t>
  </si>
  <si>
    <t>N-PX</t>
  </si>
  <si>
    <t>SEC2451</t>
  </si>
  <si>
    <t>Annual Report of Proxy Voting Record of Registered Management Investment Company (PDF)</t>
  </si>
  <si>
    <t> This annual filing by mutual funds discloses proxy voting records, illustrating how funds voted during shareholder meetings. This transparency supports investor oversight of fund activities and enables accountable governance practices.</t>
  </si>
  <si>
    <t>N-RN</t>
  </si>
  <si>
    <t>SEC 2941</t>
  </si>
  <si>
    <t>Current Report For Registered Management Investment Companies and Business Development Companies (PDF)</t>
  </si>
  <si>
    <t>Investment companies use this form to report significant disruptions, such as when they are unable to comply with regulatory obligations. This ensures prompt communication with the SEC, facilitating timely remedial action or guidance to protect investors’ interests.</t>
  </si>
  <si>
    <t>ADV</t>
  </si>
  <si>
    <t>SEC1707</t>
  </si>
  <si>
    <t>Uniform Application for Investment Adviser Registration and Report by Exempt Reporting Advisers (PDF)</t>
  </si>
  <si>
    <t>Investment advisers file this form to provide detailed information on their business practices, fees, conflicts of interest, and disciplinary history to the SEC or state securities authorities. It forms the basis of public disclosure for advisory firms and helps ensure adherence to fiduciary standards.</t>
  </si>
  <si>
    <t>ADV-E</t>
  </si>
  <si>
    <t>SEC2223</t>
  </si>
  <si>
    <t>Certificate of accounting of client securities and funds in the possession or custody of an investment adviser (PDF)</t>
  </si>
  <si>
    <t> This form is filed by advisers undergoing an examination of assets under custody, conducted by an independent accountant, to assure regulatory compliance with custody requirements. It provides both transparency and verification, helping maintain the security of client funds.</t>
  </si>
  <si>
    <t>ADV-H</t>
  </si>
  <si>
    <t>SEC2566</t>
  </si>
  <si>
    <t>Application for a temporary or continuing hardship exemption (PDF)</t>
  </si>
  <si>
    <t>This form allows investment advisers to request an exemption from electronic filing requirements due to temporary technological or financial constraints. It provides a formal mechanism for ensuring filings continue to meet regulatory requirements even when digital submissions are not possible.</t>
  </si>
  <si>
    <t>ADV-NR</t>
  </si>
  <si>
    <t>SEC2565</t>
  </si>
  <si>
    <t>Appointment of agent for service of process by non-resident general partner and non-resident managing agent of an investment adviser (PDF)</t>
  </si>
  <si>
    <t> Non-resident general partners or managing agents of investment advisers use this form to designate an agent within the U.S. for legal service of process. It facilitates jurisdictional compliance and ensures that foreign entities remain accessible for legal matters.</t>
  </si>
  <si>
    <t>ADV-W</t>
  </si>
  <si>
    <t>SEC777</t>
  </si>
  <si>
    <t>Notice of withdrawal from registration as investment adviser (PDF)</t>
  </si>
  <si>
    <t> Filed by investment advisers to withdraw their SEC or state registration, this form indicates cessation as a registered adviser or changes in eligibility status. This ensures that the SEC's records reflect the current operational status of advisory entities, facilitating accurate regulatory oversight.</t>
  </si>
  <si>
    <t>Adhoc: Event-Driven (withdrawal)</t>
  </si>
  <si>
    <t>PF</t>
  </si>
  <si>
    <t>SEC2048</t>
  </si>
  <si>
    <t>Reporting Form for Investment Advisers to Private Funds and Certain Commodity Pool Operators and Commodity Trading Advisors (PDF)</t>
  </si>
  <si>
    <t>Quarterly and Annual frequency depends on size of private fund adviser)</t>
  </si>
  <si>
    <t>Quarterly, Annual</t>
  </si>
  <si>
    <t>Municipal Securities</t>
  </si>
  <si>
    <t>MSD</t>
  </si>
  <si>
    <t>SEC1534</t>
  </si>
  <si>
    <t>Application for registration as a municipal securities dealer or amendment to such application (PDF)</t>
  </si>
  <si>
    <t>used for the initial registration of municipal securities dealers. Additionally, it may need to be updated as required to reflect any significant changes to the information provided in the initial registration.</t>
  </si>
  <si>
    <t>MSDW</t>
  </si>
  <si>
    <t>SEC1588</t>
  </si>
  <si>
    <t>Notice of withdrawal from registration as a municipal securities dealer (PDF)</t>
  </si>
  <si>
    <t>filed when a municipal securities dealer decides to withdraw from registration. This is typically a one-time filing event.</t>
  </si>
  <si>
    <t>Form 3</t>
  </si>
  <si>
    <t>SEC1472</t>
  </si>
  <si>
    <t>Initial filing and discloses ownership amounts</t>
  </si>
  <si>
    <t>Security Level</t>
  </si>
  <si>
    <t>Form 4</t>
  </si>
  <si>
    <t>SEC1475</t>
  </si>
  <si>
    <t>Identifies changes in ownership</t>
  </si>
  <si>
    <t>Form 5</t>
  </si>
  <si>
    <t>SEC2270</t>
  </si>
  <si>
    <t>An annual summary of Form 4 and includes any information that should have been reported</t>
  </si>
  <si>
    <t>Form Name</t>
  </si>
  <si>
    <t>Domain</t>
  </si>
  <si>
    <t>Family</t>
  </si>
  <si>
    <t>Object</t>
  </si>
  <si>
    <t>Section</t>
  </si>
  <si>
    <t>Section Name</t>
  </si>
  <si>
    <t>Subsection</t>
  </si>
  <si>
    <t>Subsection Name</t>
  </si>
  <si>
    <t>Question</t>
  </si>
  <si>
    <t>Answer Type</t>
  </si>
  <si>
    <t>Proposed Business Term</t>
  </si>
  <si>
    <t>Business Definition</t>
  </si>
  <si>
    <t>Is CDE</t>
  </si>
  <si>
    <t>Technical Data Element Name</t>
  </si>
  <si>
    <t>Data Field</t>
  </si>
  <si>
    <t>Form 24F-2</t>
  </si>
  <si>
    <t xml:space="preserve"> Name and Address of Issuer</t>
  </si>
  <si>
    <t>Name and address of issuer:</t>
  </si>
  <si>
    <t>Text</t>
  </si>
  <si>
    <t>Issuer Name</t>
  </si>
  <si>
    <t>The legal name of the issuer.</t>
  </si>
  <si>
    <t>Address of issuer</t>
  </si>
  <si>
    <t>Issuer Address</t>
  </si>
  <si>
    <t>The address of the issuer.</t>
  </si>
  <si>
    <t>Series or Class Information</t>
  </si>
  <si>
    <t>Name and EDGAR identifier of each series or class of securities.</t>
  </si>
  <si>
    <t>Number/List of Numbers</t>
  </si>
  <si>
    <t>The name and EDGAR identifier of each series or class of securities.</t>
  </si>
  <si>
    <t>File Numbers</t>
  </si>
  <si>
    <t>Investment Company Act File Number and Securities Act File Number:</t>
  </si>
  <si>
    <t>Number</t>
  </si>
  <si>
    <t>Investment and Securities Act File Numbers</t>
  </si>
  <si>
    <t>The file numbers assigned to the issuer's registration statements under the respective Acts.</t>
  </si>
  <si>
    <t>Securities Act File Number:</t>
  </si>
  <si>
    <t>Reporting Dates</t>
  </si>
  <si>
    <t>(a)</t>
  </si>
  <si>
    <t>Last day of fiscal year for which this Form is filed:</t>
  </si>
  <si>
    <t>Date</t>
  </si>
  <si>
    <t>Fiscal Year End Date</t>
  </si>
  <si>
    <t>The last day of the issuer's fiscal year.</t>
  </si>
  <si>
    <t>(b)</t>
  </si>
  <si>
    <t>Check box if this Form is being filed late (more than 90 days after fiscal year end):</t>
  </si>
  <si>
    <t>Checkbox</t>
  </si>
  <si>
    <t>Late Filing Indicator</t>
  </si>
  <si>
    <t>Indicates if the form is being filed late.</t>
  </si>
  <si>
    <t>(c)</t>
  </si>
  <si>
    <t>Check box if this is the last time the issuer will be filing this Form:</t>
  </si>
  <si>
    <t>Final Filing Indicator</t>
  </si>
  <si>
    <t>Indicates if this is the final filing of this form for the issuer.</t>
  </si>
  <si>
    <t>Calculation of Registration Fee</t>
  </si>
  <si>
    <t>(i)</t>
  </si>
  <si>
    <t>Aggregate sale price of securities sold:</t>
  </si>
  <si>
    <t>Currency</t>
  </si>
  <si>
    <t>Aggregate Sale Price</t>
  </si>
  <si>
    <t>The total sale price of securities sold during the fiscal year.</t>
  </si>
  <si>
    <t>(ii)</t>
  </si>
  <si>
    <t>Aggregate price of securities redeemed or repurchased:</t>
  </si>
  <si>
    <t>Aggregate Redemption Price</t>
  </si>
  <si>
    <t>The total price of securities redeemed or repurchased during the fiscal year.</t>
  </si>
  <si>
    <t>Registration Fee</t>
  </si>
  <si>
    <t>(iii)</t>
  </si>
  <si>
    <t>Aggregate price of securities redeemed or repurchased in prior fiscal years (not previously used):</t>
  </si>
  <si>
    <t>Prior Year Redemption Price</t>
  </si>
  <si>
    <t>The total price of securities redeemed or repurchased in prior fiscal years, not previously used.</t>
  </si>
  <si>
    <t>(iv)</t>
  </si>
  <si>
    <t>Total available redemption credits (Items 5(ii) and 5(iii)):</t>
  </si>
  <si>
    <t>Total Redemption Credits</t>
  </si>
  <si>
    <t>The sum of the redemption prices from the current and prior fiscal years.</t>
  </si>
  <si>
    <t>(v)</t>
  </si>
  <si>
    <t>Net sales (Item 5(i) minus Item 5(iv)):</t>
  </si>
  <si>
    <t>Net Sales</t>
  </si>
  <si>
    <t>The total net sales amount after subtracting redemption credits.</t>
  </si>
  <si>
    <t>(vi)</t>
  </si>
  <si>
    <t>Redemption credits available for future years (negative net sales):</t>
  </si>
  <si>
    <t>Future Redemption Credits</t>
  </si>
  <si>
    <t>The amount of redemption credits that can be used in future years if net sales are negative.</t>
  </si>
  <si>
    <t>(vii)</t>
  </si>
  <si>
    <t>Multiplier for determining registration fee:</t>
  </si>
  <si>
    <t>Multiplier for Registration Fee</t>
  </si>
  <si>
    <t>The multiplier used to calculate the registration fee.</t>
  </si>
  <si>
    <t>(viii)</t>
  </si>
  <si>
    <t>Registration fee due (Item 5(v) multiplied by Item 5(vii)):</t>
  </si>
  <si>
    <t>Registration Fee Due</t>
  </si>
  <si>
    <t>The final registration fee due for the fiscal year.</t>
  </si>
  <si>
    <t>Interest Due</t>
  </si>
  <si>
    <t>Interest due (if form is filed late):</t>
  </si>
  <si>
    <t>The interest amount due if the form is filed late.</t>
  </si>
  <si>
    <t>Amount Due</t>
  </si>
  <si>
    <t>Total of registration fee due plus any interest due (Items 5(viii) plus Item 6):</t>
  </si>
  <si>
    <t>Total Amount Due</t>
  </si>
  <si>
    <t>The total amount payable including the registration fee and any interest due.</t>
  </si>
  <si>
    <t>Explanatory Notes</t>
  </si>
  <si>
    <t>Provide any additional information helpful for understanding the information reported:</t>
  </si>
  <si>
    <t>Additional notes or explanations provided by the issuer.</t>
  </si>
  <si>
    <t>1. Name and Address of Issuer</t>
  </si>
  <si>
    <t>andAddress of Issuer</t>
  </si>
  <si>
    <t>(n) (ii)</t>
  </si>
  <si>
    <t>Name and address of the issuer</t>
  </si>
  <si>
    <t>Issuer Name and Address</t>
  </si>
  <si>
    <t>The legal name and address of the issuing entity.</t>
  </si>
  <si>
    <t>2. Series or Class Information</t>
  </si>
  <si>
    <t>Class Information</t>
  </si>
  <si>
    <t>Name and EDGAR identifier of each series or class of securities</t>
  </si>
  <si>
    <t>Text/List</t>
  </si>
  <si>
    <t>3. File Numbers</t>
  </si>
  <si>
    <t>Investment Company Act File Number and Securities Act File Number</t>
  </si>
  <si>
    <t>4. Reporting Dates</t>
  </si>
  <si>
    <t>Last day of fiscal year for which this Form is filed</t>
  </si>
  <si>
    <t>Check box if the form is being filed late (more than 90 days after fiscal year end)</t>
  </si>
  <si>
    <t>Indicates whether the form is being filed late.</t>
  </si>
  <si>
    <t>Check box if this is the last time the issuer will be filing this form</t>
  </si>
  <si>
    <t>Indicates if this is the final occurrence of this form being filed by the issuer.</t>
  </si>
  <si>
    <t>5. Calculation of Registration Fee</t>
  </si>
  <si>
    <t>Aggregate sale price of securities sold during the fiscal year pursuant to section 24(f)</t>
  </si>
  <si>
    <t>Aggregate price of securities redeemed or repurchased during the fiscal year</t>
  </si>
  <si>
    <t>Aggregate price of securities redeemed or repurchased during any prior fiscal year ending no earlier than Oct 11, 1995 that were not previously used to reduce registration fees payable to the Commission</t>
  </si>
  <si>
    <t>Form 24F-2 (legacy)</t>
  </si>
  <si>
    <t>Total available redemption credits [add Items 5(ii) and 5(iii)]</t>
  </si>
  <si>
    <t>Net sales -- if Item 5(i) is greater than Item 5(iv) [subtract Item 5(iv) from Item 5(i)]</t>
  </si>
  <si>
    <t>Redemption credits available for use in future years - if Item 5(i) is less than Item 5(iv) [subtract Item 5(iv) from Item 5(i)]</t>
  </si>
  <si>
    <t>Multiplier for determining registration fee (See Instruction C.9)</t>
  </si>
  <si>
    <t>Registration fee due [multiply Item 5(v) by Item 5(vii)] (enter "0" if no fee is due)</t>
  </si>
  <si>
    <t>6. Prepaid Shares</t>
  </si>
  <si>
    <t>Prepaid Shares</t>
  </si>
  <si>
    <t>Report the amount of securities deducted here and remaining unsold securities available for future use</t>
  </si>
  <si>
    <t>Amounts of securities that were deducted and remaining unsold securities for future use.</t>
  </si>
  <si>
    <t>7. Interest Due</t>
  </si>
  <si>
    <t>Interest due -- if this form is being filed more than 90 days after the end of the issuer's fiscal year</t>
  </si>
  <si>
    <t>8. Total Amount Due</t>
  </si>
  <si>
    <t>Total of the amount of the registration fee due plus any interest due</t>
  </si>
  <si>
    <t>The total amount payable, including the registration fee and any interest due.</t>
  </si>
  <si>
    <t>9. Explanatory Notes</t>
  </si>
  <si>
    <t>Provide any additional information helpful for understanding the information reported</t>
  </si>
  <si>
    <t>Fund Level</t>
  </si>
  <si>
    <t>General Instructions</t>
  </si>
  <si>
    <t>A</t>
  </si>
  <si>
    <t>Who May Use Form N-14</t>
  </si>
  <si>
    <t>Eligibility Information</t>
  </si>
  <si>
    <t>Details about who is eligible to use Form N-14.</t>
  </si>
  <si>
    <t>B</t>
  </si>
  <si>
    <t>Registration Fees</t>
  </si>
  <si>
    <t>Registration Fee Information</t>
  </si>
  <si>
    <t>Information about the fee requirements under the Securities Act.</t>
  </si>
  <si>
    <t>C</t>
  </si>
  <si>
    <t>Application of Securities Act Rules</t>
  </si>
  <si>
    <t>Securities Act Rules Application</t>
  </si>
  <si>
    <t>General requirements regarding the preparation and filing of registration statements under the Securities Act.</t>
  </si>
  <si>
    <t>D</t>
  </si>
  <si>
    <t>Application of Exchange Act Rules</t>
  </si>
  <si>
    <t>Exchange Act Rules Application</t>
  </si>
  <si>
    <t>Requirements related to proposals submitted to security holders and related regulations.</t>
  </si>
  <si>
    <t>E</t>
  </si>
  <si>
    <t>Documents Composing Registration Statement</t>
  </si>
  <si>
    <t>Required Documents</t>
  </si>
  <si>
    <t>List of documents required to be part of the registration statement.</t>
  </si>
  <si>
    <t>F</t>
  </si>
  <si>
    <t>Preparation of the Registration Statement</t>
  </si>
  <si>
    <t>Preparation Guidelines</t>
  </si>
  <si>
    <t>Instructions for completing Form N-14 including Parts A, B, and C.</t>
  </si>
  <si>
    <t>G</t>
  </si>
  <si>
    <t>Incorporation by Reference and Delivery of Prospectuses or Reports Filed with the Commission</t>
  </si>
  <si>
    <t>Incorporation by Reference</t>
  </si>
  <si>
    <t>Guidance on incorporating documents by reference and delivering them as part of the registration statement.</t>
  </si>
  <si>
    <t>H</t>
  </si>
  <si>
    <t>Interactive Data</t>
  </si>
  <si>
    <t>Interactive Data Requirements</t>
  </si>
  <si>
    <t>Requirements for submitting interactive data with the registration statement.</t>
  </si>
  <si>
    <t>Part A</t>
  </si>
  <si>
    <t>Information Required in the Prospectus</t>
  </si>
  <si>
    <t>Form N-14</t>
  </si>
  <si>
    <t>Item 1</t>
  </si>
  <si>
    <t>Beginning of Registration Statement and Outside Front Cover Page of Prospectus</t>
  </si>
  <si>
    <t>Item 1.a</t>
  </si>
  <si>
    <t>The facing page of the registration statement shall contain the information required by Rule 481(a) [17 CFR 230.481(a)].</t>
  </si>
  <si>
    <t>Registration Statement Information Facing Page</t>
  </si>
  <si>
    <t>Information to be included on the facing page and the outside front cover page of the prospectus.</t>
  </si>
  <si>
    <t>Item 1.b</t>
  </si>
  <si>
    <t>The outside front cover page of the prospectus shall contain the following information:</t>
  </si>
  <si>
    <t>Registration Statement Information Prospectus Cover Page</t>
  </si>
  <si>
    <t>Item 1.b.(1)</t>
  </si>
  <si>
    <t>the registrant’s name, the address (including zip code) and telephone number (including area code) of its principal executive offices and, where applicable, its sponsor’s name;</t>
  </si>
  <si>
    <t>Registration Statement Information Address</t>
  </si>
  <si>
    <t>Item 1.b.(2)</t>
  </si>
  <si>
    <t>an identification of the type of fund or separate account (as defined in Section 2(a)(37) of the Investment Company Act) or a brief description of the registrant’s investment objectives;</t>
  </si>
  <si>
    <t>Registration Statement Information Fund Account ID</t>
  </si>
  <si>
    <t>Item 1.b.(3)</t>
  </si>
  <si>
    <t>a statement summarizing the proposed transaction, naming the parties to it and giving the address (including zip code) and telephone number (including area code) of the principal executive offices of the company being acquired;</t>
  </si>
  <si>
    <t>Registration Statement Information Acquired Company Address</t>
  </si>
  <si>
    <t>Item 1.b.(4)</t>
  </si>
  <si>
    <t>a statement or statements that:
(i) the prospectus sets forth concisely the information about the registrant that a prospective investor ought to know before investing;
(ii) the prospectus should be retained for future reference; and
(iii) additional information about the registrant has been filed with the Commission and is available upon oral or written request and without charge. (This statement should include instructions about how to obtain the additional information and whether any of the SAI has been incorporated by reference into the prospectus);</t>
  </si>
  <si>
    <t>Registration Statement Information Acquired Company Prospectus</t>
  </si>
  <si>
    <t>Item 1.b.(5)</t>
  </si>
  <si>
    <t>the date of the prospectus and date of any SAI;</t>
  </si>
  <si>
    <t>Registration Statement Information Prospectus Date</t>
  </si>
  <si>
    <t>Item 1.b.(6)</t>
  </si>
  <si>
    <t>the statement required by Securities Act Rule 481(b)(1) [17 CFR 230.481(b)(1)]; and</t>
  </si>
  <si>
    <t>Registration Statement Information Security Act Rule 481(b)(1) Statement</t>
  </si>
  <si>
    <t>Item 1.b.(7)</t>
  </si>
  <si>
    <t>such other information as required by rules of the Commission or of any other governmental authority having jurisdiction over the registrant or the issuance of its securities.</t>
  </si>
  <si>
    <t>Registration Statement Information Other Information</t>
  </si>
  <si>
    <t>Item 1.c</t>
  </si>
  <si>
    <t>The cover page may include other information, but that additional information must not, either by its nature, quantity, or manner of presentation, impede understanding of required information.</t>
  </si>
  <si>
    <t>Item 2</t>
  </si>
  <si>
    <t>Beginning and Outside Back Cover Page of Prospectus</t>
  </si>
  <si>
    <t>Information to be included on the front or outside back cover page of the prospectus.</t>
  </si>
  <si>
    <t>Item 2.a</t>
  </si>
  <si>
    <t>the name of any national securities exchange on which the registrant’s securities are listed and a statement that reports, proxy material and other information concerning the registrant can be inspected at the exchanges;</t>
  </si>
  <si>
    <t>Back Cover Information Registrant Listed Exchanges</t>
  </si>
  <si>
    <t>Item 2.b</t>
  </si>
  <si>
    <t>the table of contents required by Rule 481(c) [17 CFR 230.481(c)].</t>
  </si>
  <si>
    <t>Text/Table</t>
  </si>
  <si>
    <t>Back Cover Information 481© Table of Contents</t>
  </si>
  <si>
    <t>Item 3</t>
  </si>
  <si>
    <t>Fee Table, Synopsis Information, and Risk Factors</t>
  </si>
  <si>
    <t>Fee and Risk Information</t>
  </si>
  <si>
    <t>Current fees for the registrant and the acquired company, synopsis of transaction details, and risk factors.</t>
  </si>
  <si>
    <t>Item 3.a</t>
  </si>
  <si>
    <t>Include a table showing the current fees for the registrant and the company being acquired and pro forma fees, if different, for the registrant after giving effect to the transaction using the format prescribed in the appropriate registration statement form under the Investment Company Act (for open-end management investment companies, Item 3 of Form N-1A; for closed-end management investment companies, Item 3 of Form N-2; and for separate accounts that offer variable annuity contracts, Item 3 of Form N-3).</t>
  </si>
  <si>
    <t>Item 3.b</t>
  </si>
  <si>
    <t>The registrant shall include at the beginning of the prospectus a synopsis of the information contained in the prospectus. The synopsis shall be a clear and concise discussion of the key features of the transaction, of the registrant, and of the company being acquired. As to the registrant and company being acquired compare: (1) investment objectives and policies; (2) distribution and purchase procedures and exchange rights; (3) redemption procedures; and (4) any other significant considerations. Highlight differences. Discuss the primary federal tax and other consequences of the proposed transaction to the security holders.</t>
  </si>
  <si>
    <t>Item 3.c</t>
  </si>
  <si>
    <t>Immediately after the synopsis, briefly discuss the principal risk factors of investing in the registrant. Briefly compare these risks with those associated with an investment in the company being acquired. If the registrant is a closed-end investment company, briefly describe any restrictions on the registrant’s present or, if applicable, future ability to pay dividends with respect to any class of securities.</t>
  </si>
  <si>
    <t>Item 4</t>
  </si>
  <si>
    <t>Information About The Transaction</t>
  </si>
  <si>
    <t>Transaction Information</t>
  </si>
  <si>
    <t>Detailed information about the proposed transaction, including terms, securities to be issued, and tax consequences.</t>
  </si>
  <si>
    <t>Item 4.a</t>
  </si>
  <si>
    <t>Outline the material features of the proposed transaction, including:</t>
  </si>
  <si>
    <t>Item 4.a.1</t>
  </si>
  <si>
    <t>a brief summary of the terms of the acquisition agreement;</t>
  </si>
  <si>
    <t>Item 4.a.2</t>
  </si>
  <si>
    <t>a description of the securities to be issued;</t>
  </si>
  <si>
    <t>Item 4.a.3</t>
  </si>
  <si>
    <t>the reasons the registrant and the company being acquired are proposing the transaction;</t>
  </si>
  <si>
    <t>Item 4.a.4</t>
  </si>
  <si>
    <t>the federal income tax consequences, if any, to the security holders of both parties, including appropriate references to Internal Revenue Code sections; and</t>
  </si>
  <si>
    <t>Item 4.a.5</t>
  </si>
  <si>
    <t>a description of any material differences between the rights of security holders of the company being acquired and the rights of security holders of the registrant.</t>
  </si>
  <si>
    <t>Item 4.b</t>
  </si>
  <si>
    <t>Furnish a tabulation in columnar form showing the existing and the pro forma capitalization.</t>
  </si>
  <si>
    <t>Item 5</t>
  </si>
  <si>
    <t>Information About the Registrant</t>
  </si>
  <si>
    <t>Provide the following information, to the extent applicable, about the registrant:</t>
  </si>
  <si>
    <t>Registrant Information</t>
  </si>
  <si>
    <t>Required information about the registrant based on its classification (open-end, closed-end, etc.).</t>
  </si>
  <si>
    <t>Item 5.a</t>
  </si>
  <si>
    <t>if the registrant is an open-end management investment company, furnish the information required by Items 2 through 8, 9(a), 9(b), and 10 through 13 of Form N-1A under the Investment Company Act;</t>
  </si>
  <si>
    <t>Item 5.b</t>
  </si>
  <si>
    <t>if the registrant is a closed-end management investment company, furnish the information required by Items 4, 8.1, 8.2, 8.4, 8.5, 8.6, 9, 10, 11, and 12 of Form N-2 under the Investment Company Act;</t>
  </si>
  <si>
    <t>Item 5.c</t>
  </si>
  <si>
    <t>if the registrant is a separate account (as defined in Section 2(a)(37) of the Investment Company Act) offering variable annuity contracts which are registered under the Investment Company Act, furnish the information required by Items 2 through 3, 5 through 16, and 18 of Form N-3 under the Investment Company Act;</t>
  </si>
  <si>
    <t>Item 5.d</t>
  </si>
  <si>
    <t>if the registrant is a small business investment company registered under the Investment Company Act, furnish the information required by Items l through 7, 9 through 13, 15(a), 16, 19, 20, and 21 of Form N-5 under the Investment Company Act;</t>
  </si>
  <si>
    <t>Item 5.e</t>
  </si>
  <si>
    <t>a statement that the registrant is subject to the informational requirements of the Exchange Act and in accordance therewith files reports and other information with the Securities and Exchange Commission; and</t>
  </si>
  <si>
    <t>Item 5.f</t>
  </si>
  <si>
    <t>a statement that proxy material, reports (and where registrant is subject to Regulation 14A or l4C of the Exchange Act, proxy and information statements) and other information filed by the registrant is available on the Commission’s website at http://www.sec.gov.</t>
  </si>
  <si>
    <t>Item 6</t>
  </si>
  <si>
    <t>Information About the Company Being Acquired</t>
  </si>
  <si>
    <t>Information about the company being acquired shall be provided as follows:</t>
  </si>
  <si>
    <t>Acquired Company Information</t>
  </si>
  <si>
    <t>Required information about the company being acquired based on its classification.</t>
  </si>
  <si>
    <t>Item 6.a</t>
  </si>
  <si>
    <t>if the company being acquired is a management investment company registered under the Investment Company Act or a business development company as defined by Section 2(a)(48) of the Investment Company Act:
(1) if the transaction will be submitted to the security holders of the registrant for approval or consent, furnish the information that would be required by Items 5 and 8 of this Form as if securities of the company being acquired were being registered;
(2) if the transaction will not be submitted to security holders of the registrant for approval or consent, furnish:
2.(i) the information that would be required by Items 5 and 8 of this Form as if securities of the company being acquired were being registered, or
2.(ii) provided the requirements of Instruction F are satisfied, include a statement that information about the company being acquired is incorporated by reference from the current prospectus of the company being acquired and is available upon request from the registrant without charge. (Provide a copy of the prospectus of the acquired company upon request in accordance with the requirements in Instruction F. If the company being acquired is registered on Form N-1A, Form N-2, Form N-3, or Form N-4 under the Investment Company Act, in responding to requests under this Item, provide both a copy of the prospectus of the acquired company and the SAI with respect to that prospectus.)</t>
  </si>
  <si>
    <t>in addition, if the company being acquired is registered under the Investment Company Act and is required to file reports under Section 30 of that Act:</t>
  </si>
  <si>
    <t>Item 6.b.1</t>
  </si>
  <si>
    <t>state that reports and other information filed by the company being acquired is available on the Commission’s website at http://www.sec.gov; and</t>
  </si>
  <si>
    <t>Item 6.b.2</t>
  </si>
  <si>
    <t>name any national securities exchange on which the securities of the company being acquired are listed, and state that reports, proxy statements and other information concerning the company being acquired can be inspected at the exchange.</t>
  </si>
  <si>
    <t>Item 6.c</t>
  </si>
  <si>
    <t>if the company being acquired is not registered under the Investment Company Act but is subject to the reporting requirements of Section 13(a) or 15(d) of the Exchange Act, furnish the information that would be required by Item 17(a) of Form S-4 under the Securities Act; and</t>
  </si>
  <si>
    <t>Item 6.d</t>
  </si>
  <si>
    <t>if the company being acquired is not registered under the Investment Company Act and is not subject to the reporting requirements of either Section 13(a) or 15(d) of the Exchange Act, furnish a brief description of: the business done by the company, including basic identifying information such as the date and form of its organization; its investment objectives and policies; and how the company is managed.</t>
  </si>
  <si>
    <t>Item 7</t>
  </si>
  <si>
    <t>Voting Information</t>
  </si>
  <si>
    <t>Voting Details</t>
  </si>
  <si>
    <t>Information required for proxy solicitation, voting procedures, and related regulations.</t>
  </si>
  <si>
    <t>Item 7.a</t>
  </si>
  <si>
    <t>If proxies are to be solicited, include, where applicable, the information called for by Items 2 and 4 of Schedule 14A of Regulation 14A under the Exchange Act.</t>
  </si>
  <si>
    <t>Item 7.b</t>
  </si>
  <si>
    <t>If the transaction is an exchange offer or if proxies are not to be solicited, include, where applicable, the information called for by Item 2 of Schedule 14C under the Exchange Act, and state the date, time and place of the meeting of the security holders, unless such information is otherwise disclosed in material furnished to security holders with the information statement.</t>
  </si>
  <si>
    <t>Item 7.c</t>
  </si>
  <si>
    <t>In addition to the information called for by paragraphs (a) and (b) above, include:
(1) the information called for by Item 3 of Schedule 14A of Regulation 14A under the Exchange Act; Instruction: Also state that the exercise of such rights is subject to the “forward pricing” requirements of Rule 22c-1 under the Investment Company Act [17 CFR 270.22c-1] and that the Rule supersedes contrary provisions of state law.
(2) the information called for by Item 21 of Schedule 14A of Regulation 14A under the Exchange Act about both the registrant and the company being acquired;
(3) the information called for by Items 6(a) and (b) of Schedule 14A of Regulation 14A under the Exchange Act about both the registrant and the company being acquired;
(4) with respect to both the registrant and the company being acquired:
   (i) the name and address of each person who controls either party to the transaction and explain the effect of that control on the voting rights of other security holders. As to each control person, state the percentage of the voting securities owned or any other basis of control. If the control person is a company, give the state or other sovereign power under the laws of which it is organized. List all parents of the control person.
For purposes of subparagraph (c)(4)(i), “control” shall mean (1) the beneficial ownership, either directly or through one or more controlled companies, of more than 25 percent of the voting securities of a company; (2) the acknowledgment or assertion by either the controlled or controlling party of the existence of control; or (3) an adjudication under Section 2(a)(9) of the Investment Company Act [15 U.S.C. 80a-2(a)(9)], which has become final, that control exists.
(ii) the name, address and percentage of ownership of each person who owns of record or is known by either party to the transaction to own of record or beneficially 5 percent or more of any class of either party’s outstanding equity securities.
  1. The percentages are to be calculated on the basis of the amount of securities outstanding.
  2. Indicate, as far as practicable, the percentage of registrant’s shares to be owned by such persons upon consummation of the proposed transaction on the basis of present holdings and commitments.
  3. If to the knowledge of either party to the transaction or any principal underwriter of their securities, 5 percent or more of any class of voting securities of either party are or will be held subject to any voting trust or other similar agreement, this fact must be disclosed.
  4. Indicate whether the securities are owned both of record and beneficially, or of record only, or beneficially only, and show the respective percentage owned in each manner.
(iii) a statement of all equity securities of the registrant, owned by all officers, directors and members of the advisory board of the registrant as a group, without naming them. In any case where the amount owned by directors and officers as a group is less than l percent of the class, a statement to that effect is sufficient.</t>
  </si>
  <si>
    <t>Item 8</t>
  </si>
  <si>
    <t>Interest of Certain Persons and Experts</t>
  </si>
  <si>
    <t>Interest and Expert Information</t>
  </si>
  <si>
    <t>Disclosure of material interests and experts' roles in the transaction.</t>
  </si>
  <si>
    <t>Item 8.a</t>
  </si>
  <si>
    <t>Describe briefly any material interest, direct or indirect, by security holdings or otherwise, of any affiliated person of the registrant in the proposed transaction.</t>
  </si>
  <si>
    <t>Item 8.b</t>
  </si>
  <si>
    <t>If any expert named in the registration statement as having prepared or certified any part thereof (or named as having prepared or certified a report or valuation for use in connection with the registration statement), or counsel for the registrant, underwriters or selling security holders named in the prospectus as having given an opinion upon the validity of the securities being registered or upon other legal matters in connection with the registration or offering of such securities, was employed for such purpose on a contingent basis, or at the time of such preparation, certification or opinion, or at any time thereafter through the date of effectiveness of the registration statement to which such preparation, certification, or opinion relates, had, or is to receive in connection with the offering, a substantial interest, direct or indirect, in the registrant or was connected with the registrant, managing underwriter (or any principal underwriter, if there are no managing underwriters), voting trustee, director, officer, or employee, furnish a brief statement of the nature of such contingent basis, interest, or connection. Instructions:
1. The interest of an expert (other than an accountant) or counsel will not be deemed substantial and need not be disclosed if the interest, including the fair market value of all securities of the registrant owned, received and to be received, or subject to options, warrants or rights received or to be received by the expert or counsel does not exceed $50,000. For purposes of this instruction, the term “expert” or counsel includes the firm, corporation, partnership or other entity, if any, by which the expert or counsel is employed or of which he is a member or of counsel to, and all attorneys in the case of counsel, and all nonclerical personnel in the case of named experts, participating in the matter on behalf of the firm, corporation, partnership or entity.
2. Accountants providing a report on the financial statements, presented or incorporated by reference in the registration statement, should note Section 210.2-01 [17 CFR 210.2-01] of Regulation S-X for the Commission’s requirements regarding “Qualification of Accountants” which discusses disqualifying interests.</t>
  </si>
  <si>
    <t>Item 9</t>
  </si>
  <si>
    <t>Additional Information Required for Reoffering by Persons Deemed to be Underwriters</t>
  </si>
  <si>
    <t>If any of the securities are to be reoffered to the public by any person who is deemed to be an underwriter thereof, furnish the following information in the prospectus, to the extent it is not already furnished therein:</t>
  </si>
  <si>
    <t>Reoffering Information</t>
  </si>
  <si>
    <t>Information about reoffering by persons deemed to be underwriters.</t>
  </si>
  <si>
    <t>Item 9.a</t>
  </si>
  <si>
    <t>the name of each security holder;</t>
  </si>
  <si>
    <t>Item 9.b</t>
  </si>
  <si>
    <t>the nature of any position, office or other material relationship which the selling security holder has had within the past three years with the registrant or any of its predecessors or affiliated companies;</t>
  </si>
  <si>
    <t>Item 9.c</t>
  </si>
  <si>
    <t>the amount of securities owned by the selling security holder prior to the offering, the amount to be offered for the security holder’s account, the amount and (if one percent or more) the percentage of the class to be owned by the security holder after completion of the offering; and</t>
  </si>
  <si>
    <t>Item 9.d</t>
  </si>
  <si>
    <t>information about the transaction in which the securities were acquired and any material changes in the registrant’s affairs after the transaction.</t>
  </si>
  <si>
    <t>Part B</t>
  </si>
  <si>
    <t>Information Required in a Statement of Additional Information</t>
  </si>
  <si>
    <t>Item 10.a</t>
  </si>
  <si>
    <t>Cover Page</t>
  </si>
  <si>
    <t>The outside cover page is required to contain the following information:</t>
  </si>
  <si>
    <t>SAI Cover Page</t>
  </si>
  <si>
    <t>Information to be included on the outside cover page of the Statement of Additional Information (SAI).</t>
  </si>
  <si>
    <t>Item 10.a.i</t>
  </si>
  <si>
    <t>the registrant’s name;</t>
  </si>
  <si>
    <t>Item 10.a.ii</t>
  </si>
  <si>
    <t>a statement or statements (A) that the Statement of Additional Information is not a prospectus; (B) that the Statement of Additional Information should be read in conjunction with the prospectus; and (C) from whom a copy of the prospectus may be obtained;</t>
  </si>
  <si>
    <t>Item 10.a.iii</t>
  </si>
  <si>
    <t>the date of the prospectus to which the Statement of Additional Information relates and any other identifying information; and</t>
  </si>
  <si>
    <t>Item 10.a.iv</t>
  </si>
  <si>
    <t>the date of the Statement of Additional Information.</t>
  </si>
  <si>
    <t>Item 10.b</t>
  </si>
  <si>
    <t>The cover page may include other information, but care should be taken that such additional information does not, either by its nature, quantity, or manner of presentation, impede understanding of required information.</t>
  </si>
  <si>
    <t>Item 11</t>
  </si>
  <si>
    <t>Table of Contents</t>
  </si>
  <si>
    <t>Set forth under appropriate captions (and sub-captions) a list of the contents of the SAI and, where useful, provide cross-references to related disclosure in the prospectus.</t>
  </si>
  <si>
    <t>SAI Table of Contents</t>
  </si>
  <si>
    <t>List of contents in the SAI with appropriate captions and sub-captions.</t>
  </si>
  <si>
    <t>Item 12</t>
  </si>
  <si>
    <t>Additional Information about the Registrant</t>
  </si>
  <si>
    <t>(a) If the registrant is an open-end management investment company, furnish the information required by Items 14 through 27 of Form N-1A under the Investment Company Actor Items 20 through 26 of Form N-3, as applicable.
(b) If the registrant is a closed-end management investment company, furnish the information required by Items 14 through 23, and Item 4.2 if the registrant is regulated as a business development company, of Form N-2 under the Investment Company Act.
(c) If the registrant is not an open-end management investment company, no specific information about the company need be included.</t>
  </si>
  <si>
    <t>Additional Registrant Information</t>
  </si>
  <si>
    <t>Additional information required about the registrant based on its classification.</t>
  </si>
  <si>
    <t>Item 13</t>
  </si>
  <si>
    <t>Additional Information about the Company Being Acquired</t>
  </si>
  <si>
    <t>If the transaction will be submitted to the security holders of the registrant for approval or consent:
(a) If the company being acquired is an open-end management investment company, furnish the information required by Items 14 through 17 and 19 through 27 of Form N-1A under the Investment Company Act or Items 20 through 26 of Form N-3, as applicable.
(b) If the company being acquired is a closed-end management investment company, furnish the information required by Item 15 through 18 and Item 20 through 23 of Form N-2. If the company being acquired is regulated as a business development company, also furnish the information required by Items 4.2 and 8.6.c (if applicable) of Form N-2.
(c) If the company being acquired is not an open-end management investment company, no specific information about the company need be included</t>
  </si>
  <si>
    <t>Additional Acquired Company Information</t>
  </si>
  <si>
    <t>Additional information required about the company being acquired based on its classification.</t>
  </si>
  <si>
    <t>Item 14</t>
  </si>
  <si>
    <t>Financial Statements</t>
  </si>
  <si>
    <t>The Statement of Additional Information must contain the financial statements, including the schedules thereto, and supplemental financial information of the acquiring company and the company to be acquired required by Regulation S-X [17 CFR 210] for the periods specified in Article 3 and Rule 6-11 of Regulation S-X, except:
1. if the company to be acquired is an investment company or would be an investment company but for the exclusions provided by sections 3(c)(1) or 3(c)(7) of the 1940 Act [15 U.S.C. 80a-3(c)(1) and (c)(7)] (a “private fund”), the financial statements need only be filed for the most recent fiscal year and the most recent interim period, unless it is an investment company subject to § 210.3-18 in which case the financial statements for the periods described therein must be filed;
2. if the company to be acquired is a private fund, then the required financial statements may comply with U.S. Generally Accepted Accounting Principles and only Article 12 of Regulation S-X;
3. the financial statements required by Regulation S-X for any subsidiary that is not a majority-owned subsidiary may be omitted from Part B and included in Part C; and
4. the table showing the current fees and pro forma fees, if different, required by Rule 6-11 of Regulation S-X (which is required by Item 3 of this Form).</t>
  </si>
  <si>
    <t>Required financial statements for the acquiring company and the company to be acquired.</t>
  </si>
  <si>
    <t>Part C</t>
  </si>
  <si>
    <t>Other Information</t>
  </si>
  <si>
    <t>Item 15</t>
  </si>
  <si>
    <t>Indemnification</t>
  </si>
  <si>
    <t>State the general effect of any contract, arrangement or statute under which any director, officer, underwriter or affiliated person of the registrant is insured or indemnified in any manner against any liability which may be incurred in such capacity, other than insurance provided by any director, officer, affiliated person or underwriter for its own protection.
Instruction: In responding to this Item the registrant should take note of the provisions of Rules 461(c) [17 CFR 230.461] and 484 [17 CFR 230.484] under the Securities Act and Sections 17(h) and (i) of the Investment Company Act [15 U.S.C. 80a-17(h) and (i)].</t>
  </si>
  <si>
    <t>Indemnification Details</t>
  </si>
  <si>
    <t>General effect of any contract, arrangement, or statute related to indemnification.</t>
  </si>
  <si>
    <t>Item 16</t>
  </si>
  <si>
    <t>Exhibits</t>
  </si>
  <si>
    <t>Subject to General Instructions B (Registration Fees), G (Incorporation by Reference), and H (Interactive Data) of this Form, and Rule 483 under the Securities Act [17 CFR 230.483], file the exhibits listed below as part of the registration statement. Letter or number the exhibits in the sequence indicated, unless otherwise required by Rule 483. Reflect any exhibit incorporated by reference in the list below and identify the previously filed document containing the incorporated material.
(1) copies of the charter of the registrant as now in effect;
(2) copies of the existing bylaws or corresponding instruments of the registrant;
(3) copies of any voting trust agreement affecting more than 5 percent of any class of equity securities of the registrant;
(4) copies of the agreement of acquisition, reorganization, merger, liquidation and any amendments to it;
(5) copies of all instruments defining the rights of holders of the securities being registered, including copies, where applicable, of the relevant portion of the articles of incorporation or by-laws of the registrant.
(6) copies of all investment advisory contracts relating to the management of the assets of the registrant;
(7) copies of each underwriting or distribution contract between the registrant and a principal underwriter, and specimens or copies of all agreements between principal underwriters and dealers;
(8) copies of all bonus, profit sharing, pension or other similar contracts or arrangements wholly or partly for the benefit of directors or officers of the registrant in their capacity as such. Furnish a reasonably detailed description of any plan that is not set forth in a formal document;
(9) copies of all custodian agreements and depository contracts under Section 17(f) of the Investment Company Act [15 U.S.C.80a-17(f)], for securities and similar investments of the registrant, including the schedule of remuneration;
(10) copies of any plan entered into by registrant pursuant to Rule l2b-1 under the Investment Company Act [17 CFR 270.12b-1] and any agreements with any person relating to implementation of the plan, and copies of any plan entered into by registrant pursuant to Rule 18f-3 under the Investment Company Act [17 CFR 270.18f-3], any agreement with any person relating to implementation of the plan, any amendment to the plan, and a copy of the portion of the minutes of the meeting of the registrant’s directors describing any action taken to revoke the plan;
(11) an opinion and consent of counsel as to the legality of the securities being registered, indicating whether they will, when sold, be legally issued, fully paid and non-assessable;
(12) an opinion, and consent to their use, of counsel or, in lieu of an opinion, a copy of the revenue ruling from the Internal Revenue Service, supporting the tax matters and consequences to shareholders discussed in the prospectus;
(13) copies of all material contracts of the registrant not made in the ordinary course of business which are to be performed in whole or in part on or after the date of filing the registration statement;
(14) copies of any other opinions, appraisals or rulings, and consents to their use relied on in preparing the registration statement and required by Section 7 of the Securities Act [15 U.S.C. 77g];
(15) all financial statements omitted pursuant to Item 14(a)(l);
(16) manually signed copies of any power of attorney pursuant to which the name of any person has been signed to the registration statement;
(17) any additional exhibits which the registrant may wish to file; and
(18) furnish the following information, in substantially the tabular form indicated, as to each type and class of securities being registered</t>
  </si>
  <si>
    <t>Document Submission</t>
  </si>
  <si>
    <t>Required Exhibits</t>
  </si>
  <si>
    <t>List of exhibits to be filed as part of the registration statement.</t>
  </si>
  <si>
    <t>Item 17</t>
  </si>
  <si>
    <t>Undertakings</t>
  </si>
  <si>
    <t>Undertaking Details</t>
  </si>
  <si>
    <t>Specific undertakings agreed to by the registrant.</t>
  </si>
  <si>
    <t>Item 17.1</t>
  </si>
  <si>
    <t>The undersigned registrant agrees that prior to any public reoffering of the securities registered through the use of a prospectus which is a part of this registration statement by any person or party who is deemed to be an underwriter within the meaning of Rule 145(c) of the Securities Act [17 CFR 230.145c], the reoffering prospectus will contain the information called for by the applicable registration form for the reofferings by persons who may be deemed underwriters, in addition to the information called for by the other items of the applicable form.</t>
  </si>
  <si>
    <t>Signature</t>
  </si>
  <si>
    <t>Item 17.2</t>
  </si>
  <si>
    <t>The undersigned registrant agrees that every prospectus that is filed under paragraph (1) above will be filed as a part of an amendment to the registration statement and will not be used until the amendment is effective, and that, in determining any liability under the Securities Act, each post-effective amendment shall be deemed to be a new registration statement for the securities offered therein, and the offering of the securities at that time shall be deemed to be the initial bona fide offering of them.</t>
  </si>
  <si>
    <t>I</t>
  </si>
  <si>
    <t>Definitions</t>
  </si>
  <si>
    <t>Various Terms Defined</t>
  </si>
  <si>
    <t>Provides the meaning of specific terms used in the form such as "Class," "Exchange-Traded Fund," "Fund," etc.</t>
  </si>
  <si>
    <t>B.1</t>
  </si>
  <si>
    <t>What is Form N-1A used for?</t>
  </si>
  <si>
    <t>Registration Uses</t>
  </si>
  <si>
    <t>Describes the uses of Form N-1A for registration under the Investment Company Act and the Securities Act.</t>
  </si>
  <si>
    <t>B.2</t>
  </si>
  <si>
    <t>What is included in the registration statement?</t>
  </si>
  <si>
    <t>Statement Requirements</t>
  </si>
  <si>
    <t>Lists the contents required in a registration statement or amendments filed under both the Investment Company Act and the Securities Act.</t>
  </si>
  <si>
    <t>B.3</t>
  </si>
  <si>
    <t>What are the fees for Form N-1A?</t>
  </si>
  <si>
    <t>Fee Information</t>
  </si>
  <si>
    <t>Details on the lack of registration fees with the filing of Form N-1A under the Investment Company Act or Securities Act.</t>
  </si>
  <si>
    <t>B.4</t>
  </si>
  <si>
    <t>What rules apply to the filing of a registration statement on Form N-1A?</t>
  </si>
  <si>
    <t>Filing Rules</t>
  </si>
  <si>
    <t>Specifies the general and specific rules that apply to the filing of Form N-1A.</t>
  </si>
  <si>
    <t>C.1</t>
  </si>
  <si>
    <t>Administration of the Form N-1A requirements</t>
  </si>
  <si>
    <t>Administration Guidelines</t>
  </si>
  <si>
    <t>Provides guidelines on how to administer Form N-1A, emphasizing clear and concise disclosure for potential investors.</t>
  </si>
  <si>
    <t>Information Required in A Prospectus</t>
  </si>
  <si>
    <t>Front and Back Cover Pages</t>
  </si>
  <si>
    <t>Fund Name, Ticker, Date, Statements</t>
  </si>
  <si>
    <t>Specifies the information to be included on the front and back cover pages of the prospectus.</t>
  </si>
  <si>
    <t>Risk/Return Summary: Investment Objectives/Goals</t>
  </si>
  <si>
    <t>Investment Objectives/Goals</t>
  </si>
  <si>
    <t>Disclosure of the Fund's investment objectives or goals.</t>
  </si>
  <si>
    <t>Risk/Return Summary: Fee Table</t>
  </si>
  <si>
    <t>Table/Text</t>
  </si>
  <si>
    <t>Fees, Expenses, and Examples</t>
  </si>
  <si>
    <t>Detailed disclosure of shareholder fees, annual fund operating expenses, and examples to compare costs among different funds.</t>
  </si>
  <si>
    <t>Form N-1A</t>
  </si>
  <si>
    <t>Risk/Return Summary: Investments, Risks, and Performance</t>
  </si>
  <si>
    <t>Principal Investment Strategies, Risks, Performance Data</t>
  </si>
  <si>
    <t>Information on the Fund's principal investment strategies, risks, and performance data, including bar charts and tables.</t>
  </si>
  <si>
    <t>Management</t>
  </si>
  <si>
    <t>Investment Adviser, Portfolio Manager Data</t>
  </si>
  <si>
    <t>Names and details of the investment advisers and portfolio managers managing the Fund.</t>
  </si>
  <si>
    <t>Purchase and Sale of Fund Shares</t>
  </si>
  <si>
    <t>Purchase/Sale Procedures</t>
  </si>
  <si>
    <t>Disclosure of the procedures for purchasing and redeeming the Fund's shares.</t>
  </si>
  <si>
    <t>Tax Information</t>
  </si>
  <si>
    <t>Distribution Tax Information</t>
  </si>
  <si>
    <t>Information about the taxable nature of the Fund's distributions to shareholders.</t>
  </si>
  <si>
    <t>Financial Intermediary Compensation</t>
  </si>
  <si>
    <t>Compensation to Financial Intermediaries</t>
  </si>
  <si>
    <t>Disclosure of payments to broker-dealers or financial intermediaries for the sale of Fund shares.</t>
  </si>
  <si>
    <t>Part B (SAI)</t>
  </si>
  <si>
    <t>Cover Page and Table of Contents</t>
  </si>
  <si>
    <t>SAI cover page details, table of contents</t>
  </si>
  <si>
    <t>Information required on the SAI cover page and its table of contents.</t>
  </si>
  <si>
    <t>Fund History</t>
  </si>
  <si>
    <t>Organizational Details</t>
  </si>
  <si>
    <t>Disclosure of the Fund's history, including the date and form of organization and prior business activities.</t>
  </si>
  <si>
    <t>Description of the Fund and Its Investments and Risks</t>
  </si>
  <si>
    <t>Classification, Strategies, Policies</t>
  </si>
  <si>
    <t>Detailed description of the Fund's classification, investment strategies, risks, and fundamental policies.</t>
  </si>
  <si>
    <t>Management of the Fund</t>
  </si>
  <si>
    <t>Management Details</t>
  </si>
  <si>
    <t>Information on the Fund's management, including names of directors and officers, their responsibilities, and compensation.</t>
  </si>
  <si>
    <t>Item 18</t>
  </si>
  <si>
    <t>Control Persons and Principal Holders of Securities</t>
  </si>
  <si>
    <t>Ownership Details</t>
  </si>
  <si>
    <t>Disclosure of control persons, principal holders of securities, and management ownership.</t>
  </si>
  <si>
    <t>Item 28</t>
  </si>
  <si>
    <t>Various</t>
  </si>
  <si>
    <t>List and description of documents and contracts to be filed, including articles of incorporation, by-laws, and investment advisory contracts.</t>
  </si>
  <si>
    <t>What is the purpose and use of Form N-2?</t>
  </si>
  <si>
    <t>Purpose and Use</t>
  </si>
  <si>
    <t>Provides when Form N-2 is to be used for closed-end fund investment companies.</t>
  </si>
  <si>
    <t>Under what circumstances can Well-Known Seasoned Issuers use automatic shelf offerings?</t>
  </si>
  <si>
    <t>Automatic Shelf Offering Rules</t>
  </si>
  <si>
    <t>Describes conditions allowing seasoned issuers to use shelf offerings under Form N-2.</t>
  </si>
  <si>
    <t>What are the requirements for registration fees?</t>
  </si>
  <si>
    <t>Fee Requirements</t>
  </si>
  <si>
    <t>Details on computation and submission of registration fees for Form N-2 filings.</t>
  </si>
  <si>
    <t>What general rules and regulations must be followed for filing Form N-2 under both the Securities Act and Investment Company Act?</t>
  </si>
  <si>
    <t>Applicable Rules</t>
  </si>
  <si>
    <t>Specifies rules applicable for dual filings under the Securities and Investment Company Acts.</t>
  </si>
  <si>
    <t>What are the requirements for amending the registration statement annually or as needed?</t>
  </si>
  <si>
    <t>Amendment Requirements</t>
  </si>
  <si>
    <t>Instructions on necessary amendments to maintain compliance with annual updates or material changes.</t>
  </si>
  <si>
    <t>What rules govern incorporation by reference in Form N-2 filings?</t>
  </si>
  <si>
    <t>Incorporation by Reference Rules</t>
  </si>
  <si>
    <t>Describes conditions for incorporating documents by reference to streamline the filing process.</t>
  </si>
  <si>
    <t>What documents and components should be included in the registration statement or its amendments?</t>
  </si>
  <si>
    <t>Registration Statement Contents</t>
  </si>
  <si>
    <t>Checklist of documents and components required in a complete registration statement.</t>
  </si>
  <si>
    <t>What are the requirements for interactive data (XBRL) filings as part of the registration process?</t>
  </si>
  <si>
    <t>Interactive Data Filing Rules</t>
  </si>
  <si>
    <t>Mandate for submitting interactive data files for certain sections of the registration statement, as per Regulation S-T.</t>
  </si>
  <si>
    <t>J</t>
  </si>
  <si>
    <t>How to register additional securities in post-effective amendments as per Rule 462(b)?</t>
  </si>
  <si>
    <t>Additional Securities Registration Process</t>
  </si>
  <si>
    <t>Guidelines for registering additional securities in post-effective amendments under Rule 462(b).</t>
  </si>
  <si>
    <t>Form N-2</t>
  </si>
  <si>
    <t>What information should be displayed on the outside front cover of the prospectus?</t>
  </si>
  <si>
    <t>Prospectus Cover Page Information</t>
  </si>
  <si>
    <t>Details such as fund type, securities offered, important statements to investors, contact information, and instructions for obtaining additional information like SAI.</t>
  </si>
  <si>
    <t>Where are the Registrant's securities listed, and what are their trading symbols?</t>
  </si>
  <si>
    <t>Trading Symbols and Listing Markets</t>
  </si>
  <si>
    <t>Disclosure of listing details on national exchanges or NASDAQ, ensuring placement on the prospectus cover page.</t>
  </si>
  <si>
    <t>What fees and expenses will investors bear directly or indirectly?</t>
  </si>
  <si>
    <t>Fee Table and Expense Overview</t>
  </si>
  <si>
    <t>Detailed outline of investor costs including transactions fees and annual operating expenses in tabulated format.</t>
  </si>
  <si>
    <t>What financial highlights must be included in the prospectus?</t>
  </si>
  <si>
    <t>Financial Highlights</t>
  </si>
  <si>
    <t>Summary of financial performance data such as net asset value changes, total investment return, and key ratios, providing an overview of historical financial health.</t>
  </si>
  <si>
    <t>How will the Registrant’s securities be distributed?</t>
  </si>
  <si>
    <t>Distribution Plan</t>
  </si>
  <si>
    <t>Description of the distribution process and identification of principal underwriters along with the nature of their obligations.</t>
  </si>
  <si>
    <t>Are there any shareholders offering securities for sale in this registration?</t>
  </si>
  <si>
    <t>Selling Shareholders Information</t>
  </si>
  <si>
    <t>Identification of selling shareholders, their holdings, and details about the distribution process.</t>
  </si>
  <si>
    <t>How will the proceeds from the offering be used?</t>
  </si>
  <si>
    <t>Use of Proceeds</t>
  </si>
  <si>
    <t>Breakdown of principal purposes and intended use of net proceeds from the offering, providing insight into fund's allocation strategies.</t>
  </si>
  <si>
    <t>Provide a general description of the Registrant including organizational and operational details.</t>
  </si>
  <si>
    <t>General Description</t>
  </si>
  <si>
    <t>Information on the Registrant's formation, investment objectives, policies, and essential operation details to provide clarity on the fund's structure.</t>
  </si>
  <si>
    <t>What are the details about the management structure and key staff of the Registrant?</t>
  </si>
  <si>
    <t>Management Structure and Background</t>
  </si>
  <si>
    <t>Complete information on directors, portfolio managers, and advisers including affiliations and management responsibilities.</t>
  </si>
  <si>
    <t>Item 10</t>
  </si>
  <si>
    <t>Describe the capital stock, long-term debt, and other securities issued by the Registrant.</t>
  </si>
  <si>
    <t>Capital Stock, Long-Term Debt Details</t>
  </si>
  <si>
    <t>Overview of rights attached to various securities, voting rights, dividend policies, and obligations associated with ownership.</t>
  </si>
  <si>
    <t>Are there any defaults or arrearages on senior securities?</t>
  </si>
  <si>
    <t>Defaults and Arrearages Information</t>
  </si>
  <si>
    <t>State the defaults on debt and capital stock, with specifics to help assess financial health and risk.</t>
  </si>
  <si>
    <t>Are there any material legal proceedings pending against the Registrant?</t>
  </si>
  <si>
    <t>Pending Legal Proceedings</t>
  </si>
  <si>
    <t>Briefly describe significant legal challenges that could impact fund operations or financials, including involved parties and nature of litigation.</t>
  </si>
  <si>
    <t>What information must be included on the cover page of the Statement of Additional Information (SAI)?</t>
  </si>
  <si>
    <t>SAI Cover Page Information</t>
  </si>
  <si>
    <t>Cover page details to ensure the SAI is accessible and informative for investors seeking comprehensive information.</t>
  </si>
  <si>
    <t>What should be included in the Table of Contents of the SAI?</t>
  </si>
  <si>
    <t>List of all sections in the SAI for easy navigation and reference.</t>
  </si>
  <si>
    <t>Provide a detailed description of the Registrant’s investment objectives and policies not included in the prospectus.</t>
  </si>
  <si>
    <t>Detailed Investment Policies</t>
  </si>
  <si>
    <t>In-depth explanation of investment policies and strategies beyond the summary provided in the prospectus, including secondary strategies and practices.</t>
  </si>
  <si>
    <t>Who are the managers, and what is their relevance to the Registrant’s operations?</t>
  </si>
  <si>
    <t>Detailed Management Information</t>
  </si>
  <si>
    <t>Comprehensive background of management, outlining directors’ credentials, service lengths, affiliations, and other roles they play within the organization.</t>
  </si>
  <si>
    <t>Item 20</t>
  </si>
  <si>
    <t>Provide details about investment advisory and other service agreements for the Registrant.</t>
  </si>
  <si>
    <t>Investment Advisory &amp; Service Agreements</t>
  </si>
  <si>
    <t>Description of advisory services, compensation models, and other material management contracts impacting the fund.</t>
  </si>
  <si>
    <t>Item 21</t>
  </si>
  <si>
    <t>Who are the portfolio managers, and do they manage other accounts?</t>
  </si>
  <si>
    <t>Portfolio Manager Responsibilities and Conflicts</t>
  </si>
  <si>
    <t>Identify portfolio managers, their role in day-to-day management, and detail their management of other accounts to disclose potential conflicts of interest.</t>
  </si>
  <si>
    <t>Item 22</t>
  </si>
  <si>
    <t>Describe the Registrant’s brokerage allocation and transaction practices.</t>
  </si>
  <si>
    <t>Brokerage Practices</t>
  </si>
  <si>
    <t>Explanation of selection criteria for brokers, analysis of commission rates, and details on brokerage allocations and transactions.</t>
  </si>
  <si>
    <t>Item 23</t>
  </si>
  <si>
    <t>What is the tax status, and what are the relevant tax implications for investors?</t>
  </si>
  <si>
    <t>Tax Status and Implications</t>
  </si>
  <si>
    <t>Insight into the tax considerations for the Registrant and implications for investors, including treatment under Subchapter M and other special tax aspects.</t>
  </si>
  <si>
    <t>Item 24</t>
  </si>
  <si>
    <t>Include financial statements and associated schedules relevant to the Registrant.</t>
  </si>
  <si>
    <t>Comprehensive financial documentation demonstrating the Registrant’s fiscal health for informed investment decisions.</t>
  </si>
  <si>
    <t>Item 25</t>
  </si>
  <si>
    <t>What financial statements and exhibits are included as part of the registration statement?</t>
  </si>
  <si>
    <t>Financial Statements and Exhibits</t>
  </si>
  <si>
    <t>Listing all financial statements and exhibits to ensure a complete and compliant registration filing.</t>
  </si>
  <si>
    <t>Item 26</t>
  </si>
  <si>
    <t>Describe the marketing arrangements for the Registrant’s securities.</t>
  </si>
  <si>
    <t>Marketing Arrangements</t>
  </si>
  <si>
    <t>Information on distribution strategies, third-party involvement, and market stabilization efforts related to the security offerings.</t>
  </si>
  <si>
    <t>Item 27</t>
  </si>
  <si>
    <t>What are the anticipated expenses of issuance and distribution?</t>
  </si>
  <si>
    <t>Issuance and Distribution Costs</t>
  </si>
  <si>
    <t>Detailed, itemized statement of all anticipated issuance and distribution costs, separate from underwriting discounts.</t>
  </si>
  <si>
    <t>Who are the persons controlled by or under common control with the Registrant?</t>
  </si>
  <si>
    <t>Text/Diagram</t>
  </si>
  <si>
    <t>Control Relationships</t>
  </si>
  <si>
    <t>Diagram and list of entities under common control or controlled by the Registrant, providing details on ownership and relationship structures.</t>
  </si>
  <si>
    <t>Item 29</t>
  </si>
  <si>
    <t>How many holders of each class of Registrant’s securities are there?</t>
  </si>
  <si>
    <t>Table</t>
  </si>
  <si>
    <t>Number of Holders</t>
  </si>
  <si>
    <t>Tabular representation of the number of record holders for each class of securities, updating within 90 days prior to filing.</t>
  </si>
  <si>
    <t>Item 30</t>
  </si>
  <si>
    <t>What indemnification arrangements exist for protection against liabilities?</t>
  </si>
  <si>
    <t>Indemnification Provisions</t>
  </si>
  <si>
    <t>Explanation of contracts, statutes, and arrangements for indemnification of directors, officers, underwriters, and affiliates.</t>
  </si>
  <si>
    <t>Item 31</t>
  </si>
  <si>
    <t>Describe the other business connections of investment advisers.</t>
  </si>
  <si>
    <t>Advisers’ Business Connections</t>
  </si>
  <si>
    <t>Summary of significant business activities, connections, or professional involvements of the investment advisers.</t>
  </si>
  <si>
    <t>Item 32</t>
  </si>
  <si>
    <t>Where are the Registrant’s accounts and records maintained?</t>
  </si>
  <si>
    <t>Accounts and Records Location</t>
  </si>
  <si>
    <t>Names and addresses of entities maintaining the Registrant’s accounts and records, ensuring compliance with regulatory requirements.</t>
  </si>
  <si>
    <t>Item 33</t>
  </si>
  <si>
    <t>Are there any management services not previously discussed that are relevant to the Registrant?</t>
  </si>
  <si>
    <t>Management Services Details</t>
  </si>
  <si>
    <t>Information on additional management services provided by affiliates beyond what is covered in other parts of the registration statement.</t>
  </si>
  <si>
    <t>Item 34</t>
  </si>
  <si>
    <t>What undertakings are being furnished by the Registrant?</t>
  </si>
  <si>
    <t>Regulatory Undertakings</t>
  </si>
  <si>
    <t>Required commitments and undertakings submitted to ensure compliance with specific regulatory requirements for investor protection as part of the registration process.</t>
  </si>
  <si>
    <t>Main Form</t>
  </si>
  <si>
    <t>What is the Investment Company Act File Number?</t>
  </si>
  <si>
    <t>Numeric</t>
  </si>
  <si>
    <t>Investment Company Act File Number</t>
  </si>
  <si>
    <t>This number is assigned to registered investment companies under the Investment Company Act of 1940.</t>
  </si>
  <si>
    <t>What is the exact name of the investment company as specified in the registration statement?</t>
  </si>
  <si>
    <t>Name of Investment Company</t>
  </si>
  <si>
    <t>The official name of the investment company as filed with the SEC.</t>
  </si>
  <si>
    <t>What is the address of the principal executive office?</t>
  </si>
  <si>
    <t>Address</t>
  </si>
  <si>
    <t>The complete address of the main executive office including street, city, state, and zip code.</t>
  </si>
  <si>
    <t>Date of Notification</t>
  </si>
  <si>
    <t>Notification Date</t>
  </si>
  <si>
    <t>The date on which the notification of the repurchase offer is made.</t>
  </si>
  <si>
    <t>Check one of the following regarding the type of repurchase offer: A) Periodic repurchase under paragraph (b)</t>
  </si>
  <si>
    <t>Periodic Repurchase Offer</t>
  </si>
  <si>
    <t>Indicates if the notification pertains to a periodic repurchase offer under paragraph (b) of Rule 23c-3.</t>
  </si>
  <si>
    <t>Check one of the following regarding the type of repurchase offer: B) Discretionary repurchase under paragraph (c)</t>
  </si>
  <si>
    <t>Discretionary Repurchase Offer</t>
  </si>
  <si>
    <t>Indicates if the notification pertains to a discretionary repurchase offer under paragraph (c) of Rule 23c-3.</t>
  </si>
  <si>
    <t>Check one of the following regarding the type of repurchase offer: C) Both periodic and discretionary repurchase offers.</t>
  </si>
  <si>
    <t>Combined Repurchase Offers</t>
  </si>
  <si>
    <t>Indicates if the notification pertains to both a periodic and discretionary repurchase offer under paragraphs (b) and (c) of Rule 23c-3.</t>
  </si>
  <si>
    <t>By (Name)</t>
  </si>
  <si>
    <t>Signature Name</t>
  </si>
  <si>
    <t>The name of the person authorized to sign the form.</t>
  </si>
  <si>
    <t>Title</t>
  </si>
  <si>
    <t>Title of Signatory</t>
  </si>
  <si>
    <t>The title of the person authorized to sign the form.</t>
  </si>
  <si>
    <t>Form N-23c-3</t>
  </si>
  <si>
    <t>Instructions</t>
  </si>
  <si>
    <t>Who must complete and file this form?</t>
  </si>
  <si>
    <t>Eligible Filers</t>
  </si>
  <si>
    <t>Specifies that registered closed-end investment companies or business development companies making repurchase offers pursuant to Rule 23c-3 must complete and file this form.</t>
  </si>
  <si>
    <t>What must the form be attached to?</t>
  </si>
  <si>
    <t>Attachments</t>
  </si>
  <si>
    <t>The form must be attached to a notification sent to shareholders under paragraph (b)(4) of Rule 23c-3.</t>
  </si>
  <si>
    <t>When and how should the form be filed?</t>
  </si>
  <si>
    <t>Filing Instructions</t>
  </si>
  <si>
    <t>The form must be filed in triplicate with the SEC within three business days after the notification is sent to shareholders, with one copy signed manually and the others with facsimile or typed signatures.</t>
  </si>
  <si>
    <t>SEC's Collection of Information</t>
  </si>
  <si>
    <t>What is the OMB Control Number for this form?</t>
  </si>
  <si>
    <t>Text/Numeric</t>
  </si>
  <si>
    <t>OMB Control Number</t>
  </si>
  <si>
    <t>The OMB control number assigned to this form, ensuring validity and compliance with collection of information requirements.</t>
  </si>
  <si>
    <t>What is the purpose of this information collection?</t>
  </si>
  <si>
    <t>Information Collection Purpose</t>
  </si>
  <si>
    <t>The purpose is to ensure that investment companies provide the necessary basic information for the SEC to process notifications to shareholders and monitor repurchase offers.</t>
  </si>
  <si>
    <t>How can members of the public comment on the accuracy of the burden estimate for this form?</t>
  </si>
  <si>
    <t>Public Comment Instructions</t>
  </si>
  <si>
    <t>Members of the public can direct comments to the SEC regarding the accuracy of the burden estimate for this form and suggestions for reducing this burden.</t>
  </si>
  <si>
    <t>UNIT: UNITED STATES SECURITIES AND EXCHANGE COMMISSION</t>
  </si>
  <si>
    <t>General Instructions - Definitions</t>
  </si>
  <si>
    <t>What is the Registrant?</t>
  </si>
  <si>
    <t>Separate Account</t>
  </si>
  <si>
    <t>The separate account that offers the Variable Annuity Contracts</t>
  </si>
  <si>
    <t>General Instructions - Filing and Use of Form N-3</t>
  </si>
  <si>
    <t>What is Form N-3 used for?</t>
  </si>
  <si>
    <t>Selection Checkbox</t>
  </si>
  <si>
    <t>Initial registration statement amendments, under the Investment Company Act or Securities Act</t>
  </si>
  <si>
    <t>Purpose of Form N-3 for separate accounts that offer Variable Annuity Contracts</t>
  </si>
  <si>
    <t>PART A</t>
  </si>
  <si>
    <t>Item 1. Front and Back Cover Pages</t>
  </si>
  <si>
    <t>What information should appear on the front cover?</t>
  </si>
  <si>
    <t>Registrant's Name,Insurance Company's Name, Types of Variable Annuity Contracts, Investment Options, etc.</t>
  </si>
  <si>
    <t>Required disclosures for front cover to inform potential investors about essential details (e.g., names, type, dates)</t>
  </si>
  <si>
    <t>Item 2. Key Information</t>
  </si>
  <si>
    <t>What are key points investors should know?</t>
  </si>
  <si>
    <t>Fees and Expenses, Risks, Restrictions, Taxes, Conflicts of Interest</t>
  </si>
  <si>
    <t>Snapshot of essential facts: fees, risks, restrictions, tax implications, and conflicts affecting the investor</t>
  </si>
  <si>
    <t>Item 3. Overview of the Contract</t>
  </si>
  <si>
    <t>What is the purpose and phases of the contract?</t>
  </si>
  <si>
    <t>Paragraph</t>
  </si>
  <si>
    <t>Description of purpose, accumulation phase, annuity phase, etc.</t>
  </si>
  <si>
    <t>Summarized description, purpose, and phases of the Contract (accumulation and annuity)</t>
  </si>
  <si>
    <t>Item 4. Fee Table</t>
  </si>
  <si>
    <t>What fees and expenses are associated?</t>
  </si>
  <si>
    <t>Transaction Expenses, Annual Contract Expenses, Example</t>
  </si>
  <si>
    <t>Breakdown of fees related to purchase, ownership, and surrenders, including an illustrative example</t>
  </si>
  <si>
    <t>Item 5. Principal Risks of investing in the Contract</t>
  </si>
  <si>
    <t>What are the risks of purchasing the Contract?</t>
  </si>
  <si>
    <t>Paragraph/Listing</t>
  </si>
  <si>
    <t>Risks relating to investment performance, short-term suitability, liquidity, taxes</t>
  </si>
  <si>
    <t>Summary of main risks: poor investment performance, unsuitability for short-term savings, withdrawal limits, tax consequences</t>
  </si>
  <si>
    <t>Item 6. General Description of Registrant, Insurance Company, and Investment Options</t>
  </si>
  <si>
    <t>Who are the key parties and what are the options?</t>
  </si>
  <si>
    <t>Paragraph/List</t>
  </si>
  <si>
    <t>Description of the insurance company, registrant, investment options, etc.</t>
  </si>
  <si>
    <t>Overview of the Registrant, insurance company, and a brief overview of available investment options and arrangement</t>
  </si>
  <si>
    <t>Item 7. Management</t>
  </si>
  <si>
    <t>Who manages the registrant and how?</t>
  </si>
  <si>
    <t>Paragraph/Table</t>
  </si>
  <si>
    <t>Investment Advisers, Portfolio Managers, Other relevant disclosures</t>
  </si>
  <si>
    <t>Information about managers, compensation structure, potential conflicts, and experience</t>
  </si>
  <si>
    <t>Form N-3</t>
  </si>
  <si>
    <t>Item 8. Charges</t>
  </si>
  <si>
    <t>What are the charges deducted from payments/accounts?</t>
  </si>
  <si>
    <t>Sales loads, administrative charges, management fees, etc.</t>
  </si>
  <si>
    <t>Description of charges deducted from purchase payments/accounts, indicating amounts, frequencies, recipients, and reason</t>
  </si>
  <si>
    <t>Item 9. General Description of Contracts</t>
  </si>
  <si>
    <t>What rights are present for each contract phase?</t>
  </si>
  <si>
    <t>Rights during the accumulation phase, annuity phase, post-death</t>
  </si>
  <si>
    <t>Overview of rights during different contract phases: accumulation, annuity period, post-death, and important provisions</t>
  </si>
  <si>
    <t>Item 10. Annuity Period</t>
  </si>
  <si>
    <t>What are the annuity options?</t>
  </si>
  <si>
    <t>Description of options, frequency, duration, assumed returns, etc.</t>
  </si>
  <si>
    <t>Characteristics of annuity period, available options, calculation methods, rights to alter or transfer options</t>
  </si>
  <si>
    <t>Item 11. Benefits Available Under the Contract</t>
  </si>
  <si>
    <t>What benefits are provided?</t>
  </si>
  <si>
    <t>Benefit names, purposes, maximum fees, restrictions, etc.</t>
  </si>
  <si>
    <t>Description and table of available benefits, including restrictions, fees, and operational details</t>
  </si>
  <si>
    <t>Item 12. Purchases and Contract Value</t>
  </si>
  <si>
    <t>How are purchases credited?</t>
  </si>
  <si>
    <t>Paragraph/Numeric</t>
  </si>
  <si>
    <t>Minimum payments, allocation methods, value determination</t>
  </si>
  <si>
    <t>Criterion for crediting purchase payments, minimum amounts, crediting timelines, and allocation among investment options</t>
  </si>
  <si>
    <t>Item 13. Surrenders and Withdrawals</t>
  </si>
  <si>
    <t>How can funds be surrendered/withdrawn?</t>
  </si>
  <si>
    <t>Conditions, calculations, effect of withdrawal, payout methods, involuntary redemption, free-look period</t>
  </si>
  <si>
    <t>Terms and procedure for withdrawing or surrendering funds, their impact on contract and respective value adjustments</t>
  </si>
  <si>
    <t>Item 14. Loans</t>
  </si>
  <si>
    <t>What are the loan provisions?</t>
  </si>
  <si>
    <t>Loan availability, limitations, interest, effect on contract value and death benefits</t>
  </si>
  <si>
    <t>Explanation of loan procedures, eligibility, interest, and the impact of loans on contract value and benefits</t>
  </si>
  <si>
    <t>Item 15. Taxes</t>
  </si>
  <si>
    <t>What are the tax implications for contracts and qualified plans?</t>
  </si>
  <si>
    <t>Tax consequences, qualified plan information</t>
  </si>
  <si>
    <t>Detailed description of the tax impacts for contract purchases and distributions, with a focus on tax-qualified plans (e.g., IRA, 401k)</t>
  </si>
  <si>
    <t>Item 16. Legal Proceedings</t>
  </si>
  <si>
    <t>Are there any material legal proceedings?</t>
  </si>
  <si>
    <t>Description of material pending or known legal proceedings</t>
  </si>
  <si>
    <t>Details about any significant legal processes involving the Registrant, insurance company, or other associated parties that affect the contracts</t>
  </si>
  <si>
    <t>Item 17. Financial Statements</t>
  </si>
  <si>
    <t>Where can financial statements be found?</t>
  </si>
  <si>
    <t>Identification of financial statement locations</t>
  </si>
  <si>
    <t>Reference to where financial statements of the registrant and insurance company can be found, and steps to obtain them</t>
  </si>
  <si>
    <t>Item 18. Investment Options Available Under the Contract</t>
  </si>
  <si>
    <t>What investment options are available?</t>
  </si>
  <si>
    <t>Investment Option Names, Type, Adviser/Subadviser, Fees, Returns</t>
  </si>
  <si>
    <t>Detailed listing of available investment options including adviser details and performance data</t>
  </si>
  <si>
    <t>Item 19. Additional Information About Investment Options Available Under the Contract</t>
  </si>
  <si>
    <t>What additional information is there about the investment options?</t>
  </si>
  <si>
    <t>Investment Option Objectives, Strategies, Risks, Performance</t>
  </si>
  <si>
    <t>Further detailed description of each investment option, such as objectives, strategies involved, associated risks, and historical performance</t>
  </si>
  <si>
    <t>PART B</t>
  </si>
  <si>
    <t>Item 20. Cover Page and Table of Contents</t>
  </si>
  <si>
    <t>What should be on the cover page and table of contents?</t>
  </si>
  <si>
    <t>Text/Structure</t>
  </si>
  <si>
    <t>Information as required (e.g., Insurance Company, Contract Details, Date)</t>
  </si>
  <si>
    <t>Details for preparing the cover page and table of contents for Statement of Additional Information (SAI)</t>
  </si>
  <si>
    <t>Item 21. General Information and History</t>
  </si>
  <si>
    <t>What is the history of the Insurance Company and Registrant?</t>
  </si>
  <si>
    <t>Establishment dates, name changes, and business descriptions</t>
  </si>
  <si>
    <t>Background information on the organization, changes, and general business details of the Registrant and Insurance Company</t>
  </si>
  <si>
    <t>Item 22. Investment Objectives and Risks</t>
  </si>
  <si>
    <t>What are the objectives and risks of investment options?</t>
  </si>
  <si>
    <t>Detailed investment strategies and risks not included in principal strategies</t>
  </si>
  <si>
    <t>Description of non-principal strategies and related risks for various investment options within the Registrant</t>
  </si>
  <si>
    <t>Item 23. Management of the Registrant</t>
  </si>
  <si>
    <t>Table/Paragraph</t>
  </si>
  <si>
    <t>Details of directors, officers, compensation, other business affiliations</t>
  </si>
  <si>
    <t>Comprehensive information regarding the board of directors, officers, compensation, business connections, and any relationships</t>
  </si>
  <si>
    <t>Item 24. Investment Advisory and Other Services</t>
  </si>
  <si>
    <t>What advisory and other services are provided?</t>
  </si>
  <si>
    <t>Advisory service details, control persons, fees, service agreements</t>
  </si>
  <si>
    <t>Information about investment advisory services, fee structure, service agreements, other advisory services, and related remuneration</t>
  </si>
  <si>
    <t>Item 25. Portfolio Managers</t>
  </si>
  <si>
    <t>What other accounts does the portfolio manager manage?</t>
  </si>
  <si>
    <t>List/Table/Paragraph</t>
  </si>
  <si>
    <t>Portfolio manager name, other accounts managed, conflicts of interest, compensation</t>
  </si>
  <si>
    <t>Specifics on portfolio managers, including their other managed accounts, compensation structure, and potential conflicts of interest</t>
  </si>
  <si>
    <t>Item 26. Brokerage Allocation and Other Practices</t>
  </si>
  <si>
    <t>How are brokerage transactions allocated?</t>
  </si>
  <si>
    <t>Broker selection criteria, commissions paid, related parties identifiers</t>
  </si>
  <si>
    <t>Criteria and amounts related to brokerage transactions, including affiliated brokers, selection factors, and commission disclosure</t>
  </si>
  <si>
    <t>Item 27. Purchase of Securities Being Offered</t>
  </si>
  <si>
    <t>How are the securities purchased and valued?</t>
  </si>
  <si>
    <t>Method of offering to public, price determination, valuation</t>
  </si>
  <si>
    <t>Procedures and methods used for the offering, purchase, and valuation of the contracts, including special purchase plans and those not listed elsewhere</t>
  </si>
  <si>
    <t>Item 28. Underwriters</t>
  </si>
  <si>
    <t>Who are the underwriters and related payments?</t>
  </si>
  <si>
    <t>Identification of underwriters, commissions details</t>
  </si>
  <si>
    <t>Identification of underwriters involved with securities, amounts paid, commissions, and any other compensation</t>
  </si>
  <si>
    <t>Item 29. Calculation of Performance Data</t>
  </si>
  <si>
    <t>How is performance data calculated?</t>
  </si>
  <si>
    <t>Calculation methods for yield, total return, non-standard performance</t>
  </si>
  <si>
    <t>Required methodology for calculating performance information like yield, return, and special measures as presented in the in prospectus</t>
  </si>
  <si>
    <t>Item 30. Annuity Payments</t>
  </si>
  <si>
    <t>How are annuity payments determined?</t>
  </si>
  <si>
    <t>Calculation methods, and change in paymentable amounts described.</t>
  </si>
  <si>
    <t>Detailed explanation of annuity payment determination methods and potential adjustments for change after first payments</t>
  </si>
  <si>
    <t>PART C</t>
  </si>
  <si>
    <t>Item 32. Exhibits</t>
  </si>
  <si>
    <t>What exhibits are required with the registration statement?</t>
  </si>
  <si>
    <t>Document</t>
  </si>
  <si>
    <t>Resolutions, agreements, legal and other opinions</t>
  </si>
  <si>
    <t>List of exhibits to be filed part of the registration statement per form requirements, with instructions on submission</t>
  </si>
  <si>
    <t>Item 33. Directors and Officers of the Insurance Company</t>
  </si>
  <si>
    <t>Who are the directors and officers and their roles?</t>
  </si>
  <si>
    <t>Names, Addresses, Positions</t>
  </si>
  <si>
    <t>Identification and roles of officers or directors within the insurance company engaged in registrar activities or contracts</t>
  </si>
  <si>
    <t>Item 34. Persons Controlled by or Under Common Control with Insurance Company</t>
  </si>
  <si>
    <t>Who is under common control or controlled by?</t>
  </si>
  <si>
    <t>Diagram/Table</t>
  </si>
  <si>
    <t>Entities controlled, percentage control, and jurisdiction of organization</t>
  </si>
  <si>
    <t>Overview of control relationships between the Insurance Company and other entities, indicating control basis and location</t>
  </si>
  <si>
    <t>Item 35. Indemnification</t>
  </si>
  <si>
    <t>What are the terms for indemnification coverage?</t>
  </si>
  <si>
    <t>General effect of contract, arrangements, or statutes</t>
  </si>
  <si>
    <t>General impact of any indemnity arrangement including statutes under which affiliates and underwriters might be insured or indemnified</t>
  </si>
  <si>
    <t>Item 36. Business and Other Connections of Investment Adviser</t>
  </si>
  <si>
    <t>What are other significant contacts of the adviser?</t>
  </si>
  <si>
    <t>Additional business roles, vocations, engagements</t>
  </si>
  <si>
    <t>Details of other significant business roles and vocations of investment advisers and their key executives or partners.</t>
  </si>
  <si>
    <t>Item 37. Principal Underwriters</t>
  </si>
  <si>
    <t>Who are the principal underwriters</t>
  </si>
  <si>
    <t>Associations, roles, positions held, and compensation</t>
  </si>
  <si>
    <t>Identification and roles of directors and officers within underwriting firms, associated companies, positions they hold, and any compensation obtained.</t>
  </si>
  <si>
    <t>Item 38. Location of Accounts and Records</t>
  </si>
  <si>
    <t>Where are the accounts and records maintained?</t>
  </si>
  <si>
    <t>Address and name of individual/company responsible</t>
  </si>
  <si>
    <t>Identification of the location and persons responsible for maintaining the required accounting records and documents</t>
  </si>
  <si>
    <t>Item 39. Management Services</t>
  </si>
  <si>
    <t>What management service agreements exist?</t>
  </si>
  <si>
    <t>Summary of agreements, involved parties, compensation</t>
  </si>
  <si>
    <t>Overview of management service contracts not previously discussed, total amounts paid, and involved parties</t>
  </si>
  <si>
    <t>Item 40. Fee Representation</t>
  </si>
  <si>
    <t>Does the Company represent the reasonability of fees?</t>
  </si>
  <si>
    <t>Text/Declaration</t>
  </si>
  <si>
    <t>Insurance Company Fee Representation</t>
  </si>
  <si>
    <t>Declaration by the Insurance Company stating that charged fees and deducted charges are reasonable relative to the provided services.</t>
  </si>
  <si>
    <t>General Information</t>
  </si>
  <si>
    <t>Registrant Details</t>
  </si>
  <si>
    <t>(Exact name of registrant as specified in charter)</t>
  </si>
  <si>
    <t>Registrant Name</t>
  </si>
  <si>
    <t>The exact name of the registrant as specified in its charter.</t>
  </si>
  <si>
    <t>Address Details</t>
  </si>
  <si>
    <t>(Address of principal executive offices)</t>
  </si>
  <si>
    <t>Principal Executive Office Address</t>
  </si>
  <si>
    <t>The address of the principal executive offices of the registrant.</t>
  </si>
  <si>
    <t>Agent Details</t>
  </si>
  <si>
    <t>(Name and address of agent for service)</t>
  </si>
  <si>
    <t>Agent for Service</t>
  </si>
  <si>
    <t>The name and address of the agent for service for the registrant.</t>
  </si>
  <si>
    <t>Registrant Phone</t>
  </si>
  <si>
    <t>Registrant's telephone number, including area code</t>
  </si>
  <si>
    <t>Text/Number</t>
  </si>
  <si>
    <t>Registrant Telephone Number</t>
  </si>
  <si>
    <t>The telephone number of the registrant, including the area code.</t>
  </si>
  <si>
    <t>Fiscal Year End</t>
  </si>
  <si>
    <t>Date of fiscal year end</t>
  </si>
  <si>
    <t>The date marking the end of the registrant's fiscal year.</t>
  </si>
  <si>
    <t>Reporting Period</t>
  </si>
  <si>
    <t>Date of reporting period</t>
  </si>
  <si>
    <t>Reporting Period Date</t>
  </si>
  <si>
    <t>The date covering the reporting period of the report.</t>
  </si>
  <si>
    <t>A, B, C, D, E, F</t>
  </si>
  <si>
    <t>Various instructions provided for using Form N-CSR</t>
  </si>
  <si>
    <t>General instructions on the use, filing, and definitions related to Form N-CSR.</t>
  </si>
  <si>
    <t>Reports to Stockholders</t>
  </si>
  <si>
    <t>Include a copy of the report transmitted to stockholders pursuant to Rule 30e-1 under the Act</t>
  </si>
  <si>
    <t>Attachment</t>
  </si>
  <si>
    <t>Stockholder Report</t>
  </si>
  <si>
    <t>A copy of the report transmitted to stockholders.</t>
  </si>
  <si>
    <t>shareholder_report_document</t>
  </si>
  <si>
    <t>Code of Ethics</t>
  </si>
  <si>
    <t>Disclose whether the registrant has adopted a code of ethics that applies to principal officers</t>
  </si>
  <si>
    <t>Y/N</t>
  </si>
  <si>
    <t>Code of Ethics Adoption</t>
  </si>
  <si>
    <t>Information on whether the registrant has adopted a code of ethics for principal officers.</t>
  </si>
  <si>
    <t>code_of_ethics</t>
  </si>
  <si>
    <t>Form N-CSR</t>
  </si>
  <si>
    <t>Describe the nature of any amendment to the code of ethics during the period covered by the report</t>
  </si>
  <si>
    <t>Code of Ethics Amendment</t>
  </si>
  <si>
    <t>Description of any changes to the code of ethics.</t>
  </si>
  <si>
    <t>code_of_ethics_amendment</t>
  </si>
  <si>
    <t>Describe any waiver from a provision of the code of ethics granted during the period covered by the report</t>
  </si>
  <si>
    <t>Code of Ethics Waiver</t>
  </si>
  <si>
    <t>Information on any waivers from the code of ethics granted during the reporting period.</t>
  </si>
  <si>
    <t>code_of_ethics_waiver</t>
  </si>
  <si>
    <t>Disclose the registrant's Internet address and intention to provide disclosure of amendments or waivers from the code of ethics on its website</t>
  </si>
  <si>
    <t>Internet Disclosure</t>
  </si>
  <si>
    <t>Details about providing disclosure of amendments or waivers on the registrant's website.</t>
  </si>
  <si>
    <t>internet_disclosure_details</t>
  </si>
  <si>
    <t>Audit Committee Financial Expert</t>
  </si>
  <si>
    <t>Disclose whether the registrant's board of directors has determined that the registrant has at least one audit committee financial expert on its audit committee</t>
  </si>
  <si>
    <t>Information on the presence and details about the audit committee financial expert.</t>
  </si>
  <si>
    <t>audit_committee_financial_expert</t>
  </si>
  <si>
    <t>If the registrant does not have an audit committee financial expert, provide an explanation</t>
  </si>
  <si>
    <t>No Audit Committee Financial Expert Reason</t>
  </si>
  <si>
    <t>Explanation for the absence of an audit committee financial expert.</t>
  </si>
  <si>
    <t>Principal Accountant Fees</t>
  </si>
  <si>
    <t>Disclose aggregate fees billed for professional services by the principal accountant</t>
  </si>
  <si>
    <t>Number/Text</t>
  </si>
  <si>
    <t>Audit, Audit-Related, Tax, All Other Fees</t>
  </si>
  <si>
    <t>Aggregate fees billed for audit, audit-related, tax, and other services by the principal accountant.</t>
  </si>
  <si>
    <t>Disclose the audit committee's pre-approval policies and procedures</t>
  </si>
  <si>
    <t>Pre-Approval Policies</t>
  </si>
  <si>
    <t>Details about the audit committee's pre-approval policies and procedures for services.</t>
  </si>
  <si>
    <t>Disclose the percentage of services approved by the audit committee</t>
  </si>
  <si>
    <t>Services Approval Percentage</t>
  </si>
  <si>
    <t>The percentage of services approved by the audit committee.</t>
  </si>
  <si>
    <t>Disclose the aggregate non-audit fees billed by the registrant's accountant for services rendered</t>
  </si>
  <si>
    <t>Non-Audit Fees</t>
  </si>
  <si>
    <t>The aggregate non-audit fees billed by the registrant's accountant for services rendered.</t>
  </si>
  <si>
    <t>Disclose whether the audit committee considered the compatibility of non-audit services with maintaining the principal accountant's independence</t>
  </si>
  <si>
    <t>Audit Committee Independence Consideration</t>
  </si>
  <si>
    <t>Details on audit committee's consideration of non-audit services and accountant independence.</t>
  </si>
  <si>
    <t>Disclose whether the registrant retained a registered public accounting firm that has a branch in a foreign jurisdiction</t>
  </si>
  <si>
    <t>Foreign Jurisdiction Accounting Firm</t>
  </si>
  <si>
    <t>Information on retaining accounting firms in foreign jurisdictions and related details.</t>
  </si>
  <si>
    <t>Audit Committee of Listed Registrants</t>
  </si>
  <si>
    <t>State whether the registrant has a separately-designated standing audit committee</t>
  </si>
  <si>
    <t>Standing Audit Committee</t>
  </si>
  <si>
    <t>Details on the presence of a separately-designated standing audit committee.</t>
  </si>
  <si>
    <t>Investments</t>
  </si>
  <si>
    <t>File Schedule I - Investments in securities of unaffiliated issuers</t>
  </si>
  <si>
    <t>Schedule I</t>
  </si>
  <si>
    <t>Schedule I for investments in securities of unaffiliated issuers.</t>
  </si>
  <si>
    <t>File the most recent annual or semi-annual financial statements required by Regulation S-X</t>
  </si>
  <si>
    <t>The most recent financial statements and highlights for the registrant.</t>
  </si>
  <si>
    <t>Changes in and Disagreements with Accountants</t>
  </si>
  <si>
    <t>Disclose changes in and disagreements with accountants</t>
  </si>
  <si>
    <t>Accountant Changes</t>
  </si>
  <si>
    <t>Information concerning any changes in and disagreements with accountants and on accounting and financial disclosure.</t>
  </si>
  <si>
    <t>Proxy Disclosures</t>
  </si>
  <si>
    <t>Disclose information about any matter submitted to a vote of shareholders through solicitation of proxies or otherwise</t>
  </si>
  <si>
    <t>Proxy Disclosure Details</t>
  </si>
  <si>
    <t>Information about any matters submitted to a vote of shareholders.</t>
  </si>
  <si>
    <t>Remuneration Paid</t>
  </si>
  <si>
    <t>Disclose aggregate remuneration paid to directors, officers, and others</t>
  </si>
  <si>
    <t>Remuneration Details</t>
  </si>
  <si>
    <t>Details of aggregate remuneration paid to directors, officers, and others.</t>
  </si>
  <si>
    <t>Approval of Advisory Contract</t>
  </si>
  <si>
    <t>Discuss the material factors and conclusions that formed the basis for the board's approval of any investment advisory contract</t>
  </si>
  <si>
    <t>Approval Basis for Advisory Contract</t>
  </si>
  <si>
    <t>Information on the board's approval process for investment advisory contracts.</t>
  </si>
  <si>
    <t>Disclosure of Proxy Voting Policies</t>
  </si>
  <si>
    <t>Describe policies and procedures used to determine how to vote proxies relating to portfolio securities for closed-end management investment companies</t>
  </si>
  <si>
    <t>Proxy Voting Policies</t>
  </si>
  <si>
    <t>Details of the proxy voting policies and procedures for closed-end management investment companies.</t>
  </si>
  <si>
    <t>Portfolio Managers</t>
  </si>
  <si>
    <t>Provide information about the portfolio managers, including name, title, business experience, compensation structure, etc.</t>
  </si>
  <si>
    <t>Portfolio Managers Details</t>
  </si>
  <si>
    <t>Information about the portfolio managers responsible for day-to-day management of the registrant's portfolio.</t>
  </si>
  <si>
    <t>Purchases of Equity Securities</t>
  </si>
  <si>
    <t>Provide information on any purchases of equity securities made by the registrant or any affiliated purchasers</t>
  </si>
  <si>
    <t>Equity Securities Purchases</t>
  </si>
  <si>
    <t>Details on purchases of equity securities made by the registrant or affiliated purchasers.</t>
  </si>
  <si>
    <t>Submission of Matters to Vote</t>
  </si>
  <si>
    <t>Describe any material changes to procedures by which shareholders may recommend nominees to the board of directors</t>
  </si>
  <si>
    <t>Shareholder Nomination Procedures</t>
  </si>
  <si>
    <t>Information on changes to procedures for shareholder recommendations of board nominees.</t>
  </si>
  <si>
    <t>Controls and Procedures</t>
  </si>
  <si>
    <t>Disclose conclusions regarding the effectiveness of disclosure controls and procedures, and any changes in internal control over financial reporting</t>
  </si>
  <si>
    <t>Details on the effectiveness of disclosure controls and any changes in internal control over financial reporting.</t>
  </si>
  <si>
    <t>Securities Lending</t>
  </si>
  <si>
    <t>Provide details of the securities lending activities, including income and fees related to the activities</t>
  </si>
  <si>
    <t>Securities Lending Activities</t>
  </si>
  <si>
    <t>Information on securities lending activities, including income and fees for closed-end management investment companies.</t>
  </si>
  <si>
    <t>Recovery of Erroneously Awarded Compensation</t>
  </si>
  <si>
    <t>Disclose information regarding the recovery of erroneously awarded compensation</t>
  </si>
  <si>
    <t>Recovery of Compensation</t>
  </si>
  <si>
    <t>Details on the recovery of erroneously awarded compensation pursuant to the compensation recovery policy.</t>
  </si>
  <si>
    <t>Item 19</t>
  </si>
  <si>
    <t>File required exhibits, including code of ethics, policies, certifications, etc.</t>
  </si>
  <si>
    <t>Required exhibits to be filed as part of Form N-CSR, including code of ethics, policies, and certifications.</t>
  </si>
  <si>
    <t>Item A - 1(a)</t>
  </si>
  <si>
    <t>Provide your name and the other identifying information requested below.</t>
  </si>
  <si>
    <t>Legal name, Identifiers</t>
  </si>
  <si>
    <t>General identifying information of the private fund adviser</t>
  </si>
  <si>
    <t>Item A - 1(b)</t>
  </si>
  <si>
    <t>Provide the following information for each of the related persons, if any, with respect to which you are reporting information on this Form PF</t>
  </si>
  <si>
    <t>Related Person Identifiers</t>
  </si>
  <si>
    <t>Identifying information of related persons</t>
  </si>
  <si>
    <t>Item A - 1(c)</t>
  </si>
  <si>
    <t>Provide the following information for yourself and each of the related persons, if any, with respect to which you are reporting information on this Form PF that is registered or required to be registered as a CPO and/or CTA</t>
  </si>
  <si>
    <t>CPO/CTA Status</t>
  </si>
  <si>
    <t>Details on whether related persons are registered as CPO, CTA, or both</t>
  </si>
  <si>
    <t>Item A - 2</t>
  </si>
  <si>
    <t>Signatures of sole proprietor or authorized representative</t>
  </si>
  <si>
    <t>Authorized Rep Signature</t>
  </si>
  <si>
    <t>Signature on behalf of firm and related persons</t>
  </si>
  <si>
    <t>Item B - 3</t>
  </si>
  <si>
    <t>Provide a breakdown of your regulatory assets under management and your net assets under management as follows:</t>
  </si>
  <si>
    <t>Regulatory/Net AUM Breakdown</t>
  </si>
  <si>
    <t>Breakdown of regulatory and net assets under management by fund types</t>
  </si>
  <si>
    <t>Item C - 4</t>
  </si>
  <si>
    <t>You may use the space below to explain any assumptions that you made in responding to any question in this Form PF</t>
  </si>
  <si>
    <t>Descriptive</t>
  </si>
  <si>
    <t>Assumptions</t>
  </si>
  <si>
    <t>Explanation of any assumptions made in responding to Form PF</t>
  </si>
  <si>
    <t>Item A - 5(a)</t>
  </si>
  <si>
    <t>Name of the reporting fund</t>
  </si>
  <si>
    <t>Reporting Fund Name</t>
  </si>
  <si>
    <t>Item A - 5(b)</t>
  </si>
  <si>
    <t>Private fund identification number of the reporting fund</t>
  </si>
  <si>
    <t>Private Fund ID Number</t>
  </si>
  <si>
    <t>Item A - 6(a)</t>
  </si>
  <si>
    <t>For purposes of reporting on this Form PF, what type of fund is the reporting fund?</t>
  </si>
  <si>
    <t>Multiple Choice</t>
  </si>
  <si>
    <t>Fund Type</t>
  </si>
  <si>
    <t>Type of fund for reporting purposes</t>
  </si>
  <si>
    <t>Form PF</t>
  </si>
  <si>
    <t>Item A - 7(a)</t>
  </si>
  <si>
    <t>Is the reporting fund the master fund of a master-feeder arrangement? If so, check "yes" below, and complete (i), (ii), and (iii) for each feeder fund. Otherwise, check "no."</t>
  </si>
  <si>
    <t>Yes/No</t>
  </si>
  <si>
    <t>Master Fund Status</t>
  </si>
  <si>
    <t>Information about master-feeder arrangements including feeder funds</t>
  </si>
  <si>
    <t>Item B - 11(a)</t>
  </si>
  <si>
    <t>Gross asset value of the reporting fund as of the end of the reporting period</t>
  </si>
  <si>
    <t>Gross Asset Value</t>
  </si>
  <si>
    <t>Item B - 12(a)</t>
  </si>
  <si>
    <t>Net asset value of the reporting fund as of the end of the reporting period</t>
  </si>
  <si>
    <t>Net Asset Value</t>
  </si>
  <si>
    <t>Item B - 21</t>
  </si>
  <si>
    <t>Specify the approximate percentage of the reporting fund's equity that is beneficially owned by the five beneficial owners having the largest equity interests in the reporting fund.</t>
  </si>
  <si>
    <t>Percentage</t>
  </si>
  <si>
    <t>Largest Beneficial Owners</t>
  </si>
  <si>
    <t>Percentage of the reporting fund's equity beneficially owned by the five beneficial owners with the largest equity interests</t>
  </si>
  <si>
    <t>Item B - 22</t>
  </si>
  <si>
    <t>Specify the approximate percentage of the reporting fund's equity that is beneficially owned by the following groups of investors</t>
  </si>
  <si>
    <t>Investor Categories</t>
  </si>
  <si>
    <t>Breakdown of beneficial ownership by different categories of investors</t>
  </si>
  <si>
    <t>Item A - 24(a)</t>
  </si>
  <si>
    <t>Hedge Fund Name</t>
  </si>
  <si>
    <t>Name of the hedge fund</t>
  </si>
  <si>
    <t>Item A - 24(b)</t>
  </si>
  <si>
    <t>Private fund identification number of the hedge fund</t>
  </si>
  <si>
    <t>Item B - 25</t>
  </si>
  <si>
    <t>Indicate which of the investment strategies in the drop-down menu below best describe the reporting fund's strategies on the last day of the reporting period</t>
  </si>
  <si>
    <t>Multiple Choice and Percentage</t>
  </si>
  <si>
    <t>Investment Strategies</t>
  </si>
  <si>
    <t>Description of hedge fund's strategies and corresponding percentage of net asset value</t>
  </si>
  <si>
    <t>Item B - 26</t>
  </si>
  <si>
    <t>Consolidated Counterparty Exposure Table</t>
  </si>
  <si>
    <t>Numeric Table</t>
  </si>
  <si>
    <t>Counterparty Exposure</t>
  </si>
  <si>
    <t>Consolidated counterparty exposure of the hedge fund</t>
  </si>
  <si>
    <t>Item B - 32(a)</t>
  </si>
  <si>
    <t>For each month of the reporting period, report the information required by (a) to (c) below for the reporting fund's long and short positions, by sub-asset class (and instrument type, if applicable)</t>
  </si>
  <si>
    <t>Long and Short Positions</t>
  </si>
  <si>
    <t>Dollar value of long and short positions by sub-asset class and instrument type</t>
  </si>
  <si>
    <t>Item B - 37</t>
  </si>
  <si>
    <t>Provide the following information regarding the liquidity of the reporting fund's portfolio.</t>
  </si>
  <si>
    <t>Portfolio Liquidity</t>
  </si>
  <si>
    <t>Percentage of portfolio that can be liquidated within specified time periods</t>
  </si>
  <si>
    <t>Item B - 39(a)</t>
  </si>
  <si>
    <t>Report the following with respect to the reporting fund's long and short netted exposure to reference assets at the end of each month of the reporting period</t>
  </si>
  <si>
    <t>Reference Assets Count</t>
  </si>
  <si>
    <t>Count of reference assets to which the hedge fund holds long and short positions</t>
  </si>
  <si>
    <t>Item A - 31(a)</t>
  </si>
  <si>
    <t>Name of the qualifying hedge fund</t>
  </si>
  <si>
    <t>Item A - 31(b)</t>
  </si>
  <si>
    <t>Private fund identification number of the qualifying hedge fund</t>
  </si>
  <si>
    <t>Value of long and short positions categorized by sub-asset class</t>
  </si>
  <si>
    <t>Item B - 34</t>
  </si>
  <si>
    <t>For each month of the reporting period, provide the value of turnover during the month in each of the asset classes listed below for the reporting fund</t>
  </si>
  <si>
    <t>Turnover</t>
  </si>
  <si>
    <t>Value of turnover by asset class during the reporting period</t>
  </si>
  <si>
    <t>Item B - 35</t>
  </si>
  <si>
    <t>For each month of the reporting period, identify by ISO country code, each country to which the reporting fund has long dollar value or short dollar value exposure equal or exceeding either (1) 5% of the reporting fund's net asset value or (2) $1 billion, and report the long dollar value and short dollar value of this exposure in U.S. dollars</t>
  </si>
  <si>
    <t>Country Exposure</t>
  </si>
  <si>
    <t>Dollar value of long and short positions by country</t>
  </si>
  <si>
    <t>Item B - 41</t>
  </si>
  <si>
    <t>Comprehensive counterparty exposure</t>
  </si>
  <si>
    <t>Item A - 54(a)</t>
  </si>
  <si>
    <t>Liquidity Fund Name</t>
  </si>
  <si>
    <t>Name of the liquidity fund</t>
  </si>
  <si>
    <t>Item A - 55(a)</t>
  </si>
  <si>
    <t>Does the reporting fund seek to maintain a stable price per share?</t>
  </si>
  <si>
    <t>Stable Price per Share</t>
  </si>
  <si>
    <t>Whether the fund seeks to maintain a stable price per share</t>
  </si>
  <si>
    <t>Item B - 56(a)</t>
  </si>
  <si>
    <t>Net asset value of the reporting fund as reported to current and prospective investors.</t>
  </si>
  <si>
    <t>Net asset value of the liquidity fund as reported to investors</t>
  </si>
  <si>
    <t>Item B - 57(a)</t>
  </si>
  <si>
    <t>Is the amount of total borrowing reported in response to Question 18 equal to or greater than 5% of the reporting fund's net asset value?</t>
  </si>
  <si>
    <t>Borrowing Level</t>
  </si>
  <si>
    <t>Whether total borrowing is equal to or greater than 5% of NAV</t>
  </si>
  <si>
    <t>Item A - 68(a)</t>
  </si>
  <si>
    <t>Private Equity Fund Name</t>
  </si>
  <si>
    <t>Name of the private equity fund</t>
  </si>
  <si>
    <t>Item B - 69</t>
  </si>
  <si>
    <t>Indicate the investment strategy in the drop-down menu that best describe the reporting fund's investment strategy by percent of deployed capital, during the reporting period</t>
  </si>
  <si>
    <t>Investment strategies by percentage of deployed capital</t>
  </si>
  <si>
    <t>Item C - 71(a)</t>
  </si>
  <si>
    <t>Provide the following information regarding the value of the reporting fund's borrowings and the types of creditors</t>
  </si>
  <si>
    <t>Borrowings</t>
  </si>
  <si>
    <t>Total borrowings and types of creditors</t>
  </si>
  <si>
    <t>Item A - 5-1</t>
  </si>
  <si>
    <t>Adviser Identifiers</t>
  </si>
  <si>
    <t>Identifying information of the adviser filing the report</t>
  </si>
  <si>
    <t>Item B - 5-4</t>
  </si>
  <si>
    <t>Beginning date of the 10-business-day loss period</t>
  </si>
  <si>
    <t>Loss Period Start Date</t>
  </si>
  <si>
    <t>Item B - 5-5</t>
  </si>
  <si>
    <t>End date of the 10-business-day loss period</t>
  </si>
  <si>
    <t>Loss Period End Date</t>
  </si>
  <si>
    <t>Item D - 5-15</t>
  </si>
  <si>
    <t>Date of the notification or determination (of default or inability to meet a call for margin)</t>
  </si>
  <si>
    <t>Default Notification Date</t>
  </si>
  <si>
    <t>Date of notification or determination of inability to meet margin call</t>
  </si>
  <si>
    <t>Item H - 5-30</t>
  </si>
  <si>
    <t>Date on which the net withdrawals or redemption requests exceeded 50% of the most recent net asset value</t>
  </si>
  <si>
    <t>Redemption Request Date</t>
  </si>
  <si>
    <t>Date when net withdrawals or redemption request reached 50% of NAV</t>
  </si>
  <si>
    <t>Item A - 6-1</t>
  </si>
  <si>
    <t>Provide the identifying information requested below</t>
  </si>
  <si>
    <t>Identification details of advisers</t>
  </si>
  <si>
    <t>Item B - 6-4</t>
  </si>
  <si>
    <t>Closing date of transaction (adviser-led secondary transaction)</t>
  </si>
  <si>
    <t>Transaction Closing Date</t>
  </si>
  <si>
    <t>Closing date of adviser-led secondary transaction</t>
  </si>
  <si>
    <t>A(1)</t>
  </si>
  <si>
    <t>For which type of Form PF filing are you requesting a temporary hardship exemption?</t>
  </si>
  <si>
    <t>Filing Type</t>
  </si>
  <si>
    <t>Type of Form PF filing for which temporary hardship exemption is requested</t>
  </si>
  <si>
    <t>B(1)</t>
  </si>
  <si>
    <t>Describe the nature and extent of the temporary technical difficulties when you attempt to submit the filing to the Form PF filing system on the IARD.</t>
  </si>
  <si>
    <t>Technical Difficulties</t>
  </si>
  <si>
    <t>Nature and extent of technical difficulties encountered</t>
  </si>
  <si>
    <t>A.1</t>
  </si>
  <si>
    <t>Information about the Registrant - Name of Registrant</t>
  </si>
  <si>
    <t>The official name of the registered management investment company or fund filing the report.</t>
  </si>
  <si>
    <t>Investment Company Act file number for Registrant</t>
  </si>
  <si>
    <t>Registrant Investment Company Act Number</t>
  </si>
  <si>
    <t>The unique file number assigned to the registrant under the Investment Company Act of 1940.</t>
  </si>
  <si>
    <t>CIK number of Registrant</t>
  </si>
  <si>
    <t>Registrant CIK Number</t>
  </si>
  <si>
    <t>The Central Index Key (CIK) number assigned by the SEC.</t>
  </si>
  <si>
    <t>LEI of Registrant</t>
  </si>
  <si>
    <t>Alpha-numeric</t>
  </si>
  <si>
    <t>Registrant LEI</t>
  </si>
  <si>
    <t>The Legal Entity Identifier (LEI) used to uniquely identify the registrant.</t>
  </si>
  <si>
    <t>Address and telephone number of Registrant</t>
  </si>
  <si>
    <t>Registrant Address and Telephone Number</t>
  </si>
  <si>
    <t>The full address and phone number of the registrant.</t>
  </si>
  <si>
    <t>A.2</t>
  </si>
  <si>
    <t>Name of Series</t>
  </si>
  <si>
    <t>Series Name</t>
  </si>
  <si>
    <t>The specific name of the series within the registrant.</t>
  </si>
  <si>
    <t>EDGAR series identifier (if any)</t>
  </si>
  <si>
    <t>Series EDGAR Identifier</t>
  </si>
  <si>
    <t>The unique identifier assigned to the series within EDGAR.</t>
  </si>
  <si>
    <t>LEI of Series</t>
  </si>
  <si>
    <t>Series LEI</t>
  </si>
  <si>
    <t>The Legal Entity Identifier (LEI) used to uniquely identify the series.</t>
  </si>
  <si>
    <t>A.3</t>
  </si>
  <si>
    <t>Date of fiscal year-end</t>
  </si>
  <si>
    <t>Date (yyyy-mm-dd)</t>
  </si>
  <si>
    <t>Fiscal Year-End Date</t>
  </si>
  <si>
    <t>The closing date of the fiscal year for the registrant.</t>
  </si>
  <si>
    <t>FORM N-PORT</t>
  </si>
  <si>
    <t>Date as of which information is reported</t>
  </si>
  <si>
    <t>Reporting Date</t>
  </si>
  <si>
    <t>The specific date as of which the information in the form is reported.</t>
  </si>
  <si>
    <t>A.4</t>
  </si>
  <si>
    <t>Does the Fund anticipate that this will be its final filing on Form N-PORT? (Y/N)</t>
  </si>
  <si>
    <t>An indicator to specify whether this is expected to be the final filing of Form N-PORT by the fund.</t>
  </si>
  <si>
    <t>No</t>
  </si>
  <si>
    <t>Assets and liabilities - Total assets, including assets attributable to miscellaneous securities reported in Part D</t>
  </si>
  <si>
    <t>Total Assets</t>
  </si>
  <si>
    <t>The total value of the fund’s assets, including miscellaneous securities.</t>
  </si>
  <si>
    <t>Assets and liabilities - Total liabilities</t>
  </si>
  <si>
    <t>Total Liabilities</t>
  </si>
  <si>
    <t>The total value of the fund’s liabilities.</t>
  </si>
  <si>
    <t>Assets and liabilities - Net assets</t>
  </si>
  <si>
    <t>Net Assets</t>
  </si>
  <si>
    <t>The net value of the fund’s assets after deducting liabilities.</t>
  </si>
  <si>
    <t>Certain assets and liabilities - Assets attributable to miscellaneous securities reported in Part D</t>
  </si>
  <si>
    <t>Miscellaneous Securities Assets</t>
  </si>
  <si>
    <t>The value of assets in miscellaneous securities reported in Part D.</t>
  </si>
  <si>
    <t>Certain assets and liabilities - Assets invested in a Controlled Foreign Corporation</t>
  </si>
  <si>
    <t>CFC Assets</t>
  </si>
  <si>
    <t>The value of assets invested in a Controlled Foreign Corporation for specific investment purposes such as commodities.</t>
  </si>
  <si>
    <t>Certain assets and liabilities - Borrowings attributable to amounts payable for notes payable, bonds, and similar debt</t>
  </si>
  <si>
    <t>Note Payable Borrowings</t>
  </si>
  <si>
    <t>The amount of borrowings attributable to notes payable, bonds, and similar debt.</t>
  </si>
  <si>
    <t>Certain assets and liabilities - Payables for investments purchased</t>
  </si>
  <si>
    <t>Investment Payables</t>
  </si>
  <si>
    <t>The amount payable for investments purchased, whether on a delayed delivery, when-issued, firm commitment, or standby commitment basis.</t>
  </si>
  <si>
    <t>Certain assets and liabilities - Liquidation preference of outstanding preferred stock</t>
  </si>
  <si>
    <t>Preferred Stock Liquidation Preference</t>
  </si>
  <si>
    <t>The liquidation preference value of any outstanding preferred stock issued by the fund.</t>
  </si>
  <si>
    <t>Certain assets and liabilities - Cash and cash equivalents not reported in Parts C and D</t>
  </si>
  <si>
    <t>Cash and Cash Equivalents</t>
  </si>
  <si>
    <t>The value of cash and cash equivalents not detailed in Parts C and D.</t>
  </si>
  <si>
    <t>B.3.a</t>
  </si>
  <si>
    <t>If the average value of the Fund’s debt securities positions &gt; 25% of the Fund’s net asset value: Interest Rate Risk (DV01)</t>
  </si>
  <si>
    <t>Interest Rate Risk DV01</t>
  </si>
  <si>
    <t>The change in value of the portfolio due to a 1 basis point change in interest rates for specified maturities (3 month, 1 year, 5 years, 10 years, 30 years).</t>
  </si>
  <si>
    <t>-1457723.747, -6275630.098, -16096172.05, -15207183.7, -10150877.19</t>
  </si>
  <si>
    <t>B.3.b</t>
  </si>
  <si>
    <t>If the average value of the Fund’s debt securities positions &gt; 25% of the Fund’s net asset value: Interest Rate Risk (DV100)</t>
  </si>
  <si>
    <t>Interest Rate Risk DV100</t>
  </si>
  <si>
    <t>The change in value of the portfolio due to a 100 basis point change in interest rates for specified maturities (3 month, 1 year, 5 years, 10 years, 30 years).</t>
  </si>
  <si>
    <t>-145756169.40, -628124318.1, -1603930078, -1544283397, -939470680.7</t>
  </si>
  <si>
    <t>B.3.c</t>
  </si>
  <si>
    <t>If the average value of the Fund’s debt securities positions &gt; 25% of the Fund’s net asset value: Credit Spread Risk</t>
  </si>
  <si>
    <t>Credit Spread Risk SDV01</t>
  </si>
  <si>
    <t>The change in value of the portfolio due to a 1 basis point change in credit spreads for specified maturities (3 month, 1 year, 5 years, 10 years, 30 years) and investment grades.</t>
  </si>
  <si>
    <t>-117851.1476, -2315738.022, -5138434.42, -3619087.192, -1233507.762</t>
  </si>
  <si>
    <t>B.4.a</t>
  </si>
  <si>
    <t>Securities lending - For each borrower in any securities lending transaction, provide: Name of borrower</t>
  </si>
  <si>
    <t>Securities Lending Borrower Name</t>
  </si>
  <si>
    <t>The name of each borrower in any securities lending transaction.</t>
  </si>
  <si>
    <t>BOFA SECURITIES, INC.</t>
  </si>
  <si>
    <t>Securities lending - For each borrower in any securities lending transaction, provide: LEI of borrower</t>
  </si>
  <si>
    <t>Securities Lending Borrower LEI</t>
  </si>
  <si>
    <t>The Legal Entity Identifier (LEI) of each borrower in a securities lending transaction.</t>
  </si>
  <si>
    <t>549300HN4UKV1E2R3U73</t>
  </si>
  <si>
    <t>Securities lending - For each borrower, provide: Aggregate value of all securities on loan to the borrower</t>
  </si>
  <si>
    <t>Aggregate Value of Loaned Securities</t>
  </si>
  <si>
    <t>The total value of all securities on loan to each borrower.</t>
  </si>
  <si>
    <t xml:space="preserve">MORGAN STANLEY &amp; CO. LLC </t>
  </si>
  <si>
    <t xml:space="preserve">9R7GPTSO7KV3UQJZQ078 </t>
  </si>
  <si>
    <t xml:space="preserve">UBS AG LONDON BRANCH </t>
  </si>
  <si>
    <t>BFM8T61CT2L1QCEMIK50</t>
  </si>
  <si>
    <t>NOMURA SECURITIES INTERNATIONAL, INC.</t>
  </si>
  <si>
    <t>OXTKY6Q8X53C9ILVV871</t>
  </si>
  <si>
    <t>GOLDMAN SACHS &amp; CO. LLC</t>
  </si>
  <si>
    <t>FOR8UP27PHTHYVLBNG30</t>
  </si>
  <si>
    <t xml:space="preserve">BNP PARIBAS PRIME BROKERAGE INTERNATIONAL LIMITED </t>
  </si>
  <si>
    <t>549300KUN9K9K32C6D97</t>
  </si>
  <si>
    <t>BARCLAYS CAPITAL, INC.</t>
  </si>
  <si>
    <t xml:space="preserve">AC28XWWI3WIBK2824319 </t>
  </si>
  <si>
    <t>B.4.b</t>
  </si>
  <si>
    <t>Did any securities lending counterparty provide any non-cash collateral? (Y/N)</t>
  </si>
  <si>
    <t>Securities Lending Non-cash Collateral</t>
  </si>
  <si>
    <t>Indicator whether any securities lending counterparty provided non-cash collateral.</t>
  </si>
  <si>
    <t>B.4.b.i</t>
  </si>
  <si>
    <t>If yes, aggregate principal amount</t>
  </si>
  <si>
    <t>Principal Amount of Non-cash Collateral</t>
  </si>
  <si>
    <t>The total principal amount of non-cash collateral provided.</t>
  </si>
  <si>
    <t>B.4.b.ii</t>
  </si>
  <si>
    <t>Aggregate value of collateral</t>
  </si>
  <si>
    <t>Value of Collateral</t>
  </si>
  <si>
    <t>The total value of non-cash collateral.</t>
  </si>
  <si>
    <t>B.4.b.iii</t>
  </si>
  <si>
    <t>Category of investments that most closely represents the collateral</t>
  </si>
  <si>
    <t>Category of Non-cash Collateral</t>
  </si>
  <si>
    <t>The investment category that most closely resembles the non-cash collateral provided.</t>
  </si>
  <si>
    <t xml:space="preserve">U.S. Treasuries (including strips) </t>
  </si>
  <si>
    <t>B.5.a</t>
  </si>
  <si>
    <t>Return information - Monthly total returns of the Fund for each of the preceding three months</t>
  </si>
  <si>
    <t>Monthly Total Returns</t>
  </si>
  <si>
    <t>The total monthly returns of the fund over the past three months.</t>
  </si>
  <si>
    <t>B.5.b</t>
  </si>
  <si>
    <t>Class identification number(s) (if any) of the Class(es) for which returns are reported</t>
  </si>
  <si>
    <t>Class Identification Numbers</t>
  </si>
  <si>
    <t>The identification numbers of the classes for which returns are reported.</t>
  </si>
  <si>
    <t>C000023937</t>
  </si>
  <si>
    <t>B.5.c</t>
  </si>
  <si>
    <t>For each preceding three months, monthly net realized gain (loss) &amp; net change in unrealized appreciation/depreciation attributable to derivatives</t>
  </si>
  <si>
    <t>Realized and Unrealized Gains/Losses</t>
  </si>
  <si>
    <t>The net realized gains (losses) and changes in unrealized appreciation/depreciation from derivatives over the past three months.</t>
  </si>
  <si>
    <t xml:space="preserve">5466716.56, 3404096.56 </t>
  </si>
  <si>
    <t>B.5.d</t>
  </si>
  <si>
    <t>For each preceding three months, monthly net realized gain (loss) &amp; net change in unrealized appreciation/depreciation attributable to other investments</t>
  </si>
  <si>
    <t>The net realized gains (losses) and changes in unrealized appreciation/depreciation from other investments over the past three months.</t>
  </si>
  <si>
    <t>1961127791.82, -9222995588.9</t>
  </si>
  <si>
    <t>B.6.a</t>
  </si>
  <si>
    <t>Flow information - Sales of fund shares during each of the preceding three months (total net asset value) excluding reinvestment of dividends and distributions</t>
  </si>
  <si>
    <t>Fund Share Sales</t>
  </si>
  <si>
    <t>The aggregate dollar amount for sales of fund shares during the past three months.</t>
  </si>
  <si>
    <t>B.6.b</t>
  </si>
  <si>
    <t>Flow information - Sales of fund shares during each of the preceding three months in connection with reinvestments of dividends and distributions</t>
  </si>
  <si>
    <t>Dividend/Distribution Reinvestment</t>
  </si>
  <si>
    <t>The aggregate dollar amount for sales of fund shares in connection with reinvestments of dividends and distributions.</t>
  </si>
  <si>
    <t>B.6.c</t>
  </si>
  <si>
    <t>Flow information - Redemptions/repurchases of fund shares during each of the preceding three months (total net asset value) including exchanges</t>
  </si>
  <si>
    <t>Redemptions/Repurchases</t>
  </si>
  <si>
    <t>The aggregate dollar amount for redemptions/repurchases of fund shares, including exchanges, during the past three months.</t>
  </si>
  <si>
    <t>B.7.a</t>
  </si>
  <si>
    <t>Highly Liquid Investment Minimum information - Current Highly Liquid Investment Minimum, if applicable</t>
  </si>
  <si>
    <t>Highly Liquid Investment Minimum</t>
  </si>
  <si>
    <t>The current highly liquid investment minimum set by the fund, if applicable.</t>
  </si>
  <si>
    <t>B.7.b</t>
  </si>
  <si>
    <t>Highly Liquid Investment Minimum information - Number of days that the Fund's holdings in Highly Liquid Investments fell below the Fund's Highly Liquid Investment Minimum during the reporting period</t>
  </si>
  <si>
    <t>Days Below Liquidity Minimum</t>
  </si>
  <si>
    <t>The number of days the fund's highly liquid investments fell below the minimum during the reporting period.</t>
  </si>
  <si>
    <t>B.7.c</t>
  </si>
  <si>
    <t>Highly Liquid Investment Minimum information - Did the Fund's Highly Liquid Investment Minimum change during the reporting period? [Y/N]</t>
  </si>
  <si>
    <t>Liquidity Minimum Change Indicator</t>
  </si>
  <si>
    <t>Indicator if the highly liquid investment minimum changed during the reporting period.</t>
  </si>
  <si>
    <t>B.7.c.i</t>
  </si>
  <si>
    <t>Highly Liquid Investment Minimums set by the Fund during the reporting period, if applicable</t>
  </si>
  <si>
    <t>New Liquidity Minimums</t>
  </si>
  <si>
    <t>The specific highly liquid investment minimums set by the fund during the reporting period, if applicable.</t>
  </si>
  <si>
    <t>B.8</t>
  </si>
  <si>
    <t>Derivatives Transactions - Percentage of the Fund's Highly Liquid Investments pledged as margin or collateral in connection with derivatives transactions, classified in categories [Moderately Liquid Investments, Less Liquid Investments, Illiquid Investments]</t>
  </si>
  <si>
    <t>Percentage of Collateralized Highly Liquid Investments</t>
  </si>
  <si>
    <t>The percentage of highly liquid investments pledged as margin or collateral for derivatives transactions.</t>
  </si>
  <si>
    <t>B.9.a</t>
  </si>
  <si>
    <t>Derivatives Exposure for limited derivatives users - Derivatives exposure (as a percentage of the Fund's net asset value)</t>
  </si>
  <si>
    <t>Derivatives Exposure Percentage</t>
  </si>
  <si>
    <t>The derivatives exposure reported as a percentage of the fund's net asset value.</t>
  </si>
  <si>
    <t>B.9.b</t>
  </si>
  <si>
    <t>Derivatives Exposure for limited derivatives users - Exposure from currency derivatives that hedge currency risks (as a percentage of the Fund's net asset value)</t>
  </si>
  <si>
    <t>Currency Hedge Exposure Percentage</t>
  </si>
  <si>
    <t>The exposure from currency derivatives that hedge currency risks, as a percentage of the fund's net asset value.</t>
  </si>
  <si>
    <t>B.9.c</t>
  </si>
  <si>
    <t>Derivatives Exposure for limited derivatives users - Exposure from interest rate derivatives that hedge interest rate risks (as a percentage of the Fund's net asset value)</t>
  </si>
  <si>
    <t>Interest Rate Hedge Exposure Percentage</t>
  </si>
  <si>
    <t>The exposure from interest rate derivatives that hedge interest rate risks, as a percentage of the fund's net asset value.</t>
  </si>
  <si>
    <t>B.9.d</t>
  </si>
  <si>
    <t>Number of business days, if any, in excess of the five-business-day period that the Fund’s derivatives exposure exceeded 10 percent of its net assets during the reporting period</t>
  </si>
  <si>
    <t>Excess Exposure Days</t>
  </si>
  <si>
    <t>The number of business days that the fund's derivatives exposure exceeded 10 percent of its net assets during the reporting period, beyond the five allowed business days.</t>
  </si>
  <si>
    <t>B.10.a</t>
  </si>
  <si>
    <t>VaR information - Median daily VaR during the reporting period (as a percentage of the Fund's net asset value)</t>
  </si>
  <si>
    <t>Median Daily VaR</t>
  </si>
  <si>
    <t>The median daily value-at-risk reported as a percentage of the fund's net asset value during the reporting period.</t>
  </si>
  <si>
    <t>B.10.b.i</t>
  </si>
  <si>
    <t>VaR information - Name of the Fund's Designated Index, or a statement that the fund's Designated Reference Portfolio is the Fund’s Securities Portfolio</t>
  </si>
  <si>
    <t>Designated Index/Reference Portfolio</t>
  </si>
  <si>
    <t>The name of the fund's designated index, or a statement that the fund's designated reference portfolio is the fund's securities portfolio.</t>
  </si>
  <si>
    <t>60%/40% S&amp;P 500 Index/Bloomberg U.S. Aggregate Index</t>
  </si>
  <si>
    <t>B.10.b.ii</t>
  </si>
  <si>
    <t>VaR information - Index identifier for the Fund's Designated Index</t>
  </si>
  <si>
    <t>Text/Alpha-numeric</t>
  </si>
  <si>
    <t>Designated Index Identifier</t>
  </si>
  <si>
    <t>The identifier for the fund's designated index, if applicable.</t>
  </si>
  <si>
    <t>60SPX40LBUSTRUU</t>
  </si>
  <si>
    <t>B.10.b.iii</t>
  </si>
  <si>
    <t>VaR information - Median VaR Ratio during the reporting period (as a percentage of the VaR of the Fund's Designated Reference Portfolio)</t>
  </si>
  <si>
    <t>Median VaR Ratio</t>
  </si>
  <si>
    <t>The median value-at-risk ratio reported as a percentage of the VaR of the fund's designated reference portfolio.</t>
  </si>
  <si>
    <t>B.10.c</t>
  </si>
  <si>
    <t>VaR information - Number of exceptions identified as a result of backtesting the Fund's VaR calculation model during the reporting period</t>
  </si>
  <si>
    <t>VaR Backtesting Exceptions</t>
  </si>
  <si>
    <t>The number of exceptions identified from backtesting the fund's VaR calculation model during the reporting period.</t>
  </si>
  <si>
    <t>B.11.a</t>
  </si>
  <si>
    <t>Investment Company Act Names Rule Investment Policy - Definitions of terms used in the Fund's name, including the specific criteria the Fund uses to select the investments the term describes</t>
  </si>
  <si>
    <t>Fund Name Term Definitions</t>
  </si>
  <si>
    <t>Definitions of the terms used in the fund's name and the criteria for selecting related investments.</t>
  </si>
  <si>
    <t>B.11.b</t>
  </si>
  <si>
    <t>Value of the Fund's 80% basket as a percentage of the value of the Fund's assets [in compliance with rule 35d-1(a)(2)(i) or (a)(3)(i)]</t>
  </si>
  <si>
    <t>80% Basket Value Percentage</t>
  </si>
  <si>
    <t>The value of the fund's 80% basket as a percentage of the fund's total assets.</t>
  </si>
  <si>
    <t>Identification of investment - Name of issuer (if any)</t>
  </si>
  <si>
    <t>Investment Issuer Name</t>
  </si>
  <si>
    <t>The name of the entity that issued the investment.</t>
  </si>
  <si>
    <t xml:space="preserve">GOLDMAN SACHS GROUP INC </t>
  </si>
  <si>
    <t>Identification of investment - LEI (if any) of issuer</t>
  </si>
  <si>
    <t>Investment Issuer LEI</t>
  </si>
  <si>
    <t>The Legal Entity Identifier (LEI) of the entity that issued the investment.</t>
  </si>
  <si>
    <t>784F5XWPLTWKTBV3E584</t>
  </si>
  <si>
    <t>Identification of investment - Title of the issue or description of the investment</t>
  </si>
  <si>
    <t>Investment Title/Description</t>
  </si>
  <si>
    <t>The title or a brief description of the investment.</t>
  </si>
  <si>
    <t>GOLDMAN SACHS GROUP INC SR UNSEC 2.65% 10-21-32/31</t>
  </si>
  <si>
    <t>Identification of investment - CUSIP (if any)</t>
  </si>
  <si>
    <t>Investment CUSIP</t>
  </si>
  <si>
    <t>The Committee on Uniform Securities Identification Procedures (CUSIP) number for the investment.</t>
  </si>
  <si>
    <t xml:space="preserve">38141GYN8 </t>
  </si>
  <si>
    <t>Identification of investment - At least one of the following other identifiers: ISIN, Ticker, or Other unique identifier</t>
  </si>
  <si>
    <t>Investment Identifier</t>
  </si>
  <si>
    <t>Either an International Securities Identification Number (ISIN), ticker symbol, or other unique identifier.</t>
  </si>
  <si>
    <t xml:space="preserve">US38141GYN86 </t>
  </si>
  <si>
    <t>C.2</t>
  </si>
  <si>
    <t>Amount of each investment - Balance</t>
  </si>
  <si>
    <t>Investment Balance</t>
  </si>
  <si>
    <t>Quantity of the investment, expressed in number of shares, principal amount, or other units.</t>
  </si>
  <si>
    <t>Amount of each investment - Currency</t>
  </si>
  <si>
    <t>Investment Currency</t>
  </si>
  <si>
    <t>The currency in which the investment is denominated.</t>
  </si>
  <si>
    <t>United States Dollar</t>
  </si>
  <si>
    <t>Amount of each investment - Value</t>
  </si>
  <si>
    <t>Investment Value</t>
  </si>
  <si>
    <t>The value of the investment, reported in U.S. dollars.</t>
  </si>
  <si>
    <t>Amount of each investment - Percentage value compared to net assets of the Fund</t>
  </si>
  <si>
    <t>Investment Net Asset Percentage</t>
  </si>
  <si>
    <t>Percentage value of the investment compared to the fund’s total net assets.</t>
  </si>
  <si>
    <t>Amount of each investment - Is the investment included in the Fund's 80% basket, as defined in rule 35d-1(g), as applicable? [Y/N]</t>
  </si>
  <si>
    <t>80% Basket Inclusion</t>
  </si>
  <si>
    <t>Indicates whether the investment is included in the fund’s 80% basket.</t>
  </si>
  <si>
    <t>C.3</t>
  </si>
  <si>
    <t>Indicate payoff profile among the following categories (long, short, N/A)</t>
  </si>
  <si>
    <t>Investment Payoff Profile</t>
  </si>
  <si>
    <t>Describes whether the investment is a long position, short position, or not applicable.</t>
  </si>
  <si>
    <t>Long</t>
  </si>
  <si>
    <t>C.4</t>
  </si>
  <si>
    <t>Asset and issuer type - Asset type</t>
  </si>
  <si>
    <t>Text/Menu</t>
  </si>
  <si>
    <t>Asset Type</t>
  </si>
  <si>
    <t>The category that most closely identifies the type of asset.</t>
  </si>
  <si>
    <t>Debt</t>
  </si>
  <si>
    <t>Asset and issuer type - Issuer type</t>
  </si>
  <si>
    <t>Issuer Type</t>
  </si>
  <si>
    <t>The category that most closely identifies the type of issuer.</t>
  </si>
  <si>
    <t>Corporate</t>
  </si>
  <si>
    <t>C.5</t>
  </si>
  <si>
    <t>Country of investment or issuer - Report the ISO country code that corresponds to the country where the issuer is organized</t>
  </si>
  <si>
    <t>Issuer Country Code</t>
  </si>
  <si>
    <t>The ISO country code of the country where the issuer is organized.</t>
  </si>
  <si>
    <t>UNITED STATES OF AMERICA</t>
  </si>
  <si>
    <t>Country of investment or issuer - Also report the ISO country code that corresponds to the country of investment or issuer based on the concentrations of the risk and economic exposure</t>
  </si>
  <si>
    <t>Investment Country Code</t>
  </si>
  <si>
    <t>The ISO country code based on the country of risk and economic exposure associated with the investment.</t>
  </si>
  <si>
    <t>C.6</t>
  </si>
  <si>
    <t>Is the investment a Restricted Security? [Y/N]</t>
  </si>
  <si>
    <t>Restricted Security Indicator</t>
  </si>
  <si>
    <t>Indicates if the investment is a restricted security.</t>
  </si>
  <si>
    <t>C.7</t>
  </si>
  <si>
    <t>Liquidity classification information - Liquidity classifications</t>
  </si>
  <si>
    <t>Liquidity Classification</t>
  </si>
  <si>
    <t>Liquidity classification category of the investment.</t>
  </si>
  <si>
    <t>N/A</t>
  </si>
  <si>
    <t>C.8</t>
  </si>
  <si>
    <t>Indicate the level within the fair value hierarchy in which the fair value measurements fall pursuant to U.S. Generally Accepted Accounting Principles (ASC 820, Fair Value Measurement) [1/2/3]</t>
  </si>
  <si>
    <t>Fair Value Hierarchy Level</t>
  </si>
  <si>
    <t>The fair value hierarchy level assigned to the investment, as per ASC 820.</t>
  </si>
  <si>
    <t>C.9</t>
  </si>
  <si>
    <t>For debt securities - Maturity date</t>
  </si>
  <si>
    <t>Debt Security Maturity Date</t>
  </si>
  <si>
    <t>The maturity date of the debt security.</t>
  </si>
  <si>
    <t>For debt securities - Coupon</t>
  </si>
  <si>
    <t>Text/Menu/Number</t>
  </si>
  <si>
    <t>Debt Security Coupon Type</t>
  </si>
  <si>
    <t>Details regarding the coupon type (fixed, floating, variable, none) and rate of the debt security.</t>
  </si>
  <si>
    <t>Variable</t>
  </si>
  <si>
    <t>For debt securities - Currently in default? [Y/N]</t>
  </si>
  <si>
    <t>Debt Security Default Indicator</t>
  </si>
  <si>
    <t>Indicates if the debt security is currently in default.</t>
  </si>
  <si>
    <t>For debt securities - Are there any interest payments in arrears or have any coupon payments been legally deferred by the issuer? [Y/N]</t>
  </si>
  <si>
    <t>Interest Payments Arrear Indicator</t>
  </si>
  <si>
    <t>Indicates if any interest or coupon payments are in arrears or deferred by the issuer.</t>
  </si>
  <si>
    <t>For debt securities - Is any portion of the interest paid in kind? [Y/N]</t>
  </si>
  <si>
    <t>Interest Paid in Kind Indicator</t>
  </si>
  <si>
    <t>Indicates if any portion of the interest is paid in kind.</t>
  </si>
  <si>
    <t>For debt securities - Mandatory convertible? [Y/N]</t>
  </si>
  <si>
    <t>Mandatory Convertible Indicator</t>
  </si>
  <si>
    <t>Indicates if the debt security is a mandatory convertible.</t>
  </si>
  <si>
    <t>For debt securities - Contingent convertible? [Y/N]</t>
  </si>
  <si>
    <t>Contingent Convertible Indicator</t>
  </si>
  <si>
    <t>Indicates if the debt security is a contingent convertible.</t>
  </si>
  <si>
    <t>For debt securities - Description of the reference instrument, including the name of issuer, title of issue, and currency in which denominated, as well as CUSIP of reference instrument</t>
  </si>
  <si>
    <t>Reference Instrument Description</t>
  </si>
  <si>
    <t>Description of the reference instrument for convertibles, including issuer, title, currency, and identifiers.</t>
  </si>
  <si>
    <t>For debt securities - Conversion ratio per US$1000 notional, or, if bond currency is not in U.S. dollars, per 1000 units of the relevant currency, indicating the relevant currency</t>
  </si>
  <si>
    <t>Conversion Ratio</t>
  </si>
  <si>
    <t>The conversion ratio for convertible debt securities, per 1000 units of currency.</t>
  </si>
  <si>
    <t>For debt securities - Delta (if applicable)</t>
  </si>
  <si>
    <t>Delta</t>
  </si>
  <si>
    <t>The delta of the convertible debt security.</t>
  </si>
  <si>
    <t>C.10</t>
  </si>
  <si>
    <t>For repurchase and reverse repurchase agreements - Category that reflects the transaction (repurchase, reverse repurchase)</t>
  </si>
  <si>
    <t>Repurchase Agreement Type</t>
  </si>
  <si>
    <t>The type of repurchase agreement, whether repurchase or reverse repurchase.</t>
  </si>
  <si>
    <t>For repurchase and reverse repurchase agreements - Counterparty</t>
  </si>
  <si>
    <t>Repurchase Counterparty</t>
  </si>
  <si>
    <t>The counterparty details for repurchase agreements.</t>
  </si>
  <si>
    <t>For repurchase and reverse repurchase agreements - Cleared by central counterparty? [Y/N]</t>
  </si>
  <si>
    <t>Central Counterparty Clearance</t>
  </si>
  <si>
    <t>Indicator whether the agreement is cleared by a central counterparty.</t>
  </si>
  <si>
    <t>For repurchase and reverse repurchase agreements - Name and LEI of counterparty</t>
  </si>
  <si>
    <t>Counterparty Name and LEI</t>
  </si>
  <si>
    <t>Name and Legal Entity Identifier (LEI) of the counterparty, if not cleared by a central counterparty.</t>
  </si>
  <si>
    <t>For repurchase and reverse repurchase agreements - Tri-party? [Y/N]</t>
  </si>
  <si>
    <t>Tri-party Agreement Indicator</t>
  </si>
  <si>
    <t>Indicator whether the repurchase agreement is tri-party.</t>
  </si>
  <si>
    <t>For repurchase and reverse repurchase agreements - Repurchase rate</t>
  </si>
  <si>
    <t>Repurchase Rate</t>
  </si>
  <si>
    <t>The rate agreed upon for the repurchase agreement.</t>
  </si>
  <si>
    <t>For repurchase and reverse repurchase agreements - Maturity date</t>
  </si>
  <si>
    <t>Repurchase Maturity Date</t>
  </si>
  <si>
    <t>The maturity date of the repurchase agreement.</t>
  </si>
  <si>
    <t>For repurchase and reverse repurchase agreements - Principal amount of securities subject to the repurchase agreement</t>
  </si>
  <si>
    <t>Repurchase Principal Amount</t>
  </si>
  <si>
    <t>The principal amount of securities involved in the repurchase agreement.</t>
  </si>
  <si>
    <t>For repurchase and reverse repurchase agreements - Value of collateral</t>
  </si>
  <si>
    <t>Repurchase Collateral Value</t>
  </si>
  <si>
    <t>The value of the collateral associated with the repurchase agreement.</t>
  </si>
  <si>
    <t>For repurchase and reverse repurchase agreements - Category of investments representing the collateral</t>
  </si>
  <si>
    <t>Collateral Investment Category</t>
  </si>
  <si>
    <t>The investment category that most closely represents the collateral.</t>
  </si>
  <si>
    <t>C.11</t>
  </si>
  <si>
    <t>For derivatives - Type of derivative instrument that most closely represents the investment (forward, future, option, etc.)</t>
  </si>
  <si>
    <t>Derivative Type</t>
  </si>
  <si>
    <t>The type of derivative instrument, selected from predefined categories.</t>
  </si>
  <si>
    <t>For derivatives - Counterparty name and LEI</t>
  </si>
  <si>
    <t>Derivative Counterparty Details</t>
  </si>
  <si>
    <t>The name and Legal Entity Identifier (LEI) of the counterparty.</t>
  </si>
  <si>
    <t>For options and warrants - Type (put, call)</t>
  </si>
  <si>
    <t>Option Type</t>
  </si>
  <si>
    <t>The type of option, either put or call.</t>
  </si>
  <si>
    <t>For options and warrants - Payoff profile (written, purchased)</t>
  </si>
  <si>
    <t>Payoff Profile</t>
  </si>
  <si>
    <t>Payoff profile indicating whether the option is written or purchased.</t>
  </si>
  <si>
    <t>For options and warrants - Description of reference instrument</t>
  </si>
  <si>
    <t>Derivative Reference Instrument</t>
  </si>
  <si>
    <t>A description of the reference instrument for the option or warrant.</t>
  </si>
  <si>
    <t>For options and warrants - Number of shares or principal amount of underlying reference instrument per contract</t>
  </si>
  <si>
    <t>Reference Instrument Amount</t>
  </si>
  <si>
    <t>Number of shares or principal amount of the underlying reference instrument per contract.</t>
  </si>
  <si>
    <t>For options and warrants - Exercise price or rate</t>
  </si>
  <si>
    <t>Option/Warrant Exercise Price</t>
  </si>
  <si>
    <t>The exercise price or rate for the option or warrant.</t>
  </si>
  <si>
    <t>For options and warrants - Expiration date</t>
  </si>
  <si>
    <t>Option/Warrant Expiration Date</t>
  </si>
  <si>
    <t>The expiration date of the option or warrant.</t>
  </si>
  <si>
    <t>For options and warrants - Delta</t>
  </si>
  <si>
    <t>Derivative Delta</t>
  </si>
  <si>
    <t>The delta of the option or warrant.</t>
  </si>
  <si>
    <t>For options and warrants - Unrealized appreciation or depreciation</t>
  </si>
  <si>
    <t>Unrealized Appreciation/Depreciation</t>
  </si>
  <si>
    <t>The unrealized appreciation or depreciation value of the option or warrant.</t>
  </si>
  <si>
    <t>For futures and forwards (other than forward foreign currency contracts) - Payoff profile (long, short)</t>
  </si>
  <si>
    <t>Future/Forward Payoff Profile</t>
  </si>
  <si>
    <t>The payoff profile of the futures or forwards, either long or short.</t>
  </si>
  <si>
    <t>For futures and forwards - Description of reference instrument</t>
  </si>
  <si>
    <t>Future/Forward Reference Instrument</t>
  </si>
  <si>
    <t>Details of the reference instrument underlying the futures or forward contract.</t>
  </si>
  <si>
    <t>For futures and forwards - Expiration date</t>
  </si>
  <si>
    <t>Future/Forward Expiration Date</t>
  </si>
  <si>
    <t>The expiration date of the futures or forward contract.</t>
  </si>
  <si>
    <t>For futures and forwards - Aggregate notional amount or contract value on trade date</t>
  </si>
  <si>
    <t>Notional Amount/Contract Value</t>
  </si>
  <si>
    <t>The aggregate notional amount or contract value as of the trade date.</t>
  </si>
  <si>
    <t>For futures and forwards - Unrealized appreciation or depreciation</t>
  </si>
  <si>
    <t>The unrealized appreciation or depreciation value of the futures or forward contract.</t>
  </si>
  <si>
    <t>For forward foreign currency contracts and foreign currency swaps - Amount and description of currency sold</t>
  </si>
  <si>
    <t>Currency Sold</t>
  </si>
  <si>
    <t>The amount and description of the currency being sold in the contract.</t>
  </si>
  <si>
    <t>For forward foreign currency contracts and foreign currency swaps - Amount and description of currency purchased</t>
  </si>
  <si>
    <t>Currency Purchased</t>
  </si>
  <si>
    <t>The amount and description of the currency being purchased in the contract.</t>
  </si>
  <si>
    <t>For forward foreign currency contracts and foreign currency swaps - Settlement date</t>
  </si>
  <si>
    <t>Settlement Date</t>
  </si>
  <si>
    <t>The settlement date for the contract.</t>
  </si>
  <si>
    <t>For forward foreign currency contracts and foreign currency swaps - Unrealized appreciation or depreciation</t>
  </si>
  <si>
    <t>The unrealized appreciation or depreciation value of the contract.</t>
  </si>
  <si>
    <t>For swaps (other than foreign exchange swaps) - Description and terms of payments received and paid</t>
  </si>
  <si>
    <t>Swap Payment Terms</t>
  </si>
  <si>
    <t>Description of terms of payments to be paid and received, including details like reference instrument and rates.</t>
  </si>
  <si>
    <t>For swaps - Termination or maturity date</t>
  </si>
  <si>
    <t>Swap Termination/Maturity Date</t>
  </si>
  <si>
    <t>The termination or maturity date of the swap contract.</t>
  </si>
  <si>
    <t>For swaps - Upfront payments or receipts</t>
  </si>
  <si>
    <t>Swap Upfront Payments/Receipts</t>
  </si>
  <si>
    <t>Information on any upfront payments or receipts related to the swap.</t>
  </si>
  <si>
    <t>For swaps - Notional amount</t>
  </si>
  <si>
    <t>Swap Notional Amount</t>
  </si>
  <si>
    <t>The notional amount of the swap contract.</t>
  </si>
  <si>
    <t>For swaps - Unrealized appreciation or depreciation</t>
  </si>
  <si>
    <t>The unrealized appreciation or depreciation value of the swap contract.</t>
  </si>
  <si>
    <t>C.12</t>
  </si>
  <si>
    <t>Securities lending - Does any amount of this investment represent reinvestment of cash collateral received for loaned securities? [Y/N]</t>
  </si>
  <si>
    <t>Reinvestment of Cash Collateral</t>
  </si>
  <si>
    <t>Indicates if any portion of this investment is a reinvestment of cash collateral received for loaned securities.</t>
  </si>
  <si>
    <t>Securities lending - If Yes, value of investment representing cash collateral</t>
  </si>
  <si>
    <t>Cash Collateral Reinvestment Value</t>
  </si>
  <si>
    <t>The value of the investment that represents reinvestment of cash collateral.</t>
  </si>
  <si>
    <t>Securities lending - Does any portion of this investment represent non-cash collateral that is treated as a Fund asset and received for loaned securities? [Y/N]</t>
  </si>
  <si>
    <t>Non-Cash Collateral Asset Indicator</t>
  </si>
  <si>
    <t>Indicates if any portion of the investment represents non-cash collateral treated as a fund asset received for loaned securities.</t>
  </si>
  <si>
    <t>Securities lending - If Yes, value of securities representing non-cash collateral</t>
  </si>
  <si>
    <t>Non-Cash Collateral Value</t>
  </si>
  <si>
    <t>The value of the securities that represent non-cash collateral.</t>
  </si>
  <si>
    <t>Securities lending - Is any portion of this investment on loan by the Fund? [Y/N]</t>
  </si>
  <si>
    <t>Investment on Loan Indicator</t>
  </si>
  <si>
    <t>Indicates if any portion of this investment is on loan by the fund.</t>
  </si>
  <si>
    <t>Securities lending - If Yes, value of securities on loan</t>
  </si>
  <si>
    <t>Securities on Loan Value</t>
  </si>
  <si>
    <t>The value of the securities that are on loan by the fund.</t>
  </si>
  <si>
    <t xml:space="preserve">Item A.1. </t>
  </si>
  <si>
    <t>Securities Act File Number.</t>
  </si>
  <si>
    <t>Securities Act File Number</t>
  </si>
  <si>
    <t>Identification number for the Securities Act filing.</t>
  </si>
  <si>
    <t>Item A.2. Investment Adviser.</t>
  </si>
  <si>
    <t>Name</t>
  </si>
  <si>
    <t>Investment Adviser Name</t>
  </si>
  <si>
    <t>Official name of the investment advising entity.</t>
  </si>
  <si>
    <t>Item A.2.a</t>
  </si>
  <si>
    <t>a. SEC file number of investment adviser.</t>
  </si>
  <si>
    <t>Investment Adviser SEC File</t>
  </si>
  <si>
    <t>SEC file number of the investment adviser.</t>
  </si>
  <si>
    <t>Item A.3. Sub-Adviser. If a fund has one or more sub-advisers, disclose the name of each sub-adviser.</t>
  </si>
  <si>
    <t>Sub-Adviser Name</t>
  </si>
  <si>
    <t>Official names of sub-advisers.</t>
  </si>
  <si>
    <t>Item A.3.a</t>
  </si>
  <si>
    <t>a. SEC file number of each sub-adviser.</t>
  </si>
  <si>
    <t>Sub-Adviser SEC File</t>
  </si>
  <si>
    <t>SEC file number of each sub-adviser.</t>
  </si>
  <si>
    <t>Item A.4. Independent Public Accountant.</t>
  </si>
  <si>
    <t>Public Accountant Name</t>
  </si>
  <si>
    <t>Official name of the independent public accountant.</t>
  </si>
  <si>
    <t>Item A.4.a</t>
  </si>
  <si>
    <t>a. City and state of independent public accountant.</t>
  </si>
  <si>
    <t>Accountant Location</t>
  </si>
  <si>
    <t>City and state where the independent public accountant is based.</t>
  </si>
  <si>
    <t>Item A.5. Administrator. If a fund has one or more administrators, disclose the name of each administrator.</t>
  </si>
  <si>
    <t>Administrator Name</t>
  </si>
  <si>
    <t>Official names of each administrator.</t>
  </si>
  <si>
    <t>Item A.6. Transfer Agent.</t>
  </si>
  <si>
    <t>Transfer Agent Name</t>
  </si>
  <si>
    <t>Official name of the transfer agent.</t>
  </si>
  <si>
    <t>Form N-MFP</t>
  </si>
  <si>
    <t>Item A.6.a</t>
  </si>
  <si>
    <t>a. CIK Number.</t>
  </si>
  <si>
    <t>Transfer Agent CIK</t>
  </si>
  <si>
    <t>Central Index Key number of the transfer agent.</t>
  </si>
  <si>
    <t>Item A.6.b</t>
  </si>
  <si>
    <t>b. SEC file number of transfer agent.</t>
  </si>
  <si>
    <t>Transfer Agent SEC File</t>
  </si>
  <si>
    <t>SEC file number of the transfer agent.</t>
  </si>
  <si>
    <t>Item A.7. Master-Feeder Funds. Is this a Feeder Fund?</t>
  </si>
  <si>
    <t>Feeder Fund Indicator</t>
  </si>
  <si>
    <t>Boolean indicator if the fund is a feeder fund.</t>
  </si>
  <si>
    <t>Item A.7.a</t>
  </si>
  <si>
    <t>a. Identify the Master Fund by CIK or, if the fund does not have a CIK, by name.</t>
  </si>
  <si>
    <t>Master Fund Identifier</t>
  </si>
  <si>
    <t>CIK or name of the master fund.</t>
  </si>
  <si>
    <t>Item A.7.b</t>
  </si>
  <si>
    <t>b. Securities Act file number of the Master Fund.</t>
  </si>
  <si>
    <t>Master Fund Securities Act File</t>
  </si>
  <si>
    <t>Securities Act file number of the master fund.</t>
  </si>
  <si>
    <t>Item A.7.c</t>
  </si>
  <si>
    <t>c. EDGAR series identifier of the Master Fund.</t>
  </si>
  <si>
    <t>Alphanumeric</t>
  </si>
  <si>
    <t>Master Fund EDGAR Identifier</t>
  </si>
  <si>
    <t>EDGAR series identifier of the master fund.</t>
  </si>
  <si>
    <t>Item A.8. Master-Feeder Funds. Is this a Master Fund?</t>
  </si>
  <si>
    <t>Master Fund Indicator</t>
  </si>
  <si>
    <t>Boolean indicator if the fund is a master fund.</t>
  </si>
  <si>
    <t>Item A.8.a</t>
  </si>
  <si>
    <t>a. Identify all Feeder Funds by CIK or, if the fund does not have a CIK, by name.</t>
  </si>
  <si>
    <t>Feeder Fund Identifier</t>
  </si>
  <si>
    <t>CIK or name of all feeder funds.</t>
  </si>
  <si>
    <t>Item A.8.b</t>
  </si>
  <si>
    <t>b. Securities Act file number of each Feeder Fund.</t>
  </si>
  <si>
    <t>Feeder Fund Securities Act File</t>
  </si>
  <si>
    <t>Securities Act file number of each feeder fund.</t>
  </si>
  <si>
    <t>Item A.8.c</t>
  </si>
  <si>
    <t>c. EDGAR series identifier of each Feeder Fund.</t>
  </si>
  <si>
    <t>Feeder Fund EDGAR Identifier</t>
  </si>
  <si>
    <t>EDGAR series identifier of each feeder fund.</t>
  </si>
  <si>
    <t>Item A.9. Is this series primarily used to fund insurance company separate accounts?</t>
  </si>
  <si>
    <t>Insurance Account Funding</t>
  </si>
  <si>
    <t>Boolean indicator if the series is used to fund insurance company separate accounts.</t>
  </si>
  <si>
    <t>Item A.10. Category. Indicate the category that identifies the money market fund from among the following:</t>
  </si>
  <si>
    <t>Money Market Fund Category</t>
  </si>
  <si>
    <t>Category that identifies the money market fund (Government, Prime, Single State, etc.).</t>
  </si>
  <si>
    <t>Item A.10.a</t>
  </si>
  <si>
    <t>a. Is this fund a Retail Money Market Fund?</t>
  </si>
  <si>
    <t>Retail Money Market Fund</t>
  </si>
  <si>
    <t>Boolean indicator if the fund is a retail money market fund.</t>
  </si>
  <si>
    <t>Item A.10.b</t>
  </si>
  <si>
    <t>b. If this is a Government Money Market Fund, does the fund typically invest at least 80% of the value of its assets in U.S. Treasury obligations or repurchase agreements collateralized by U.S. Treasury obligations?</t>
  </si>
  <si>
    <t>Government Fund Investment</t>
  </si>
  <si>
    <t>Boolean indicator if the fund invests 80% in U.S. Treasury obligations or repos.</t>
  </si>
  <si>
    <t>Item A.11. Dollar-weighted average portfolio maturity ("WAM" as defined in rule 2a-7(d)(1)(ii)).</t>
  </si>
  <si>
    <t>WAM (Dollar-weighted Average Maturity)</t>
  </si>
  <si>
    <t>Average maturity of the portfolio in days, weighted by dollar value.</t>
  </si>
  <si>
    <t>Item A.12. Dollar-weighted average life maturity ("WAL" as defined in rule 2a-7(d)(1)(iii)). Calculate WAL without reference to the exceptions in rule 2a-7(i) regarding interest rate readjustments.</t>
  </si>
  <si>
    <t>WAL (Dollar-weighted Average Life Maturity)</t>
  </si>
  <si>
    <t>Average life maturity of the portfolio in days, weighted by dollar value.</t>
  </si>
  <si>
    <t>Item A.13</t>
  </si>
  <si>
    <t>Liquidity.</t>
  </si>
  <si>
    <t>Item A.13.a</t>
  </si>
  <si>
    <t>a. Total Value of Daily Liquid Assets to the nearest cent.</t>
  </si>
  <si>
    <t>Daily Liquid Assets Value</t>
  </si>
  <si>
    <t>Total value of daily liquid assets in the portfolio.</t>
  </si>
  <si>
    <t>Item A.13.b</t>
  </si>
  <si>
    <t>b. Total Value of Weekly Liquid Assets (including Daily Liquid Assets) to the nearest cent.</t>
  </si>
  <si>
    <t>Weekly Liquid Assets Value</t>
  </si>
  <si>
    <t>Total value of weekly liquid assets, including daily liquid assets, in the portfolio.</t>
  </si>
  <si>
    <t>Item A.13.c</t>
  </si>
  <si>
    <t>c. Percentage of Total Assets invested in Daily Liquid Assets.</t>
  </si>
  <si>
    <t>Percentage Daily Liquid Assets</t>
  </si>
  <si>
    <t>Percentage of total assets invested in daily liquid assets.</t>
  </si>
  <si>
    <t>Item A.13.d</t>
  </si>
  <si>
    <t>d. Percentage of Total Assets invested in Weekly Liquid Assets (including Daily Liquid Assets).</t>
  </si>
  <si>
    <t>Percentage Weekly Liquid Assets</t>
  </si>
  <si>
    <t>Percentage of total assets invested in weekly liquid assets, including daily assets.</t>
  </si>
  <si>
    <t>Item A.13.e</t>
  </si>
  <si>
    <t>e. Date.</t>
  </si>
  <si>
    <t>Liquidity Date</t>
  </si>
  <si>
    <t>Date for which the liquidity values are reported.</t>
  </si>
  <si>
    <t>Item A.14</t>
  </si>
  <si>
    <t>Provide the following, to the nearest cent:</t>
  </si>
  <si>
    <t>Item A.14.a</t>
  </si>
  <si>
    <t>a. Cash.</t>
  </si>
  <si>
    <t>Cash Value</t>
  </si>
  <si>
    <t>Value of cash held in the portfolio.</t>
  </si>
  <si>
    <t>Item A.14.b</t>
  </si>
  <si>
    <t>b. Total Value of portfolio securities.</t>
  </si>
  <si>
    <t>Portfolio Securities Value</t>
  </si>
  <si>
    <t>Total value of securities held in the portfolio.</t>
  </si>
  <si>
    <t>Item A.14.b.i</t>
  </si>
  <si>
    <t>i. If any portfolio securities are valued using amortized cost, the total value of the portfolio securities valued at amortized cost.</t>
  </si>
  <si>
    <t>Amortized Cost Securities Value</t>
  </si>
  <si>
    <t>Value of securities using amortized cost.</t>
  </si>
  <si>
    <t>Item A.14.c</t>
  </si>
  <si>
    <t>c. Total Value of other assets (excluding amounts provided in A.14.a-b.)</t>
  </si>
  <si>
    <t>Other Assets Value</t>
  </si>
  <si>
    <t>Total value of other assets held, excluding cash and portfolio securities.</t>
  </si>
  <si>
    <t>Item A.15</t>
  </si>
  <si>
    <t>Total value of liabilities, to the nearest cent.</t>
  </si>
  <si>
    <t>Liabilities Value</t>
  </si>
  <si>
    <t>Total value of liabilities for the series.</t>
  </si>
  <si>
    <t>Item A.16</t>
  </si>
  <si>
    <t>Net assets of the series, to the nearest cent.</t>
  </si>
  <si>
    <t>Net Assets Value</t>
  </si>
  <si>
    <t>Net assets of the series.</t>
  </si>
  <si>
    <t>Item A.17</t>
  </si>
  <si>
    <t>Number of shares outstanding, to the nearest hundredth.</t>
  </si>
  <si>
    <t>Shares Outstanding</t>
  </si>
  <si>
    <t>Number of shares outstanding in the series.</t>
  </si>
  <si>
    <t>Item A.18</t>
  </si>
  <si>
    <t>Does the fund seek to maintain a stable price per share?</t>
  </si>
  <si>
    <t>Stable Price Per Share</t>
  </si>
  <si>
    <t>Boolean indicator if the fund seeks to maintain a stable price per share.</t>
  </si>
  <si>
    <t>Item A.18.a</t>
  </si>
  <si>
    <t>a. If yes, state the price the fund seeks to maintain.</t>
  </si>
  <si>
    <t>Stable Price</t>
  </si>
  <si>
    <t>The specific price per share the fund aims to maintain.</t>
  </si>
  <si>
    <t>Item A.19</t>
  </si>
  <si>
    <t>7-day gross yield. For each business day, based on the 7 days ended on that business day, calculate the fund's yield. The 7-day gross yield should not reflect a deduction of shareholder fees and fund operating expenses.</t>
  </si>
  <si>
    <t>7-day Gross Yield</t>
  </si>
  <si>
    <t>Gross yield of the fund over a 7-day period.</t>
  </si>
  <si>
    <t>Item A.19.a</t>
  </si>
  <si>
    <t>a. 7-day gross yield</t>
  </si>
  <si>
    <t>7-day Gross Yield Value</t>
  </si>
  <si>
    <t>Gross yield value for the 7-day period.</t>
  </si>
  <si>
    <t>Item A.19.b</t>
  </si>
  <si>
    <t>b. Date</t>
  </si>
  <si>
    <t>Yield Calculation Date</t>
  </si>
  <si>
    <t>Date for which the yield is calculated.</t>
  </si>
  <si>
    <t>Item A.20</t>
  </si>
  <si>
    <t>Net asset value per share. Provide the net asset value per share, calculated using available market quotations (or an appropriate substitute that reflects current market conditions) rounded to the fourth decimal place.</t>
  </si>
  <si>
    <t>Net Asset Value Per Share</t>
  </si>
  <si>
    <t>Net asset value per share rounded to the fourth decimal place.</t>
  </si>
  <si>
    <t>Item A.20.a</t>
  </si>
  <si>
    <t>a. Net asset value per share</t>
  </si>
  <si>
    <t>NAV Value</t>
  </si>
  <si>
    <t>Calculated net asset value per share.</t>
  </si>
  <si>
    <t>Item A.20.b</t>
  </si>
  <si>
    <t>NAV Calculation Date</t>
  </si>
  <si>
    <t>Date for which the net asset value is calculated.</t>
  </si>
  <si>
    <t>Item A.21. Is the fund established as a cash management vehicle for affiliated funds or other accounts managed by related entities or their affiliates and not available to other investors?</t>
  </si>
  <si>
    <t>Cash Management Vehicle</t>
  </si>
  <si>
    <t>Boolean indicator if the fund is exclusively for affiliated entities and not other investors.</t>
  </si>
  <si>
    <t>Item A.22. Liquidity Fee. During the reporting period, did the fund apply any liquidity fees under rule 2a-7(c)(2)?</t>
  </si>
  <si>
    <t>Liquidity Fee Applicable</t>
  </si>
  <si>
    <t>Boolean indicator if liquidity fees were applied.</t>
  </si>
  <si>
    <t>Item A.22.a</t>
  </si>
  <si>
    <t>a. For each business day the fund applied a liquidity fee during the reporting period, provide: I. The date on which the liquidity fee was applied: II. The type of liquidity fee: III. The total dollar amount of the fee applied.</t>
  </si>
  <si>
    <t>Date, Text, Number</t>
  </si>
  <si>
    <t>Liquidity Fee Details</t>
  </si>
  <si>
    <t>Details about the liquidity fee applied, including date, type, and total amount.</t>
  </si>
  <si>
    <t>For each Class of the Series (regardless of the number of shares outstanding in the Class), disclose the following:</t>
  </si>
  <si>
    <t>Item B.1</t>
  </si>
  <si>
    <t>Item B.1. Full name of the Class.</t>
  </si>
  <si>
    <t>Class Name</t>
  </si>
  <si>
    <t>The official name of the Class.</t>
  </si>
  <si>
    <t>Item B.2</t>
  </si>
  <si>
    <t>Item B.2. EDGAR Class identifier.</t>
  </si>
  <si>
    <t>EDGAR Class Identifier</t>
  </si>
  <si>
    <t>EDGAR identifier for the Class.</t>
  </si>
  <si>
    <t>Item B.3</t>
  </si>
  <si>
    <t>Item B.3. Minimum initial investment.</t>
  </si>
  <si>
    <t>Minimum Initial Investment</t>
  </si>
  <si>
    <t>The minimum amount required to initially invest in the Class.</t>
  </si>
  <si>
    <t>Item B.4</t>
  </si>
  <si>
    <t>Item B.4. Net assets of the Class, to the nearest cent.</t>
  </si>
  <si>
    <t>Class Net Assets</t>
  </si>
  <si>
    <t>The net assets of the Class, reported to the nearest cent.</t>
  </si>
  <si>
    <t>Item B.5</t>
  </si>
  <si>
    <t>Item B.5. Number of shares outstanding, to the nearest hundredth.</t>
  </si>
  <si>
    <t>The number of shares outstanding in the Class, reported to the nearest hundredth.</t>
  </si>
  <si>
    <t>Item B.6</t>
  </si>
  <si>
    <t>Item B.6. Net asset value per share. Provide the net asset value per share, calculated using available market quotations (or an appropriate substitute that reflects current market conditions) rounded to the fourth decimal place.</t>
  </si>
  <si>
    <t>NAV Per Share</t>
  </si>
  <si>
    <t>The net asset value per share for the Class, rounded to the fourth decimal place.</t>
  </si>
  <si>
    <t>Item B.6.a</t>
  </si>
  <si>
    <t>Calculated net asset value per share for the Class.</t>
  </si>
  <si>
    <t>Item B.6.b</t>
  </si>
  <si>
    <t>The date for which the net asset value per share is calculated.</t>
  </si>
  <si>
    <t>Item B.7</t>
  </si>
  <si>
    <t>Item B.7. Shareholder flow. Provide (a) the daily gross subscriptions (including dividend reinvestments) and gross redemptions, rounded to the nearest cent, as of the close of business on each business day of the month reported; and (b) the total gross subscriptions (including dividend reinvestments) and total gross redemptions for the month reported. For purposes of this Item, report gross subscriptions (including dividend reinvestments) and gross redemptions as of the trade date, and for Master-Feeder Funds, only report the required shareholder flow data at the Feeder Fund level.</t>
  </si>
  <si>
    <t>Item B.7.a</t>
  </si>
  <si>
    <t>a. Daily shareholder flows:</t>
  </si>
  <si>
    <t>Item B.7.a.i</t>
  </si>
  <si>
    <t>i. Gross subscriptions (including dividend reinvestments)</t>
  </si>
  <si>
    <t>Daily Gross Subscriptions</t>
  </si>
  <si>
    <t>Gross subscriptions, including dividend reinvestments, reported daily.</t>
  </si>
  <si>
    <t>Item B.7.a.ii</t>
  </si>
  <si>
    <t>ii. Gross redemptions</t>
  </si>
  <si>
    <t>Daily Gross Redemptions</t>
  </si>
  <si>
    <t>Daily gross redemptions.</t>
  </si>
  <si>
    <t>Item B.7.a.iii</t>
  </si>
  <si>
    <t>iii. Date</t>
  </si>
  <si>
    <t>Shareholder Flow Date</t>
  </si>
  <si>
    <t>The date for which the daily shareholder flows are reported.</t>
  </si>
  <si>
    <t>Item B.7.b</t>
  </si>
  <si>
    <t>b. Monthly shareholder flows:</t>
  </si>
  <si>
    <t>Item B.7.b.i</t>
  </si>
  <si>
    <t>i. Total gross subscriptions (including dividend reinvestments)</t>
  </si>
  <si>
    <t>Monthly Gross Subscriptions</t>
  </si>
  <si>
    <t>Total gross subscriptions, including dividend reinvestments, for the month.</t>
  </si>
  <si>
    <t>Item B.7.b.ii</t>
  </si>
  <si>
    <t>ii. Total gross redemptions</t>
  </si>
  <si>
    <t>Monthly Gross Redemptions</t>
  </si>
  <si>
    <t>Total gross redemptions for the month.</t>
  </si>
  <si>
    <t>Item B.8</t>
  </si>
  <si>
    <t>Item B.8. 7-day net yield for each business day of the month reported, as calculated under Item 26(a)(1) of Form N-1A (§ 274.11A of this chapter) except based on the 7 days ended on that business day.</t>
  </si>
  <si>
    <t>7-day Net Yield</t>
  </si>
  <si>
    <t>7-day net yield calculated for each business day of the month reported.</t>
  </si>
  <si>
    <t>Item B.8.a</t>
  </si>
  <si>
    <t>a. 7-day net yield</t>
  </si>
  <si>
    <t>7-day Net Yield Value</t>
  </si>
  <si>
    <t>The 7-day net yield value.</t>
  </si>
  <si>
    <t>Item B.8.b</t>
  </si>
  <si>
    <t>The date for which the 7-day net yield is calculated.</t>
  </si>
  <si>
    <t>Item B.9</t>
  </si>
  <si>
    <t>Item B.9. During the reporting period, did any person pay for or waive all or part of the fund's operating expenses or management fees?</t>
  </si>
  <si>
    <t>Expense Payment or Waiver</t>
  </si>
  <si>
    <t>Boolean indicator if any person paid for or waived all or part of the fund's expenses or fees.</t>
  </si>
  <si>
    <t>Item B.9.a</t>
  </si>
  <si>
    <t>a. Total amount of the expense payment or fee waiver, or both (reported in dollars).</t>
  </si>
  <si>
    <t>Total Expense Payment</t>
  </si>
  <si>
    <t>The total dollar amount of the expense payment or fee waiver.</t>
  </si>
  <si>
    <t>Item B.10</t>
  </si>
  <si>
    <t>Item B.10. For each person who owns of record or is known by the fund to own beneficially 5% or more of the shares outstanding in the Class, provide the following information. For purposes of this question, if the fund knows that two or more beneficial owners of the Class are affiliated with each other, treat them as a single beneficial owner when calculating the percentage ownership and identify separately each affiliated beneficial owner by type and the percentage interest of each affiliated beneficial owner. An affiliated beneficial owner is one that directly or indirectly controls or is controlled by another beneficial owner or is under common control with any other beneficial owner.</t>
  </si>
  <si>
    <t>Item B.10.a</t>
  </si>
  <si>
    <t>a. Type of beneficial owner or record owner:</t>
  </si>
  <si>
    <t>Text/Checkbox</t>
  </si>
  <si>
    <t>Beneficial Owner Type</t>
  </si>
  <si>
    <t>The type of beneficial owner or record owner (e.g., retail investor, corporation, etc.).</t>
  </si>
  <si>
    <t>Item B.10.b</t>
  </si>
  <si>
    <t>b. Percent of shares outstanding in the Class owned of record</t>
  </si>
  <si>
    <t>Record Owner Share Percentage</t>
  </si>
  <si>
    <t>Percentage of shares outstanding in the Class owned of record.</t>
  </si>
  <si>
    <t>Item B.10.c</t>
  </si>
  <si>
    <t>c. Percent of shares outstanding in the Class owned beneficially</t>
  </si>
  <si>
    <t>Beneficial Owner Share Percentage</t>
  </si>
  <si>
    <t>Percentage of shares outstanding in the Class owned beneficially.</t>
  </si>
  <si>
    <t>Item B.11</t>
  </si>
  <si>
    <t>Item B.11. Shareholder Composition. If the fund is not a Government Money Market Fund or Retail Money Market Fund, identify the percentage of investors within the following categories:</t>
  </si>
  <si>
    <t>Item B.11.a</t>
  </si>
  <si>
    <t>a. Non-financial corporations:</t>
  </si>
  <si>
    <t>Non-financial Corporations</t>
  </si>
  <si>
    <t>Percentage of investors that are non-financial corporations.</t>
  </si>
  <si>
    <t>Item B.11.b</t>
  </si>
  <si>
    <t>b. Pension plans:</t>
  </si>
  <si>
    <t>Pension Plans</t>
  </si>
  <si>
    <t>Percentage of investors that are pension plans.</t>
  </si>
  <si>
    <t>Item B.11.c</t>
  </si>
  <si>
    <t>c. Non-profits:</t>
  </si>
  <si>
    <t>Non-profits</t>
  </si>
  <si>
    <t>Percentage of investors that are non-profit organizations.</t>
  </si>
  <si>
    <t>Item B.11.d</t>
  </si>
  <si>
    <t>d. State or municipal government entities (excluding governmental pension plans):</t>
  </si>
  <si>
    <t>Government Entities</t>
  </si>
  <si>
    <t>Percentage of investors that are state or municipal government entities.</t>
  </si>
  <si>
    <t>Item B.11.e</t>
  </si>
  <si>
    <t>e. Registered investment companies:</t>
  </si>
  <si>
    <t>Registered Investment Companies</t>
  </si>
  <si>
    <t>Percentage of investors that are registered investment companies.</t>
  </si>
  <si>
    <t>Item B.11.f</t>
  </si>
  <si>
    <t>f. Private funds:</t>
  </si>
  <si>
    <t>Private Funds</t>
  </si>
  <si>
    <t>Percentage of investors that are private funds.</t>
  </si>
  <si>
    <t>Item B.11.g</t>
  </si>
  <si>
    <t>g. Depository institutions and other banking institutions:</t>
  </si>
  <si>
    <t>Depository and Banking Institutions</t>
  </si>
  <si>
    <t>Percentage of investors that are depository or other banking institutions.</t>
  </si>
  <si>
    <t>Item B.11.h</t>
  </si>
  <si>
    <t>h. Sovereign wealth funds:</t>
  </si>
  <si>
    <t>Sovereign Wealth Funds</t>
  </si>
  <si>
    <t>Percentage of investors that are sovereign wealth funds.</t>
  </si>
  <si>
    <t>Item B.11.i</t>
  </si>
  <si>
    <t>i. Broker-dealers:</t>
  </si>
  <si>
    <t>Broker-Dealers</t>
  </si>
  <si>
    <t>Percentage of investors that are broker-dealers.</t>
  </si>
  <si>
    <t>Item B.11.j</t>
  </si>
  <si>
    <t>j. Insurance companies:</t>
  </si>
  <si>
    <t>Insurance Companies</t>
  </si>
  <si>
    <t>Percentage of investors that are insurance companies.</t>
  </si>
  <si>
    <t>Item B.11.k</t>
  </si>
  <si>
    <t>k. Other:</t>
  </si>
  <si>
    <t>Other Investors</t>
  </si>
  <si>
    <t>Percentage of investors that do not fit into the specified categories.</t>
  </si>
  <si>
    <t>Item B.12</t>
  </si>
  <si>
    <t>Item B.12. Share Cancellation. During the reporting period, were any shares cancelled under rule 2a-7(c)(3)?</t>
  </si>
  <si>
    <t>Share Cancellation Indicator</t>
  </si>
  <si>
    <t>Boolean indicator if any shares were cancelled under rule 2a-7(c)(3).</t>
  </si>
  <si>
    <t>Item B.12.a</t>
  </si>
  <si>
    <t>a. For each business day shares were cancelled under rule 2a-7(c)(3) during the reporting period, provide: I. Dollar value of shares cancelled, II. Number of shares cancelled, III. Date.</t>
  </si>
  <si>
    <t>Date, Number</t>
  </si>
  <si>
    <t>Share Cancellation Details</t>
  </si>
  <si>
    <t>Details about the share cancellation (date, dollar value, number of shares cancelled).</t>
  </si>
  <si>
    <t>Item B.12.a.i</t>
  </si>
  <si>
    <t>i. Dollar value of shares cancelled</t>
  </si>
  <si>
    <t>Cancellation Dollar Value</t>
  </si>
  <si>
    <t>Dollar value of shares cancelled.</t>
  </si>
  <si>
    <t>Item B.12.a.ii</t>
  </si>
  <si>
    <t>ii. Number of shares cancelled</t>
  </si>
  <si>
    <t>Number of Shares Cancelled</t>
  </si>
  <si>
    <t>Number of shares cancelled.</t>
  </si>
  <si>
    <t>Item B.12.a.iii</t>
  </si>
  <si>
    <t>Cancellation Date</t>
  </si>
  <si>
    <t>Date of share cancellation.</t>
  </si>
  <si>
    <t>For each security held by the money market fund, disclose the following information:</t>
  </si>
  <si>
    <t>Item C.1</t>
  </si>
  <si>
    <t>The name of the issuer or the name of the counterparty in a repurchase agreement.</t>
  </si>
  <si>
    <t>Security Issuer</t>
  </si>
  <si>
    <t>The name of the issuer or the counterparty in a repurchase agreement.</t>
  </si>
  <si>
    <t>Item C.2</t>
  </si>
  <si>
    <t>The title of the issue (including coupon, if applicable).</t>
  </si>
  <si>
    <t>Security Title</t>
  </si>
  <si>
    <t>The title of the issue, including the coupon if applicable.</t>
  </si>
  <si>
    <t>Item C.3</t>
  </si>
  <si>
    <t>The CUSIP.</t>
  </si>
  <si>
    <t>Security CUSIP</t>
  </si>
  <si>
    <t>The Committee on Uniform Securities Identification Procedures (CUSIP) number.</t>
  </si>
  <si>
    <t>Item C.4</t>
  </si>
  <si>
    <t>The LEI.</t>
  </si>
  <si>
    <t>Security LEI</t>
  </si>
  <si>
    <t>The Legal Entity Identifier (LEI).</t>
  </si>
  <si>
    <t>Item C.5</t>
  </si>
  <si>
    <t>Other identifier. In addition to CUSIP and LEI, provide at least one of the following other identifiers, if available: a. The ISIN; b. The CIK; c. The RSSD ID; d. Other unique identifier.</t>
  </si>
  <si>
    <t>Other Security Identifier</t>
  </si>
  <si>
    <t>One of the other unique identifiers of the security (ISIN, CIK, RSSD ID, etc.).</t>
  </si>
  <si>
    <t>Item C.6</t>
  </si>
  <si>
    <t>The category of investment. Indicate the category that most closely identifies the instrument.</t>
  </si>
  <si>
    <t>Investment Category</t>
  </si>
  <si>
    <t>The category that most closely identifies the security.</t>
  </si>
  <si>
    <t>Item C.7</t>
  </si>
  <si>
    <t>If the security is a repurchase agreement, is the fund treating the acquisition of the repurchase agreement as the acquisition of the underlying securities under rule 2a-7?</t>
  </si>
  <si>
    <t>Repurchase Agreement Diversification</t>
  </si>
  <si>
    <t>Boolean indicator if the acquisition is treated as the acquisition of underlying securities.</t>
  </si>
  <si>
    <t>Item C.8</t>
  </si>
  <si>
    <t>For all repurchase agreements, specify whether the repurchase agreement is "open" and describe the securities subject to the repurchase agreement (i.e., collateral).</t>
  </si>
  <si>
    <t>Yes/No, Text</t>
  </si>
  <si>
    <t>Repurchase Agreement Details</t>
  </si>
  <si>
    <t>Details on whether the repurchase agreement is "open" and a description of the collateral.</t>
  </si>
  <si>
    <t>Item C.8.a</t>
  </si>
  <si>
    <t>a. Is the repurchase agreement "open"?</t>
  </si>
  <si>
    <t>Open Repurchase Agreement</t>
  </si>
  <si>
    <t>Boolean indicator if the repurchase agreement is "open".</t>
  </si>
  <si>
    <t>Item C.8.b</t>
  </si>
  <si>
    <t>b. Is the repurchase agreement centrally cleared?</t>
  </si>
  <si>
    <t>Centrally Cleared Repurchase</t>
  </si>
  <si>
    <t>Boolean indicator if the repurchase agreement is centrally cleared.</t>
  </si>
  <si>
    <t>Item C.8.b.i</t>
  </si>
  <si>
    <t>If Yes, provide the name of the central clearing counterparty (CCP).</t>
  </si>
  <si>
    <t>CCP Name</t>
  </si>
  <si>
    <t>The name of the central clearing counterparty.</t>
  </si>
  <si>
    <t>Item C.8.c</t>
  </si>
  <si>
    <t>c. Is the repurchase agreement settled on the triparty platform?</t>
  </si>
  <si>
    <t>Triparty Settlement</t>
  </si>
  <si>
    <t>Boolean indicator if the repurchase agreement is settled on the triparty platform.</t>
  </si>
  <si>
    <t>Item C.8.d</t>
  </si>
  <si>
    <t>d. The name of the collateral issuer.</t>
  </si>
  <si>
    <t>Collateral Issuer</t>
  </si>
  <si>
    <t>The name of the collateral issuer.</t>
  </si>
  <si>
    <t>Item C.8.e</t>
  </si>
  <si>
    <t>e. LEI of collateral issuer.</t>
  </si>
  <si>
    <t>Collateral Issuer LEI</t>
  </si>
  <si>
    <t>The Legal Entity Identifier (LEI) of the collateral issuer.</t>
  </si>
  <si>
    <t>Item C.8.f</t>
  </si>
  <si>
    <t>f. The CUSIP of collateral.</t>
  </si>
  <si>
    <t>Collateral CUSIP</t>
  </si>
  <si>
    <t>The CUSIP number of the collateral.</t>
  </si>
  <si>
    <t>Item C.8.g</t>
  </si>
  <si>
    <t>g. Maturity date of the collateral.</t>
  </si>
  <si>
    <t>Collateral Maturity Date</t>
  </si>
  <si>
    <t>The maturity date of the collateral.</t>
  </si>
  <si>
    <t>Item C.8.h</t>
  </si>
  <si>
    <t>h. Coupon or yield of the collateral.</t>
  </si>
  <si>
    <t>Collateral Coupon/Yield</t>
  </si>
  <si>
    <t>The coupon or yield of the collateral.</t>
  </si>
  <si>
    <t>Item C.8.i</t>
  </si>
  <si>
    <t>i. The principal amount, to the nearest cent.</t>
  </si>
  <si>
    <t>Collateral Principal Amount</t>
  </si>
  <si>
    <t>The principal amount of the collateral, to the nearest cent.</t>
  </si>
  <si>
    <t>Item C.8.j</t>
  </si>
  <si>
    <t>j. Value of collateral, to the nearest cent.</t>
  </si>
  <si>
    <t>Collateral Value</t>
  </si>
  <si>
    <t>The value of the collateral, to the nearest cent.</t>
  </si>
  <si>
    <t>Item C.8.k</t>
  </si>
  <si>
    <t>k. The category of investment that most closely represents the collateral.</t>
  </si>
  <si>
    <t>The category of investment that most closely represents the collateral.</t>
  </si>
  <si>
    <t>Item C.9</t>
  </si>
  <si>
    <t>Is the security an Eligible Security?</t>
  </si>
  <si>
    <t>Eligible Security Indicator</t>
  </si>
  <si>
    <t>Boolean indicator if the security is an Eligible Security.</t>
  </si>
  <si>
    <t>Item C.10</t>
  </si>
  <si>
    <t>Security rating(s) considered. Provide each rating assigned by any NRSRO that the fund's board of directors considered in determining that the security presents minimal credit risks.</t>
  </si>
  <si>
    <t>Security Ratings Considered</t>
  </si>
  <si>
    <t>The ratings assigned by NRSROs considered in evaluating the security's risk.</t>
  </si>
  <si>
    <t>Item C.11</t>
  </si>
  <si>
    <t>The maturity date determined by taking into account the maturity shortening provisions of rule 2a-7(i) (i.e., the maturity date used to calculate WAM).</t>
  </si>
  <si>
    <t>Maturity Date WAM</t>
  </si>
  <si>
    <t>The maturity date used to calculate the Weighted Average Maturity (WAM).</t>
  </si>
  <si>
    <t>Item C.12</t>
  </si>
  <si>
    <t>The maturity date determined without reference to the exceptions in rule 2a-7(i) regarding interest rate readjustments (i.e., the maturity date used to calculate WAL).</t>
  </si>
  <si>
    <t>Maturity Date WAL</t>
  </si>
  <si>
    <t>The maturity date used to calculate the Weighted Average Life (WAL).</t>
  </si>
  <si>
    <t>Item C.13</t>
  </si>
  <si>
    <t>The maturity date determined without reference to the maturity shortening provisions of rule 2a-7(i) (i.e., the ultimate legal maturity date).</t>
  </si>
  <si>
    <t>Ultimate Legal Maturity Date</t>
  </si>
  <si>
    <t>The ultimate legal maturity date of the security.</t>
  </si>
  <si>
    <t>Item C.14</t>
  </si>
  <si>
    <t>Does the security have a Demand Feature on which the fund is relying to determine the quality, maturity or liquidity of the security?</t>
  </si>
  <si>
    <t>Demand Feature Indicator</t>
  </si>
  <si>
    <t>Boolean indicator if the security has a Demand Feature that the fund relies on.</t>
  </si>
  <si>
    <t>Item C.14.a</t>
  </si>
  <si>
    <t>a. The identity of the Demand Feature issuer(s).</t>
  </si>
  <si>
    <t>Demand Feature Issuer</t>
  </si>
  <si>
    <t>The identity of the Demand Feature issuer(s).</t>
  </si>
  <si>
    <t>Item C.14.b</t>
  </si>
  <si>
    <t>b. The amount (i.e., percentage) of fractional support provided by each Demand Feature issuer.</t>
  </si>
  <si>
    <t>Demand Feature Support</t>
  </si>
  <si>
    <t>The amount of fractional support provided by each Demand Feature issuer.</t>
  </si>
  <si>
    <t>Item C.14.c</t>
  </si>
  <si>
    <t>c. The period remaining until the principal amount of the security may be recovered through the Demand Feature.</t>
  </si>
  <si>
    <t>Recovery Period</t>
  </si>
  <si>
    <t>The period remaining to recover the principal amount through the Demand Feature.</t>
  </si>
  <si>
    <t>Item C.14.d</t>
  </si>
  <si>
    <t>d. Is the demand feature conditional?</t>
  </si>
  <si>
    <t>Conditional Demand Feature</t>
  </si>
  <si>
    <t>Boolean indicator if the Demand Feature is conditional.</t>
  </si>
  <si>
    <t>Item C.14.e</t>
  </si>
  <si>
    <t>e. Rating(s) considered.</t>
  </si>
  <si>
    <t>Demand Feature Ratings</t>
  </si>
  <si>
    <t>The ratings assigned to the Demand Feature(s) considered by the board.</t>
  </si>
  <si>
    <t>Item C.15</t>
  </si>
  <si>
    <t>Does the security have a Guarantee (other than an unconditional letter of credit disclosed in item C.14) on which the fund is relying to determine the quality, maturity or liquidity of the security?</t>
  </si>
  <si>
    <t>Guarantee Indicator</t>
  </si>
  <si>
    <t>Boolean indicator if the security has a Guarantee relied upon by the fund.</t>
  </si>
  <si>
    <t>Item C.15.a</t>
  </si>
  <si>
    <t>a. The identity of the Guarantor(s).</t>
  </si>
  <si>
    <t>Guarantor Identity</t>
  </si>
  <si>
    <t>The identity of the Guarantor(s).</t>
  </si>
  <si>
    <t>Item C.15.b</t>
  </si>
  <si>
    <t>b. The amount (i.e., percentage) of fractional support provided by each Guarantor.</t>
  </si>
  <si>
    <t>Guarantor Fractional Support</t>
  </si>
  <si>
    <t>The amount of fractional support provided by each Guarantor.</t>
  </si>
  <si>
    <t>Item C.15.c</t>
  </si>
  <si>
    <t>c. Rating(s) considered.</t>
  </si>
  <si>
    <t>Guarantee Ratings</t>
  </si>
  <si>
    <t>The ratings assigned to the Guarantee(s) considered by the board.</t>
  </si>
  <si>
    <t>Item C.16</t>
  </si>
  <si>
    <t>Does the security have any enhancements, other than those identified in Items C.14 and C.15, on which the fund is relying to determine the quality, maturity or liquidity of the security?</t>
  </si>
  <si>
    <t>Enhancement Indicator</t>
  </si>
  <si>
    <t>Boolean indicator if the security has other enhancements relied upon by the fund.</t>
  </si>
  <si>
    <t>Item C.16.a</t>
  </si>
  <si>
    <t>a. The identity of the enhancement provider(s).</t>
  </si>
  <si>
    <t>Enhancement Provider Identity</t>
  </si>
  <si>
    <t>The identity of the enhancement provider(s).</t>
  </si>
  <si>
    <t>Item C.16.b</t>
  </si>
  <si>
    <t>b. The type of enhancement(s).</t>
  </si>
  <si>
    <t>Enhancement Type</t>
  </si>
  <si>
    <t>The type of enhancement(s).</t>
  </si>
  <si>
    <t>Item C.16.c</t>
  </si>
  <si>
    <t>c. The amount (i.e., percentage) of fractional support provided by each enhancement provider.</t>
  </si>
  <si>
    <t>Enhancement Fractional Support</t>
  </si>
  <si>
    <t>The amount of fractional support provided by each enhancement provider.</t>
  </si>
  <si>
    <t>Item C.16.d</t>
  </si>
  <si>
    <t>d. Rating(s) considered.</t>
  </si>
  <si>
    <t>Enhancement Ratings</t>
  </si>
  <si>
    <t>The ratings assigned to the enhancement(s) considered by the board.</t>
  </si>
  <si>
    <t>Item C.17</t>
  </si>
  <si>
    <t>The yield of the security as of the reporting date.</t>
  </si>
  <si>
    <t>Security Yield</t>
  </si>
  <si>
    <t>Item C.18</t>
  </si>
  <si>
    <t>The total Value of the fund's position in the security, to the nearest cent:</t>
  </si>
  <si>
    <t>item C.18.a</t>
  </si>
  <si>
    <t>a. Including the value of any sponsor support:</t>
  </si>
  <si>
    <t>Fund Security Position Value</t>
  </si>
  <si>
    <t>The total value of the fund's position in the security, including any sponsor support, to the nearest cent.</t>
  </si>
  <si>
    <t>item C.18.b</t>
  </si>
  <si>
    <t>b. Excluding the value of any sponsor support:</t>
  </si>
  <si>
    <t>Security Position Value (Excl. Sponsor)</t>
  </si>
  <si>
    <t>The total value of the fund's position in the security, excluding any sponsor support, to the nearest cent.</t>
  </si>
  <si>
    <t>Item C.19</t>
  </si>
  <si>
    <t>The percentage of the money market fund's net assets invested in the security, to the nearest hundredth of a percent.</t>
  </si>
  <si>
    <t>Security Investment Percentage</t>
  </si>
  <si>
    <t>The percentage of the fund's net assets invested in the security.</t>
  </si>
  <si>
    <t>Item C.20</t>
  </si>
  <si>
    <t>Is the security categorized at level 3 in the fair value hierarchy under U.S. Generally Accepted Accounting Principles (ASC 820, Fair Value Measurement)?</t>
  </si>
  <si>
    <t>Level 3 Fair Value Hierarchy</t>
  </si>
  <si>
    <t>Boolean indicator if the security is categorized at level 3 in the fair value hierarchy.</t>
  </si>
  <si>
    <t>Item C.21</t>
  </si>
  <si>
    <t>Is the security a Daily Liquid Asset?</t>
  </si>
  <si>
    <t>Daily Liquid Asset Indicator</t>
  </si>
  <si>
    <t>Boolean indicator if the security is a Daily Liquid Asset.</t>
  </si>
  <si>
    <t>Item C.22</t>
  </si>
  <si>
    <t>Is the security a Weekly Liquid Asset?</t>
  </si>
  <si>
    <t>Weekly Liquid Asset Indicator</t>
  </si>
  <si>
    <t>Boolean indicator if the security is a Weekly Liquid Asset.</t>
  </si>
  <si>
    <t>Item C.23</t>
  </si>
  <si>
    <t>Is the security an Illiquid Security?</t>
  </si>
  <si>
    <t>Illiquid Security Indicator</t>
  </si>
  <si>
    <t>Boolean indicator if the security is an Illiquid Security.</t>
  </si>
  <si>
    <t>Item C.24</t>
  </si>
  <si>
    <t>Explanatory notes. Disclose any other information that may be material to other disclosures related to the portfolio security. If none, leave blank.</t>
  </si>
  <si>
    <t>Any other information material to disclosures related to the portfolio security.</t>
  </si>
  <si>
    <t>Part D</t>
  </si>
  <si>
    <t>Item D.1. Disclose the gross market value of portfolio securities the money market fund sold or disposed of during the reporting period by category of investment. Do not include portfolio securities that the fund held until maturity. A money market fund that is a Government Money Market Fund or a tax exempt fund, as defined in rule 2a-7(a)(23), is not required to respond to Part D.</t>
  </si>
  <si>
    <t>Item D.1.a</t>
  </si>
  <si>
    <t>a. U.S. Treasury Debt, to the nearest cent.</t>
  </si>
  <si>
    <t>Gross Market Value of U.S. Treasury Debt</t>
  </si>
  <si>
    <t>The gross market value of U.S. Treasury Debt sold or disposed of during the reporting period.</t>
  </si>
  <si>
    <t>Item D.1.b</t>
  </si>
  <si>
    <t>b. U.S. Government Agency Debt (if categorized as coupon-paying notes), to the nearest cent.</t>
  </si>
  <si>
    <t>Gross Market Value of U.S. Government Agency Debt (Coupon)</t>
  </si>
  <si>
    <t>The gross market value of U.S. Government Agency Debt (coupon-paying notes) sold or disposed of.</t>
  </si>
  <si>
    <t>Item D.1.c</t>
  </si>
  <si>
    <t>c. U.S. Government Agency Debt (if categorized as no-coupon discount notes), to the nearest cent.</t>
  </si>
  <si>
    <t>Gross Market Value of U.S. Government Agency Debt (No-Coupon)</t>
  </si>
  <si>
    <t>The gross market value of U.S. Government Agency Debt (no-coupon discount notes) sold or disposed of.</t>
  </si>
  <si>
    <t>Item D.1.d</t>
  </si>
  <si>
    <t>d. Non-U.S. Sovereign, Sub-Sovereign and Supra-National Debt, to the nearest cent.</t>
  </si>
  <si>
    <t>Gross Market Value of Non-U.S. Government Debt</t>
  </si>
  <si>
    <t>The gross market value of Non-U.S. Sovereign, Sub-Sovereign, and Supra-National Debt sold or disposed of.</t>
  </si>
  <si>
    <t>Item D.1.e</t>
  </si>
  <si>
    <t>e. Certificate of Deposit, to the nearest cent.</t>
  </si>
  <si>
    <t>Gross Market Value of Certificate of Deposit</t>
  </si>
  <si>
    <t>The gross market value of Certificates of Deposit sold or disposed of.</t>
  </si>
  <si>
    <t>Item D.1.f</t>
  </si>
  <si>
    <t>f. Non-Negotiable Time Deposit, to the nearest cent.</t>
  </si>
  <si>
    <t>Gross Market Value of Non-Negotiable Time Deposit</t>
  </si>
  <si>
    <t>The gross market value of Non-Negotiable Time Deposits sold or disposed of.</t>
  </si>
  <si>
    <t>Item D.1.g</t>
  </si>
  <si>
    <t>g. Variable Rate Demand Note, to the nearest cent.</t>
  </si>
  <si>
    <t>Gross Market Value of Variable Rate Demand Note</t>
  </si>
  <si>
    <t>The gross market value of Variable Rate Demand Notes sold or disposed of.</t>
  </si>
  <si>
    <t>Item D.1.h</t>
  </si>
  <si>
    <t>h. Other Municipal Security, to the nearest cent.</t>
  </si>
  <si>
    <t>Gross Market Value of Other Municipal Security</t>
  </si>
  <si>
    <t>The gross market value of Other Municipal Securities sold or disposed of.</t>
  </si>
  <si>
    <t>Item D.1.i</t>
  </si>
  <si>
    <t>i. Asset Backed Commercial Paper, to the nearest cent.</t>
  </si>
  <si>
    <t>Gross Market Value of Asset Backed Commercial Paper</t>
  </si>
  <si>
    <t>The gross market value of Asset Backed Commercial Paper sold or disposed of.</t>
  </si>
  <si>
    <t>Item D.1.j</t>
  </si>
  <si>
    <t>j. Other Asset Backed Securities, to the nearest cent.</t>
  </si>
  <si>
    <t>Gross Market Value of Other Asset Backed Securities</t>
  </si>
  <si>
    <t>The gross market value of Other Asset Backed Securities sold or disposed of.</t>
  </si>
  <si>
    <t>Item D.1.k</t>
  </si>
  <si>
    <t>k. U.S. Treasury Repurchase Agreement (if collateralized only by U.S. Treasuries (including Strips) and cash), to the nearest cent.</t>
  </si>
  <si>
    <t>Gross Market Value of U.S. Treasury Repurchase Agreement</t>
  </si>
  <si>
    <t>The gross market value of U.S. Treasury Repurchase Agreements sold or disposed of.</t>
  </si>
  <si>
    <t>Item D.1.l</t>
  </si>
  <si>
    <t>l. U.S. Government Agency Repurchase Agreement (collateralized only by U.S. Government Agency securities, U.S. Treasuries, and cash), to the nearest cent.</t>
  </si>
  <si>
    <t>Gross Market Value of U.S. Government Agency Repurchase Agreement</t>
  </si>
  <si>
    <t>The gross market value of U.S. Government Agency Repurchase Agreements sold or disposed of.</t>
  </si>
  <si>
    <t>Item D.1.m</t>
  </si>
  <si>
    <t>m. Other Repurchase Agreement (if collateral falls outside Treasury, Government Agency, and cash), to the nearest cent.</t>
  </si>
  <si>
    <t>Gross Market Value of Other Repurchase Agreement</t>
  </si>
  <si>
    <t>The gross market value of Other Repurchase Agreements sold or disposed of.</t>
  </si>
  <si>
    <t>Item D.1.n</t>
  </si>
  <si>
    <t>n. Insurance Company Funding Agreement, to the nearest cent.</t>
  </si>
  <si>
    <t>Gross Market Value of Insurance Company Funding Agreement</t>
  </si>
  <si>
    <t>The gross market value of Insurance Company Funding Agreements sold or disposed of.</t>
  </si>
  <si>
    <t>Item D.1.o</t>
  </si>
  <si>
    <t>o. Investment Company, to the nearest cent.</t>
  </si>
  <si>
    <t>Gross Market Value of Investment Company</t>
  </si>
  <si>
    <t>The gross market value of Investment Companies sold or disposed of.</t>
  </si>
  <si>
    <t>Item D.1.p</t>
  </si>
  <si>
    <t>p. Financial Company Commercial Paper, to the nearest cent.</t>
  </si>
  <si>
    <t>Gross Market Value of Financial Company Commercial Paper</t>
  </si>
  <si>
    <t>The gross market value of Financial Company Commercial Paper sold or disposed of.</t>
  </si>
  <si>
    <t>Item D.1.q</t>
  </si>
  <si>
    <t>q. Non-Financial Company Commercial Paper, to the nearest cent.</t>
  </si>
  <si>
    <t>Gross Market Value of Non-Financial Company Commercial Paper</t>
  </si>
  <si>
    <t>The gross market value of Non-Financial Company Commercial Paper sold or disposed of.</t>
  </si>
  <si>
    <t>Item D.1.r</t>
  </si>
  <si>
    <t>r. Tender Option Bond, to the nearest cent.</t>
  </si>
  <si>
    <t>Gross Market Value of Tender Option Bond</t>
  </si>
  <si>
    <t>The gross market value of Tender Option Bonds sold or disposed of.</t>
  </si>
  <si>
    <t>Item D.1.s</t>
  </si>
  <si>
    <t>s. Other Instrument, to the nearest cent.</t>
  </si>
  <si>
    <t>Gross Market Value of Other Instrument</t>
  </si>
  <si>
    <t>The gross market value of Other Instruments sold or disposed of.</t>
  </si>
  <si>
    <t>If Other Instrument, include a brief description.</t>
  </si>
  <si>
    <t>Other Instrument Description</t>
  </si>
  <si>
    <t>A brief description of any Other Instrument sold or disposed of.</t>
  </si>
  <si>
    <t>Item A</t>
  </si>
  <si>
    <t>A.1.a</t>
  </si>
  <si>
    <t>Report for period ending: [yyyy/mm/dd]</t>
  </si>
  <si>
    <t>Report Period End Date</t>
  </si>
  <si>
    <t>The date indicating the end of the reporting period in the format [yyyy/mm/dd].</t>
  </si>
  <si>
    <t>A.1.b</t>
  </si>
  <si>
    <t>Does this report cover a period of less than 12 months? [Y/N]</t>
  </si>
  <si>
    <t>Period Less Than 12 Months</t>
  </si>
  <si>
    <t>Indicates whether the report covers a period of less than 12 months.</t>
  </si>
  <si>
    <t>Checkbox [Y/N]</t>
  </si>
  <si>
    <t>Item B</t>
  </si>
  <si>
    <t>B.1.a</t>
  </si>
  <si>
    <t>Full name of Registrant:</t>
  </si>
  <si>
    <t>Registrant Full Name</t>
  </si>
  <si>
    <t>The complete legal name of the registrant.</t>
  </si>
  <si>
    <t>B.1.b</t>
  </si>
  <si>
    <t>Investment Company Act file number (e.g., 811-):</t>
  </si>
  <si>
    <t>The Investment Company Act file number assigned to the registrant, formatted as 811-xxxxx.</t>
  </si>
  <si>
    <t>B.1.c</t>
  </si>
  <si>
    <t>CIK:</t>
  </si>
  <si>
    <t>CIK Number</t>
  </si>
  <si>
    <t>The Central Index Key (CIK) number assigned to the registrant by the SEC.</t>
  </si>
  <si>
    <t>B.1.d</t>
  </si>
  <si>
    <t>LEI:</t>
  </si>
  <si>
    <t>LEI</t>
  </si>
  <si>
    <t>The Legal Entity Identifier (LEI) assigned to the registrant.</t>
  </si>
  <si>
    <t>B.2.a</t>
  </si>
  <si>
    <t>Street:</t>
  </si>
  <si>
    <t>Registrant Street Address</t>
  </si>
  <si>
    <t>The street address of the registrant's principal office.</t>
  </si>
  <si>
    <t>B.2.b</t>
  </si>
  <si>
    <t>City:</t>
  </si>
  <si>
    <t>Registrant City</t>
  </si>
  <si>
    <t>The city of the registrant's principal office.</t>
  </si>
  <si>
    <t>B.2.c</t>
  </si>
  <si>
    <t>State, if applicable:</t>
  </si>
  <si>
    <t>Registrant State</t>
  </si>
  <si>
    <t>The state of the registrant's principal office, if applicable.</t>
  </si>
  <si>
    <t>Form NCEN</t>
  </si>
  <si>
    <t>B.2.d</t>
  </si>
  <si>
    <t>Foreign country, if applicable:</t>
  </si>
  <si>
    <t>Foreign Country</t>
  </si>
  <si>
    <t>The foreign country of the registrant's principal office, if applicable.</t>
  </si>
  <si>
    <t>UNITED STATES OF AMERICA  </t>
  </si>
  <si>
    <t>B.2.e</t>
  </si>
  <si>
    <t>Zip code and zip code extension, or foreign postal code:</t>
  </si>
  <si>
    <t>Zip/Postal Code</t>
  </si>
  <si>
    <t>The zip code or foreign postal code of the registrant's principal office.</t>
  </si>
  <si>
    <t>92618 </t>
  </si>
  <si>
    <t>B.2.f</t>
  </si>
  <si>
    <t>Telephone number (including country code if foreign):</t>
  </si>
  <si>
    <t>Telephone Number</t>
  </si>
  <si>
    <t>The telephone number of the registrant's principal office, including country code if foreign.</t>
  </si>
  <si>
    <t>9499755000 </t>
  </si>
  <si>
    <t>B.2.g</t>
  </si>
  <si>
    <t>Public website, if any:</t>
  </si>
  <si>
    <t>Public Website</t>
  </si>
  <si>
    <t>The URL of the registrant's public website, if any.</t>
  </si>
  <si>
    <t>capitalgroup.com</t>
  </si>
  <si>
    <t>Name of person (e.g., a custodian of records):</t>
  </si>
  <si>
    <t>Name of Records Custodian</t>
  </si>
  <si>
    <t>The name of the person maintaining physical possession of the registrant's books and records.</t>
  </si>
  <si>
    <t>Capital Research and Management Company </t>
  </si>
  <si>
    <t>Records Custodian Street Address</t>
  </si>
  <si>
    <t>The street address of the person maintaining physical possession of the registrant's books and records.</t>
  </si>
  <si>
    <t>6455 Irvine Center Drive </t>
  </si>
  <si>
    <t>Records Custodian City</t>
  </si>
  <si>
    <t>The city of the person maintaining physical possession of the registrant's books and records.</t>
  </si>
  <si>
    <t>Irvine</t>
  </si>
  <si>
    <t>B.3.d</t>
  </si>
  <si>
    <t>Records Custodian State</t>
  </si>
  <si>
    <t>The state of the person maintaining physical possession of the registrant's books and records, if applicable.</t>
  </si>
  <si>
    <t>CALIFORNIA  </t>
  </si>
  <si>
    <t>B.3.e</t>
  </si>
  <si>
    <t>Records Custodian Foreign Country</t>
  </si>
  <si>
    <t>The foreign country of the person maintaining physical possession of the registrant's books and records, if applicable.</t>
  </si>
  <si>
    <t>B.3.f</t>
  </si>
  <si>
    <t>Records Custodian Zip/Postal Code</t>
  </si>
  <si>
    <t>The zip code or foreign postal code of the person maintaining physical possession of the registrant's books and records.</t>
  </si>
  <si>
    <t>B.3.g</t>
  </si>
  <si>
    <t>Records Custodian Telephone Number</t>
  </si>
  <si>
    <t>The telephone number of the person maintaining physical possession of the registrant's books and records, including country code if foreign.</t>
  </si>
  <si>
    <t>B.3.h</t>
  </si>
  <si>
    <t>Briefly describe the books and records kept at this location:</t>
  </si>
  <si>
    <t>Description of Books and Records</t>
  </si>
  <si>
    <t>A brief description of the books and records maintained at the specified location.</t>
  </si>
  <si>
    <t>Fund accounting and transaction settlement records </t>
  </si>
  <si>
    <t>Is this the first filing on this form by the Registrant? [Y/N]</t>
  </si>
  <si>
    <t>First Filing Indicator</t>
  </si>
  <si>
    <t>Indicates whether this is the first filing on this form by the registrant.</t>
  </si>
  <si>
    <t>Is this the last filing on this form by the Registrant? [Y/N]</t>
  </si>
  <si>
    <t>Last Filing Indicator</t>
  </si>
  <si>
    <t>Indicates whether this is the last filing on this form by the registrant.</t>
  </si>
  <si>
    <t>Is the Registrant part of a family of investment companies? [Y/N]</t>
  </si>
  <si>
    <t>Family of Investment Companies Indicator</t>
  </si>
  <si>
    <t>Indicates whether the registrant is part of a family of investment companies.</t>
  </si>
  <si>
    <t>B.5.a.i</t>
  </si>
  <si>
    <t>Full name of family of investment companies:</t>
  </si>
  <si>
    <t>Name of Family of Investment Companies</t>
  </si>
  <si>
    <t>The full name of the family of investment companies, if applicable.</t>
  </si>
  <si>
    <t>Capital Group Fund Group </t>
  </si>
  <si>
    <t>Open end management investment company registered under the Act on Form N-1A:</t>
  </si>
  <si>
    <t>Open-End Management Investment Company</t>
  </si>
  <si>
    <t>Indicates whether the registrant is an open-end management investment company registered under the Act on Form N-1A.</t>
  </si>
  <si>
    <t>B.6.a.i</t>
  </si>
  <si>
    <t>Total number of Series of the Registrant:</t>
  </si>
  <si>
    <t>Number of Series</t>
  </si>
  <si>
    <t>The total number of series of the registrant.</t>
  </si>
  <si>
    <t>B.6.a.ii.1</t>
  </si>
  <si>
    <t>Name of the Series:</t>
  </si>
  <si>
    <t>The name of the series of the registrant.</t>
  </si>
  <si>
    <t>B.6.a.ii.2</t>
  </si>
  <si>
    <t>Series identification number:</t>
  </si>
  <si>
    <t>Series Identification Number</t>
  </si>
  <si>
    <t>The identification number of the series of the registrant.</t>
  </si>
  <si>
    <t>S000008801 </t>
  </si>
  <si>
    <t>B.6.a.ii.3</t>
  </si>
  <si>
    <t>Date of termination (month/year):</t>
  </si>
  <si>
    <t>Series Termination Date</t>
  </si>
  <si>
    <t>The date on which the series of the registrant was terminated, in the format (month/year).</t>
  </si>
  <si>
    <t>Closed-end management investment company registered under the Act on Form N-2:</t>
  </si>
  <si>
    <t>Closed-End Management Investment Company</t>
  </si>
  <si>
    <t>Indicates whether the registrant is a closed-end management investment company registered under the Act on Form N-2.</t>
  </si>
  <si>
    <t>Separate account offering variable annuity contracts which is registered under the Act as 
a management investment company on Form N-3:</t>
  </si>
  <si>
    <t>Variable Annuity Separate Account (N-3)</t>
  </si>
  <si>
    <t>Indicates whether the registrant is a separate account offering variable annuity contracts registered as a management investment company on Form N-3.</t>
  </si>
  <si>
    <t>B.6.c.i</t>
  </si>
  <si>
    <t>Registrants that indicate they are a management investment company registered under the Act on Form N-3, should respond to Item F.13 through Item F.16 of this Form in addition to the Parts required by General Instruction A of this Form.</t>
  </si>
  <si>
    <t>Instruction for registrants indicating that they are a management investment company registered on Form N-3.</t>
  </si>
  <si>
    <t>Instruction Text</t>
  </si>
  <si>
    <t>B.6.d</t>
  </si>
  <si>
    <t>Separate account offering variable annuity contracts which is registered under the Act as a unit investment trust on Form N-4:</t>
  </si>
  <si>
    <t>Variable Annuity Separate Account (N-4)</t>
  </si>
  <si>
    <t>Indicates whether the registrant is a separate account offering variable annuity contracts registered as a unit investment trust on Form N-4.</t>
  </si>
  <si>
    <t>B.6.e</t>
  </si>
  <si>
    <t>Small business investment company registered under the Act on Form N-5:</t>
  </si>
  <si>
    <t>Small Business Investment Company (N-5)</t>
  </si>
  <si>
    <t>Indicates whether the registrant is a small business investment company registered under the Act on Form N-5.</t>
  </si>
  <si>
    <t>B.6.f</t>
  </si>
  <si>
    <t>Separate account offering variable life insurance contracts which is registered under the Act as a unit investment trust on Form N-6:</t>
  </si>
  <si>
    <t>Variable Life Insurance Separate Account (N-6)</t>
  </si>
  <si>
    <t>Indicates whether the registrant is a separate account offering variable life insurance contracts registered as a unit investment trust on Form N-6.</t>
  </si>
  <si>
    <t>B.6.g</t>
  </si>
  <si>
    <t>Unit investment trust registered under the Act on Form N-8B-2:</t>
  </si>
  <si>
    <t>Unit Investment Trust (N-8B-2)</t>
  </si>
  <si>
    <t>Indicates whether the registrant is registered under the Act as a unit investment trust on Form N-8B-2.</t>
  </si>
  <si>
    <t>B.7</t>
  </si>
  <si>
    <t>Is the Registrant the issuer of a class of securities registered under the Securities Act of 1933("Securities Act")? [Y/N]</t>
  </si>
  <si>
    <t>Securities Act Registration Indicator</t>
  </si>
  <si>
    <t>Indicates whether the registrant is the issuer of a class of securities registered under the Securities Act of 1933.</t>
  </si>
  <si>
    <t>B.8.a</t>
  </si>
  <si>
    <t>Full name:</t>
  </si>
  <si>
    <t>Director Full Name</t>
  </si>
  <si>
    <t>The full name of the person serving as director of the registrant.</t>
  </si>
  <si>
    <t>Gina F. Adams</t>
  </si>
  <si>
    <t>B.8.b</t>
  </si>
  <si>
    <t>CRD number, if any:</t>
  </si>
  <si>
    <t>Director CRD Number (if any)</t>
  </si>
  <si>
    <t>The CRD number of the person serving as director of the registrant, if any.</t>
  </si>
  <si>
    <t>B.8.c</t>
  </si>
  <si>
    <t>Is the person an "interested person" of the Registrant as that term is defined in section 2(a)(19) of the Act (15 U.S.C. 80a-2(a)(19))? [Y/N]</t>
  </si>
  <si>
    <t>Interested Person Indicator</t>
  </si>
  <si>
    <t>Indicates whether the person serving as director is an "interested person" of the registrant as defined in the Act.</t>
  </si>
  <si>
    <t>Investment Company Act file number of any other registered investment company for which the person also serves as a director (e.g., 811-):</t>
  </si>
  <si>
    <t>Other ICA File Number</t>
  </si>
  <si>
    <t>The Investment Company Act file number of any other registered investment company where the person also serves as a director.</t>
  </si>
  <si>
    <t>Jane M. Scofield </t>
  </si>
  <si>
    <t>CCO Full Name</t>
  </si>
  <si>
    <t>The full name of the Chief Compliance Officer (CCO) of the registrant.</t>
  </si>
  <si>
    <t>N/A </t>
  </si>
  <si>
    <t>CCO CRD Number (if any)</t>
  </si>
  <si>
    <t>The CRD number of the CCO, if any.</t>
  </si>
  <si>
    <t>333 South Hope Street </t>
  </si>
  <si>
    <t>CCO Street Address</t>
  </si>
  <si>
    <t>The street address of the CCO.</t>
  </si>
  <si>
    <t>Los Angeles </t>
  </si>
  <si>
    <t>CCO City</t>
  </si>
  <si>
    <t>The city of the CCO.</t>
  </si>
  <si>
    <t>B.9.e</t>
  </si>
  <si>
    <t>CCO State</t>
  </si>
  <si>
    <t>The state of the CCO, if applicable.</t>
  </si>
  <si>
    <t>B.9.f</t>
  </si>
  <si>
    <t>CCO Foreign Country</t>
  </si>
  <si>
    <t>The foreign country of the CCO, if applicable.</t>
  </si>
  <si>
    <t xml:space="preserve">UNITED STATES OF AMERICA  </t>
  </si>
  <si>
    <t>B.9.g</t>
  </si>
  <si>
    <t>90071 </t>
  </si>
  <si>
    <t>CCO Zip/Postal Code</t>
  </si>
  <si>
    <t>The zip code or foreign postal code of the CCO.</t>
  </si>
  <si>
    <t>B.9.h</t>
  </si>
  <si>
    <t>XXXXXX </t>
  </si>
  <si>
    <t>CCO Telephone Number</t>
  </si>
  <si>
    <t>The telephone number of the CCO, including country code if foreign.</t>
  </si>
  <si>
    <t>B.9.i</t>
  </si>
  <si>
    <t>Has the chief compliance officer changed since the last filing? [Y/N]</t>
  </si>
  <si>
    <t>CCO Change Indicator</t>
  </si>
  <si>
    <t>Indicates whether the chief compliance officer has changed since the last filing.</t>
  </si>
  <si>
    <t>B.9.j.i</t>
  </si>
  <si>
    <t>Name of the person:</t>
  </si>
  <si>
    <t>Person's Name</t>
  </si>
  <si>
    <t>The name of the person, if the CCO is compensated or employed by any other person.</t>
  </si>
  <si>
    <t>B.9.j.ii</t>
  </si>
  <si>
    <t>Person's IRS Employer Identification Number:</t>
  </si>
  <si>
    <t>Person's EIN</t>
  </si>
  <si>
    <t>The IRS Employer Identification Number (EIN) of the person compensating or employing the CCO.</t>
  </si>
  <si>
    <t>B.10</t>
  </si>
  <si>
    <t>Were any matters submitted by the Registrant for its security holders' vote during the reporting period? [Y/N]</t>
  </si>
  <si>
    <t>Matters for Security Holder Vote Indicator</t>
  </si>
  <si>
    <t>Indicates whether any matters were submitted by the registrant for its security holders' vote during the reporting period.</t>
  </si>
  <si>
    <t>B.10.a.i</t>
  </si>
  <si>
    <t>Series name:</t>
  </si>
  <si>
    <t>Series Name for Security Holder Vote</t>
  </si>
  <si>
    <t>The name of the series for which matters were submitted for security holders' vote.</t>
  </si>
  <si>
    <t>B.10.a.ii</t>
  </si>
  <si>
    <t>Series ID for Security Holder Vote</t>
  </si>
  <si>
    <t>The identification number of the series for which matters were submitted for security holders' vote.</t>
  </si>
  <si>
    <t>Have there been any material legal proceedings, other than routine litigation incidental to the business, to which the Registrant or any of its subsidiaries was a party or of which any of their property was the subject during the reporting period? [Y/N]</t>
  </si>
  <si>
    <t>Legal Proceedings Indicator</t>
  </si>
  <si>
    <t>Indicates whether there have been any material legal proceedings involving the registrant or its subsidiaries during the reporting period.</t>
  </si>
  <si>
    <t>B.11.a.i.1</t>
  </si>
  <si>
    <t>Series Name for Legal Proceedings</t>
  </si>
  <si>
    <t>The name of the series involved in the legal proceedings.</t>
  </si>
  <si>
    <t>B.11.a.i.2</t>
  </si>
  <si>
    <t>Series ID for Legal Proceedings</t>
  </si>
  <si>
    <t>The identification number of the series involved in the legal proceedings.</t>
  </si>
  <si>
    <t>Has any proceeding previously reported been terminated? [Y/N]</t>
  </si>
  <si>
    <t>Terminated Proceedings Indicator</t>
  </si>
  <si>
    <t>Indicates whether any previously reported proceeding has been terminated.</t>
  </si>
  <si>
    <t>B.11.b.i.1</t>
  </si>
  <si>
    <t>Series Name for Terminated Proceedings</t>
  </si>
  <si>
    <t>The name of the series involved in the terminated proceedings.</t>
  </si>
  <si>
    <t>B.11.b.i.2</t>
  </si>
  <si>
    <t>Series ID for Terminated Proceedings</t>
  </si>
  <si>
    <t>The identification number of the series involved in the terminated proceedings.</t>
  </si>
  <si>
    <t>B.12.a</t>
  </si>
  <si>
    <t>Were any claims with respect to the Registrant filed under a fidelity bond (including, but not limited to, the fidelity insuring agreement of the bond) during the reporting period? [Y/N]</t>
  </si>
  <si>
    <t>Fidelity Bond Claims Indicator</t>
  </si>
  <si>
    <t>Indicates whether any claims with respect to the registrant were filed under a fidelity bond during the reporting period.</t>
  </si>
  <si>
    <t>B.12.a.i</t>
  </si>
  <si>
    <t>If yes, enter the aggregate dollar amount of claims filed:</t>
  </si>
  <si>
    <t>Aggregate Fidelity Bond Claims Amount</t>
  </si>
  <si>
    <t>The aggregate dollar amount of claims filed under the fidelity bond during the reporting period.</t>
  </si>
  <si>
    <t>B.13.a</t>
  </si>
  <si>
    <t>Are the Registrant's officers or directors covered in their capacities as officers or directors under any directors and officers/errors and omissions insurance policy owned by the Registrant or anyone else? [Y/N]</t>
  </si>
  <si>
    <t>D&amp;O/E&amp;O Insurance Coverage Indicator</t>
  </si>
  <si>
    <t>Indicates whether the registrant's officers or directors are covered under any directors and officers/errors and omissions insurance policy.</t>
  </si>
  <si>
    <t>B.13.a.i</t>
  </si>
  <si>
    <t>If yes, were any claims filed under the policy during the reporting period with respect to the Registrant? [Y/N]</t>
  </si>
  <si>
    <t>D&amp;O/E&amp;O Claims Filed Indicator</t>
  </si>
  <si>
    <t>Indicates whether any claims were filed under the D&amp;O/E&amp;O insurance policy with respect to the registrant.</t>
  </si>
  <si>
    <t>B.14</t>
  </si>
  <si>
    <t>Did an affiliated person, promoter, or principal underwriter of the Registrant, or an affiliated person of such a person, provide any form of financial support to the Registrant during the reporting period? [Y/N]</t>
  </si>
  <si>
    <t>Financial Support Indicator</t>
  </si>
  <si>
    <t>Indicates whether any affiliated person, promoter, or principal underwriter of the registrant provided financial support during the reporting period.</t>
  </si>
  <si>
    <t>B.14.a.i</t>
  </si>
  <si>
    <t>Series Name for Financial Support</t>
  </si>
  <si>
    <t>The name of the series that received financial support.</t>
  </si>
  <si>
    <t>B.14.a.ii</t>
  </si>
  <si>
    <t>Series ID for Financial Support</t>
  </si>
  <si>
    <t>The identification number of the series that received financial support.</t>
  </si>
  <si>
    <t>B.15.a</t>
  </si>
  <si>
    <t>During the reporting period, did the Registrant rely on any orders from the Commission granting an exemption from one or more provisions of the Act, Securities Act or Exchange Act? [Y/N]</t>
  </si>
  <si>
    <t>Exemptive Orders Reliance Indicator</t>
  </si>
  <si>
    <t>Indicates whether the registrant relied on any exemptive orders from the Commission during the reporting period.</t>
  </si>
  <si>
    <t>B.15.a.i</t>
  </si>
  <si>
    <t>IC-32077 </t>
  </si>
  <si>
    <t>If yes, provide below the release number for each order:</t>
  </si>
  <si>
    <t>Exemptive Orders Release Numbers</t>
  </si>
  <si>
    <t>The release number for each order granting an exemption from one or more provisions of the Act, Securities Act, or Exchange Act.</t>
  </si>
  <si>
    <t>B.16.a.i</t>
  </si>
  <si>
    <t>Capital Client Group, Inc. </t>
  </si>
  <si>
    <t>Principal Underwriter Full Name</t>
  </si>
  <si>
    <t>The full name of the principal underwriter.</t>
  </si>
  <si>
    <t>B.16.a.ii</t>
  </si>
  <si>
    <t>8-17168 </t>
  </si>
  <si>
    <t>SEC file number (e.g., 8-):</t>
  </si>
  <si>
    <t>SEC File Number</t>
  </si>
  <si>
    <t>The SEC file number assigned to the principal underwriter.</t>
  </si>
  <si>
    <t>B.16.a.iii</t>
  </si>
  <si>
    <t>000006247 </t>
  </si>
  <si>
    <t>CRD number:</t>
  </si>
  <si>
    <t>CRD Number from FINRA</t>
  </si>
  <si>
    <t>The central licensing and registration system number issued to the principal underwriter by the Financial Industry Regulatory Authority (FINRA).</t>
  </si>
  <si>
    <t>B.16.a.iv</t>
  </si>
  <si>
    <t>LEI, if any:</t>
  </si>
  <si>
    <t>Legal Entity Identifier (LEI)</t>
  </si>
  <si>
    <t>The Legal Entity Identifier assigned to the principal underwriter.</t>
  </si>
  <si>
    <t>B.16.a.v</t>
  </si>
  <si>
    <t>State of Principal Underwriter</t>
  </si>
  <si>
    <t>The state in which the principal underwriter is located, if applicable.</t>
  </si>
  <si>
    <t>B.16.a.vi</t>
  </si>
  <si>
    <t>Foreign Country of Principal Underwriter</t>
  </si>
  <si>
    <t>The foreign country in which the principal underwriter is located, if applicable.</t>
  </si>
  <si>
    <t>B.16.a.vii</t>
  </si>
  <si>
    <t>Is the principal underwriter an affiliated person of the Registrant, or its investment adviser(s) or depositor? [Y/N]</t>
  </si>
  <si>
    <t>Principal Underwriter Affiliation Indicator</t>
  </si>
  <si>
    <t>Indicates whether the principal underwriter is an affiliated person of the registrant, its investment adviser(s), or depositor.</t>
  </si>
  <si>
    <t>B.16.b</t>
  </si>
  <si>
    <t>Have any principal underwriters been hired or terminated during the reporting period? [Y/N]</t>
  </si>
  <si>
    <t>Principal Underwriters Hired or Terminated Indicator</t>
  </si>
  <si>
    <t>Indicates whether any principal underwriters were hired or terminated during the reporting period.</t>
  </si>
  <si>
    <t>B.17.a</t>
  </si>
  <si>
    <t>DELOITTE &amp; TOUCHE LLP </t>
  </si>
  <si>
    <t>Independent Public Accountant Full Name</t>
  </si>
  <si>
    <t>The full name of the independent public accountant.</t>
  </si>
  <si>
    <t>B.17.b</t>
  </si>
  <si>
    <t>00034 </t>
  </si>
  <si>
    <t>PCAOB number:</t>
  </si>
  <si>
    <t>Independent Public Accountant PCAOB Number</t>
  </si>
  <si>
    <t>The registration number issued to the independent public accountant by the Public Company Accounting Oversight Board (PCAOB).</t>
  </si>
  <si>
    <t>B.17.c</t>
  </si>
  <si>
    <t>Independent Public Accountant LEI</t>
  </si>
  <si>
    <t>The Legal Entity Identifier (LEI) assigned to the independent public accountant, if any.</t>
  </si>
  <si>
    <t>B.17.d</t>
  </si>
  <si>
    <t>Independent Public Accountant State</t>
  </si>
  <si>
    <t>The state in which the independent public accountant is located, if applicable.</t>
  </si>
  <si>
    <t>B.17.e</t>
  </si>
  <si>
    <t>Independent Public Accountant Foreign Country</t>
  </si>
  <si>
    <t>The foreign country in which the independent public accountant is located, if applicable.</t>
  </si>
  <si>
    <t>B.17.f</t>
  </si>
  <si>
    <t>Has the independent public accountant changed since the last filing? [Y/N]</t>
  </si>
  <si>
    <t>Independent Public Accountant Change Indicator</t>
  </si>
  <si>
    <t>Indicates whether the independent public accountant has changed since the last filing.</t>
  </si>
  <si>
    <t>B.18</t>
  </si>
  <si>
    <t>Report on internal control information (management investment companies only)</t>
  </si>
  <si>
    <t>Internal Control Report Indicator</t>
  </si>
  <si>
    <t>Indicates whether the report on internal control noted any material weaknesses during the reporting period.</t>
  </si>
  <si>
    <t>B.18.a</t>
  </si>
  <si>
    <t>For the reporting period, did an independent public accountant's report on internal control note any material weaknesses? [Y/N]</t>
  </si>
  <si>
    <t>Internal Control Material Weakness Indicator</t>
  </si>
  <si>
    <t>Indicates whether the independent public accountant's report on internal control noted any material weaknesses.</t>
  </si>
  <si>
    <t>B.19</t>
  </si>
  <si>
    <t>Audit opinion information</t>
  </si>
  <si>
    <t>Audit Opinion Indicator</t>
  </si>
  <si>
    <t>Indicates whether any opinions other than an unqualified opinion were issued by an independent public accountant during the reporting period.</t>
  </si>
  <si>
    <t>B.19.a</t>
  </si>
  <si>
    <t>For the reporting period, did an independent public accountant issue an opinion other than an unqualified opinion with respect to its audit of the Registrant's financial statements? [Y/N]</t>
  </si>
  <si>
    <t>Non-Unqualified Opinion Indicator</t>
  </si>
  <si>
    <t>Indicates whether an independent public accountant issued an opinion other than an unqualified opinion concerning the audit of the registrant's financial statements during the reporting period.</t>
  </si>
  <si>
    <t>B.19.a.i</t>
  </si>
  <si>
    <t>Series Name for Non-Unqualified Opinion</t>
  </si>
  <si>
    <t>The name of the series for which an independent public accountant issued an opinion other than an unqualified opinion.</t>
  </si>
  <si>
    <t>B.19.a.ii</t>
  </si>
  <si>
    <t>Series ID for Non-Unqualified Opinion</t>
  </si>
  <si>
    <t>The identification number of the series for which an independent public accountant issued an opinion other than an unqualified opinion.</t>
  </si>
  <si>
    <t>B.20</t>
  </si>
  <si>
    <t>Change in valuation methods information</t>
  </si>
  <si>
    <t>Valuation Methods Change Indicator</t>
  </si>
  <si>
    <t>Indicates whether there have been material changes in the method of valuation of the registrant's assets during the reporting period.</t>
  </si>
  <si>
    <t>B.20.a</t>
  </si>
  <si>
    <t>Have there been material changes in the method of valuation (e.g., change from use of bid price to mid price for fixed income securities or change in trigger threshold for use of fair value factors on international equity securities) of the Registrant's assets during the reporting period? [Y/N]</t>
  </si>
  <si>
    <t>Material Changes in Valuation Method Indicator</t>
  </si>
  <si>
    <t>B.20.a.i</t>
  </si>
  <si>
    <t>Date of change:</t>
  </si>
  <si>
    <t>Date of Valuation Method Change</t>
  </si>
  <si>
    <t>The date when the material change in the method of valuation occurred.</t>
  </si>
  <si>
    <t>B.20.a.ii</t>
  </si>
  <si>
    <t>Explanation of the change:</t>
  </si>
  <si>
    <t>Explanation of Valuation Method Change</t>
  </si>
  <si>
    <t>An explanation of the material change in the method of valuation.</t>
  </si>
  <si>
    <t>B.20.a.iii</t>
  </si>
  <si>
    <t>Asset type involved:</t>
  </si>
  <si>
    <t>Asset Type Involved in Valuation Change</t>
  </si>
  <si>
    <t>The type of asset involved in the material change in the method of valuation.</t>
  </si>
  <si>
    <t>B.20.a.iv</t>
  </si>
  <si>
    <t>Type of investments involved:</t>
  </si>
  <si>
    <t>Investments Involved in Valuation Change</t>
  </si>
  <si>
    <t>A brief description of the type of investments involved in the material change in the method of valuation.</t>
  </si>
  <si>
    <t>B.20.a.v</t>
  </si>
  <si>
    <t>Statutory or regulatory basis, if any:</t>
  </si>
  <si>
    <t>Statutory or Regulatory Basis for Valuation Change</t>
  </si>
  <si>
    <t>The statutory or regulatory basis for the material change in the method of valuation, if any.</t>
  </si>
  <si>
    <t>B.20.a.vi</t>
  </si>
  <si>
    <t>Series Name for Valuation Change</t>
  </si>
  <si>
    <t>The name of the series involved in the change in the method of valuation, if applicable.</t>
  </si>
  <si>
    <t>B.20.a.vii</t>
  </si>
  <si>
    <t>Series ID for Valuation Change</t>
  </si>
  <si>
    <t>The identification number of the series involved in the change in the method of valuation, if applicable.</t>
  </si>
  <si>
    <t>B.21</t>
  </si>
  <si>
    <t>Change in accounting principles or practices information</t>
  </si>
  <si>
    <t>Change in Accounting Principles/Practices Indicator</t>
  </si>
  <si>
    <t>Indicates whether there have been any changes in accounting principles or practices that will materially affect the financial statements filed or to be filed for the current year.</t>
  </si>
  <si>
    <t>B.21.a</t>
  </si>
  <si>
    <t>Have there been any changes in accounting principles or practices, or any change in the method of applying any such accounting principles or practices, which will materially affect the financial statements filed or to be filed for the current year with the Commission and which has not been previously reported? [Y/N]</t>
  </si>
  <si>
    <t>Material Changes in Accounting Principles or Practices</t>
  </si>
  <si>
    <t>Indicates whether there have been any material changes in accounting principles or practices or the method of applying any accounting principles or practices which will materially affect the financial statements filed or to be filed for the current year.</t>
  </si>
  <si>
    <t>B.22</t>
  </si>
  <si>
    <t>Net asset value error corrections information (open-end management investment companies only)</t>
  </si>
  <si>
    <t>NAV Error Correction Indicator</t>
  </si>
  <si>
    <t>Indicates whether any payments made to shareholders or shareholder accounts were reprocessed due to an error in calculating the registrant's net asset value.</t>
  </si>
  <si>
    <t>B.22.a</t>
  </si>
  <si>
    <t>During the reporting period, were any payments made to shareholders or shareholder accounts reprocessed as a result of an error in calculating the Registrant's net asset value (or net asset value per share)? [Y/N]</t>
  </si>
  <si>
    <t>NAV Error Corrections Description</t>
  </si>
  <si>
    <t>Information about any payments reprocessed due to errors in calculating the Registrant's net asset value.</t>
  </si>
  <si>
    <t>Various Question Set</t>
  </si>
  <si>
    <t>B.22.a.i</t>
  </si>
  <si>
    <t>If yes, and to the extent the response relates only to certain Series of the Registrant, indicate the Series involved:</t>
  </si>
  <si>
    <t>Series Information for NAV Error Correction</t>
  </si>
  <si>
    <t>Details about the series involved in NAV error correction.</t>
  </si>
  <si>
    <t>B.22.a.i.1</t>
  </si>
  <si>
    <t>Series Name for NAV Error Correction</t>
  </si>
  <si>
    <t>The name of the series involved in the net asset value error correction.</t>
  </si>
  <si>
    <t>B.22.a.i.2</t>
  </si>
  <si>
    <t>Series ID for NAV Error Correction</t>
  </si>
  <si>
    <t>The identification number of the series involved in the net asset value error correction.</t>
  </si>
  <si>
    <t>B.23</t>
  </si>
  <si>
    <t>Rule 19a-1 notice information (management investment companies only)</t>
  </si>
  <si>
    <t>Rule 19a-1 Notice Indicator</t>
  </si>
  <si>
    <t>Indicates whether the registrant paid any dividend or distribution in the nature of a dividend payment required to be accompanied by a written statement pursuant to section 19(a) of the Act and rule 19a-1.</t>
  </si>
  <si>
    <t>B.23.a</t>
  </si>
  <si>
    <t>During the reporting period, did the Registrant pay any dividend or make any distribution in the nature of a dividend payment, required to be accompanied by a written statement pursuant to section 19(a) of the Act and rule 19a-1? [Y/N]</t>
  </si>
  <si>
    <t>Rule 19a-1 Dividend Payment Description</t>
  </si>
  <si>
    <t>Information about dividends or distributions in the nature of a dividend payment made by the Registrant that are required to be accompanied by a written statement.</t>
  </si>
  <si>
    <t>B.23.a.i</t>
  </si>
  <si>
    <t>Series Information for Rule 19a-1 Dividend Payment</t>
  </si>
  <si>
    <t>Details about the series involved in the Rule 19a-1 notice</t>
  </si>
  <si>
    <t>B.23.a.i.1</t>
  </si>
  <si>
    <t>Series Name for Rule 19a-1 Notice</t>
  </si>
  <si>
    <t>The name of the series involved in the distribution or dividend payment.</t>
  </si>
  <si>
    <t>B.23.a.i.2</t>
  </si>
  <si>
    <t>Series ID for Rule 19a-1 Notice</t>
  </si>
  <si>
    <t>The identification number of the series involved in the distribution or dividend payment.</t>
  </si>
  <si>
    <t>Item C</t>
  </si>
  <si>
    <t>C.1.a</t>
  </si>
  <si>
    <t>Full name of the Fund:</t>
  </si>
  <si>
    <t>Fund Full Name</t>
  </si>
  <si>
    <t>The complete legal name of the fund.</t>
  </si>
  <si>
    <t>AMERICAN BALANCED FUND </t>
  </si>
  <si>
    <t>C.1.b</t>
  </si>
  <si>
    <t>Series identification number, if any:</t>
  </si>
  <si>
    <t>Fund Series ID</t>
  </si>
  <si>
    <t>The identification number assigned to the fund series, if applicable.</t>
  </si>
  <si>
    <t>C.1.c</t>
  </si>
  <si>
    <t>Fund LEI</t>
  </si>
  <si>
    <t>The Legal Entity Identifier assigned to the fund.</t>
  </si>
  <si>
    <t>L8DP8S00A6XHCCDH3332 </t>
  </si>
  <si>
    <t>C.1.d</t>
  </si>
  <si>
    <t>Is this the first filing on this form by the Fund? [Y/N]</t>
  </si>
  <si>
    <t>First Filing by Fund Indicator</t>
  </si>
  <si>
    <t>Indicates whether this is the first filing on this form by the fund.</t>
  </si>
  <si>
    <t>C.2.a</t>
  </si>
  <si>
    <t>How many Classes of shares of the Fund (if any) are authorized?</t>
  </si>
  <si>
    <t>Authorized Share Classes Count</t>
  </si>
  <si>
    <t>The total number of authorized share classes for the fund.</t>
  </si>
  <si>
    <t>C.2.b</t>
  </si>
  <si>
    <t>How many new Classes of shares of the Fund were added during the reporting period?</t>
  </si>
  <si>
    <t>New Share Classes Added Count</t>
  </si>
  <si>
    <t>The total number of new share classes added during the reporting period.</t>
  </si>
  <si>
    <t>C.2.c</t>
  </si>
  <si>
    <t>How many Classes of shares of the Fund were terminated during the reporting period?</t>
  </si>
  <si>
    <t>Terminated Share Classes Count</t>
  </si>
  <si>
    <t>The total number of share classes terminated during the reporting period.</t>
  </si>
  <si>
    <t>C.2.d.i</t>
  </si>
  <si>
    <t>Full name of Class:</t>
  </si>
  <si>
    <t>Share Class Full Name</t>
  </si>
  <si>
    <t>The full name of the share class.</t>
  </si>
  <si>
    <t>Class 529-A </t>
  </si>
  <si>
    <t>C.2.d.ii</t>
  </si>
  <si>
    <t>Class identification number, if any:</t>
  </si>
  <si>
    <t>Share Class ID</t>
  </si>
  <si>
    <t>The identification number assigned to the share class, if applicable.</t>
  </si>
  <si>
    <t>C000023946 </t>
  </si>
  <si>
    <t>C.2.d.iii</t>
  </si>
  <si>
    <t>Ticker symbol, if any:</t>
  </si>
  <si>
    <t>Share Class Ticker Symbol</t>
  </si>
  <si>
    <t>The ticker symbol assigned to the share class, if applicable.</t>
  </si>
  <si>
    <t>CLBAX </t>
  </si>
  <si>
    <t>C.3.a</t>
  </si>
  <si>
    <t>Indicate if the Fund is any one of the types listed below. Check all that apply.</t>
  </si>
  <si>
    <t>Exchange-Traded Fund or Managed Fund Indicator</t>
  </si>
  <si>
    <t>Indicates whether the fund is an Exchange-Traded Fund (ETF) or Exchange-Traded Managed Fund, or offers a class that is one.</t>
  </si>
  <si>
    <t>C.3.a.i</t>
  </si>
  <si>
    <t>Exchange-Traded Fund:</t>
  </si>
  <si>
    <t>ETF Indicator</t>
  </si>
  <si>
    <t>Indicates whether the fund is an Exchange-Traded Fund.</t>
  </si>
  <si>
    <t>C.3.a.ii</t>
  </si>
  <si>
    <t>Exchange-Traded Managed Fund:</t>
  </si>
  <si>
    <t>Managed ETF Indicator</t>
  </si>
  <si>
    <t>Indicates whether the fund is an Exchange-Traded Managed Fund.</t>
  </si>
  <si>
    <t>C.3.b</t>
  </si>
  <si>
    <t>Index Fund:</t>
  </si>
  <si>
    <t>Index Fund Indicator</t>
  </si>
  <si>
    <t>Indicates whether the fund is an Index Fund.</t>
  </si>
  <si>
    <t>C.3.b.i.1</t>
  </si>
  <si>
    <t>By an affiliated person of the fund? [Y/N]</t>
  </si>
  <si>
    <t>Index Constructed by Affiliate Indicator</t>
  </si>
  <si>
    <t>Indicates whether the index tracked by the fund is constructed by an affiliated person of the fund.</t>
  </si>
  <si>
    <t>C.3.b.i.2</t>
  </si>
  <si>
    <t>Exclusively for the fund? [Y/N]</t>
  </si>
  <si>
    <t>Index Constructed Exclusively for Fund Indicator</t>
  </si>
  <si>
    <t>Indicates whether the index tracked by the fund is constructed exclusively for the fund.</t>
  </si>
  <si>
    <t>C.3.b.ii.1</t>
  </si>
  <si>
    <t>Annualized difference between the Fund's total return and the index's return during the reporting period: Before Fund fees and expenses:</t>
  </si>
  <si>
    <t>Annualized Return Difference (Before Fees)</t>
  </si>
  <si>
    <t>The annualized difference between the fund's total return and the index's return before fund fees and expenses.</t>
  </si>
  <si>
    <t>C.3.b.ii.2</t>
  </si>
  <si>
    <t>Annualized difference between the Fund's total return and the index's return during the reporting period: After Fund fees and expenses (i.e., net asset value):</t>
  </si>
  <si>
    <t>Annualized Return Difference (After Fees)</t>
  </si>
  <si>
    <t>The annualized difference between the fund's total return and the index's return after fund fees and expenses (net asset value).</t>
  </si>
  <si>
    <t>C.3.b.iii.1</t>
  </si>
  <si>
    <t>Annualized standard deviation of the daily difference between the Fund's total return and the index's return during the reporting period: Before Fund fees and expenses:</t>
  </si>
  <si>
    <t>Annualized Std Dev of Daily Return Difference (Before Fees)</t>
  </si>
  <si>
    <t>The annualized standard deviation of the daily difference between the fund's total return and the index's return before fund fees and expenses.</t>
  </si>
  <si>
    <t>C.3.b.iii.2</t>
  </si>
  <si>
    <t>Annualized standard deviation of the daily difference between the Fund's total return and the index's return during the reporting period: After Fund fees and expenses (i.e., net asset value):</t>
  </si>
  <si>
    <t>Annualized Std Dev of Daily Return Difference (After Fees)</t>
  </si>
  <si>
    <t>The annualized standard deviation of the daily difference between the fund's total return and the index's return after fund fees and expenses (net asset value).</t>
  </si>
  <si>
    <t>C.3.c</t>
  </si>
  <si>
    <t>Seeks to achieve performance results that are a multiple of an index or other benchmark, the inverse of an index or other benchmark, or a multiple of the inverse of an index or other benchmark:</t>
  </si>
  <si>
    <t>Performance Multiple or Inverse Indicator</t>
  </si>
  <si>
    <t>Indicates whether the fund seeks to achieve performance results that are a multiple of an index or benchmark, the inverse, or a multiple of the inverse.</t>
  </si>
  <si>
    <t>C.3.d</t>
  </si>
  <si>
    <t>Interval Fund:</t>
  </si>
  <si>
    <t>Interval Fund Indicator</t>
  </si>
  <si>
    <t>Indicates whether the fund is an Interval Fund.</t>
  </si>
  <si>
    <t>C.3.e</t>
  </si>
  <si>
    <t>Fund of Funds:</t>
  </si>
  <si>
    <t>Fund of Funds Indicator</t>
  </si>
  <si>
    <t>Indicates whether the fund is a Fund of Funds.</t>
  </si>
  <si>
    <t>C.3.f</t>
  </si>
  <si>
    <t>Master-Feeder Fund:</t>
  </si>
  <si>
    <t>Master-Feeder Fund Indicator</t>
  </si>
  <si>
    <t>Indicates whether the fund is a Master-Feeder Fund.</t>
  </si>
  <si>
    <t>C.3.f.i.1</t>
  </si>
  <si>
    <t>Full name of each feeder fund:</t>
  </si>
  <si>
    <t>Feeder Fund Full Name</t>
  </si>
  <si>
    <t>The full name of each feeder fund, if the registrant is a master fund.</t>
  </si>
  <si>
    <t>C.3.f.i.2.A</t>
  </si>
  <si>
    <t>For registered feeder funds: Investment Company Act file number (e.g., 811-):</t>
  </si>
  <si>
    <t>Feeder Fund ICA File Number</t>
  </si>
  <si>
    <t>The Investment Company Act file number of registered feeder funds.</t>
  </si>
  <si>
    <t>C.3.f.i.2.B</t>
  </si>
  <si>
    <t>For registered feeder funds: Series identification number, if any:</t>
  </si>
  <si>
    <t>Feeder Fund Series ID</t>
  </si>
  <si>
    <t>The series identification number of unregistered feeder funds, if any.</t>
  </si>
  <si>
    <t>C.3.f.i.2.C</t>
  </si>
  <si>
    <t>For registered feeder funds: LEI:</t>
  </si>
  <si>
    <t>Feeder Fund LEI</t>
  </si>
  <si>
    <t>The Legal Entity Identifier assigned to the feeder fund.</t>
  </si>
  <si>
    <t>C.3.f.i.3.A</t>
  </si>
  <si>
    <t>For unregistered feeder funds: SEC file number of the feeder fund's investment adviser (e.g., 801-):</t>
  </si>
  <si>
    <t>Feeder Fund Adviser SEC File Number</t>
  </si>
  <si>
    <t>The SEC file number of the feeder fund's investment adviser.</t>
  </si>
  <si>
    <t>C.3.f.i.3.B</t>
  </si>
  <si>
    <t>For unregistered feeder funds: LEI of feeder fund, if any:</t>
  </si>
  <si>
    <t>Unregistered Feeder Fund LEI</t>
  </si>
  <si>
    <t>The Legal Entity Identifier assigned to the unregistered feeder fund, if any.</t>
  </si>
  <si>
    <t>C.3.f.ii.1</t>
  </si>
  <si>
    <t>If the Registrant is a feeder fund, provide the full name of the master fund:</t>
  </si>
  <si>
    <t>Master Fund Full Name</t>
  </si>
  <si>
    <t>The full name of the master fund, if the registrant is a feeder fund.</t>
  </si>
  <si>
    <t>C.3.f.ii.2</t>
  </si>
  <si>
    <t>Master Fund ICA File Number</t>
  </si>
  <si>
    <t>The Investment Company Act file number of the master fund.</t>
  </si>
  <si>
    <t>C.3.f.ii.3</t>
  </si>
  <si>
    <t>SEC file number of the master fund's investment adviser (e.g., 801-):</t>
  </si>
  <si>
    <t>Master Fund Adviser SEC File Number</t>
  </si>
  <si>
    <t>The SEC file number of the master fund's investment adviser.</t>
  </si>
  <si>
    <t>C.3.f.ii.4</t>
  </si>
  <si>
    <t>Master Fund LEI</t>
  </si>
  <si>
    <t>The Legal Entity Identifier assigned to the master fund.</t>
  </si>
  <si>
    <t>C.3.g</t>
  </si>
  <si>
    <t>Money Market Fund:</t>
  </si>
  <si>
    <t>Money Market Fund Indicator</t>
  </si>
  <si>
    <t>Indicates whether the fund is a Money Market Fund.</t>
  </si>
  <si>
    <t>C.3.h</t>
  </si>
  <si>
    <t>Target Date Fund:</t>
  </si>
  <si>
    <t>Target Date Fund Indicator</t>
  </si>
  <si>
    <t>Indicates whether the fund is a Target Date Fund.</t>
  </si>
  <si>
    <t>C.3.i</t>
  </si>
  <si>
    <t>Underlying fund to a variable annuity or variable life insurance contract:</t>
  </si>
  <si>
    <t>Underlying Variable Annuity/Life Fund Indicator</t>
  </si>
  <si>
    <t>Indicates whether the fund is an underlying fund to a variable annuity or variable life insurance contract.</t>
  </si>
  <si>
    <t>Does the Fund seek to operate as a "non-diversified company" as such term is defined in section 5(b)(2) of the Act (15 U.S.C. 80a-5(b)(2))? [Y/N]</t>
  </si>
  <si>
    <t>Non-Diversified Company Indicator</t>
  </si>
  <si>
    <t>Indicates whether the fund seeks to operate as a "non-diversified company" as defined in section 5(b)(2) of the Act.</t>
  </si>
  <si>
    <t>C.5.a</t>
  </si>
  <si>
    <t>Does the fund invest in a controlled foreign corporation for the purpose of investing in certain types of instruments such as, but not limited to, commodities? [Y/N]</t>
  </si>
  <si>
    <t>Controlled Foreign Corporation Investment Indicator</t>
  </si>
  <si>
    <t>Indicates whether the fund invests in a controlled foreign corporation for the purpose of investing in certain types of instruments.</t>
  </si>
  <si>
    <t>C.5.b.i</t>
  </si>
  <si>
    <t>Full name of subsidiary:</t>
  </si>
  <si>
    <t>Subsidiary Full Name</t>
  </si>
  <si>
    <t>The full name of the subsidiary in which the fund invests.</t>
  </si>
  <si>
    <t>C.5.b.ii</t>
  </si>
  <si>
    <t>LEI of subsidiary, if any:</t>
  </si>
  <si>
    <t>Subsidiary LEI</t>
  </si>
  <si>
    <t>The Legal Entity Identifier assigned to the subsidiary, if any.</t>
  </si>
  <si>
    <t>C.6.a</t>
  </si>
  <si>
    <t>Is the Fund authorized to engage in securities lending transactions? [Y/N]</t>
  </si>
  <si>
    <t>Securities Lending Authorization Indicator</t>
  </si>
  <si>
    <t>Indicates whether the fund is authorized to engage in securities lending transactions.</t>
  </si>
  <si>
    <t>C.6.b</t>
  </si>
  <si>
    <t>Did the Fund lend any of its securities during the reporting period? [Y/N]</t>
  </si>
  <si>
    <t>Securities Lending Indicator</t>
  </si>
  <si>
    <t>Indicates whether the fund lent any of its securities during the reporting period.</t>
  </si>
  <si>
    <t>C.6.b.i.1</t>
  </si>
  <si>
    <t>During the reporting period, did any borrower fail to return the loaned securities by the contractual deadline with the result that the Fund (or its securities lending agent) liquidated collateral pledged to secure the loaned securities? [Y/N]</t>
  </si>
  <si>
    <t>Borrower Default Indicator</t>
  </si>
  <si>
    <t>Indicates whether any borrower failed to return the loaned securities by the contractual deadline, causing the liquidation of collateral.</t>
  </si>
  <si>
    <t>C.6.b.i.2</t>
  </si>
  <si>
    <t>Did the Fund experience any other adverse impact as a result of securities lending transactions during the reporting period? [Y/N]</t>
  </si>
  <si>
    <t>Securities Lending Adverse Impact Indicator</t>
  </si>
  <si>
    <t>Indicates whether the fund experienced any other adverse impact due to securities lending transactions.</t>
  </si>
  <si>
    <t>C.6.c.i</t>
  </si>
  <si>
    <t>Full name of securities lending agent:</t>
  </si>
  <si>
    <t>Securities Lending Agent Full Name</t>
  </si>
  <si>
    <t>The full name of the securities lending agent retained by the fund.</t>
  </si>
  <si>
    <t>JPMorgan Chase Bank, N.A. </t>
  </si>
  <si>
    <t>C.6.c.ii</t>
  </si>
  <si>
    <t>Securities Lending Agent LEI</t>
  </si>
  <si>
    <t>The Legal Entity Identifier assigned to the securities lending agent, if any.</t>
  </si>
  <si>
    <t>7H6GLXDRUGQFU57RNE97 </t>
  </si>
  <si>
    <t>C.6.c.iii</t>
  </si>
  <si>
    <t>Is the securities lending agent an affiliated person, or an affiliated person of an affiliated person, of the Fund? [Y/N]</t>
  </si>
  <si>
    <t>Affiliation with Securities Lending Agent Indicator</t>
  </si>
  <si>
    <t>Indicates whether the securities lending agent is an affiliated person of the fund or its adviser.</t>
  </si>
  <si>
    <t>C.6.c.iv</t>
  </si>
  <si>
    <t>Does the securities lending agent or any other entity indemnify the fund against borrower default on loans administered by this agent? [Y/N]</t>
  </si>
  <si>
    <t>Indemnification by Securities Lending Agent Indicator</t>
  </si>
  <si>
    <t>Indicates whether the securities lending agent or another entity indemnifies the fund against borrower default on loans.</t>
  </si>
  <si>
    <t>C.6.c.v.1</t>
  </si>
  <si>
    <t>If indemnified by another entity, name of person providing indemnification:</t>
  </si>
  <si>
    <t>Indemnifying Entity Full Name</t>
  </si>
  <si>
    <t>The full name of the entity providing indemnification if it is not the securities lending agent.</t>
  </si>
  <si>
    <t>C.6.c.v.2</t>
  </si>
  <si>
    <t>LEI, if any, of person providing indemnification:</t>
  </si>
  <si>
    <t>Indemnifying Entity LEI</t>
  </si>
  <si>
    <t>The Legal Entity Identifier assigned to the indemnifying entity, if any.</t>
  </si>
  <si>
    <t>C.6.c.vi</t>
  </si>
  <si>
    <t>Did the Fund exercise its indemnification rights during the reporting period? [Y/N]</t>
  </si>
  <si>
    <t>Indemnification Rights Exercised Indicator</t>
  </si>
  <si>
    <t>Indicates whether the fund exercised its indemnification rights during the reporting period.</t>
  </si>
  <si>
    <t>C.6.d.i</t>
  </si>
  <si>
    <t>Full name of cash collateral manager:</t>
  </si>
  <si>
    <t>Cash Collateral Manager Full Name</t>
  </si>
  <si>
    <t>The full name of the cash collateral manager involved in the fund's securities lending activities.</t>
  </si>
  <si>
    <t>C.6.d.ii</t>
  </si>
  <si>
    <t>Cash Collateral Manager LEI</t>
  </si>
  <si>
    <t>The Legal Entity Identifier assigned to the cash collateral manager, if any.</t>
  </si>
  <si>
    <t>C.6.d.iii</t>
  </si>
  <si>
    <t>Is the cash collateral manager an affiliated person, or an affiliated person of an affiliated person, of a securities lending agent retained by the Fund? [Y/N]</t>
  </si>
  <si>
    <t>Affiliation with Cash Collateral Manager (SLA) Indicator</t>
  </si>
  <si>
    <t>Indicates whether the cash collateral manager is an affiliated person of a securities lending agent retained by the fund.</t>
  </si>
  <si>
    <t>C.6.d.iv</t>
  </si>
  <si>
    <t>Is the cash collateral manager an affiliated person, or an affiliated person of an affiliated person, of the Fund? [Y/N]</t>
  </si>
  <si>
    <t>Affiliation with Cash Collateral Manager (Fund) Indicator</t>
  </si>
  <si>
    <t>Indicates whether the cash collateral manager is an affiliated person of the fund or its adviser.</t>
  </si>
  <si>
    <t>C.6.e</t>
  </si>
  <si>
    <t>Types of payments made to one or more securities lending agents and cash collateral managers (check all that apply):</t>
  </si>
  <si>
    <t>Payments to Securities Lending Agents and Cash Collateral Managers</t>
  </si>
  <si>
    <t>Indicates the types of payments made to securities lending agents and cash collateral managers during the reporting period.</t>
  </si>
  <si>
    <t>Checkbox List</t>
  </si>
  <si>
    <t>C.6.e.i</t>
  </si>
  <si>
    <t>Revenue sharing split:</t>
  </si>
  <si>
    <t>Revenue Sharing Split Indicator</t>
  </si>
  <si>
    <t>Indicates whether the payments included revenue sharing split.</t>
  </si>
  <si>
    <t>Checkbox List Option</t>
  </si>
  <si>
    <t>C.6.e.ii</t>
  </si>
  <si>
    <t>Non-revenue sharing split (other than administrative fee):</t>
  </si>
  <si>
    <t>Non-Revenue Sharing Split Indicator</t>
  </si>
  <si>
    <t>Indicates whether the payments included non-revenue sharing split (other than administrative fee).</t>
  </si>
  <si>
    <t>C.6.e.iii</t>
  </si>
  <si>
    <t>Administrative fee:</t>
  </si>
  <si>
    <t>Administrative Fee Indicator</t>
  </si>
  <si>
    <t>Indicates whether the payments included administrative fees.</t>
  </si>
  <si>
    <t>C.6.e.iv</t>
  </si>
  <si>
    <t>Cash collateral reinvestment fee:</t>
  </si>
  <si>
    <t>Cash Collateral Reinvestment Fee Indicator</t>
  </si>
  <si>
    <t>Indicates whether the payments included cash collateral reinvestment fees.</t>
  </si>
  <si>
    <t>C.6.e.v</t>
  </si>
  <si>
    <t>Indemnification fee:</t>
  </si>
  <si>
    <t>Indemnification Fee Indicator</t>
  </si>
  <si>
    <t>Indicates whether the payments included indemnification fees.</t>
  </si>
  <si>
    <t>C.6.e.vi</t>
  </si>
  <si>
    <t>Other: If other, describe:</t>
  </si>
  <si>
    <t>Other Payment Description</t>
  </si>
  <si>
    <t>Description of other types of payments, if applicable.</t>
  </si>
  <si>
    <t>C.6.f</t>
  </si>
  <si>
    <t>Provide the monthly average of the value of portfolio securities on loan during the reporting period.</t>
  </si>
  <si>
    <t>Monthly Average Value of Securities on Loan</t>
  </si>
  <si>
    <t>The monthly average value of portfolio securities on loan during the reporting period.</t>
  </si>
  <si>
    <t>226,111,827.000000000000 </t>
  </si>
  <si>
    <t>C.6.g</t>
  </si>
  <si>
    <t>Provide the net income from securities lending activities.</t>
  </si>
  <si>
    <t>Net Income from Securities Lending Activities</t>
  </si>
  <si>
    <t>The net income generated from securities lending activities during the reporting period.</t>
  </si>
  <si>
    <t>1,956,959.000000000000 </t>
  </si>
  <si>
    <t>Did the Fund rely on the following statutory exemption or any of the rules under the Act during the reporting period? (check all that apply)</t>
  </si>
  <si>
    <t>Reliance on Statutory Exemption/Rules Indicator</t>
  </si>
  <si>
    <t>Indicates whether the fund relied on any statutory exemption or rules under the Act during the reporting period.</t>
  </si>
  <si>
    <t>C.7.a</t>
  </si>
  <si>
    <t>Rule 10f-3 (17 CFR 270.10f-3):</t>
  </si>
  <si>
    <t>Rule 10f-3 Indicator</t>
  </si>
  <si>
    <t>Indicates whether the fund relied on Rule 10f-3 during the reporting period.</t>
  </si>
  <si>
    <t>C.7.b</t>
  </si>
  <si>
    <t>Rule 12d1-1 (17 CFR 270.12d1-1):</t>
  </si>
  <si>
    <t>Rule 12d1-1 Indicator</t>
  </si>
  <si>
    <t>Indicates whether the fund relied on Rule 12d1-1 during the reporting period.</t>
  </si>
  <si>
    <t>C.7.c</t>
  </si>
  <si>
    <t>Rule 15a-4 (17 CFR 270.15a-4):</t>
  </si>
  <si>
    <t>Rule 15a-4 Indicator</t>
  </si>
  <si>
    <t>Indicates whether the fund relied on Rule 15a-4 during the reporting period.</t>
  </si>
  <si>
    <t>C.7.d</t>
  </si>
  <si>
    <t>Rule 17a-6 (17 CFR 270.17a-6):</t>
  </si>
  <si>
    <t>Rule 17a-6 Indicator</t>
  </si>
  <si>
    <t>Indicates whether the fund relied on Rule 17a-6 during the reporting period.</t>
  </si>
  <si>
    <t>C.7.e</t>
  </si>
  <si>
    <t>Rule 17a-7 (17 CFR 270.17a-7):</t>
  </si>
  <si>
    <t>Rule 17a-7 Indicator</t>
  </si>
  <si>
    <t>Indicates whether the fund relied on Rule 17a-7 during the reporting period.</t>
  </si>
  <si>
    <t>C.7.f</t>
  </si>
  <si>
    <t>Rule 17a-8 (17 CFR 270.17a-8):</t>
  </si>
  <si>
    <t>Rule 17a-8 Indicator</t>
  </si>
  <si>
    <t>Indicates whether the fund relied on Rule 17a-8 during the reporting period.</t>
  </si>
  <si>
    <t>C.7.g</t>
  </si>
  <si>
    <t>Rule 17e-1 (17 CFR 270.17e-1):</t>
  </si>
  <si>
    <t>Rule 17e-1 Indicator</t>
  </si>
  <si>
    <t>Indicates whether the fund relied on Rule 17e-1 during the reporting period.</t>
  </si>
  <si>
    <t>C.7.h</t>
  </si>
  <si>
    <t>Rule 22d-1 (17 CFR 270.22d-1):</t>
  </si>
  <si>
    <t>Rule 22d-1 Indicator</t>
  </si>
  <si>
    <t>Indicates whether the fund relied on Rule 22d-1 during the reporting period.</t>
  </si>
  <si>
    <t>C.7.i</t>
  </si>
  <si>
    <t>Rule 23c-1 (17 CFR 270.23c-1):</t>
  </si>
  <si>
    <t>Rule 23c-1 Indicator</t>
  </si>
  <si>
    <t>Indicates whether the fund relied on Rule 23c-1 during the reporting period.</t>
  </si>
  <si>
    <t>C.7.j</t>
  </si>
  <si>
    <t>Rule 32a-4 (17 CFR 270.32a-4):</t>
  </si>
  <si>
    <t>Rule 32a-4 Indicator</t>
  </si>
  <si>
    <t>Indicates whether the fund relied on Rule 32a-4 during the reporting period.</t>
  </si>
  <si>
    <t>C.7.k</t>
  </si>
  <si>
    <t>Rule 6(c)-11 (17 CFR 270.6c-11):</t>
  </si>
  <si>
    <t>Rule 6(c)-11 Indicator</t>
  </si>
  <si>
    <t>Indicates whether the fund relied on Rule 6(c)-11 during the reporting period.</t>
  </si>
  <si>
    <t>C.7.l</t>
  </si>
  <si>
    <t>Rule 12d1-4 (17 CFR 270.12d1-4):</t>
  </si>
  <si>
    <t>Rule 12d1-4 Indicator</t>
  </si>
  <si>
    <t>Indicates whether the fund relied on Rule 12d1-4 during the reporting period.</t>
  </si>
  <si>
    <t>C.7.m</t>
  </si>
  <si>
    <t>Section 12(d)(1)(G) of the Act (15 USC 80a-12(d)(1)(G)):</t>
  </si>
  <si>
    <t>Section 12(d)(1)(G) Indicator</t>
  </si>
  <si>
    <t>Indicates whether the fund relied on Section 12(d)(1)(G) during the reporting period.</t>
  </si>
  <si>
    <t>C.7.n</t>
  </si>
  <si>
    <t>Rule 18f-4 (17 CFR 270.18f-4):</t>
  </si>
  <si>
    <t>Rule 18f-4 Indicator</t>
  </si>
  <si>
    <t>Indicates whether the fund relied on Rule 18f-4 during the reporting period.</t>
  </si>
  <si>
    <t>C.7.n.i</t>
  </si>
  <si>
    <t>Is the Fund excepted from the rule 18f-4 (17 CFR 270.18f-4) program requirement and limit on fund leverage risk under rule 18f-4(c)(4) (17 CFR 270.18f-4(c)(4)?</t>
  </si>
  <si>
    <t>Exception from Rule 18f-4 Program Requirement</t>
  </si>
  <si>
    <t>Indicates whether the fund is excepted from the rule 18f-4 program requirement and limit on fund leverage risk.</t>
  </si>
  <si>
    <t>C.7.n.ii</t>
  </si>
  <si>
    <t>Is the Fund a leveraged/inverse fund that, under rule 18f-4(c)(5) (17 CFR 270.18f- 4(c)(5)), is excepted from the requirement to comply with the limit on fund leverage risk described in rule 18f-4(c)(2) (17 CFR 270.18f-4(c)(2))?</t>
  </si>
  <si>
    <t>Exception from Rule 18f-4 Fund Leverage Limit</t>
  </si>
  <si>
    <t>Indicates whether the fund is a leveraged/inverse fund excepted from the requirement to comply with the limit on fund leverage risk.</t>
  </si>
  <si>
    <t>C.7.n.iii</t>
  </si>
  <si>
    <t>Did the Fund enter into any reverse repurchase agreements or similar financing transactions under rule 18f-4(d)(i) (17 CFR 270.18f-4(d)(i))?</t>
  </si>
  <si>
    <t>Reverse Repurchase Agreements Indicator</t>
  </si>
  <si>
    <t>Indicates whether the fund entered into any reverse repurchase agreements or similar financing transactions under rule 18f-4(d)(i).</t>
  </si>
  <si>
    <t>C.7.n.iv</t>
  </si>
  <si>
    <t>Did the Fund enter into any reverse repurchase agreements or similar financing transactions under rule 18f-4(d)(ii) (17 CFR 270.18f-4(d)(ii))?</t>
  </si>
  <si>
    <t>Similar Financing Transactions Indicator</t>
  </si>
  <si>
    <t>Indicates whether the fund entered into any reverse repurchase agreements or similar financing transactions under rule 18f-4(d)(ii).</t>
  </si>
  <si>
    <t>C.7.n.v</t>
  </si>
  <si>
    <t>Did the Fund enter into any unfunded commitment agreements under rule 18f- 4(e) (17 CFR 270.18f-4(e))?</t>
  </si>
  <si>
    <t>Unfunded Commitment Agreements Indicator</t>
  </si>
  <si>
    <t>Indicates whether the fund entered into any unfunded commitment agreements under rule 18f-4(e).</t>
  </si>
  <si>
    <t>C.7.n.vi</t>
  </si>
  <si>
    <t>Did the Fund invest in a security on a when-issued or forward-settling basis, or with a non-standard settlement cycle, in reliance on rule 18f-4(f) (17 CFR 270.18f-4(f))?</t>
  </si>
  <si>
    <t>When-Issued or Forward-Settling Basis Investment Indicator</t>
  </si>
  <si>
    <t>Indicates whether the fund invested in a security on a when-issued or forward-settling basis, or with a non-standard settlement cycle.</t>
  </si>
  <si>
    <t>Expense limitations:</t>
  </si>
  <si>
    <t>Expense Limitation Arrangements:</t>
  </si>
  <si>
    <t>Providing information concerning any direct or indirect limitations, waivers, or reductions, on the level of expenses incurred by the fund during the reporting period.</t>
  </si>
  <si>
    <t>C.8.a</t>
  </si>
  <si>
    <t>Did the Fund have an expense limitation arrangement in place during the reporting period? [Y/N]</t>
  </si>
  <si>
    <t>Expense Limitation Arrangement Indicator</t>
  </si>
  <si>
    <t>Indicates whether the fund had an expense limitation arrangement in place during the reporting period.</t>
  </si>
  <si>
    <t>C.8.b</t>
  </si>
  <si>
    <t>Were any expenses of the Fund reduced or waived pursuant to an expense limitation arrangement during the reporting period? [Y/N]</t>
  </si>
  <si>
    <t>Expense Reduction/Waiver Indicator</t>
  </si>
  <si>
    <t>Indicates whether any expenses of the fund were reduced or waived pursuant to an expense limitation arrangement during the reporting period.</t>
  </si>
  <si>
    <t>C.8.c</t>
  </si>
  <si>
    <t>Are the fees waived subject to recoupment? [Y/N]</t>
  </si>
  <si>
    <t>Fees Waived Subject to Recoupment Indicator</t>
  </si>
  <si>
    <t>Indicates whether the fees waived are subject to recoupment.</t>
  </si>
  <si>
    <t>C.8.d</t>
  </si>
  <si>
    <t>Were any expenses previously waived recouped during the period? [Y/N]</t>
  </si>
  <si>
    <t>Expenses Previously Waived Recoupment Indicator</t>
  </si>
  <si>
    <t>Indicates whether any expenses previously waived were recouped during the period.</t>
  </si>
  <si>
    <t>Investment advisers:</t>
  </si>
  <si>
    <t>Investment Advisers Information</t>
  </si>
  <si>
    <t>Providing information about each investment adviser (other than a sub-adviser) and sub-advisers of the fund.</t>
  </si>
  <si>
    <t>C.9.a.i</t>
  </si>
  <si>
    <t>Investment Adviser Full Name</t>
  </si>
  <si>
    <t>The full name of the investment adviser of the fund.</t>
  </si>
  <si>
    <t>C.9.a.ii</t>
  </si>
  <si>
    <t>SEC file number (e.g., 801-):</t>
  </si>
  <si>
    <t>Investment Adviser SEC File Number</t>
  </si>
  <si>
    <t>The SEC file number assigned to the investment adviser of the fund.</t>
  </si>
  <si>
    <t>801-8055 </t>
  </si>
  <si>
    <t>C.9.a.iii</t>
  </si>
  <si>
    <t>Investment Adviser CRD Number</t>
  </si>
  <si>
    <t>The CRD number for the investment adviser, if any.</t>
  </si>
  <si>
    <t>000110885 </t>
  </si>
  <si>
    <t>C.9.a.iv</t>
  </si>
  <si>
    <t>Investment Adviser LEI</t>
  </si>
  <si>
    <t>The Legal Entity Identifier (LEI) assigned to the investment adviser.</t>
  </si>
  <si>
    <t>M02M7XSKLMK96MWKNF95 </t>
  </si>
  <si>
    <t>C.9.a.v</t>
  </si>
  <si>
    <t>Investment Adviser State</t>
  </si>
  <si>
    <t>The state in which the investment adviser is located, if applicable.</t>
  </si>
  <si>
    <t>DELAWARE  </t>
  </si>
  <si>
    <t>C.9.a.vi</t>
  </si>
  <si>
    <t>Investment Adviser Foreign Country</t>
  </si>
  <si>
    <t>The foreign country in which the investment adviser is located, if applicable.</t>
  </si>
  <si>
    <t>C.9.a.vii</t>
  </si>
  <si>
    <t>Was the investment adviser hired during the reporting period? [Y/N]</t>
  </si>
  <si>
    <t>Investment Adviser Hired Indicator</t>
  </si>
  <si>
    <t>Indicates whether the investment adviser was hired during the reporting period.</t>
  </si>
  <si>
    <t>C.9.a.vii.1</t>
  </si>
  <si>
    <t>If the investment adviser was hired during the reporting period, indicate the investment adviser's start date:</t>
  </si>
  <si>
    <t>Investment Adviser Start Date</t>
  </si>
  <si>
    <t>The start date of the investment adviser hired during the reporting period.</t>
  </si>
  <si>
    <t>C.9.b.i</t>
  </si>
  <si>
    <t>Terminated Investment Adviser Full Name</t>
  </si>
  <si>
    <t>The full name of the investment adviser terminated during the reporting period.</t>
  </si>
  <si>
    <t>C.9.b.ii</t>
  </si>
  <si>
    <t>Terminated Investment Adviser SEC File Number</t>
  </si>
  <si>
    <t>The SEC file number assigned to the terminated investment adviser of the fund.</t>
  </si>
  <si>
    <t>C.9.b.iii</t>
  </si>
  <si>
    <t>Terminated Investment Adviser CRD Number</t>
  </si>
  <si>
    <t>The CRD number for the terminated investment adviser, if any.</t>
  </si>
  <si>
    <t>C.9.b.iv</t>
  </si>
  <si>
    <t>Terminated Investment Adviser LEI</t>
  </si>
  <si>
    <t>The Legal Entity Identifier (LEI) assigned to the terminated investment adviser.</t>
  </si>
  <si>
    <t>C.9.b.v</t>
  </si>
  <si>
    <t>Terminated Investment Adviser State</t>
  </si>
  <si>
    <t>The state in which the terminated investment adviser is located, if applicable.</t>
  </si>
  <si>
    <t>C.9.b.vi</t>
  </si>
  <si>
    <t>Terminated Investment Adviser Foreign Country</t>
  </si>
  <si>
    <t>The foreign country in which the terminated investment adviser is located, if applicable.</t>
  </si>
  <si>
    <t>C.9.b.vii</t>
  </si>
  <si>
    <t>Termination date:</t>
  </si>
  <si>
    <t>Investment Adviser Termination Date</t>
  </si>
  <si>
    <t>The termination date of the investment adviser.</t>
  </si>
  <si>
    <t>C.9.c.i</t>
  </si>
  <si>
    <t>Sub-Adviser Full Name</t>
  </si>
  <si>
    <t>The full name of each sub-adviser to the fund.</t>
  </si>
  <si>
    <t>C.9.c.ii</t>
  </si>
  <si>
    <t>Sub-Adviser SEC File Number</t>
  </si>
  <si>
    <t>The SEC file number assigned to each sub-adviser of the fund.</t>
  </si>
  <si>
    <t>C.9.c.iii</t>
  </si>
  <si>
    <t>Sub-Adviser CRD Number</t>
  </si>
  <si>
    <t>The CRD number for each sub-adviser, if any.</t>
  </si>
  <si>
    <t>C.9.c.iv</t>
  </si>
  <si>
    <t>Sub-Adviser LEI</t>
  </si>
  <si>
    <t>The Legal Entity Identifier (LEI) assigned to each sub-adviser.</t>
  </si>
  <si>
    <t>C.9.c.v</t>
  </si>
  <si>
    <t>Sub-Adviser State</t>
  </si>
  <si>
    <t>The state where each sub-adviser is located, if applicable.</t>
  </si>
  <si>
    <t>C.9.c.vi</t>
  </si>
  <si>
    <t>Sub-Adviser Foreign Country</t>
  </si>
  <si>
    <t>The foreign country where each sub-adviser is located, if applicable.</t>
  </si>
  <si>
    <t>C.9.c.vii</t>
  </si>
  <si>
    <t>Is the sub-adviser an affiliated person of the Fund's investment adviser(s)? [Y/N]</t>
  </si>
  <si>
    <t>Sub-Adviser Affiliation Indicator</t>
  </si>
  <si>
    <t>Indicates whether each sub-adviser is an affiliated person of the fund's investment adviser(s).</t>
  </si>
  <si>
    <t>C.9.c.viii</t>
  </si>
  <si>
    <t>Was the sub-adviser hired during the reporting period? [Y/N]</t>
  </si>
  <si>
    <t>Sub-Adviser Hired Indicator</t>
  </si>
  <si>
    <t>Indicates whether each sub-adviser was hired during the reporting period.</t>
  </si>
  <si>
    <t>C.9.c.viii.1</t>
  </si>
  <si>
    <t>If the sub-adviser was hired during the reporting period, indicate the sub-adviser's start date:</t>
  </si>
  <si>
    <t>Sub-Adviser's Start Date</t>
  </si>
  <si>
    <t>The start date of each sub-adviser hired during the reporting period.</t>
  </si>
  <si>
    <t>C.9.d.i</t>
  </si>
  <si>
    <t>Terminated Sub-Adviser Full Name</t>
  </si>
  <si>
    <t>The full name of each sub-adviser terminated during the reporting period.</t>
  </si>
  <si>
    <t>C.9.d.ii</t>
  </si>
  <si>
    <t>Terminated Sub-Adviser SEC File Number</t>
  </si>
  <si>
    <t>The SEC file number assigned to each terminated sub-adviser of the fund.</t>
  </si>
  <si>
    <t>C.9.d.iii</t>
  </si>
  <si>
    <t>Terminated Sub-Adviser CRD Number</t>
  </si>
  <si>
    <t>The CRD number for each terminated sub-adviser, if any.</t>
  </si>
  <si>
    <t>C.9.d.iv</t>
  </si>
  <si>
    <t>Terminated Sub-Adviser LEI</t>
  </si>
  <si>
    <t>The Legal Entity Identifier (LEI) assigned to each terminated sub-adviser.</t>
  </si>
  <si>
    <t>C.9.d.v</t>
  </si>
  <si>
    <t>Terminated Sub-Adviser State</t>
  </si>
  <si>
    <t>The state where each terminated sub-adviser is located, if applicable.</t>
  </si>
  <si>
    <t>C.9.d.vi</t>
  </si>
  <si>
    <t>Terminated Sub-Adviser Foreign Country</t>
  </si>
  <si>
    <t>The foreign country where each terminated sub-adviser is located, if applicable.</t>
  </si>
  <si>
    <t>C.9.d.vii</t>
  </si>
  <si>
    <t>Sub-Adviser Termination Date</t>
  </si>
  <si>
    <t>The termination date of each sub-adviser.</t>
  </si>
  <si>
    <t>Transfer agents:</t>
  </si>
  <si>
    <t>Transfer Agents Information</t>
  </si>
  <si>
    <t>Providing information about each person providing transfer agency services to the fund.</t>
  </si>
  <si>
    <t>C.10.a.i</t>
  </si>
  <si>
    <t>Transfer Agent Full Name</t>
  </si>
  <si>
    <t>The full name of each person providing transfer agency services to the fund.</t>
  </si>
  <si>
    <t>American Funds Service Company </t>
  </si>
  <si>
    <t>C.10.a.ii</t>
  </si>
  <si>
    <t>SEC file number (e.g., 84- or 85-):</t>
  </si>
  <si>
    <t>Transfer Agent SEC File Number</t>
  </si>
  <si>
    <t>The SEC file number assigned to each transfer agent.</t>
  </si>
  <si>
    <t>84-00316 </t>
  </si>
  <si>
    <t>C.10.a.iii</t>
  </si>
  <si>
    <t>Transfer Agent LEI</t>
  </si>
  <si>
    <t>The Legal Entity Identifier (LEI) assigned to each transfer agent, if any.</t>
  </si>
  <si>
    <t>C.10.a.iv</t>
  </si>
  <si>
    <t>Transfer Agent State</t>
  </si>
  <si>
    <t>The state where each transfer agent is located, if applicable.</t>
  </si>
  <si>
    <t>C.10.a.v</t>
  </si>
  <si>
    <t>Transfer Agent Foreign Country</t>
  </si>
  <si>
    <t>The foreign country where each transfer agent is located, if applicable.</t>
  </si>
  <si>
    <t>C.10.a.vi</t>
  </si>
  <si>
    <t>Is the transfer agent an affiliated person of the Fund or its investment adviser(s)? [Y/N]</t>
  </si>
  <si>
    <t>Transfer Agent Affiliation Indicator</t>
  </si>
  <si>
    <t>Indicates whether each transfer agent is an affiliated person of the fund or its investment adviser(s).</t>
  </si>
  <si>
    <t>C.10.a.vii</t>
  </si>
  <si>
    <t>Is the transfer agent a sub-transfer agent? [Y/N]</t>
  </si>
  <si>
    <t>Transfer Agent Sub-Transfer Indicator</t>
  </si>
  <si>
    <t>Indicates whether each transfer agent is a sub-transfer agent.</t>
  </si>
  <si>
    <t>C.10.b</t>
  </si>
  <si>
    <t>Has a transfer agent been hired or terminated during the reporting period? [Y/N]</t>
  </si>
  <si>
    <t>Transfer Agent Hired or Terminated Indicator</t>
  </si>
  <si>
    <t>Indicates whether any transfer agents were hired or terminated during the reporting period.</t>
  </si>
  <si>
    <t>C.11.a.i</t>
  </si>
  <si>
    <t>Pricing Service Full Name</t>
  </si>
  <si>
    <t>The full name of each person providing pricing services to the fund during the reporting period.</t>
  </si>
  <si>
    <t>Refinitiv US LLC </t>
  </si>
  <si>
    <t>C.11.a.ii</t>
  </si>
  <si>
    <t>LEI, if any, or provide and describe other identifying number:</t>
  </si>
  <si>
    <t>Pricing Service LEI</t>
  </si>
  <si>
    <t>The Legal Entity Identifier (LEI) assigned to each pricing service, or other identifying number, if any.</t>
  </si>
  <si>
    <t>213800HQORQAP68CJJ04 </t>
  </si>
  <si>
    <t>C.11.a.iii</t>
  </si>
  <si>
    <t>Pricing Service State</t>
  </si>
  <si>
    <t>The state where each pricing service is located, if applicable.</t>
  </si>
  <si>
    <t>NEW YORK  </t>
  </si>
  <si>
    <t>C.11.a.iv</t>
  </si>
  <si>
    <t>Pricing Service Foreign Country</t>
  </si>
  <si>
    <t>The foreign country where each pricing service is located, if applicable.</t>
  </si>
  <si>
    <t>C.11.a.v</t>
  </si>
  <si>
    <t>Is the pricing service an affiliated person of the Fund or its investment adviser(s)? [Y/N]</t>
  </si>
  <si>
    <t>Pricing Service Affiliation Indicator</t>
  </si>
  <si>
    <t>Indicates whether each pricing service is an affiliated person of the fund or its investment adviser(s).</t>
  </si>
  <si>
    <t>C.11.b</t>
  </si>
  <si>
    <t>Was a pricing service hired or terminated during the reporting period? [Y/N]</t>
  </si>
  <si>
    <t>Pricing Service Hired/Terminated Indicator</t>
  </si>
  <si>
    <t>Indicates whether any pricing services were hired or terminated during the reporting period.</t>
  </si>
  <si>
    <t>Custodians:</t>
  </si>
  <si>
    <t>Custodians Information</t>
  </si>
  <si>
    <t>Information about each person providing custodial services to the fund during the reporting period.</t>
  </si>
  <si>
    <t>C.12.a.i</t>
  </si>
  <si>
    <t>Custodian Full Name</t>
  </si>
  <si>
    <t>The full name of each person providing custodial services to the fund during the reporting period.</t>
  </si>
  <si>
    <t>C.12.a.ii</t>
  </si>
  <si>
    <t>Custodian LEI</t>
  </si>
  <si>
    <t>The Legal Entity Identifier (LEI) assigned to each custodian, if any.</t>
  </si>
  <si>
    <t>C.12.a.iii</t>
  </si>
  <si>
    <t>Custodian State</t>
  </si>
  <si>
    <t>The state where each custodian is located, if applicable.</t>
  </si>
  <si>
    <t>C.12.a.iv</t>
  </si>
  <si>
    <t>Custodian Foreign Country</t>
  </si>
  <si>
    <t>The foreign country where each custodian is located, if applicable.</t>
  </si>
  <si>
    <t>C.12.a.v</t>
  </si>
  <si>
    <t>Is the custodian an affiliated person of the Fund or its investment adviser(s)? [Y/N]</t>
  </si>
  <si>
    <t>Custodian Affiliation Indicator</t>
  </si>
  <si>
    <t>Indicates whether each custodian is an affiliated person of the fund or its investment adviser(s).</t>
  </si>
  <si>
    <t>C.12.a.vi</t>
  </si>
  <si>
    <t>Is the custodian a sub-custodian? [Y/N]</t>
  </si>
  <si>
    <t>Custodian Sub-Custodian Indicator</t>
  </si>
  <si>
    <t>Indicates whether each custodian is a sub-custodian.</t>
  </si>
  <si>
    <t>C.12.a.vii</t>
  </si>
  <si>
    <t>With respect to the custodian, check below to indicate the type of custody:</t>
  </si>
  <si>
    <t>Type of Custody</t>
  </si>
  <si>
    <t>Indicates the type of custody arrangement for each custodian.</t>
  </si>
  <si>
    <t>C.12.a.vii.1</t>
  </si>
  <si>
    <t>Bank - section 17(f)(1) (15 U.S.C. 80a-17(f)(1)):</t>
  </si>
  <si>
    <t>Bank Custody</t>
  </si>
  <si>
    <t>Indicates whether the custodian is a bank as per section 17(f)(1).</t>
  </si>
  <si>
    <t>C.12.a.vii.2</t>
  </si>
  <si>
    <t>Member national securities exchange - rule 17f-1 (17 CFR 270.17f-1):</t>
  </si>
  <si>
    <t>Member National Securities Exchange Custody</t>
  </si>
  <si>
    <t>Indicates whether the custodian is a member of a national securities exchange under rule 17f-1.</t>
  </si>
  <si>
    <t>C.12.a.vii.3</t>
  </si>
  <si>
    <t>Self - rule 17f-2 (17 CFR 270.17f-2):</t>
  </si>
  <si>
    <t>Self Custody</t>
  </si>
  <si>
    <t>Indicates whether the custody arrangement is self-custody under rule 17f-2.</t>
  </si>
  <si>
    <t>C.12.a.vii.4</t>
  </si>
  <si>
    <t>Securities depository - rule 17f-4 (17 CFR 270.17f-4):</t>
  </si>
  <si>
    <t>Securities Depository Custody</t>
  </si>
  <si>
    <t>Indicates whether the custodian is a securities depository under rule 17f-4.</t>
  </si>
  <si>
    <t>C.12.a.vii.5</t>
  </si>
  <si>
    <t>Foreign custodian - rule 17f-5 (17 CFR 270.17f-5):</t>
  </si>
  <si>
    <t>Foreign Custodian</t>
  </si>
  <si>
    <t>Indicates whether the custodian is a foreign custodian under rule 17f-5.</t>
  </si>
  <si>
    <t>C.12.a.vii.6</t>
  </si>
  <si>
    <t>Futures commission merchants and commodity clearing organizations - rule 17f-6 (17 CFR 270.17f-6):</t>
  </si>
  <si>
    <t>Futures Commission Merchant Custody</t>
  </si>
  <si>
    <t>Indicates whether the custodian is a futures commission merchant or commodity clearing organization under rule 17f-6.</t>
  </si>
  <si>
    <t>C.12.a.vii.7</t>
  </si>
  <si>
    <t>Foreign securities depository - rule 17f-7 (17 CFR 270.17f-7):</t>
  </si>
  <si>
    <t>Foreign Securities Depository Custody</t>
  </si>
  <si>
    <t>Indicates whether the custodian is a foreign securities depository under rule 17f-7.</t>
  </si>
  <si>
    <t>C.12.a.vii.8</t>
  </si>
  <si>
    <t>Insurance company sponsor - rule 26a-2 (17 CFR 270.26a-2):</t>
  </si>
  <si>
    <t>Insurance Company Sponsor Custody</t>
  </si>
  <si>
    <t>Indicates whether the custodian type is an insurance company sponsor under rule 26a-2</t>
  </si>
  <si>
    <t>C.12.a.vii.9</t>
  </si>
  <si>
    <t>Other Custody Type</t>
  </si>
  <si>
    <t>Description of the custody type if it does not fit into the predefined categories.</t>
  </si>
  <si>
    <t>C.12.b</t>
  </si>
  <si>
    <t>Has a custodian been hired or terminated during the reporting period? [Y/N]</t>
  </si>
  <si>
    <t>Custodian Hired/Terminated Indicator</t>
  </si>
  <si>
    <t>Indicates whether any custodians were hired or terminated during the reporting period.</t>
  </si>
  <si>
    <t>C.13</t>
  </si>
  <si>
    <t>Shareholder servicing agents:</t>
  </si>
  <si>
    <t>Shareholder Servicing Agents Information</t>
  </si>
  <si>
    <t>Information about each shareholder servicing agent of the fund.</t>
  </si>
  <si>
    <t>C.13.a.i</t>
  </si>
  <si>
    <t>Shareholder Servicing Agent Full Name</t>
  </si>
  <si>
    <t>The full name of each shareholder servicing agent of the fund.</t>
  </si>
  <si>
    <t>C.13.a.ii</t>
  </si>
  <si>
    <t>Shareholder Servicing Agent LEI</t>
  </si>
  <si>
    <t>The Legal Entity Identifier (LEI) assigned to each shareholder servicing agent, or other identifying number, if any.</t>
  </si>
  <si>
    <t>C.13.a.iii</t>
  </si>
  <si>
    <t>Shareholder Servicing Agent State</t>
  </si>
  <si>
    <t>The state where each shareholder servicing agent is located, if applicable.</t>
  </si>
  <si>
    <t>C.13.a.iv</t>
  </si>
  <si>
    <t>Shareholder Servicing Agent Foreign Country</t>
  </si>
  <si>
    <t>The foreign country where each shareholder servicing agent is located, if applicable.</t>
  </si>
  <si>
    <t>C.13.a.v</t>
  </si>
  <si>
    <t>Is the shareholder servicing agent an affiliated person of the Fund or its investment adviser(s)? [Y/N]</t>
  </si>
  <si>
    <t>Shareholder Servicing Agent Affiliation Indicator</t>
  </si>
  <si>
    <t>Indicates whether each shareholder servicing agent is an affiliated person of the fund or its investment adviser(s).</t>
  </si>
  <si>
    <t>C.13.a.vi</t>
  </si>
  <si>
    <t>Is the shareholder servicing agent a sub-shareholder servicing agent? [Y/N]</t>
  </si>
  <si>
    <t>Shareholder Servicing Agent Sub-Servicing Indicator</t>
  </si>
  <si>
    <t>Indicates whether each shareholder servicing agent is a sub-shareholder servicing agent.</t>
  </si>
  <si>
    <t>C.13.b</t>
  </si>
  <si>
    <t>Has a shareholder servicing agent been hired or terminated during the reporting period? [Y/N]</t>
  </si>
  <si>
    <t>Shareholder Servicing Agent Hired/Terminated Indicator</t>
  </si>
  <si>
    <t>Indicates whether any shareholder servicing agents were hired or terminated during the reporting period.</t>
  </si>
  <si>
    <t>C.14</t>
  </si>
  <si>
    <t>Administrators:</t>
  </si>
  <si>
    <t>Administrators Information</t>
  </si>
  <si>
    <t>Information about each administrator of the fund.</t>
  </si>
  <si>
    <t>C.14.a.i</t>
  </si>
  <si>
    <t>Administrator Full Name</t>
  </si>
  <si>
    <t>The full name of each administrator of the fund.</t>
  </si>
  <si>
    <t>C.14.a.ii</t>
  </si>
  <si>
    <t>Administrator LEI</t>
  </si>
  <si>
    <t>The Legal Entity Identifier (LEI) assigned to each administrator, or other identifying number, if any.</t>
  </si>
  <si>
    <t>C.14.a.iii</t>
  </si>
  <si>
    <t>Administrator State</t>
  </si>
  <si>
    <t>The state where each administrator is located, if applicable.</t>
  </si>
  <si>
    <t>C.14.a.iv</t>
  </si>
  <si>
    <t>Administrator Foreign Country</t>
  </si>
  <si>
    <t>The foreign country where each administrator is located, if applicable.</t>
  </si>
  <si>
    <t>C.14.a.v</t>
  </si>
  <si>
    <t>Is the administrator an affiliated person of the Fund or its investment adviser(s)? [Y/N]</t>
  </si>
  <si>
    <t>Administrator Affiliation Indicator</t>
  </si>
  <si>
    <t>Indicates whether each administrator is an affiliated person of the fund or its investment adviser(s).</t>
  </si>
  <si>
    <t>C.14.a.vi</t>
  </si>
  <si>
    <t>Is the administrator a sub-administrator? [Y/N]</t>
  </si>
  <si>
    <t>Administrator Sub-Administrator Indicator</t>
  </si>
  <si>
    <t>Indicates whether each administrator is a sub-administrator.</t>
  </si>
  <si>
    <t>C.14.b</t>
  </si>
  <si>
    <t>Has an administrator been hired or terminated during the reporting period? [Y/N]</t>
  </si>
  <si>
    <t>Administrator Hired/Terminated Indicator</t>
  </si>
  <si>
    <t>Indicates whether any administrators were hired or terminated during the reporting period.</t>
  </si>
  <si>
    <t>C.15</t>
  </si>
  <si>
    <t>Affiliated broker-dealers:</t>
  </si>
  <si>
    <t>Affiliated Broker-Dealers Information</t>
  </si>
  <si>
    <t>Information about each affiliated broker-dealer.</t>
  </si>
  <si>
    <t>C.15.a</t>
  </si>
  <si>
    <t>Affiliated Broker-Dealer Full Name</t>
  </si>
  <si>
    <t>The full name of each affiliated broker-dealer.</t>
  </si>
  <si>
    <t>C.15.b</t>
  </si>
  <si>
    <t>SEC file number:</t>
  </si>
  <si>
    <t>Affiliated Broker-Dealer SEC File Number</t>
  </si>
  <si>
    <t>The SEC file number assigned to each affiliated broker-dealer.</t>
  </si>
  <si>
    <t>C.15.c</t>
  </si>
  <si>
    <t>Affiliated Broker-Dealer CRD Number</t>
  </si>
  <si>
    <t>The CRD number assigned to each affiliated broker-dealer.</t>
  </si>
  <si>
    <t>C.15.d</t>
  </si>
  <si>
    <t>Affiliated Broker-Dealer LEI</t>
  </si>
  <si>
    <t>The Legal Entity Identifier (LEI) assigned to each affiliated broker-dealer, if any.</t>
  </si>
  <si>
    <t>C.15.e</t>
  </si>
  <si>
    <t>Affiliated Broker-Dealer State</t>
  </si>
  <si>
    <t>The state where the affiliated broker-dealer is located, if applicable.</t>
  </si>
  <si>
    <t>C.15.f</t>
  </si>
  <si>
    <t>Affiliated Broker-Dealer Foreign Country</t>
  </si>
  <si>
    <t>The foreign country where the affiliated broker-dealer is located, if applicable.</t>
  </si>
  <si>
    <t>C.15.g</t>
  </si>
  <si>
    <t>0.0 </t>
  </si>
  <si>
    <t>Total commissions paid to the affiliated broker-dealer for the reporting period:</t>
  </si>
  <si>
    <t>Commissions Paid to Affiliated Broker-Dealers</t>
  </si>
  <si>
    <t>The total commissions paid to the affiliated broker-dealers for the reporting period.</t>
  </si>
  <si>
    <t>C.16</t>
  </si>
  <si>
    <t>Brokers:</t>
  </si>
  <si>
    <t>Brokers Information</t>
  </si>
  <si>
    <t>Information on brokers involved in the fund's portfolio transactions.</t>
  </si>
  <si>
    <t>C.16.a</t>
  </si>
  <si>
    <t>For each of the ten brokers that received the largest dollar amount of brokerage commissions (excluding dealer concessions in underwritings) by virtue of direct or indirect participation in the Fund's portfolio transactions, provide the information below</t>
  </si>
  <si>
    <t>Largest Broker Commissions Information</t>
  </si>
  <si>
    <t>Information on brokers that received the largest dollar amount of brokerage commissions through direct or indirect participation in the fund's portfolio transactions.</t>
  </si>
  <si>
    <t>C.16.a.i</t>
  </si>
  <si>
    <t>Citigroup Global Markets Inc.  </t>
  </si>
  <si>
    <t>Full name of broker:</t>
  </si>
  <si>
    <t>Largest Commission Broker Full Name</t>
  </si>
  <si>
    <t>The full name of the broker that received the largest dollar amount of brokerage commissions.</t>
  </si>
  <si>
    <t>C.16.a.ii</t>
  </si>
  <si>
    <t>8-08177-1 </t>
  </si>
  <si>
    <t>Largest Commission Broker SEC File Number</t>
  </si>
  <si>
    <t>The SEC file number assigned to the broker that received the largest dollar amount of brokerage commissions.</t>
  </si>
  <si>
    <t>C.16.a.iii</t>
  </si>
  <si>
    <t>000007059 </t>
  </si>
  <si>
    <t>Largest Commission Broker CRD Number</t>
  </si>
  <si>
    <t>The CRD number assigned to the broker that received the largest dollar amount of brokerage commissions.</t>
  </si>
  <si>
    <t>C.16.a.iv</t>
  </si>
  <si>
    <t>MBNUM2BPBDO7JBLYG310 </t>
  </si>
  <si>
    <t>Largest Commission Broker LEI</t>
  </si>
  <si>
    <t>The Legal Entity Identifier (LEI) assigned to the broker that received the largest dollar amount of brokerage commissions, if any.</t>
  </si>
  <si>
    <t>C.16.a.v</t>
  </si>
  <si>
    <t>Largest Commission Broker State</t>
  </si>
  <si>
    <t>The state where the broker that received the largest dollar amount of brokerage commissions is located, if applicable.</t>
  </si>
  <si>
    <t>C.16.a.vi</t>
  </si>
  <si>
    <t>Largest Commission Broker Foreign Country</t>
  </si>
  <si>
    <t>The foreign country where the broker that received the largest dollar amount of brokerage commissions is located, if applicable.</t>
  </si>
  <si>
    <t>C.16.a.vii</t>
  </si>
  <si>
    <t>1,477,222.000000000000 </t>
  </si>
  <si>
    <t>Gross commissions paid by the Fund for the reporting period:</t>
  </si>
  <si>
    <t>Largest Commission Broker Gross Commissions</t>
  </si>
  <si>
    <t>The gross commissions paid by the fund to the broker that received the largest dollar amount of brokerage commissions for the reporting period.</t>
  </si>
  <si>
    <t>C.16.b</t>
  </si>
  <si>
    <t>Aggregate brokerage commissions paid by Fund during the reporting period:</t>
  </si>
  <si>
    <t>Aggregate Brokerage Commissions Paid</t>
  </si>
  <si>
    <t>The aggregate dollar amount of commissions paid by the fund for brokerage activities during the reporting period.</t>
  </si>
  <si>
    <t>C.17</t>
  </si>
  <si>
    <t>Principal transactions:</t>
  </si>
  <si>
    <t>Principal Transactions Information</t>
  </si>
  <si>
    <t>Information on principal transactions conducted by the fund during the reporting period.</t>
  </si>
  <si>
    <t>C.17.a</t>
  </si>
  <si>
    <t>For each of the ten entities acting as principals with which the Fund did the largest dollar amount of principal transactions (include all short-term obligations, and U.S. government and tax-free securities) in both the secondary market and in underwritten offerings, provide the information below.</t>
  </si>
  <si>
    <t>Largest Principal Transactions Information</t>
  </si>
  <si>
    <t>Information on the entities that acted as principals with which the fund conducted the largest dollar amount of principal transactions.</t>
  </si>
  <si>
    <t>C.17.a.i</t>
  </si>
  <si>
    <t>Morgan Stanley &amp; Co. LLC  </t>
  </si>
  <si>
    <t>Full name of dealer:</t>
  </si>
  <si>
    <t>Largest Principal Transactions Dealer Full Name</t>
  </si>
  <si>
    <t>The full name of each dealer involved in the largest principal transactions.</t>
  </si>
  <si>
    <t>C.17.a.ii</t>
  </si>
  <si>
    <t>8-15869-1 </t>
  </si>
  <si>
    <t>Largest Principal Transactions Dealer SEC File Number</t>
  </si>
  <si>
    <t>The SEC file number assigned to each dealer involved in the largest principal transactions.</t>
  </si>
  <si>
    <t>C.17.a.iii</t>
  </si>
  <si>
    <t>000008209 </t>
  </si>
  <si>
    <t>Largest Principal Transactions Dealer CRD Number</t>
  </si>
  <si>
    <t>The CRD number assigned to each dealer involved in the largest principal transactions.</t>
  </si>
  <si>
    <t>C.17.a.iv</t>
  </si>
  <si>
    <t>9R7GPTSO7KV3UQJZQ078 </t>
  </si>
  <si>
    <t>Largest Principal Transactions Dealer LEI</t>
  </si>
  <si>
    <t>The Legal Entity Identifier (LEI) assigned to each dealer involved in the largest principal transactions, if any.</t>
  </si>
  <si>
    <t>C.17.a.v</t>
  </si>
  <si>
    <t>Largest Principal Transactions Dealer State</t>
  </si>
  <si>
    <t>The state where each dealer involved in the largest principal transactions is located, if applicable.</t>
  </si>
  <si>
    <t>C.17.a.vi</t>
  </si>
  <si>
    <t>Largest Principal Transactions Dealer Foreign Country</t>
  </si>
  <si>
    <t>The foreign country where each dealer involved in the largest principal transactions is located, if applicable.</t>
  </si>
  <si>
    <t>C.17.a.vii</t>
  </si>
  <si>
    <t>82,717,676,989.000000000000 </t>
  </si>
  <si>
    <t>Total value of purchases and sales (excluding maturing securities) with Fund:</t>
  </si>
  <si>
    <t>Total Value of Principal Transactions</t>
  </si>
  <si>
    <t>The total value of purchases and sales conducted with the fund's participating entities as principals, excluding maturing securities.</t>
  </si>
  <si>
    <t>C.17.b</t>
  </si>
  <si>
    <t>Aggregate value of principal purchase/sale transactions of Fund during the reporting period:</t>
  </si>
  <si>
    <t>Aggregate Value of Principal Transactions</t>
  </si>
  <si>
    <t>The aggregate value of all principal purchase and sale transactions conducted by the fund during the reporting period.</t>
  </si>
  <si>
    <t>C.18</t>
  </si>
  <si>
    <t>Payments for brokerage and research: During the reporting period, did the Fund pay commissions to broker-dealers for "brokerage and research services" within the meaning of section 28(e) of the Exchange Act (15 U.S.C. 78bb)? [Y/N]</t>
  </si>
  <si>
    <t>Payments for Brokerage and Research Services Indicator</t>
  </si>
  <si>
    <t>Indicates whether the fund paid commissions to broker-dealers for "brokerage and research services" within the definition of section 28(e) of the Exchange Act.</t>
  </si>
  <si>
    <t>C.19</t>
  </si>
  <si>
    <t>226,218,092,516.000000000000 </t>
  </si>
  <si>
    <t>Average net assets:</t>
  </si>
  <si>
    <t>Fund Average Net Assets</t>
  </si>
  <si>
    <t>Information on the average net assets of the fund during the reporting period.</t>
  </si>
  <si>
    <t>C.19.a</t>
  </si>
  <si>
    <t>Provide the Fund's (other than a money market fund's) monthly average net assets during the reporting period:</t>
  </si>
  <si>
    <t>Fund Monthly Average Net Assets</t>
  </si>
  <si>
    <t>The monthly average net assets of the fund during the reporting period, excluding money market funds.</t>
  </si>
  <si>
    <t>C.19.b</t>
  </si>
  <si>
    <t>Provide the money market fund's daily average net assets during the reporting period:</t>
  </si>
  <si>
    <t>Money Market Fund Daily Average Net Assets</t>
  </si>
  <si>
    <t>The daily average net assets of the money market fund during the reporting period.</t>
  </si>
  <si>
    <t>C.20</t>
  </si>
  <si>
    <t>Lines of credit, interfund lending, and interfund borrowing: For open-end management investment companies, respond to the following:</t>
  </si>
  <si>
    <t>Fund Credit and Lending Arrangements</t>
  </si>
  <si>
    <t>Information on the credit and lending arrangements of the fund.</t>
  </si>
  <si>
    <t>C.20.a</t>
  </si>
  <si>
    <t>Does the Fund have available a line of credit? [Y/N]</t>
  </si>
  <si>
    <t>Line of Credit Availability Indicator</t>
  </si>
  <si>
    <t>Indicates whether the fund has an available line of credit.</t>
  </si>
  <si>
    <t>C.20.a.i</t>
  </si>
  <si>
    <t>Uncommitted</t>
  </si>
  <si>
    <t>Is the line of credit a committed or uncommitted line of credit? [committed/uncommitted]</t>
  </si>
  <si>
    <t>Line of Credit Type Indicator</t>
  </si>
  <si>
    <t>Indicates whether the line of credit is committed or uncommitted.</t>
  </si>
  <si>
    <t>C.20.a.ii</t>
  </si>
  <si>
    <t>1,500,000,000.000000000000 </t>
  </si>
  <si>
    <t>What size is the line of credit? [insert dollar amount]</t>
  </si>
  <si>
    <t>Line of Credit Size Amount</t>
  </si>
  <si>
    <t>The size of the line of credit in dollars.</t>
  </si>
  <si>
    <t>C.20.a.iii</t>
  </si>
  <si>
    <t>JPMORGAN CHASE BANK, N.A. </t>
  </si>
  <si>
    <t>With which institution(s) is the line of credit? [list name(s)]</t>
  </si>
  <si>
    <t>Line of Credit Institutions</t>
  </si>
  <si>
    <t>The names of the institutions providing the line of credit.</t>
  </si>
  <si>
    <t>C.20.a.iv</t>
  </si>
  <si>
    <t>Shared</t>
  </si>
  <si>
    <t>Is the line of credit just for the Fund, or is it shared among multiple funds? [sole/shared]</t>
  </si>
  <si>
    <t>Line of Credit Usage Type</t>
  </si>
  <si>
    <t>Indicates whether the line of credit is used solely for the fund or shared among multiple funds.</t>
  </si>
  <si>
    <t>C.20.a.iv.1</t>
  </si>
  <si>
    <t xml:space="preserve">AMCAP Fund, 811-01435 </t>
  </si>
  <si>
    <t>If shared, list the names of other funds that may use the line of credit. [list names and SEC File numbers]</t>
  </si>
  <si>
    <t>Shared Line of Credit Funds</t>
  </si>
  <si>
    <t>The names and SEC file numbers of other funds that may use the shared line of credit.</t>
  </si>
  <si>
    <t>C.20.a.v</t>
  </si>
  <si>
    <t>Did the Fund draw on the line of credit this period? [Y/N]</t>
  </si>
  <si>
    <t>Line of Credit Draw Indicator</t>
  </si>
  <si>
    <t>Indicates whether the fund drew on the line of credit during this period.</t>
  </si>
  <si>
    <t>C.20.a.vi</t>
  </si>
  <si>
    <t>If the Fund drew on the line of credit during this period, what was the average amount outstanding when the line of credit was in use? [insert dollar amount]</t>
  </si>
  <si>
    <t>Average Outstanding Amount</t>
  </si>
  <si>
    <t>The average amount outstanding when the line of credit was in use.</t>
  </si>
  <si>
    <t>C.20.a.vii</t>
  </si>
  <si>
    <t>If the Fund drew on the line of credit during this period, what was the number of days that the line of credit was in use? [insert amount]</t>
  </si>
  <si>
    <t>Number of Days Line of Credit in Use</t>
  </si>
  <si>
    <t>The number of days the line of credit was in use during this period.</t>
  </si>
  <si>
    <t>C.20.b</t>
  </si>
  <si>
    <t>Did the Fund engage in interfund lending? [Y/N]</t>
  </si>
  <si>
    <t>Interfund Lending Indicator</t>
  </si>
  <si>
    <t>Indicates whether the fund engaged in interfund lending.</t>
  </si>
  <si>
    <t>C.20.b.i</t>
  </si>
  <si>
    <t>What was the average amount of the interfund loan when the loan was outstanding? [insert dollar amount]</t>
  </si>
  <si>
    <t>Average Amount of Interfund Loan</t>
  </si>
  <si>
    <t>The average amount of the interfund loan when it was outstanding.</t>
  </si>
  <si>
    <t>C.20.b.ii</t>
  </si>
  <si>
    <t>What was the number of days that the interfund loan was outstanding? [insert amount]</t>
  </si>
  <si>
    <t>Number of Days Interfund Loan Outstanding</t>
  </si>
  <si>
    <t>The number of days the interfund loan was outstanding.</t>
  </si>
  <si>
    <t>C.20.c</t>
  </si>
  <si>
    <t>Did the Fund engage in interfund borrowing? [Y/N]</t>
  </si>
  <si>
    <t>Interfund Borrowing Indicator</t>
  </si>
  <si>
    <t>Indicates whether the fund engaged in interfund borrowing.</t>
  </si>
  <si>
    <t>C.20.c.i</t>
  </si>
  <si>
    <t>Average Amount of Interfund Borrowing</t>
  </si>
  <si>
    <t>The average amount of the interfund borrowing when the loan was outstanding.</t>
  </si>
  <si>
    <t>C.20.c.ii</t>
  </si>
  <si>
    <t>Number of Days Interfund Borrowing Outstanding</t>
  </si>
  <si>
    <t>The number of days the interfund borrowing was outstanding.</t>
  </si>
  <si>
    <t>C.21</t>
  </si>
  <si>
    <t>Swing pricing: For open-end management investment companies, respond to the following:</t>
  </si>
  <si>
    <t>Swing Pricing Arrangements</t>
  </si>
  <si>
    <t>Information about the fund's engagement in swing pricing.</t>
  </si>
  <si>
    <t>C.21.a</t>
  </si>
  <si>
    <t>Did the Fund (if not a Money Market Fund, Exchange-Traded Fund, or Exchange-Traded Managed Fund) engage in swing pricing? [Y/N]</t>
  </si>
  <si>
    <t>Swing Pricing Engagement Indicator</t>
  </si>
  <si>
    <t>Indicates whether the fund engaged in swing pricing, excluding Money Market Funds, Exchange-Traded Funds, or Exchange-Traded Managed Funds.</t>
  </si>
  <si>
    <t>C.21.a.i</t>
  </si>
  <si>
    <t>If so, what was the swing factor upper limit?</t>
  </si>
  <si>
    <t>Swing Factor Upper Limit</t>
  </si>
  <si>
    <t>The upper limit of the swing factor used in swing pricing.</t>
  </si>
  <si>
    <t>Item D</t>
  </si>
  <si>
    <t>D.1</t>
  </si>
  <si>
    <t>Securities issued by Registrant. Indicate by checking below which of the following securities have been issued by the Registrant. Indicate all that apply.</t>
  </si>
  <si>
    <t>Issued Securities Information</t>
  </si>
  <si>
    <t>Information about the types of securities issued by the Registrant.</t>
  </si>
  <si>
    <t>D.1.a</t>
  </si>
  <si>
    <t>Common stock:</t>
  </si>
  <si>
    <t>Common Stock Issuance Indicator</t>
  </si>
  <si>
    <t>Indicates whether the Registrant has issued common stock.</t>
  </si>
  <si>
    <t>D.1.a.i</t>
  </si>
  <si>
    <t>Title of class:</t>
  </si>
  <si>
    <t>Common Stock Title of Class</t>
  </si>
  <si>
    <t>The title of the class of common stock issued by the Registrant.</t>
  </si>
  <si>
    <t>D.1.a.ii</t>
  </si>
  <si>
    <t>Exchange where listed:</t>
  </si>
  <si>
    <t>Common Stock Exchange Where Listed</t>
  </si>
  <si>
    <t>The exchange where the common stock is listed.</t>
  </si>
  <si>
    <t>D.1.a.iii</t>
  </si>
  <si>
    <t>Ticker symbol:</t>
  </si>
  <si>
    <t>Common Stock Ticker Symbol</t>
  </si>
  <si>
    <t>The ticker symbol for the common stock.</t>
  </si>
  <si>
    <t>D.1.b</t>
  </si>
  <si>
    <t>Preferred stock:</t>
  </si>
  <si>
    <t>Preferred Stock Issuance Indicator</t>
  </si>
  <si>
    <t>Indicates whether the Registrant has issued preferred stock.</t>
  </si>
  <si>
    <t>D.1.b.i</t>
  </si>
  <si>
    <t>Preferred Stock Title of Class</t>
  </si>
  <si>
    <t>The title of the class of preferred stock issued by the Registrant.</t>
  </si>
  <si>
    <t>D.1.b.ii</t>
  </si>
  <si>
    <t>Preferred Stock Exchange Where Listed</t>
  </si>
  <si>
    <t>The exchange where the preferred stock is listed.</t>
  </si>
  <si>
    <t>D.1.b.iii</t>
  </si>
  <si>
    <t>Preferred Stock Ticker Symbol</t>
  </si>
  <si>
    <t>The ticker symbol for the preferred stock.</t>
  </si>
  <si>
    <t>D.1.c</t>
  </si>
  <si>
    <t>Warrants:</t>
  </si>
  <si>
    <t>Warrants Issuance Indicator</t>
  </si>
  <si>
    <t>Indicates whether the Registrant has issued warrants.</t>
  </si>
  <si>
    <t>D.1.c.i</t>
  </si>
  <si>
    <t>Warrants Title of Class</t>
  </si>
  <si>
    <t>The title of the class of warrants issued by the Registrant.</t>
  </si>
  <si>
    <t>D.1.c.ii</t>
  </si>
  <si>
    <t>Warrants Exchange Where Listed</t>
  </si>
  <si>
    <t>The exchange where the warrants are listed.</t>
  </si>
  <si>
    <t>D.1.c.iii</t>
  </si>
  <si>
    <t>Warrants Ticker Symbol</t>
  </si>
  <si>
    <t>The ticker symbol for the warrants.</t>
  </si>
  <si>
    <t>D.1.d</t>
  </si>
  <si>
    <t>Convertible securities:</t>
  </si>
  <si>
    <t>Convertible Securities Issuance Indicator</t>
  </si>
  <si>
    <t>Indicates whether the Registrant has issued convertible securities.</t>
  </si>
  <si>
    <t>D.1.d.i</t>
  </si>
  <si>
    <t>Convertible Securities Title of Class</t>
  </si>
  <si>
    <t>The title of the class of convertible securities issued by the Registrant.</t>
  </si>
  <si>
    <t>D.1.d.ii</t>
  </si>
  <si>
    <t>Convertible Securities Exchange Where Listed</t>
  </si>
  <si>
    <t>The exchange where the convertible securities are listed.</t>
  </si>
  <si>
    <t>D.1.d.iii</t>
  </si>
  <si>
    <t>Convertible Securities Ticker Symbol</t>
  </si>
  <si>
    <t>The ticker symbol for the convertible securities.</t>
  </si>
  <si>
    <t>D.1.e</t>
  </si>
  <si>
    <t>Bonds:</t>
  </si>
  <si>
    <t>Bonds Issuance Indicator</t>
  </si>
  <si>
    <t>Indicates whether the Registrant has issued bonds.</t>
  </si>
  <si>
    <t>D.1.e.i</t>
  </si>
  <si>
    <t>Bonds Title of Class</t>
  </si>
  <si>
    <t>The title of the class of bonds issued by the Registrant.</t>
  </si>
  <si>
    <t>D.1.e.ii</t>
  </si>
  <si>
    <t>Bonds Exchange Where Listed</t>
  </si>
  <si>
    <t>The exchange where the bonds are listed.</t>
  </si>
  <si>
    <t>D.1.e.iii</t>
  </si>
  <si>
    <t>Bonds Ticker Symbol</t>
  </si>
  <si>
    <t>The ticker symbol for the bonds.</t>
  </si>
  <si>
    <t>D.1.f</t>
  </si>
  <si>
    <t>Other Securities Description</t>
  </si>
  <si>
    <t>Description of other types of securities issued by the Registrant.</t>
  </si>
  <si>
    <t>D.1.f.i</t>
  </si>
  <si>
    <t>Other Securities Title of Class</t>
  </si>
  <si>
    <t>The title of the class of other securities issued by the Registrant.</t>
  </si>
  <si>
    <t>D.1.f.ii</t>
  </si>
  <si>
    <t>Other Securities Exchange Where Listed</t>
  </si>
  <si>
    <t>The exchange where the other securities are listed.</t>
  </si>
  <si>
    <t>D.1.f.iii</t>
  </si>
  <si>
    <t>Other Securities Ticker Symbol</t>
  </si>
  <si>
    <t>The ticker symbol for the other securities.</t>
  </si>
  <si>
    <t>D.2</t>
  </si>
  <si>
    <t>Rights offerings:</t>
  </si>
  <si>
    <t>Rights Offering Information</t>
  </si>
  <si>
    <t>Information regarding rights offerings made during the reporting period.</t>
  </si>
  <si>
    <t>D.2.a</t>
  </si>
  <si>
    <t>Did the Fund make a rights offering with respect to any type of security during the reporting period? [Y/N]</t>
  </si>
  <si>
    <t>Rights Offering Indicator</t>
  </si>
  <si>
    <t>Indicates whether the Fund made a rights offering with respect to any type of security during the reporting period.</t>
  </si>
  <si>
    <t>D.2.b</t>
  </si>
  <si>
    <t>Type of security:</t>
  </si>
  <si>
    <t>Rights Offering Security Type</t>
  </si>
  <si>
    <t>The type of security for which a rights offering was made.</t>
  </si>
  <si>
    <t>D.2.b.i</t>
  </si>
  <si>
    <t>Common Stock Rights Offering Indicator</t>
  </si>
  <si>
    <t>Indicates whether the rights offering was for common stock.</t>
  </si>
  <si>
    <t>D.2.b.ii</t>
  </si>
  <si>
    <t>Preferred Stock Rights Offering Indicator</t>
  </si>
  <si>
    <t>Indicates whether the rights offering was for preferred stock.</t>
  </si>
  <si>
    <t>D.2.b.iii</t>
  </si>
  <si>
    <t>Warrants Rights Offering Indicator</t>
  </si>
  <si>
    <t>Indicates whether the rights offering was for warrants.</t>
  </si>
  <si>
    <t>D.2.b.iv</t>
  </si>
  <si>
    <t>Convertible Securities Rights Offering Indicator</t>
  </si>
  <si>
    <t>Indicates whether the rights offering was for convertible securities.</t>
  </si>
  <si>
    <t>D.2.b.v</t>
  </si>
  <si>
    <t>Bonds Rights Offering Indicator</t>
  </si>
  <si>
    <t>Indicates whether the rights offering was for bonds.</t>
  </si>
  <si>
    <t>D.2.b.vi</t>
  </si>
  <si>
    <t>Other Rights Offering Security Type</t>
  </si>
  <si>
    <t>Description of other security types for which a rights offering was made.</t>
  </si>
  <si>
    <t>D.2.c</t>
  </si>
  <si>
    <t>Percentage of participation in primary rights offering:</t>
  </si>
  <si>
    <t>Rights Offering Participation Percentage</t>
  </si>
  <si>
    <t>The percentage of participation in the primary rights offering.</t>
  </si>
  <si>
    <t>D.3</t>
  </si>
  <si>
    <t>Secondary offerings:</t>
  </si>
  <si>
    <t>Secondary Offerings Information</t>
  </si>
  <si>
    <t>Information regarding secondary offerings made during the reporting period.</t>
  </si>
  <si>
    <t>D.3.a</t>
  </si>
  <si>
    <t>Did the Fund make a secondary offering during the reporting period? [Y/N]</t>
  </si>
  <si>
    <t>Secondary Offering Indicator</t>
  </si>
  <si>
    <t>Indicates whether the Fund made a secondary offering during the reporting period.</t>
  </si>
  <si>
    <t>D.3.b</t>
  </si>
  <si>
    <t>If yes, indicate by checking below the type(s) of security. Indicate all that apply:</t>
  </si>
  <si>
    <t>Secondary Offering Security Type</t>
  </si>
  <si>
    <t>The type of security for which a secondary offering was made.</t>
  </si>
  <si>
    <t>D.3.b.i</t>
  </si>
  <si>
    <t>Common Stock Secondary Offering Indicator</t>
  </si>
  <si>
    <t>Indicates whether the secondary offering was for common stock.</t>
  </si>
  <si>
    <t>D.3.b.ii</t>
  </si>
  <si>
    <t>Preferred Stock Secondary Offering Indicator</t>
  </si>
  <si>
    <t>Indicates whether the secondary offering was for preferred stock.</t>
  </si>
  <si>
    <t>D.3.b.iii</t>
  </si>
  <si>
    <t>Warrants Secondary Offering Indicator</t>
  </si>
  <si>
    <t>Indicates whether the secondary offering was for warrants.</t>
  </si>
  <si>
    <t>D.3.b.iv</t>
  </si>
  <si>
    <t>Convertible Securities Secondary Offering Indicator</t>
  </si>
  <si>
    <t>Indicates whether the secondary offering was for convertible securities.</t>
  </si>
  <si>
    <t>D.3.b.v</t>
  </si>
  <si>
    <t>Bonds Secondary Offering Indicator</t>
  </si>
  <si>
    <t>Indicates whether the secondary offering was for bonds.</t>
  </si>
  <si>
    <t>D.3.b.vi</t>
  </si>
  <si>
    <t>Other Secondary Offering Security Type</t>
  </si>
  <si>
    <t>Description of other security types for which a secondary offering was made.</t>
  </si>
  <si>
    <t>D.4</t>
  </si>
  <si>
    <t>Repurchase Information:</t>
  </si>
  <si>
    <t>Repurchase Details</t>
  </si>
  <si>
    <t>Details regarding the repurchase of securities by the Fund during the reporting period.</t>
  </si>
  <si>
    <t>D.4.a</t>
  </si>
  <si>
    <t>Did the Fund repurchase any outstanding securities issued by the Fund during the reporting period? [Y/N]</t>
  </si>
  <si>
    <t>Securities Repurchase Indicator</t>
  </si>
  <si>
    <t>Indicates whether the Fund repurchased any outstanding securities during the reporting period.</t>
  </si>
  <si>
    <t>D.4.b</t>
  </si>
  <si>
    <t>Repurchased Securities Types</t>
  </si>
  <si>
    <t>The types of securities that were repurchased during the reporting period.</t>
  </si>
  <si>
    <t>D.4.b.i</t>
  </si>
  <si>
    <t>Common Stock Repurchase Indicator</t>
  </si>
  <si>
    <t>Indicates whether the Fund repurchased common stock.</t>
  </si>
  <si>
    <t>D.4.b.ii</t>
  </si>
  <si>
    <t>Preferred Stock Repurchase Indicator</t>
  </si>
  <si>
    <t>Indicates whether the Fund repurchased preferred stock.</t>
  </si>
  <si>
    <t>D.4.b.iii</t>
  </si>
  <si>
    <t>Warrants Repurchase Indicator</t>
  </si>
  <si>
    <t>Indicates whether the Fund repurchased warrants.</t>
  </si>
  <si>
    <t>D.4.b.iv</t>
  </si>
  <si>
    <t>Convertible Securities Repurchase Indicator</t>
  </si>
  <si>
    <t>Indicates whether the Fund repurchased convertible securities.</t>
  </si>
  <si>
    <t>D.4.b.v</t>
  </si>
  <si>
    <t>Bonds Repurchase Indicator</t>
  </si>
  <si>
    <t>Indicates whether the Fund repurchased bonds.</t>
  </si>
  <si>
    <t>D.4.b.vi</t>
  </si>
  <si>
    <t>Other Repurchase Security Type</t>
  </si>
  <si>
    <t>Description of other security types that were repurchased.</t>
  </si>
  <si>
    <t>D.5</t>
  </si>
  <si>
    <t>Default on long-term debt:</t>
  </si>
  <si>
    <t>Default on Long-Term Debt Information</t>
  </si>
  <si>
    <t>Information about any defaults on long-term debt by the Fund at the close of the reporting period.</t>
  </si>
  <si>
    <t>D.5.a</t>
  </si>
  <si>
    <t>Were any issues of the Fund's long-term debt in default at the close of the reporting period with respect to the payment of principal, interest, or amortization? [Y/N]</t>
  </si>
  <si>
    <t>Long-Term Debt Default Indicator</t>
  </si>
  <si>
    <t>Indicates whether any issues of the Fund's long-term debt were in default at the close of the reporting period.</t>
  </si>
  <si>
    <t>D.5.a.i</t>
  </si>
  <si>
    <t>Nature of default:</t>
  </si>
  <si>
    <t>Nature of Default</t>
  </si>
  <si>
    <t>A description of the nature of the default.</t>
  </si>
  <si>
    <t>D.5.a.ii</t>
  </si>
  <si>
    <t>Date of default:</t>
  </si>
  <si>
    <t>Date of Default</t>
  </si>
  <si>
    <t>The date when the default occurred.</t>
  </si>
  <si>
    <t>D.5.a.iii</t>
  </si>
  <si>
    <t>Amount of default per $1,000 face amount:</t>
  </si>
  <si>
    <t>Amount of Default per $1,000 Face Amount</t>
  </si>
  <si>
    <t>The amount of default per $1,000 face amount.</t>
  </si>
  <si>
    <t>D.5.a.iv</t>
  </si>
  <si>
    <t>Total amount of default:</t>
  </si>
  <si>
    <t>Total Amount of Default</t>
  </si>
  <si>
    <t>The total amount of default.</t>
  </si>
  <si>
    <t>D.6</t>
  </si>
  <si>
    <t>Dividends in arrears:</t>
  </si>
  <si>
    <t>Dividends in Arrears Information</t>
  </si>
  <si>
    <t>Information about any accumulated dividends in arrears on securities issued by the Fund at the close of the reporting period.</t>
  </si>
  <si>
    <t>D.6.a</t>
  </si>
  <si>
    <t>Were any accumulated dividends in arrears on securities issued by the Fund at the close of the reporting period? [Y/N]</t>
  </si>
  <si>
    <t>Dividends in Arrears Indicator</t>
  </si>
  <si>
    <t>Indicates whether any accumulated dividends are in arrears on securities issued by the Fund at the close of the reporting period.</t>
  </si>
  <si>
    <t>D.6.a.i</t>
  </si>
  <si>
    <t>Title of issue:</t>
  </si>
  <si>
    <t>Title of Issue</t>
  </si>
  <si>
    <t>The title of the issue on which dividends are in arrears.</t>
  </si>
  <si>
    <t>D.6.a.ii</t>
  </si>
  <si>
    <t>Amount per share in arrears:</t>
  </si>
  <si>
    <t>Amount per Share in Arrears</t>
  </si>
  <si>
    <t>The amount of dividends in arrears per share.</t>
  </si>
  <si>
    <t>D.7</t>
  </si>
  <si>
    <t>Modification of securities:</t>
  </si>
  <si>
    <t>Modification of Securities Information</t>
  </si>
  <si>
    <t>Information about any material modifications to constituent instruments defining the rights of the holders of any class of the Registrant's securities.</t>
  </si>
  <si>
    <t>D.7.a</t>
  </si>
  <si>
    <t>Have the terms of any constituent instruments defining the rights of the holders of any class of the Registrant's securities been materially modified? [Y/N]</t>
  </si>
  <si>
    <t>Constituent Instruments Modification Indicator</t>
  </si>
  <si>
    <t>Indicates whether the terms of any constituent instruments defining the rights of the holders of any class of the Registrant's securities have been materially modified.</t>
  </si>
  <si>
    <t>D.8</t>
  </si>
  <si>
    <t>Management fee (closed-end companies only):</t>
  </si>
  <si>
    <t>Fund Management Fee</t>
  </si>
  <si>
    <t>The Fund's advisory fee as a percentage of net assets at the end of the reporting period, based on amounts incurred during the period.</t>
  </si>
  <si>
    <t>D.9</t>
  </si>
  <si>
    <t>Net annual operating expenses:</t>
  </si>
  <si>
    <t>Fund Net Annual Operating Expenses</t>
  </si>
  <si>
    <t>The Fund's net annual operating expenses as a percentage of net assets at the end of the reporting period, net of any waivers or reimbursements.</t>
  </si>
  <si>
    <t>D.10</t>
  </si>
  <si>
    <t>Market price per share at end of reporting period:</t>
  </si>
  <si>
    <t>Market Price Per Share</t>
  </si>
  <si>
    <t>The market price per share of the Fund's common stock at the end of the reporting period.</t>
  </si>
  <si>
    <t>D.11</t>
  </si>
  <si>
    <t>Net asset value per share at end of reporting period:</t>
  </si>
  <si>
    <t>The net asset value per share of the Fund's common stock at the end of the reporting period.</t>
  </si>
  <si>
    <t>D.12</t>
  </si>
  <si>
    <t>Investment advisers (small business investment companies only):</t>
  </si>
  <si>
    <t>Information about each investment adviser (other than a sub-adviser) of the Fund.</t>
  </si>
  <si>
    <t>D.12.a</t>
  </si>
  <si>
    <t>Provide the following information about each investment adviser (other than a sub-adviser) of the Fund:</t>
  </si>
  <si>
    <t>Investment Adviser Information</t>
  </si>
  <si>
    <t>D.12.a.i</t>
  </si>
  <si>
    <t>The full name of the investment adviser.</t>
  </si>
  <si>
    <t>D.12.a.ii</t>
  </si>
  <si>
    <t>The SEC file number assigned to the investment adviser.</t>
  </si>
  <si>
    <t>D.12.a.iii</t>
  </si>
  <si>
    <t>The CRD number assigned to the investment adviser.</t>
  </si>
  <si>
    <t>D.12.a.iv</t>
  </si>
  <si>
    <t>The Legal Entity Identifier (LEI) assigned to the investment adviser, if any.</t>
  </si>
  <si>
    <t>D.12.a.v</t>
  </si>
  <si>
    <t>The state where the investment adviser is located, if applicable.</t>
  </si>
  <si>
    <t>D.12.a.vi</t>
  </si>
  <si>
    <t>The foreign country where the investment adviser is located, if applicable.</t>
  </si>
  <si>
    <t>D.12.a.vii</t>
  </si>
  <si>
    <t>D.12.a.vii.1</t>
  </si>
  <si>
    <t>D.12.b</t>
  </si>
  <si>
    <t>If an investment adviser (other than a sub-adviser) to the Fund was terminated during the reporting period, provide the following with respect to each investment adviser:</t>
  </si>
  <si>
    <t>Terminated Investment Adviser Information</t>
  </si>
  <si>
    <t>Information about each investment adviser (other than a sub-adviser) that was terminated during the reporting period.</t>
  </si>
  <si>
    <t>D.12.b.i</t>
  </si>
  <si>
    <t>The full name of the terminated investment adviser.</t>
  </si>
  <si>
    <t>D.12.b.ii</t>
  </si>
  <si>
    <t>The SEC file number assigned to the terminated investment adviser.</t>
  </si>
  <si>
    <t>D.12.b.iii</t>
  </si>
  <si>
    <t>The CRD number assigned to the terminated investment adviser.</t>
  </si>
  <si>
    <t>D.12.b.iv</t>
  </si>
  <si>
    <t>The Legal Entity Identifier (LEI) assigned to the terminated investment adviser, if any.</t>
  </si>
  <si>
    <t>D.12.b.v</t>
  </si>
  <si>
    <t>The state where the terminated investment adviser is located, if applicable.</t>
  </si>
  <si>
    <t>D.12.b.vi</t>
  </si>
  <si>
    <t>The foreign country where the terminated investment adviser is located, if applicable.</t>
  </si>
  <si>
    <t>D.12.b.vii</t>
  </si>
  <si>
    <t>D.12.c</t>
  </si>
  <si>
    <t>For each sub-adviser to the Fund, provide the information requested:</t>
  </si>
  <si>
    <t>Sub-Adviser Information</t>
  </si>
  <si>
    <t>Information about each sub-adviser to the Fund.</t>
  </si>
  <si>
    <t>D.12.c.i</t>
  </si>
  <si>
    <t>The full name of the sub-adviser.</t>
  </si>
  <si>
    <t>D.12.c.ii</t>
  </si>
  <si>
    <t>The SEC file number assigned to the sub-adviser.</t>
  </si>
  <si>
    <t>D.12.c.iii</t>
  </si>
  <si>
    <t>The CRD number assigned to the sub-adviser.</t>
  </si>
  <si>
    <t>D.12.c.iv</t>
  </si>
  <si>
    <t>The Legal Entity Identifier (LEI) assigned to the sub-adviser, if any.</t>
  </si>
  <si>
    <t>D.12.c.v</t>
  </si>
  <si>
    <t>The state where the sub-adviser is located, if applicable.</t>
  </si>
  <si>
    <t>D.12.c.vi</t>
  </si>
  <si>
    <t>The foreign country where the sub-adviser is located, if applicable.</t>
  </si>
  <si>
    <t>D.12.c.vii</t>
  </si>
  <si>
    <t>Indicates whether the sub-adviser is an affiliated person of the Fund's investment adviser(s).</t>
  </si>
  <si>
    <t>D.12.c.viii</t>
  </si>
  <si>
    <t>Indicates whether the sub-adviser was hired during the reporting period.</t>
  </si>
  <si>
    <t>D.12.c.viii.1</t>
  </si>
  <si>
    <t>Sub-Adviser Start Date</t>
  </si>
  <si>
    <t>The start date of the sub-adviser hired during the reporting period.</t>
  </si>
  <si>
    <t>D.12.d</t>
  </si>
  <si>
    <t>If a sub-adviser was terminated during the reporting period, provide the following with respect to each such sub-adviser:</t>
  </si>
  <si>
    <t>Terminated Sub-Adviser Information</t>
  </si>
  <si>
    <t>Information about each sub-adviser terminated during the reporting period.</t>
  </si>
  <si>
    <t>D.12.d.i</t>
  </si>
  <si>
    <t>The full name of the terminated sub-adviser.</t>
  </si>
  <si>
    <t>D.12.d.ii</t>
  </si>
  <si>
    <t>The SEC file number assigned to the terminated sub-adviser.</t>
  </si>
  <si>
    <t>D.12.d.iii</t>
  </si>
  <si>
    <t>The CRD number assigned to the terminated sub-adviser.</t>
  </si>
  <si>
    <t>D.12.d.iv</t>
  </si>
  <si>
    <t>The Legal Entity Identifier (LEI) assigned to the terminated sub-adviser, if any.</t>
  </si>
  <si>
    <t>D.12.d.v</t>
  </si>
  <si>
    <t>The state where the terminated sub-adviser is located, if applicable.</t>
  </si>
  <si>
    <t>D.12.d.vi</t>
  </si>
  <si>
    <t>The foreign country where the terminated sub-adviser is located, if applicable.</t>
  </si>
  <si>
    <t>D.12.d.vii</t>
  </si>
  <si>
    <t>The termination date of the sub-adviser.</t>
  </si>
  <si>
    <t>D.13</t>
  </si>
  <si>
    <t>Transfer agents (small business investment companies only):</t>
  </si>
  <si>
    <t>Transfer Agent Information</t>
  </si>
  <si>
    <t>Information about each person providing transfer agency services to the Fund.</t>
  </si>
  <si>
    <t>D.13.a</t>
  </si>
  <si>
    <t>Provide the following information about each person providing transfer agency services to the Fund:</t>
  </si>
  <si>
    <t>Transfer Agency Service Provider Details</t>
  </si>
  <si>
    <t>Details about each person or entity providing transfer agency services to the Fund.</t>
  </si>
  <si>
    <t>D.13.a.i</t>
  </si>
  <si>
    <t>The full name of the transfer agent.</t>
  </si>
  <si>
    <t>D.13.a.ii</t>
  </si>
  <si>
    <t>The SEC file number assigned to the transfer agent.</t>
  </si>
  <si>
    <t>D.13.a.iii</t>
  </si>
  <si>
    <t>The Legal Entity Identifier (LEI) assigned to the transfer agent.</t>
  </si>
  <si>
    <t>D.13.a.iv</t>
  </si>
  <si>
    <t>The state where the transfer agent is located, if applicable.</t>
  </si>
  <si>
    <t>D.13.a.v</t>
  </si>
  <si>
    <t>The foreign country where the transfer agent is located, if applicable.</t>
  </si>
  <si>
    <t>D.13.a.vi</t>
  </si>
  <si>
    <t>Indicates whether the transfer agent is an affiliated person of the Fund or its investment adviser(s).</t>
  </si>
  <si>
    <t>D.13.a.vii</t>
  </si>
  <si>
    <t>Transfer Agent Sub-Transfer Agent Indicator</t>
  </si>
  <si>
    <t>Indicates whether the transfer agent is a sub-transfer agent.</t>
  </si>
  <si>
    <t>D.13.b</t>
  </si>
  <si>
    <t>Transfer Agent Hire/Termination Indicator</t>
  </si>
  <si>
    <t>Indicates whether a transfer agent has been hired or terminated during the reporting period.</t>
  </si>
  <si>
    <t>D.14</t>
  </si>
  <si>
    <t>Custodians (small business investment companies only):</t>
  </si>
  <si>
    <t>Custodian Information</t>
  </si>
  <si>
    <t>Information about each person providing custodial services to the Fund.</t>
  </si>
  <si>
    <t>D.14.a</t>
  </si>
  <si>
    <t>Provide the following information about each person that provided custodial services to the Fund during the reporting period:</t>
  </si>
  <si>
    <t>Custodian Service Provider Details</t>
  </si>
  <si>
    <t>Details about each person or entity providing custodial services to the Fund.</t>
  </si>
  <si>
    <t>D.14.a.i</t>
  </si>
  <si>
    <t>The full name of the custodian.</t>
  </si>
  <si>
    <t>D.14.a.ii</t>
  </si>
  <si>
    <t>The Legal Entity Identifier (LEI) assigned to the custodian.</t>
  </si>
  <si>
    <t>D.14.a.iii</t>
  </si>
  <si>
    <t>The state where the custodian is located, if applicable.</t>
  </si>
  <si>
    <t>D.14.a.iv</t>
  </si>
  <si>
    <t>The foreign country where the custodian is located, if applicable.</t>
  </si>
  <si>
    <t>D.14.a.v</t>
  </si>
  <si>
    <t>Indicates whether the custodian is an affiliated person of the Fund or its investment adviser(s).</t>
  </si>
  <si>
    <t>D.14.a.vi</t>
  </si>
  <si>
    <t>Indicates whether the custodian is a sub-custodian.</t>
  </si>
  <si>
    <t>D.14.a.vii</t>
  </si>
  <si>
    <t>D.14.a.vii.1</t>
  </si>
  <si>
    <t>D.14.a.vii.2</t>
  </si>
  <si>
    <t>D.14.a.vii.3</t>
  </si>
  <si>
    <t>D.14.a.vii.4</t>
  </si>
  <si>
    <t>D.14.a.vii.5</t>
  </si>
  <si>
    <t>D.14.a.vii.6</t>
  </si>
  <si>
    <t>D.14.a.vii.7</t>
  </si>
  <si>
    <t>D.14.a.vii.8</t>
  </si>
  <si>
    <t>Indicates whether the custodian type is an insurance company sponsor under rule 26a-2.</t>
  </si>
  <si>
    <t>D.14.a.vii.9</t>
  </si>
  <si>
    <t>D.14.b</t>
  </si>
  <si>
    <t>Custodian Hire/Termination Indicator</t>
  </si>
  <si>
    <t>Indicates whether a custodian has been hired or terminated during the reporting period.</t>
  </si>
  <si>
    <t>Item E</t>
  </si>
  <si>
    <t>E.1</t>
  </si>
  <si>
    <t>Exchange information</t>
  </si>
  <si>
    <t>Exchange Information</t>
  </si>
  <si>
    <t>Information about the exchange on which the Fund's shares are listed</t>
  </si>
  <si>
    <t>E.1.a</t>
  </si>
  <si>
    <t>Exchange where listed. Provide the name of the national securities exchange on which the Fund's shares are listed:</t>
  </si>
  <si>
    <t>Exchange Name</t>
  </si>
  <si>
    <t>The name of the national securities exchange where the Fund's shares are listed.</t>
  </si>
  <si>
    <t>E.1.b</t>
  </si>
  <si>
    <t>Ticker. Provide the Fund's ticker symbol:</t>
  </si>
  <si>
    <t>Fund Ticker Symbol</t>
  </si>
  <si>
    <t>The ticker symbol of the Fund's shares.</t>
  </si>
  <si>
    <t>E.2</t>
  </si>
  <si>
    <t>Authorized participants</t>
  </si>
  <si>
    <t>Authorized Participant Information</t>
  </si>
  <si>
    <t>Information about each authorized participant for the Fund.</t>
  </si>
  <si>
    <t>E.2.a</t>
  </si>
  <si>
    <t>Authorized Participant Full Name</t>
  </si>
  <si>
    <t>The full name of each authorized participant of the Fund.</t>
  </si>
  <si>
    <t>E.2.b</t>
  </si>
  <si>
    <t>Authorized Participant SEC File Number</t>
  </si>
  <si>
    <t>The SEC file number assigned to each authorized participant of the Fund.</t>
  </si>
  <si>
    <t>E.2.c</t>
  </si>
  <si>
    <t>Authorized Participant CRD Number</t>
  </si>
  <si>
    <t>The CRD number assigned to each authorized participant of the Fund.</t>
  </si>
  <si>
    <t>E.2.d</t>
  </si>
  <si>
    <t>Authorized Participant LEI</t>
  </si>
  <si>
    <t>The Legal Entity Identifier (LEI) assigned to each authorized participant, if any.</t>
  </si>
  <si>
    <t>E.2.e</t>
  </si>
  <si>
    <t>The dollar value of the Fund shares the authorized participant purchased from the Fund during the reporting period:</t>
  </si>
  <si>
    <t>Authorized Participant Dollar Purchases</t>
  </si>
  <si>
    <t>The dollar value of Fund shares purchased from the Fund by the authorized participant during the reporting period.</t>
  </si>
  <si>
    <t>E.2.f</t>
  </si>
  <si>
    <t>The dollar value of the Fund shares the authorized participant redeemed during the reporting period:</t>
  </si>
  <si>
    <t>Authorized Participant Dollar Redemptions</t>
  </si>
  <si>
    <t>The dollar value of Fund shares redeemed by the authorized participant during the reporting period.</t>
  </si>
  <si>
    <t>E.2.g</t>
  </si>
  <si>
    <t>Did the Fund require that an authorized participant post collateral to the Fund or any of its designated service providers in connection with the purchase or redemption of Fund shares during the reporting period? [Y/N]</t>
  </si>
  <si>
    <t>Authorized Participant Collateral Requirement Indicator</t>
  </si>
  <si>
    <t>Indicates whether the Fund required an authorized participant to post collateral in connection with the purchase or redemption of Fund shares during the reporting period.</t>
  </si>
  <si>
    <t>E.3</t>
  </si>
  <si>
    <t>Creation units</t>
  </si>
  <si>
    <t>Creation Unit Information</t>
  </si>
  <si>
    <t>Information related to the creation units of the Fund.</t>
  </si>
  <si>
    <t>E.3.a</t>
  </si>
  <si>
    <t>Number of Fund shares required to form a creation unit as of the last business day of the reporting period:</t>
  </si>
  <si>
    <t>Fund Creation Unit Shares Count</t>
  </si>
  <si>
    <t>The number of Fund shares required to form a creation unit as of the last business day of the reporting period.</t>
  </si>
  <si>
    <t>E.3.b</t>
  </si>
  <si>
    <t>Based on the dollar value paid for each creation unit purchased by authorized participants during the reporting period, provide:</t>
  </si>
  <si>
    <t>Creation Unit Purchase Dollar Value Information</t>
  </si>
  <si>
    <t>Information related to the dollar value composition of creation units purchased by authorized participants.</t>
  </si>
  <si>
    <t>E.3.b.i</t>
  </si>
  <si>
    <t>The average percentage of that value composed of cash: %</t>
  </si>
  <si>
    <t>Average Percentage Value Composed of Cash</t>
  </si>
  <si>
    <t>The average percentage of the dollar value of creation units purchased composed of cash.</t>
  </si>
  <si>
    <t>E.3.b.ii</t>
  </si>
  <si>
    <t>The standard deviation of the percentage of that value composed of cash: %</t>
  </si>
  <si>
    <t>Standard Deviation Percentage Value Composed of Cash</t>
  </si>
  <si>
    <t>The standard deviation of the percentage of the dollar value of creation units purchased composed of cash.</t>
  </si>
  <si>
    <t>E.3.b.iii</t>
  </si>
  <si>
    <t>The average percentage of that value composed of non-cash assets and other positions exchanged on an "in-kind" basis: %</t>
  </si>
  <si>
    <t>Average Percentage Value Composed of In-Kind Assets</t>
  </si>
  <si>
    <t>The average percentage of the dollar value of creation units purchased composed of non-cash assets and other positions exchanged on an in-kind basis.</t>
  </si>
  <si>
    <t>E.3.b.iv</t>
  </si>
  <si>
    <t>The standard deviation of the percentage of that value composed of non-cash assets and other positions exchanged on an "in-kind" basis: %</t>
  </si>
  <si>
    <t>Standard Deviation Percentage Value Composed of In-Kind Assets</t>
  </si>
  <si>
    <t>The standard deviation of the percentage of the dollar value of creation units purchased composed of non-cash assets and other positions exchanged on an in-kind basis.</t>
  </si>
  <si>
    <t>E.3.c</t>
  </si>
  <si>
    <t>Based on the dollar value paid for creation units redeemed by authorized participants during the reporting period, provide:</t>
  </si>
  <si>
    <t>Creation Unit Redemption Dollar Value Information</t>
  </si>
  <si>
    <t>Information related to the dollar value composition of creation units redeemed by authorized participants.</t>
  </si>
  <si>
    <t>E.3.c.i</t>
  </si>
  <si>
    <t>Average Percentage Value Composed of Redemption Cash</t>
  </si>
  <si>
    <t>The average percentage of the dollar value of creation units redeemed composed of cash.</t>
  </si>
  <si>
    <t>E.3.c.ii</t>
  </si>
  <si>
    <t>Standard Deviation Percentage Value Composed of Redemption Cash</t>
  </si>
  <si>
    <t>The standard deviation of the percentage of the dollar value of creation units redeemed composed of cash.</t>
  </si>
  <si>
    <t>E.3.c.iii</t>
  </si>
  <si>
    <t>Average Percentage Value Composed of Redemption In-Kind Assets</t>
  </si>
  <si>
    <t>The average percentage of the dollar value of creation units redeemed composed of non-cash assets and other positions exchanged on an in-kind basis.</t>
  </si>
  <si>
    <t>E.3.c.iv</t>
  </si>
  <si>
    <t>Standard Deviation Percentage Value Composed of Redemption In-Kind Assets</t>
  </si>
  <si>
    <t>The standard deviation of the percentage of the dollar value of creation units redeemed composed of non-cash assets and other positions exchanged on an in-kind basis.</t>
  </si>
  <si>
    <t>E.3.d</t>
  </si>
  <si>
    <t>For creation units purchased by authorized participants during the reporting period, provide:</t>
  </si>
  <si>
    <t>Creation Unit Purchase Transaction Fee Information</t>
  </si>
  <si>
    <t>Information about the average transaction fee charged to authorized participants for transacting in the creation units.</t>
  </si>
  <si>
    <t>E.3.d.i.1</t>
  </si>
  <si>
    <t>The average transaction fee charged to an authorized participant for transacting in the creation units, expressed as: Dollars per creation unit, if charged on that basis: $</t>
  </si>
  <si>
    <t>Average Transaction Fee Per Creation Unit</t>
  </si>
  <si>
    <t>The average transaction fee charged to an authorized participant for transacting in the creation units, expressed as dollars per creation unit, if charged on that basis.</t>
  </si>
  <si>
    <t>E.3.d.i.2</t>
  </si>
  <si>
    <t>Dollars for one or more creation units purchased on the same day, if charged on that basis: $</t>
  </si>
  <si>
    <t>Average Transaction Fee for Multiple Creation Units</t>
  </si>
  <si>
    <t>The average transaction fee charged to an authorized participant for transacting in one or more creation units purchased on the same day, if charged on that basis.</t>
  </si>
  <si>
    <t>E.3.d.i.3</t>
  </si>
  <si>
    <t>A percentage of the value of each creation unit, if charged on that basis: %</t>
  </si>
  <si>
    <t>Average Transaction Fee Percentage Value Per Creation Unit</t>
  </si>
  <si>
    <t>The average transaction fee charged to an authorized participant for transacting in the creation units, expressed as a percentage of the value of each creation unit.</t>
  </si>
  <si>
    <t>E.3.d.ii.1</t>
  </si>
  <si>
    <t>The average transaction fee charged to an authorized participant for transacting in those creation units the consideration for which was fully or partially composed of cash, expressed as: Dollars per creation unit, if charged on that basis: $</t>
  </si>
  <si>
    <t>Average Transaction Fee for Cash Creation Units</t>
  </si>
  <si>
    <t>The average transaction fee charged to an authorized participant for transacting in creation units with consideration composed of cash, expressed as dollars per creation unit.</t>
  </si>
  <si>
    <t>E.3.d.ii.2</t>
  </si>
  <si>
    <t>Average Transaction Fee for Multiple Cash Creation Units</t>
  </si>
  <si>
    <t>The average transaction fee charged to an authorized participant for transacting in one or more creation units purchased with consideration composed of cash on the same day.</t>
  </si>
  <si>
    <t>E.3.d.ii.3</t>
  </si>
  <si>
    <t>A percentage of the cash in each creation unit, if charged on that basis: %</t>
  </si>
  <si>
    <t>Average Transaction Fee Percentage Cash Value Per Creation Unit</t>
  </si>
  <si>
    <t>The average transaction fee charged to an authorized participant for transacting in creation units with consideration composed of cash, expressed as a percentage of the cash in each creation unit.</t>
  </si>
  <si>
    <t>E.3.e</t>
  </si>
  <si>
    <t>For creation units redeemed by authorized participants during the reporting period, provide:</t>
  </si>
  <si>
    <t>Creation Unit Redemption Transaction Fee Information</t>
  </si>
  <si>
    <t>Information about the average transaction fee charged to authorized participants for transacting in the redemption of creation units.</t>
  </si>
  <si>
    <t>E.3.e.i.1</t>
  </si>
  <si>
    <t>Average Redemption Transaction Fee Per Creation Unit</t>
  </si>
  <si>
    <t>The average transaction fee charged to an authorized participant for transacting in the redemption of creation units, expressed as dollars per creation unit, if charged on that basis.</t>
  </si>
  <si>
    <t>E.3.e.i.2</t>
  </si>
  <si>
    <t>Dollars for one or more creation units redeemed on the same day, if charged on that basis: $</t>
  </si>
  <si>
    <t>Average Redemption Transaction Fee for Multiple Creation Units</t>
  </si>
  <si>
    <t>The average transaction fee charged to an authorized participant for transacting in one or more creation units redeemed on the same day, if charged on that basis.</t>
  </si>
  <si>
    <t>E.3.e.i.3</t>
  </si>
  <si>
    <t>Average Redemption Transaction Fee Percentage Value Per Creation Unit</t>
  </si>
  <si>
    <t>The average transaction fee charged to an authorized participant for transacting in the redemption of creation units, expressed as a percentage of the value of each creation unit.</t>
  </si>
  <si>
    <t>E.3.e.ii.1</t>
  </si>
  <si>
    <t>Average Redemption Transaction Fee for Cash Creation Units</t>
  </si>
  <si>
    <t>E.3.e.ii.2</t>
  </si>
  <si>
    <t>Average Redemption Transaction Fee for Multiple Cash Creation Units</t>
  </si>
  <si>
    <t>The average transaction fee charged to an authorized participant for transacting in one or more creation units redeemed with consideration composed of cash on the same day.</t>
  </si>
  <si>
    <t>E.3.e.ii.3</t>
  </si>
  <si>
    <t>Average Redemption Transaction Fee Percentage Cash Value Per Creation Unit</t>
  </si>
  <si>
    <t>E.4</t>
  </si>
  <si>
    <t>Benchmark return difference (unit investment trusts only)</t>
  </si>
  <si>
    <t>Benchmark Return Difference Information</t>
  </si>
  <si>
    <t>Information related to the benchmark return difference for unit investment trusts.</t>
  </si>
  <si>
    <t>E.4.a</t>
  </si>
  <si>
    <t>If the Fund is an Index Fund as defined in Item C.3 of this Form, provide the following information:</t>
  </si>
  <si>
    <t>Index Fund Benchmark Return Information</t>
  </si>
  <si>
    <t>Information related to the performance of the index the Fund tracks.</t>
  </si>
  <si>
    <t>E.4.a.i.1</t>
  </si>
  <si>
    <t>Is the index whose performance the Fund tracks, constructed: By an affiliated person of the fund? [Y/N]</t>
  </si>
  <si>
    <t>Index Constructed by Affiliated Person Indicator</t>
  </si>
  <si>
    <t>Indicates whether the index tracked by the Fund is constructed by an affiliated person of the Fund.</t>
  </si>
  <si>
    <t>E.4.a.i.2</t>
  </si>
  <si>
    <t>Is the index whose performance the Fund tracks, constructed: Exclusively for the fund? [Y/N]</t>
  </si>
  <si>
    <t>Indicates whether the index tracked by the Fund is constructed exclusively for the Fund.</t>
  </si>
  <si>
    <t>E.4.a.ii.1</t>
  </si>
  <si>
    <t>The annualized difference between the Fund's total return during the reporting period and the index's return during the reporting period (i.e., the Fund's total return less the index's return): Before Fund fees and expenses:</t>
  </si>
  <si>
    <t>Annualized Return Difference Before Fees</t>
  </si>
  <si>
    <t>The annualized difference between the Fund's total return and the index's return before Fund fees and expenses.</t>
  </si>
  <si>
    <t>E.4.a.ii.2</t>
  </si>
  <si>
    <t>The annualized difference between the Fund's total return during the reporting period and the index's return during the reporting period (i.e., the Fund's total return less the index's return): After Fund fees and expenses (i.e., net asset value):</t>
  </si>
  <si>
    <t>Annualized Return Difference After Fees</t>
  </si>
  <si>
    <t>The annualized difference between the Fund's total return and the index's return after Fund fees and expenses (net asset value).</t>
  </si>
  <si>
    <t>E.4.a.iii.1</t>
  </si>
  <si>
    <t>The annualized standard deviation of the daily difference between the Fund's total return and the index's return during the reporting period: Before Fund fees and expenses:</t>
  </si>
  <si>
    <t>Annualized Std Dev of Daily Return Diff Before Fees</t>
  </si>
  <si>
    <t>The annualized standard deviation of the daily difference between the Fund's total return and the index's return before Fund fees and expenses.</t>
  </si>
  <si>
    <t>E.4.a.iii.2</t>
  </si>
  <si>
    <t>The annualized standard deviation of the daily difference between the Fund's total return and the index's return during the reporting period: After Fund fees and expenses (i.e., net asset value):</t>
  </si>
  <si>
    <t>Annualized Std Dev of Daily Return Diff After Fees</t>
  </si>
  <si>
    <t>The annualized standard deviation of the daily difference between the Fund's total return and the index's return after Fund fees and expenses (net asset value).</t>
  </si>
  <si>
    <t>E.5</t>
  </si>
  <si>
    <t>In-Kind ETF</t>
  </si>
  <si>
    <t>In-Kind ETF Indicator</t>
  </si>
  <si>
    <t>Indicates whether the Fund is an "In-Kind Exchange-Traded Fund" as defined in rule 22e-4 under the Act.</t>
  </si>
  <si>
    <t>Item F</t>
  </si>
  <si>
    <t>F.1</t>
  </si>
  <si>
    <t>Depositor information</t>
  </si>
  <si>
    <t>Depositor Information</t>
  </si>
  <si>
    <t>Information about each depositor of the Fund.</t>
  </si>
  <si>
    <t>F.1.a</t>
  </si>
  <si>
    <t>Depositor Full Name</t>
  </si>
  <si>
    <t>The full name of each depositor.</t>
  </si>
  <si>
    <t>F.1.b</t>
  </si>
  <si>
    <t>Depositor CRD Number</t>
  </si>
  <si>
    <t>The CRD number of each depositor, if any.</t>
  </si>
  <si>
    <t>F.1.c</t>
  </si>
  <si>
    <t>Depositor LEI</t>
  </si>
  <si>
    <t>The Legal Entity Identifier (LEI) assigned to each depositor, if any.</t>
  </si>
  <si>
    <t>F.1.d</t>
  </si>
  <si>
    <t>Depositor State</t>
  </si>
  <si>
    <t>The state where the depositor is located, if applicable.</t>
  </si>
  <si>
    <t>F.1.e</t>
  </si>
  <si>
    <t>Depositor Foreign Country</t>
  </si>
  <si>
    <t>The foreign country where the depositor is located, if applicable.</t>
  </si>
  <si>
    <t>F.1.f</t>
  </si>
  <si>
    <t>Full name of ultimate parent of depositor:</t>
  </si>
  <si>
    <t>Ultimate Parent Depositor Full Name</t>
  </si>
  <si>
    <t>The full name of the ultimate parent of the depositor.</t>
  </si>
  <si>
    <t>F.2</t>
  </si>
  <si>
    <t>Administrators</t>
  </si>
  <si>
    <t>Administrator Information</t>
  </si>
  <si>
    <t>Information about each administrator of the Fund.</t>
  </si>
  <si>
    <t>F.2.a</t>
  </si>
  <si>
    <t>Provide the following information about each administrator of the Fund:</t>
  </si>
  <si>
    <t>Administrator Details</t>
  </si>
  <si>
    <t>Details about each administrator of the Fund.</t>
  </si>
  <si>
    <t>F.2.a.i</t>
  </si>
  <si>
    <t>The full name of the administrator.</t>
  </si>
  <si>
    <t>F.2.a.ii</t>
  </si>
  <si>
    <t>The Legal Entity Identifier (LEI) or other identifying number assigned to the administrator.</t>
  </si>
  <si>
    <t>F.2.a.iii</t>
  </si>
  <si>
    <t>The state where the administrator is located, if applicable.</t>
  </si>
  <si>
    <t>F.2.a.iv</t>
  </si>
  <si>
    <t>The foreign country where the administrator is located, if applicable.</t>
  </si>
  <si>
    <t>F.2.a.v</t>
  </si>
  <si>
    <t>Is the administrator an affiliated person of the Fund or depositor? [Y/N]</t>
  </si>
  <si>
    <t>Indicates whether the administrator is an affiliated person of the Fund or depositor.</t>
  </si>
  <si>
    <t>F.2.a.vi</t>
  </si>
  <si>
    <t>Indicates whether the administrator is a sub-administrator.</t>
  </si>
  <si>
    <t>F.2.b</t>
  </si>
  <si>
    <t>Administrator Hire/Termination Indicator</t>
  </si>
  <si>
    <t>Indicates whether an administrator has been hired or terminated during the reporting period.</t>
  </si>
  <si>
    <t>F.3</t>
  </si>
  <si>
    <t>Is the Registrant a separate account of an insurance company? [Y/N]</t>
  </si>
  <si>
    <t>Insurance Company Separate Account Indicator</t>
  </si>
  <si>
    <t>Indicates whether the Registrant is a separate account of an insurance company.</t>
  </si>
  <si>
    <t>F.4</t>
  </si>
  <si>
    <t>Sponsor</t>
  </si>
  <si>
    <t>Sponsor Information</t>
  </si>
  <si>
    <t>Information about each sponsor of the Fund.</t>
  </si>
  <si>
    <t>F.4.a</t>
  </si>
  <si>
    <t>Sponsor Full Name</t>
  </si>
  <si>
    <t>The full name of each sponsor.</t>
  </si>
  <si>
    <t>F.4.b</t>
  </si>
  <si>
    <t>Sponsor CRD Number</t>
  </si>
  <si>
    <t>The CRD number of each sponsor, if any.</t>
  </si>
  <si>
    <t>F.4.c</t>
  </si>
  <si>
    <t>Sponsor LEI</t>
  </si>
  <si>
    <t>The Legal Entity Identifier (LEI) assigned to each sponsor, if any.</t>
  </si>
  <si>
    <t>F.4.d</t>
  </si>
  <si>
    <t>Sponsor State</t>
  </si>
  <si>
    <t>The state where the sponsor is located, if applicable.</t>
  </si>
  <si>
    <t>F.4.e</t>
  </si>
  <si>
    <t>Sponsor Foreign Country</t>
  </si>
  <si>
    <t>The foreign country where the sponsor is located, if applicable.</t>
  </si>
  <si>
    <t>F.5</t>
  </si>
  <si>
    <t>Trustees</t>
  </si>
  <si>
    <t>Trustee Information</t>
  </si>
  <si>
    <t>Information about each trustee of the Fund.</t>
  </si>
  <si>
    <t>F.5.a</t>
  </si>
  <si>
    <t>Trustee Full Name</t>
  </si>
  <si>
    <t>The full name of each trustee.</t>
  </si>
  <si>
    <t>F.5.b</t>
  </si>
  <si>
    <t>Trustee State</t>
  </si>
  <si>
    <t>The state where the trustee is located, if applicable.</t>
  </si>
  <si>
    <t>F.5.c</t>
  </si>
  <si>
    <t>Trustee Foreign Country</t>
  </si>
  <si>
    <t>The foreign country where the trustee is located, if applicable.</t>
  </si>
  <si>
    <t>F.6</t>
  </si>
  <si>
    <t>Securities Act registration information</t>
  </si>
  <si>
    <t>Securities Act Registration Information</t>
  </si>
  <si>
    <t>Information about the registration of securities under the Securities Act.</t>
  </si>
  <si>
    <t>F.6.a</t>
  </si>
  <si>
    <t>Provide the number of series existing at the end of the reporting period that had outstanding securities registered under the Securities Act:</t>
  </si>
  <si>
    <t>Number of Series with Registered Securities</t>
  </si>
  <si>
    <t>The number of series existing at the end of the reporting period that had outstanding securities registered under the Securities Act.</t>
  </si>
  <si>
    <t>F.6.b</t>
  </si>
  <si>
    <t>Provide the CIK for each of these existing series:</t>
  </si>
  <si>
    <t>Series CIKs</t>
  </si>
  <si>
    <t>The Central Index Key (CIK) for each of the existing series.</t>
  </si>
  <si>
    <t>F.7</t>
  </si>
  <si>
    <t>New series information</t>
  </si>
  <si>
    <t>New Series Information</t>
  </si>
  <si>
    <t>Information about new series for which registration statements became effective during the reporting period.</t>
  </si>
  <si>
    <t>F.7.a</t>
  </si>
  <si>
    <t>Number of new series for which registration statements under the Securities Act became effective during the reporting period:</t>
  </si>
  <si>
    <t>Number of New Series</t>
  </si>
  <si>
    <t>The number of new series for which registration statements under the Securities Act became effective during the reporting period.</t>
  </si>
  <si>
    <t>F.7.b</t>
  </si>
  <si>
    <t>Total aggregate value of the portfolio securities on the date of deposit for the new series:</t>
  </si>
  <si>
    <t>Aggregate Value of Portfolio Securities</t>
  </si>
  <si>
    <t>The total aggregate value of the portfolio securities on the date of deposit for the new series.</t>
  </si>
  <si>
    <t>F.8</t>
  </si>
  <si>
    <t>Series with a current prospectus</t>
  </si>
  <si>
    <t>Current Prospectus Series Information</t>
  </si>
  <si>
    <t>Information about the series with a current prospectus at the end of the reporting period.</t>
  </si>
  <si>
    <t>F.8.a</t>
  </si>
  <si>
    <t>Number of series for which a current prospectus was in existence at the end of the reporting period:</t>
  </si>
  <si>
    <t>Current Prospectus Series Count</t>
  </si>
  <si>
    <t>The number of series for which a current prospectus was in existence at the end of the reporting period.</t>
  </si>
  <si>
    <t>F.9</t>
  </si>
  <si>
    <t>Existing series additional units</t>
  </si>
  <si>
    <t>Existing Series Additional Units Information</t>
  </si>
  <si>
    <t>Information about existing series for which additional units were registered under the Securities Act during the reporting period.</t>
  </si>
  <si>
    <t>F.9.a</t>
  </si>
  <si>
    <t>Number of existing series for which additional units were registered under the Securities Act during the reporting period:</t>
  </si>
  <si>
    <t>Number of Existing Series with Additional Units</t>
  </si>
  <si>
    <t>The number of existing series for which additional units were registered under the Securities Act during the reporting period.</t>
  </si>
  <si>
    <t>F.9.b</t>
  </si>
  <si>
    <t>Total value of additional units:</t>
  </si>
  <si>
    <t>Total Value of Additional Units</t>
  </si>
  <si>
    <t>The total value of additional units registered under the Securities Act.</t>
  </si>
  <si>
    <t>F.10</t>
  </si>
  <si>
    <t>Value of units placed in portfolios of subsequent series</t>
  </si>
  <si>
    <t>Value of Units in Subsequent Series Information</t>
  </si>
  <si>
    <t>Information about the value of units placed in the portfolios of subsequent series during the reporting period.</t>
  </si>
  <si>
    <t>F.10.a</t>
  </si>
  <si>
    <t>Total value of units of prior series that were placed in the portfolios of subsequent series during the reporting period:</t>
  </si>
  <si>
    <t>Total Value of Units in Subsequent Series</t>
  </si>
  <si>
    <t>The total value of units of prior series that were placed in the portfolios of subsequent series during the reporting period.</t>
  </si>
  <si>
    <t>F.11</t>
  </si>
  <si>
    <t>Assets</t>
  </si>
  <si>
    <t>Assets Information</t>
  </si>
  <si>
    <t>Information about the total assets of all series combined as of the end of the reporting period.</t>
  </si>
  <si>
    <t>F.11.a</t>
  </si>
  <si>
    <t>Provide the total assets of all series of the Registrant combined as of the end of the reporting period:</t>
  </si>
  <si>
    <t>Total Assets of All Series</t>
  </si>
  <si>
    <t>The total assets of all series of the Registrant combined as of the end of the reporting period.</t>
  </si>
  <si>
    <t>F.12</t>
  </si>
  <si>
    <t>Series ID of separate account</t>
  </si>
  <si>
    <t>Separate Account Series ID</t>
  </si>
  <si>
    <t>The series identification number of the separate account.</t>
  </si>
  <si>
    <t>F.13</t>
  </si>
  <si>
    <t>Number of contracts</t>
  </si>
  <si>
    <t>Number of Contracts Information</t>
  </si>
  <si>
    <t>Information regarding the number of individual contracts in force at the end of the reporting period.</t>
  </si>
  <si>
    <t>F.13.a</t>
  </si>
  <si>
    <t>For each security that has a contract identification number assigned pursuant to rule 313 of Regulation S-T (17 CFR 232.313), provide the number of individual contracts that are in force at the end of the reporting period:</t>
  </si>
  <si>
    <t>Number of Contracts</t>
  </si>
  <si>
    <t>The number of individual contracts in force at the end of the reporting period for each security with a contract identification number assigned.</t>
  </si>
  <si>
    <t>F.14</t>
  </si>
  <si>
    <t>Information on the security issued through the separate account</t>
  </si>
  <si>
    <t>Separate Account Security Information</t>
  </si>
  <si>
    <t>Information on the security issued through the separate account.</t>
  </si>
  <si>
    <t>F.14.a</t>
  </si>
  <si>
    <t>Full name of the security:</t>
  </si>
  <si>
    <t>Security Full Name</t>
  </si>
  <si>
    <t>The full name of the security issued through the separate account.</t>
  </si>
  <si>
    <t>F.14.b</t>
  </si>
  <si>
    <t>Contract identification number:</t>
  </si>
  <si>
    <t>Contract Identification Number</t>
  </si>
  <si>
    <t>The contract identification number assigned to the security.</t>
  </si>
  <si>
    <t>F.14.c</t>
  </si>
  <si>
    <t>Total assets attributable to the security:</t>
  </si>
  <si>
    <t>Total Assets Attributable to Security</t>
  </si>
  <si>
    <t>The total assets attributable to the security issued through the separate account.</t>
  </si>
  <si>
    <t>F.14.d</t>
  </si>
  <si>
    <t>Number of contracts sold during the reporting period:</t>
  </si>
  <si>
    <t>Number of Contracts Sold</t>
  </si>
  <si>
    <t>The number of contracts sold during the reporting period for the security.</t>
  </si>
  <si>
    <t>F.14.e</t>
  </si>
  <si>
    <t>Gross premiums received during the reporting period:</t>
  </si>
  <si>
    <t>Gross Premiums Received</t>
  </si>
  <si>
    <t>The gross premiums received during the reporting period for the security.</t>
  </si>
  <si>
    <t>F.14.f</t>
  </si>
  <si>
    <t>Gross premiums received pursuant to section 1035 exchanges:</t>
  </si>
  <si>
    <t>Gross Premiums Received through 1035 Exchanges</t>
  </si>
  <si>
    <t>The gross premiums received during the reporting period through section 1035 exchanges.</t>
  </si>
  <si>
    <t>F.14.g</t>
  </si>
  <si>
    <t>Number of contracts affected in connection with premiums paid in pursuant to section 1035 exchanges:</t>
  </si>
  <si>
    <t>Number of Contracts Affected through 1035 Exchanges</t>
  </si>
  <si>
    <t>The number of contracts affected during the reporting period in connection with premiums paid through section 1035 exchanges.</t>
  </si>
  <si>
    <t>F.14.h</t>
  </si>
  <si>
    <t>Amount of contract value redeemed during the reporting period:</t>
  </si>
  <si>
    <t>Contract Value Redeemed</t>
  </si>
  <si>
    <t>The amount of contract value redeemed during the reporting period for the security.</t>
  </si>
  <si>
    <t>F.14.i</t>
  </si>
  <si>
    <t>Amount of contract value redeemed pursuant to section 1035 exchanges:</t>
  </si>
  <si>
    <t>Contract Value Redeemed through 1035 Exchanges</t>
  </si>
  <si>
    <t>The amount of contract value redeemed during the reporting period through section 1035 exchanges.</t>
  </si>
  <si>
    <t>F.14.j</t>
  </si>
  <si>
    <t>Number of contracts affected in connection with contract value redeemed pursuant to section 1035 exchanges:</t>
  </si>
  <si>
    <t>The number of contracts affected during the reporting period in connection with contract value redeemed through section 1035 exchanges.</t>
  </si>
  <si>
    <t>F.15</t>
  </si>
  <si>
    <t>Rule 6c-7 reliance</t>
  </si>
  <si>
    <t>Rule 6c-7 Reliance Indicator</t>
  </si>
  <si>
    <t>Indicates whether the Registrant relied on rule 6c-7 under the Act during the reporting period.</t>
  </si>
  <si>
    <t>F.16</t>
  </si>
  <si>
    <t>Rule 11a-2 reliance</t>
  </si>
  <si>
    <t>Rule 11a-2 Reliance Indicator</t>
  </si>
  <si>
    <t>Indicates whether the Registrant relied on rule 11a-2 under the Act during the reporting period.</t>
  </si>
  <si>
    <t>F.17</t>
  </si>
  <si>
    <t>Divestments under section 13(c) of the Act</t>
  </si>
  <si>
    <t>Section 13(c) Divestments Information</t>
  </si>
  <si>
    <t>Information regarding divestments made under section 13(c) of the Act since the end of the prior reporting period.</t>
  </si>
  <si>
    <t>F.17.a</t>
  </si>
  <si>
    <t>If the Registrant has divested itself of securities in accordance with section 13(c) of the Act (15 U.S.C. 80a-13(c)) since the end of the reporting period immediately prior to the current reporting period and before filing of the current report, disclose the information requested below for each such divested security:</t>
  </si>
  <si>
    <t>Divested Security Information</t>
  </si>
  <si>
    <t>Information about each security divested in accordance with section 13(c) of the Act.</t>
  </si>
  <si>
    <t>F.17.a.i</t>
  </si>
  <si>
    <t>Full name of the issuer:</t>
  </si>
  <si>
    <t>Divested Security Issuer Full Name</t>
  </si>
  <si>
    <t>The full name of the issuer of the security divested.</t>
  </si>
  <si>
    <t>F.17.a.ii</t>
  </si>
  <si>
    <t>Divested Security Ticker Symbol</t>
  </si>
  <si>
    <t>The ticker symbol of the security divested.</t>
  </si>
  <si>
    <t>F.17.a.iii</t>
  </si>
  <si>
    <t>CUSIP number:</t>
  </si>
  <si>
    <t>Divested Security CUSIP Number</t>
  </si>
  <si>
    <t>The CUSIP number of the security divested.</t>
  </si>
  <si>
    <t>F.17.a.iv</t>
  </si>
  <si>
    <t>Total number of shares or, for debt securities, principal amount divested:</t>
  </si>
  <si>
    <t>Divested Security Shares/Principal Amount</t>
  </si>
  <si>
    <t>The total number of shares or principal amount of debt securities divested.</t>
  </si>
  <si>
    <t>F.17.a.v</t>
  </si>
  <si>
    <t>Date that the securities were divested:</t>
  </si>
  <si>
    <t>Divestment Date</t>
  </si>
  <si>
    <t>The date when the securities were divested.</t>
  </si>
  <si>
    <t>F.17.a.vi</t>
  </si>
  <si>
    <t>Name of the statute that added the provision of section 13(c) in accordance with which the securities were divested:</t>
  </si>
  <si>
    <t>Section 13(c) Statutory Provision Name</t>
  </si>
  <si>
    <t>The name of the statute that added the provision of section 13(c) under which the securities were divested.</t>
  </si>
  <si>
    <t>F.17.b</t>
  </si>
  <si>
    <t>If the Registrant holds any securities of the issuer on the date of the filing, provide the information requested below:</t>
  </si>
  <si>
    <t>Held Security Information</t>
  </si>
  <si>
    <t>Information about any securities of the issuer still held on the date of the filing.</t>
  </si>
  <si>
    <t>F.17.b.i</t>
  </si>
  <si>
    <t>Held Security Ticker Symbol</t>
  </si>
  <si>
    <t>The ticker symbol of any securities still held.</t>
  </si>
  <si>
    <t>F.17.b.ii</t>
  </si>
  <si>
    <t>Held Security CUSIP Number</t>
  </si>
  <si>
    <t>The CUSIP number of any securities still held.</t>
  </si>
  <si>
    <t>F.17.b.iii</t>
  </si>
  <si>
    <t>Total number of shares or, for debt securities, principal amount held on the date of the filing:</t>
  </si>
  <si>
    <t>Held Security Shares/Principal Amount</t>
  </si>
  <si>
    <t>The total number of shares or principal amount of debt securities still held on the date of the filing.</t>
  </si>
  <si>
    <t>F.18</t>
  </si>
  <si>
    <t>Rule 12d1-4 reliance</t>
  </si>
  <si>
    <t>Rule 12d1-4 Reliance Indicator</t>
  </si>
  <si>
    <t>Indicates whether the Registrant relied on rule 12d1-4 under the Act during the reporting period.</t>
  </si>
  <si>
    <t>F.19</t>
  </si>
  <si>
    <t>Section 12(d)(1)(G) reliance</t>
  </si>
  <si>
    <t>Section 12(d)(1)(G) Reliance Indicator</t>
  </si>
  <si>
    <t>Indicates whether the Registrant relied on the statutory exception in section 12(d)(1)(G) of the Act during the reporting period.</t>
  </si>
  <si>
    <t>Item G</t>
  </si>
  <si>
    <t>G.1</t>
  </si>
  <si>
    <t>Attachments applicable to all Registrants. All Registrants shall file the following attachments, as applicable, with the current report.</t>
  </si>
  <si>
    <t>General Attachments Information</t>
  </si>
  <si>
    <t>Information on attachments that must be filed with the current report, applicable to all Registrants.</t>
  </si>
  <si>
    <t>G.1.a.i</t>
  </si>
  <si>
    <t>Legal proceedings:</t>
  </si>
  <si>
    <t>Legal Proceedings Attachment</t>
  </si>
  <si>
    <t>Information about legal proceedings that the Registrant is involved in.</t>
  </si>
  <si>
    <t>G.1.a.i (instruction)</t>
  </si>
  <si>
    <t>If the Registrant responded "YES" to Item B.11.a., provide a brief description of the proceedings. As part of the description, provide the case or docket number (if any), and the full names of the principal parties to the proceeding. If the Registrant responded "YES" to Item B.11.b., identify the proceeding and give its date of termination.</t>
  </si>
  <si>
    <t>Description of Legal Proceedings</t>
  </si>
  <si>
    <t>Detailed description of the legal proceedings, including case or docket number and names of principal parties.</t>
  </si>
  <si>
    <t>G.1.a.ii</t>
  </si>
  <si>
    <t>Provision of financial support:</t>
  </si>
  <si>
    <t>Financial Support Information</t>
  </si>
  <si>
    <t>Information detailing any instances where financial support was provided to the Registrant.</t>
  </si>
  <si>
    <t>G.1.a.ii (instruction)</t>
  </si>
  <si>
    <t>If the Registrant responded "YES" to Item B.14., provide the following information (unless the Registrant is a Money Market Fund): a. Description of nature of support. b. Person providing support. c. Brief description of relationship between the person providing support and the Registrant. d. Date support provided. e. Amount of support. f. Security supported (if applicable). Disclose the full name of the issuer, the title of the issue (including coupon or yield, if applicable) and at least two identifiers, if available (e.g., CIK, CUSIP, ISIN, LEI). g. Value of security supported on date support was initiated (if applicable). h. Brief description of reason for support. i. Term of support. j. Brief description of any contractual restrictions relating to support.</t>
  </si>
  <si>
    <t>Financial Support Details</t>
  </si>
  <si>
    <t>Detailed information about any provision of financial support, including the nature, provider, relationship, date, amount, and related securities.</t>
  </si>
  <si>
    <t>G.1.a.iii</t>
  </si>
  <si>
    <t>Independent public accountant's report on internal control (management investment companies other than small business investment companies only):</t>
  </si>
  <si>
    <t>Accountant's Report on Internal Control</t>
  </si>
  <si>
    <t>The report from the independent public accountant on the company's internal accounting controls.</t>
  </si>
  <si>
    <t>G.1.a.iii (instruction)</t>
  </si>
  <si>
    <t>Each management investment company shall furnish a report of its independent public accountant on the company's system of internal accounting controls. The accountant's report shall be based on the review, study and evaluation of the accounting system, internal accounting controls, and procedures for safeguarding securities made during the audit of the financial statements for the reporting period. The report should disclose any material weaknesses in: (a) the accounting system; (b) system of internal accounting control; or (c) procedures for safeguarding securities which exist as of the end of the Registrant's fiscal year. The accountant's report shall be furnished as an exhibit to the form and shall: (1) be addressed to the Registrant's shareholders and board of directors; (2) be dated; (3) be signed manually; and (4) indicate the city and state where issued. Attachments that include a report that discloses a material weakness should include an indication by the Registrant of any corrective action taken or proposed.</t>
  </si>
  <si>
    <t>Independent Public Accountant's Internal Control Report Details</t>
  </si>
  <si>
    <t>Detailed report by the independent public accountant regarding the internal accounting controls of the company, including any identified material weaknesses and proposed corrective actions.</t>
  </si>
  <si>
    <t>G.1.a.iv</t>
  </si>
  <si>
    <t>Change in accounting principles and practices:</t>
  </si>
  <si>
    <t>Accounting Principles and Practices Change</t>
  </si>
  <si>
    <t>Information about any changes in the accounting principles or practices that will materially affect the financial statements.</t>
  </si>
  <si>
    <t>G.1.a.iv (instruction)</t>
  </si>
  <si>
    <t>If the Registrant responded "YES" to Item B.21, provide an attachment that describes the change in accounting principles or practices, or the change in the method of applying any such accounting principles or practices. State the date of the change and the reasons therefor. A letter from the Registrant's independent accountants, approving or otherwise commenting on the change, shall accompany the description.</t>
  </si>
  <si>
    <t>Change in Accounting Principles/Practices Description</t>
  </si>
  <si>
    <t>Description of the change in accounting principles or practices, including the date of the change and the reasons for it, accompanied by a letter from the independent accountants.</t>
  </si>
  <si>
    <t>G.1.a.v</t>
  </si>
  <si>
    <t>Information required to be filed pursuant to exemptive orders:</t>
  </si>
  <si>
    <t>Exemptive Orders Information</t>
  </si>
  <si>
    <t>Any information required to be reported on Form N-CEN or any predecessor form pursuant to exemptive orders issued by the Commission and relied on by the Registrant.</t>
  </si>
  <si>
    <t>G.1.a.vi</t>
  </si>
  <si>
    <t>Other information required to be included as an attachment pursuant to Commission rules and regulations:</t>
  </si>
  <si>
    <t>Additional Information Required by Commission Rules</t>
  </si>
  <si>
    <t>Any other information required to be included as an attachment pursuant to Commission rules and regulations.</t>
  </si>
  <si>
    <t>G.1.b</t>
  </si>
  <si>
    <t>Attachments to be filed by closed-end management investment companies and small business investment companies. Registrants shall file the following attachments, as applicable, with the current report. Indicate the attachments filed with the current report by checking the applicable items below.</t>
  </si>
  <si>
    <t>Closed-End Mgt Investment Co. and SBICs Attachments</t>
  </si>
  <si>
    <t>Attachments applicable to closed-end management investment companies and small business investment companies.</t>
  </si>
  <si>
    <t>G.1.b.i</t>
  </si>
  <si>
    <t>Material amendments to organizational documents:</t>
  </si>
  <si>
    <t>Material Amendments to Org. Documents</t>
  </si>
  <si>
    <t>Copies of all material amendments to the Registrant's charters, by-laws, or other similar organizational documents that occurred during the reporting period.</t>
  </si>
  <si>
    <t>G.1.b.ii (instruction)</t>
  </si>
  <si>
    <t>Provide copies of all material amendments to the Registrant's charters, by-laws, or other similar organizational documents that occurred during the reporting period.</t>
  </si>
  <si>
    <t>Description of Org. Doc Amendments</t>
  </si>
  <si>
    <t>Detailed description and copies of material amendments to the Registrant's organizational documents.</t>
  </si>
  <si>
    <t>G.1.b.ii</t>
  </si>
  <si>
    <t>Instruments defining the rights of the holders of any new or amended class of securities:</t>
  </si>
  <si>
    <t>Instruments Defining Rights of New/Amended Securities</t>
  </si>
  <si>
    <t>Copies of all constituent instruments defining the rights of the holders of any new or amended class of securities for the current reporting period.</t>
  </si>
  <si>
    <t>Provide copies of all constituent instruments defining the rights of the holders of any new or amended class of securities for the current reporting period. If the Registrant has issued a new class of securities other than short-term paper, furnish a description of the class called for by the applicable item of Form N-2. If the constituent instruments defining the rights of the holders of any class of the Registrant's securities have been materially modified during the reporting period, give the title of the class involved and state briefly the general effect of the modification upon the rights of the holders of such securities.</t>
  </si>
  <si>
    <t>Description of New/Amended Securities Rights Instruments</t>
  </si>
  <si>
    <t>Copies and descriptions of constituent instruments defining the rights of holders of any new or amended class of securities, and descriptions of any material modifications.</t>
  </si>
  <si>
    <t>G.1.b.iii</t>
  </si>
  <si>
    <t>New or amended investment advisory contracts:</t>
  </si>
  <si>
    <t>New/Amended Investment Advisory Contracts</t>
  </si>
  <si>
    <t>Copies of any new or amended investment advisory contracts that became effective during the reporting period.</t>
  </si>
  <si>
    <t>G.1.b.iii (instruction)</t>
  </si>
  <si>
    <t>Provide copies of any new or amended investment advisory contracts that became effective during the reporting period.</t>
  </si>
  <si>
    <t>Description of New/Amended Advisory Contracts</t>
  </si>
  <si>
    <t>Copies and descriptions of new or amended investment advisory contracts.</t>
  </si>
  <si>
    <t>G.1.b.iv</t>
  </si>
  <si>
    <t>Information called for by Item 405 of Regulation S-K:</t>
  </si>
  <si>
    <t>Information Required by Item 405 of Regulation S-K</t>
  </si>
  <si>
    <t>Information pertaining to the failure of certain closed-end management investment company and small business investment company shareholders to file certain ownership reports.</t>
  </si>
  <si>
    <t>G.1.b.v</t>
  </si>
  <si>
    <t>Code of ethics (small business investment companies only):</t>
  </si>
  <si>
    <t>Information about the Code of Ethics, its adoption status, brief description of amendments, and waivers.</t>
  </si>
  <si>
    <t>G.1.b.v (instruction)</t>
  </si>
  <si>
    <t>Provide the required information pertaining to the Code of Ethics and its adoption status, brief description of amendments, and waivers.</t>
  </si>
  <si>
    <t>Description of Code of Ethics Information</t>
  </si>
  <si>
    <t>Information related to the Code of Ethics, including its adoption status, amendments, and waivers.</t>
  </si>
  <si>
    <t>1.A</t>
  </si>
  <si>
    <t>Full Legal Name</t>
  </si>
  <si>
    <t>The complete legal name of the adviser, including the last, first, and middle names for sole proprietors.</t>
  </si>
  <si>
    <t>1.B(1)</t>
  </si>
  <si>
    <t>Name under which you primarily conduct your advisory business, if different from Item 1.A.</t>
  </si>
  <si>
    <t>Business Name</t>
  </si>
  <si>
    <t>The name under which the advisory business is primarily conducted, if different from the legal name provided in Item 1.A.</t>
  </si>
  <si>
    <t>1.B(2)</t>
  </si>
  <si>
    <t>If you are using this Form ADV to register more than one investment adviser under an umbrella registration, check this box.</t>
  </si>
  <si>
    <t>Umbrella Registration [Yes/No]</t>
  </si>
  <si>
    <t>Indicates whether the Form ADV is being used to register multiple investment advisers under an umbrella registration.</t>
  </si>
  <si>
    <t>1.C</t>
  </si>
  <si>
    <t>If this filing is reporting a change in your legal name (Item 1.A.) or primary business name (Item 1.B.(1)), enter the new name and specify whether the name change is of your legal name or your primary business name:</t>
  </si>
  <si>
    <t>New Name, Name Change Type [Legal/Business]</t>
  </si>
  <si>
    <t>The new legal or business name being reported and the type of name change (legal name or business name).</t>
  </si>
  <si>
    <t>1.D(1)</t>
  </si>
  <si>
    <t>If you are registered with the SEC as an investment adviser, your SEC file number: 801-.</t>
  </si>
  <si>
    <t>SEC File Number 801</t>
  </si>
  <si>
    <t>The SEC file number (801-) assigned to the investment adviser registered with the SEC.</t>
  </si>
  <si>
    <t>1.D(2)</t>
  </si>
  <si>
    <t>If you report to the SEC as an exempt reporting adviser, your SEC file number: 802-.</t>
  </si>
  <si>
    <t>SEC File Number 802</t>
  </si>
  <si>
    <t>The SEC file number (802-) assigned to the exempt reporting adviser.</t>
  </si>
  <si>
    <t>1.D(3)</t>
  </si>
  <si>
    <t>If you have one or more Central Index Key numbers assigned by the SEC ('CIK Numbers'), all of your CIK numbers:.</t>
  </si>
  <si>
    <t>CIK Numbers</t>
  </si>
  <si>
    <t>The Central Index Key (CIK) numbers assigned by the SEC to the adviser.</t>
  </si>
  <si>
    <t>1.E(1)</t>
  </si>
  <si>
    <t>If you have a number ('CRD Number') assigned by the FINRA's CRD system or by the IARD system, your CRD number:.</t>
  </si>
  <si>
    <t>CRD Number</t>
  </si>
  <si>
    <t>The Central Registration Depository (CRD) number assigned to the adviser by FINRA or IARD.</t>
  </si>
  <si>
    <t>1.E(2)</t>
  </si>
  <si>
    <t>If you have additional CRD Numbers, your additional CRD numbers:.</t>
  </si>
  <si>
    <t>Additional CRD Numbers</t>
  </si>
  <si>
    <t>Any additional CRD numbers assigned to the adviser.</t>
  </si>
  <si>
    <t>Form ADV</t>
  </si>
  <si>
    <t>1.F(1)</t>
  </si>
  <si>
    <t>Address (do not use a P.O. Box):</t>
  </si>
  <si>
    <t>The physical address of the principal office and place of business of the adviser, not using a P.O. Box.</t>
  </si>
  <si>
    <t>1.F(2)</t>
  </si>
  <si>
    <t>Days of week that you normally conduct business at your principal office and place of business: Monday - Friday, Other: Normal business hours at this location:</t>
  </si>
  <si>
    <t>Checkbox, Text</t>
  </si>
  <si>
    <t>Business Days, Business Hours</t>
  </si>
  <si>
    <t>The days of the week and the normal business hours during which business is conducted at the principal office and place of business of the adviser.</t>
  </si>
  <si>
    <t>1.F(3)</t>
  </si>
  <si>
    <t>Telephone number at this location: (area code)</t>
  </si>
  <si>
    <t>The telephone number at the principal office and place of business.</t>
  </si>
  <si>
    <t>1.F(4)</t>
  </si>
  <si>
    <t>Facsimile number at this location, if any: (area code)</t>
  </si>
  <si>
    <t>Facsimile Number</t>
  </si>
  <si>
    <t>The facsimile (fax) number at the principal office and place of business, if available.</t>
  </si>
  <si>
    <t>1.F(5)</t>
  </si>
  <si>
    <t>What is the total number of offices, other than your principal office and place of business, at which you conduct investment advisory business as of the end of your most recently completed fiscal year?</t>
  </si>
  <si>
    <t>Number of Offices</t>
  </si>
  <si>
    <t>The total number of offices, excluding the principal office, where investment advisory business is conducted as of the end of the most recent fiscal year.</t>
  </si>
  <si>
    <t>1.G</t>
  </si>
  <si>
    <t>Mailing address, if different from your principal office and place of business address: (number and street, city, state/country, zip +4/postal code)</t>
  </si>
  <si>
    <t>Mailing Address</t>
  </si>
  <si>
    <t>The mailing address, if different from the principal office and place of business address.</t>
  </si>
  <si>
    <t>1.H</t>
  </si>
  <si>
    <t>If you are a sole proprietor, state your full residence address, if different from your principal office and place of business address in Item 1.F .: (number and street, city, state/country, zip +4/postal code)</t>
  </si>
  <si>
    <t>Residence Address</t>
  </si>
  <si>
    <t>The full residence address of the sole proprietor, if it is different from the principal office and place of business address.</t>
  </si>
  <si>
    <t>1.I</t>
  </si>
  <si>
    <t>Do you have one or more websites or accounts on publicly available social media platforms (including, but not limited to, Twitter, Facebook and LinkedIn)? Yes/No</t>
  </si>
  <si>
    <t>Websites/Social Media [Yes/No], List of Websites/Social Media</t>
  </si>
  <si>
    <t>Indicates whether the adviser has any websites or accounts on publicly available social media platforms, and if so, lists those websites and social media accounts.</t>
  </si>
  <si>
    <t>1.J(1)</t>
  </si>
  <si>
    <t>Provide the name and contact information of your Chief Compliance Officer.</t>
  </si>
  <si>
    <t>CCO Name, CCO Contact Information</t>
  </si>
  <si>
    <t>The name and contact information of the Chief Compliance Officer (CCO).</t>
  </si>
  <si>
    <t>1.J(2)</t>
  </si>
  <si>
    <t>If your Chief Compliance Officer is compensated or employed by any person other than you, a related person or an investment company registered under the Investment Company Act of 1940 that you advise for providing chief compliance officer services to you, provide the person's name and IRS Employer Identification Number (if any):</t>
  </si>
  <si>
    <t>CCO Employer Name, CCO Employer EIN</t>
  </si>
  <si>
    <t>The name and IRS Employer Identification Number (EIN) of the entity compensating or employing the Chief Compliance Officer, other than the adviser.</t>
  </si>
  <si>
    <t>1.K</t>
  </si>
  <si>
    <t>Additional Regulatory Contact Person: If a person other than the Chief Compliance Officer is authorized to receive information and respond to questions about this Form ADV, you may provide that information here.</t>
  </si>
  <si>
    <t>Additional Contact Name and Information</t>
  </si>
  <si>
    <t>The name and contact information of an additional regulatory contact person authorized to receive information and respond to questions about the Form ADV.</t>
  </si>
  <si>
    <t>1.L</t>
  </si>
  <si>
    <t>Do you maintain some or all of the books and records you are required to keep under Section 204 of the Advisers Act, or similar state law, somewhere other than your principal office and place of business? Yes/No</t>
  </si>
  <si>
    <t>Books and Records Location [Yes/No], Address</t>
  </si>
  <si>
    <t>Indicates whether books and records are maintained somewhere other than the principal office and place of business, and if so, provides the address.</t>
  </si>
  <si>
    <t>1.M</t>
  </si>
  <si>
    <t>Are you registered with a foreign financial regulatory authority? Yes/No</t>
  </si>
  <si>
    <t>Foreign Regulatory Registration [Yes/No], Authority Name</t>
  </si>
  <si>
    <t>Indicates whether the adviser is registered with any foreign financial regulatory authority, and provides the name of the authority if applicable.</t>
  </si>
  <si>
    <t>1.N</t>
  </si>
  <si>
    <t>Are you a public reporting company under Sections 12 or 15(d) of the Securities Exchange Act of 1934? Yes/No</t>
  </si>
  <si>
    <t>Public Reporting Company [Yes/No]</t>
  </si>
  <si>
    <t>Indicates whether the adviser is a public reporting company under Sections 12 or 15(d) of the Securities Exchange Act of 1934.</t>
  </si>
  <si>
    <t>1.O</t>
  </si>
  <si>
    <t>Did you have $1 billion or more in assets on the last day of your most recent fiscal year? Yes/No</t>
  </si>
  <si>
    <t>Assets &gt; $1 Billion [Yes/No]</t>
  </si>
  <si>
    <t>Indicates whether the adviser had $1 billion or more in assets on the last day of their most recent fiscal year.</t>
  </si>
  <si>
    <t>1.P</t>
  </si>
  <si>
    <t>Provide your Legal Entity Identifier if you have one:.</t>
  </si>
  <si>
    <t>Legal Entity Identifier</t>
  </si>
  <si>
    <t>The Legal Entity Identifier (LEI) of the adviser, if available.</t>
  </si>
  <si>
    <t>2.A</t>
  </si>
  <si>
    <t>To register (or remain registered) with the SEC, you must check at least one of the Items 2.A.(1) through 2.A.(12), below. If you are submitting an annual updating amendment to your SEC registration and you are no longer eligible to register with the SEC, check Item 2.A.(13). Part 1A Instruction 2 provides information to help you determine whether you may affirmatively respond to each of these items.</t>
  </si>
  <si>
    <t>SEC Registration Eligibility Check</t>
  </si>
  <si>
    <t>Indicates the basis under which the adviser is eligible to register or remain registered with the SEC.</t>
  </si>
  <si>
    <t>2.A(1)(a)</t>
  </si>
  <si>
    <t>You (the adviser): are a large advisory firm that has regulatory assets under management of $100 million (in U.S. dollars) or more;</t>
  </si>
  <si>
    <t>Large Advisory Firm [Yes/No], RAUM Amount</t>
  </si>
  <si>
    <t>Indicates whether the adviser is a large firm with regulatory assets under management (RAUM) of $100 million or more.</t>
  </si>
  <si>
    <t>2.A(1)(b)</t>
  </si>
  <si>
    <t>You (the adviser): are a large advisory firm that has regulatory assets under management of $90 million (in U.S. dollars) or more at the time of filing its most recent annual updating amendment and is registered with the SEC;</t>
  </si>
  <si>
    <t>Indicates whether the adviser is a large firm with regulatory assets under management (RAUM) of $90 million or more at the time of the most recent amendment.</t>
  </si>
  <si>
    <t>2.A(2)(a)</t>
  </si>
  <si>
    <t>You (the adviser): are a mid-sized advisory firm that has regulatory assets under management of $25 million (in U.S. dollars) or more but less than $100 million (in U.S. dollars) and you are not required to be registered as an adviser with the state securities authority of the state where you maintain your principal office and place of business;</t>
  </si>
  <si>
    <t>Mid-Sized Advisory Firm [Yes/No], RAUM Amount</t>
  </si>
  <si>
    <t>Indicates whether the adviser is a mid-sized firm with regulatory assets under management (RAUM) of $25-100 million, not required to register with state authorities.</t>
  </si>
  <si>
    <t>2.A(2)(b)</t>
  </si>
  <si>
    <t>You (the adviser): are a mid-sized advisory firm that has regulatory assets under management of $25 million (in U.S. dollars) or more but less than $100 million (in U.S. dollars) and you are not subject to examination by the state securities authority of the state where you maintain your principal office and place of business;</t>
  </si>
  <si>
    <t>Indicates whether the adviser is a mid-sized firm with regulatory assets under management (RAUM) of $25-100 million, not subject to state examination.</t>
  </si>
  <si>
    <t>2.A(3)</t>
  </si>
  <si>
    <t>You (the adviser): Reserved;</t>
  </si>
  <si>
    <t>Reserved</t>
  </si>
  <si>
    <t>Placeholder for a reserved item with no current use.</t>
  </si>
  <si>
    <t>2.A(4)</t>
  </si>
  <si>
    <t>You (the adviser): have your principal office and place of business outside the United States;</t>
  </si>
  <si>
    <t>Principal Office Outside USA [Yes/No]</t>
  </si>
  <si>
    <t>Indicates whether the adviser's principal office and place of business are located outside the United States.</t>
  </si>
  <si>
    <t>2.A(5)</t>
  </si>
  <si>
    <t>You (the adviser): are an investment adviser (or subadviser) to an investment company registered under the Investment Company Act of 1940;</t>
  </si>
  <si>
    <t>Investment Adviser to Registered Investment Company [Yes/No]</t>
  </si>
  <si>
    <t>Indicates whether the adviser or is an investment adviser or subadviser to a company registered under the Investment Company Act of 1940.</t>
  </si>
  <si>
    <t>2.A(6)</t>
  </si>
  <si>
    <t>You (the adviser): are an investment adviser to a company which has elected to be a business development company pursuant to section 54 of the Investment Company Act of 1940 and has not withdrawn the election, and you have at least $25 million of regulatory assets under management;</t>
  </si>
  <si>
    <t>Investment Adviser to Business Development Company [Yes/No]</t>
  </si>
  <si>
    <t>Indicates whether the adviser is an investment adviser to a company that elected as a business development company under the Investment Company Act of 1940.</t>
  </si>
  <si>
    <t>2.A(7)</t>
  </si>
  <si>
    <t>You (the adviser): are a pension consultant with respect to assets of plans having an aggregate value of at least $200,000,000 that qualifies for the exemption in rule 203A-2(a);</t>
  </si>
  <si>
    <t>Pension Consultant [Yes/No], Asset Value</t>
  </si>
  <si>
    <t>Indicates whether the adviser is a pension consultant with assets under management of at least $200 million, qualifying for rule 203A-2(a) exemption.</t>
  </si>
  <si>
    <t>2.A(8)</t>
  </si>
  <si>
    <t>You (the adviser): are a related adviser under rule 203A-2(b) that controls, is controlled by, or is under common control with, an investment adviser that is registered with the SEC, and your principal office and place of business is the same as the registered adviser. If you check this box, complete Section 2.A.(8) of Schedule D.</t>
  </si>
  <si>
    <t>Related Adviser Under 203A-2(b) [Yes/No], Control Type</t>
  </si>
  <si>
    <t>Indicates whether the adviser is related under rule 203A-2(b), either controlling, being controlled by, or under common control with an SEC-registered adviser.</t>
  </si>
  <si>
    <t>2.A(9)</t>
  </si>
  <si>
    <t>You (the adviser): are an adviser relying on rule 203A-2(c) because you expect to be eligible for SEC registration within 120 days; If you check this box, complete Section 2.A.(9) of Schedule D.</t>
  </si>
  <si>
    <t>Adviser Relying on 203A-2(c) [Yes/No]</t>
  </si>
  <si>
    <t>Indicates whether the adviser is relying on rule 203A-2(c) and expects to be eligible for SEC registration within 120 days.</t>
  </si>
  <si>
    <t>2.A(10)</t>
  </si>
  <si>
    <t>You (the adviser): are a multi-state adviser that is required to register in 15 or more states and is relying on rule 203A-2(d); If you check this box, complete Section 2.A.(10) of Schedule D.</t>
  </si>
  <si>
    <t>Multi-State Adviser [Yes/No], Number of States</t>
  </si>
  <si>
    <t>Indicates whether the adviser is a multi-state adviser required to register in 15 or more states and is relying on rule 203A-2(d).</t>
  </si>
  <si>
    <t>2.A(11)</t>
  </si>
  <si>
    <t>You (the adviser): are an Internet adviser relying on rule 203A-2(e); If you check this box, complete Section 2.A.(11) of Schedule D.</t>
  </si>
  <si>
    <t>Internet Adviser [Yes/No]</t>
  </si>
  <si>
    <t>Indicates whether the adviser is an Internet adviser, relying on rule 203A-2(e).</t>
  </si>
  <si>
    <t>2.A(12)</t>
  </si>
  <si>
    <t>You (the adviser): have received an SEC order exempting you from the prohibition against registration with the SEC; If you check this box, complete Section 2.A.(12) of Schedule D.</t>
  </si>
  <si>
    <t>SEC Order Exemption [Yes/No], Order Details</t>
  </si>
  <si>
    <t>Indicates whether the adviser has received an SEC order exempting them from prohibition against registration with the SEC, along with order details.</t>
  </si>
  <si>
    <t>2.A(13)</t>
  </si>
  <si>
    <t>You (the adviser): are no longer eligible to remain registered with the SEC.</t>
  </si>
  <si>
    <t>No Longer Eligible for SEC Registration [Yes/No]</t>
  </si>
  <si>
    <t>Indicates whether the adviser is no longer eligible to remain registered with the SEC.</t>
  </si>
  <si>
    <t>2.B</t>
  </si>
  <si>
    <t>Complete this Item 2.B. only if you are reporting to the SEC as an exempt reporting adviser. Check all that apply. You:</t>
  </si>
  <si>
    <t>Exempt Reporting Adviser Check</t>
  </si>
  <si>
    <t>Indicates the adviser's status as an exempt reporting adviser.</t>
  </si>
  <si>
    <t>2.B(1)</t>
  </si>
  <si>
    <t>You (the adviser): qualify for the exemption from registration as an adviser solely to one or more venture capital funds, as defined in rule 203(l)-1;</t>
  </si>
  <si>
    <t>Exempt as Adviser to Venture Capital Fund [Yes/No]</t>
  </si>
  <si>
    <t>Indicates whether the adviser qualifies for exemption as an adviser solely to venture capital funds, defined under rule 203(l)-1.</t>
  </si>
  <si>
    <t>2.B(2)</t>
  </si>
  <si>
    <t>You (the adviser): qualify for the exemption from registration because you act solely as an adviser to private funds and have assets under management, as defined in rule 203(m)-1, in the United States of less than $150 million;</t>
  </si>
  <si>
    <t>Exempt as Adviser to Private Funds with &lt; $150M RAUM [Yes/No]</t>
  </si>
  <si>
    <t>Indicates whether the adviser qualifies for exemption as an adviser to private funds with assets under management of less than $150 million.</t>
  </si>
  <si>
    <t>2.B(3)</t>
  </si>
  <si>
    <t>You (the adviser): act solely as an adviser to private funds but you are no longer eligible to check box 2.B.(2) because you have assets under management, as defined in rule 203(m)-1, in the United States of $150 million or more.</t>
  </si>
  <si>
    <t>Adviser to Private Funds with $150M+ RAUM [Yes/No]</t>
  </si>
  <si>
    <t>Indicates whether the adviser is no longer eligible for exemption as adviser to private funds due to assets under management of $150 million or more.</t>
  </si>
  <si>
    <t>2.B(4)</t>
  </si>
  <si>
    <t>If you check box 2.B.(2) or 2.B.(3), complete Section 2.B. of Schedule D.</t>
  </si>
  <si>
    <t>Complete Section 2.B of Schedule D [Yes/No]</t>
  </si>
  <si>
    <t>Indicates when Section 2.B of Schedule D needs to be completed.</t>
  </si>
  <si>
    <t>2.C</t>
  </si>
  <si>
    <t>Under state laws, SEC-registered advisers may be required to provide to state securities authorities a copy of the Form ADV and any amendments they file with the SEC. These are called notice filings. In addition, exempt reporting advisers may be required to provide state securities authorities with a copy of reports and any amendments they file with the SEC. If this is an initial application or report, check the box(es) next to the state(s) that you would like to receive notice of this and all subsequent filings or reports you submit to the SEC. If this is an amendment to direct your notice filings or reports to additional state(s), check the box(es) next to the state(s) that you would like to receive notice of this and all subsequent filings or reports you submit to the SEC. If this is an amendment to your registration to stop your notice filings or reports from going to states that currently receive them, uncheck the box(es) next to those state(s).</t>
  </si>
  <si>
    <t>State Notice Filings Check [State Names]</t>
  </si>
  <si>
    <t>Indicates the states that will receive notice filings or reports based on the adviser's initial application, amendments, or updates.</t>
  </si>
  <si>
    <t>2.C(1)</t>
  </si>
  <si>
    <t>If you are amending your registration to stop your notice filings or reports from going to a state that currently receives them and you do not want to pay that state’s notice filing or report filing fee for the coming year, your amendment must be filed before the end of the year (December 31).</t>
  </si>
  <si>
    <t>Amendment for State Notice Filings [State Names]</t>
  </si>
  <si>
    <t>Indicates which states are impacted when amending registrations to stop notice filings or reports and avoid filing fees for the upcoming year.</t>
  </si>
  <si>
    <t>3.A</t>
  </si>
  <si>
    <t>How are you organized? (Corporation, Partnership, Other (specify), Sole Proprietorship, Limited Liability Partnership (LLP), Limited Liability Company (LLC), Limited Partnership (LP))</t>
  </si>
  <si>
    <t>Dropdown/Multiple Choice</t>
  </si>
  <si>
    <t>Organization Type</t>
  </si>
  <si>
    <t>The legal structure under which the adviser entity is organized.</t>
  </si>
  <si>
    <t>3.A.Instruction</t>
  </si>
  <si>
    <t>If you are changing your response to this item, see Part 1A Instruction 4.</t>
  </si>
  <si>
    <t>Organization Change Instruction</t>
  </si>
  <si>
    <t>Instruction referencing where to find more information if organization type changes.</t>
  </si>
  <si>
    <t>3.B</t>
  </si>
  <si>
    <t>In what month does your fiscal year end each year?</t>
  </si>
  <si>
    <t>Dropdown</t>
  </si>
  <si>
    <t>Fiscal Year End Month</t>
  </si>
  <si>
    <t>The specific month in which the adviser's fiscal year concludes annually.</t>
  </si>
  <si>
    <t>3.C</t>
  </si>
  <si>
    <t>Under the laws of what state or country are you organized?</t>
  </si>
  <si>
    <t>State/Country of Organization</t>
  </si>
  <si>
    <t>The state or country legislation under which the advisory entity is officially formed.</t>
  </si>
  <si>
    <t>3.C.Partnership</t>
  </si>
  <si>
    <t>If you are a partnership, provide the name of the state or country under whose laws your partnership was formed.</t>
  </si>
  <si>
    <t>Partnership Formation Location</t>
  </si>
  <si>
    <t>The state or country under whose legal jurisdiction the partnership organization was established.</t>
  </si>
  <si>
    <t>3.C.SoleProprietor</t>
  </si>
  <si>
    <t>If you are a sole proprietor, provide the name of the state or country where you reside.</t>
  </si>
  <si>
    <t>Sole Proprietor Residence Location</t>
  </si>
  <si>
    <t>The state or country in which a sole proprietor resides.</t>
  </si>
  <si>
    <t>3.C.Instruction</t>
  </si>
  <si>
    <t>Instruction on where to find details when updating the organizational information.</t>
  </si>
  <si>
    <t>4.A</t>
  </si>
  <si>
    <t>Are you, at the time of this filing, succeeding to the business of a registered investment adviser, including, for example, a change of your structure or legal status (e.g., form of organization or state of incorporation)? (Yes/No)</t>
  </si>
  <si>
    <t>Radio Button</t>
  </si>
  <si>
    <t>Successor to Business [Yes/No]</t>
  </si>
  <si>
    <t>Whether the adviser is succeeding to an already registered advisory business, leading to entity structure or legal modifications.</t>
  </si>
  <si>
    <t>4.A.Instruction</t>
  </si>
  <si>
    <t>If "yes," complete Item 4.B. and Section 4 of Schedule D.</t>
  </si>
  <si>
    <t>Successor Instruction</t>
  </si>
  <si>
    <t>Guidance to provide additional forms and sections if succeeding another registered advisory business.</t>
  </si>
  <si>
    <t>4.B</t>
  </si>
  <si>
    <t>Date of Succession: (mm/dd/yyyy)</t>
  </si>
  <si>
    <t>Date Picker</t>
  </si>
  <si>
    <t>Succession Date (MM/DD/YYYY)</t>
  </si>
  <si>
    <t>The date on which succession or transfer of business from the predecessor to the current adviser occurred.</t>
  </si>
  <si>
    <t>4.B.Instruction</t>
  </si>
  <si>
    <t>If you have already reported this succession on a previous Form ADV filing, do not report the succession again. Instead, check "No." See Part 1A Instruction 4.</t>
  </si>
  <si>
    <t>Succession Reporting Instruction</t>
  </si>
  <si>
    <t>Instructions on avoiding redundancy in successive reporting if previously documented, with reference to the guidance.</t>
  </si>
  <si>
    <t>5.A</t>
  </si>
  <si>
    <t>Approximately how many employees do you have? Include full- and part-time employees but do not include any clerical workers.</t>
  </si>
  <si>
    <t>Number of Employees</t>
  </si>
  <si>
    <t>The total count of full- and part-time employees excluding clerical workers.</t>
  </si>
  <si>
    <t>5.B(1)</t>
  </si>
  <si>
    <t>Approximately how many of the employees reported in 5.A. perform investment advisory functions (including research)?</t>
  </si>
  <si>
    <t>Advisory Function Employees</t>
  </si>
  <si>
    <t>Number of employees performing investment advisory functions, including research, out of the total employees reported in 5.A.</t>
  </si>
  <si>
    <t>5.B(2)</t>
  </si>
  <si>
    <t>Approximately how many of the employees reported in 5.A. are registered representatives of a broker-dealer?</t>
  </si>
  <si>
    <t>Registered Representatives of Broker-Dealer</t>
  </si>
  <si>
    <t>Number of employees registered as representatives of a broker-dealer among the employees reported in 5.A.</t>
  </si>
  <si>
    <t>5.B(3)</t>
  </si>
  <si>
    <t>Approximately how many of the employees reported in 5.A. are registered with one or more state securities authorities as investment adviser representatives?</t>
  </si>
  <si>
    <t>State-Registered Investment Adviser Representatives</t>
  </si>
  <si>
    <t>Number of employees registered with one or more state securities authorities as investment adviser representatives among the employees reported in 5.A.</t>
  </si>
  <si>
    <t>5.B(4)</t>
  </si>
  <si>
    <t>Approximately how many of the employees reported in 5.A. are registered with one or more state securities authorities as investment adviser representatives for an investment adviser other than you?</t>
  </si>
  <si>
    <t>State-Registered Representatives for Other Advisers</t>
  </si>
  <si>
    <t>Number of employees registered with state securities authorities as investment adviser representatives for an adviser other than the reporting adviser.</t>
  </si>
  <si>
    <t>5.B(5)</t>
  </si>
  <si>
    <t>Approximately how many of the employees reported in 5.A. are licensed agents of an insurance company or agency?</t>
  </si>
  <si>
    <t>Licensed Insurance Agents</t>
  </si>
  <si>
    <t>Number of employees who are licensed agents of an insurance company or agency among the employees reported in 5.A.</t>
  </si>
  <si>
    <t>5.B(6)</t>
  </si>
  <si>
    <t>Approximately how many firms or other persons solicit advisory clients on your behalf?</t>
  </si>
  <si>
    <t>Firms/Persons Soliciting Clients</t>
  </si>
  <si>
    <t>Number of firms or other persons that solicit advisory clients on behalf of the adviser (excluding employees).</t>
  </si>
  <si>
    <t>5.C(1)</t>
  </si>
  <si>
    <t>To approximately how many clients for whom you do not have regulatory assets under management did you provide investment advisory services during your most recently completed fiscal year?</t>
  </si>
  <si>
    <t>Advisory Clients Without Regulatory AUM</t>
  </si>
  <si>
    <t>Number of clients who received investment advisory services but for whom the adviser does not have regulatory assets under management during the most recent fiscal year.</t>
  </si>
  <si>
    <t>5.C(2)</t>
  </si>
  <si>
    <t>Approximately what percentage of your clients are non-United States persons? %</t>
  </si>
  <si>
    <t>Percentage of Non-United States Clients</t>
  </si>
  <si>
    <t>Percentage of the total client base that consists of non-United States persons.</t>
  </si>
  <si>
    <t>5.D</t>
  </si>
  <si>
    <t>Indicate the approximate number of your clients and amount of your total regulatory assets under management (reported in Item 5.F. below) attributable to each of the following type of client. [See detailed types below]</t>
  </si>
  <si>
    <t>5.D.Type</t>
  </si>
  <si>
    <t>Type of Client (a) Individuals (other than high net worth individuals)</t>
  </si>
  <si>
    <t>Client Type Individuals</t>
  </si>
  <si>
    <t>Type of clients receiving advisory services, starting with individuals other than high net worth individuals.</t>
  </si>
  <si>
    <t>5.D(1)</t>
  </si>
  <si>
    <t>Number of Client(s) (a)</t>
  </si>
  <si>
    <t>Number of Clients</t>
  </si>
  <si>
    <t>Number of clients in each client type classification.</t>
  </si>
  <si>
    <t>5.D(2)</t>
  </si>
  <si>
    <t>Fewer than 5 Clients</t>
  </si>
  <si>
    <t>Clients &lt;5 Indicator</t>
  </si>
  <si>
    <t>Indicator if there are fewer than 5 clients in a specific client type.</t>
  </si>
  <si>
    <t>5.D(3)</t>
  </si>
  <si>
    <t>Amount of Regulatory Assets under Management (a)</t>
  </si>
  <si>
    <t>Regulatory AUM</t>
  </si>
  <si>
    <t>Amount of regulatory assets under management for each type of client classification.</t>
  </si>
  <si>
    <t>5.E</t>
  </si>
  <si>
    <t>You are compensated for your investment advisory services by (check all that apply):</t>
  </si>
  <si>
    <t>Compensation Methods [Multiple values]</t>
  </si>
  <si>
    <t>Methods through which the adviser is compensated for providing investment advisory services.</t>
  </si>
  <si>
    <t>5.E(1)</t>
  </si>
  <si>
    <t>A percentage of assets under your management</t>
  </si>
  <si>
    <t>Percentage of AUM Fees</t>
  </si>
  <si>
    <t>Indicates compensation by percentage of assets under management.</t>
  </si>
  <si>
    <t>5.E(2)</t>
  </si>
  <si>
    <t>Hourly charges</t>
  </si>
  <si>
    <t>Hourly Charges Fees</t>
  </si>
  <si>
    <t>Indicates compensation by hourly charges.</t>
  </si>
  <si>
    <t>5.E(3)</t>
  </si>
  <si>
    <t>Subscription fees (for a newsletter or periodical)</t>
  </si>
  <si>
    <t>Subscription Fees</t>
  </si>
  <si>
    <t>Indicates compensation by subscription fees for newsletters or periodicals.</t>
  </si>
  <si>
    <t>5.E(4)</t>
  </si>
  <si>
    <t>Fixed fees (other than subscription fees)</t>
  </si>
  <si>
    <t>Fixed Fees</t>
  </si>
  <si>
    <t>Indicates compensation by fixed fees (excluding subscription fees).</t>
  </si>
  <si>
    <t>5.E(5)</t>
  </si>
  <si>
    <t>Commissions</t>
  </si>
  <si>
    <t>Indicates compensation by commissions received.</t>
  </si>
  <si>
    <t>5.E(6)</t>
  </si>
  <si>
    <t>Performance-based fees</t>
  </si>
  <si>
    <t>Performance-Based Fees</t>
  </si>
  <si>
    <t>Indicates compensation by performance-based fees.</t>
  </si>
  <si>
    <t>5.E(7)</t>
  </si>
  <si>
    <t>Other (specify):</t>
  </si>
  <si>
    <t>Other Compensation Methods, specify</t>
  </si>
  <si>
    <t>Indicates other compensation methods along with specific details if applicable.</t>
  </si>
  <si>
    <t>5.F(1)</t>
  </si>
  <si>
    <t>Do you provide continuous and regular supervisory or management services to securities portfolios? (Yes/No)</t>
  </si>
  <si>
    <t>Supervisory/Management Services [Yes/No]</t>
  </si>
  <si>
    <t>Indicates whether the adviser provides continuous and regular supervisory or management services to securities portfolios.</t>
  </si>
  <si>
    <t>5.F(2)</t>
  </si>
  <si>
    <t>If yes, what is the amount of your regulatory assets under management and total number of accounts?</t>
  </si>
  <si>
    <t>Currency, Number</t>
  </si>
  <si>
    <t>Regulatory AUM and Accounts</t>
  </si>
  <si>
    <t>The specific amount of regulatory assets under management and the total number of accounts if the adviser provides continuous and regular supervisory or management services.</t>
  </si>
  <si>
    <t>5.F(2)(a)</t>
  </si>
  <si>
    <t>Discretionary: $ and Total Number of Accounts</t>
  </si>
  <si>
    <t>Discretionary AUM and Accounts</t>
  </si>
  <si>
    <t>Total amount of discretionary regulatory assets under management and number of related accounts.</t>
  </si>
  <si>
    <t>5.F(2)(b)</t>
  </si>
  <si>
    <t>Non-Discretionary: $ and Total Number of Accounts</t>
  </si>
  <si>
    <t>Non-Discretionary AUM and Accounts</t>
  </si>
  <si>
    <t>Total amount of non-discretionary regulatory assets under management and number of related accounts.</t>
  </si>
  <si>
    <t>5.F(2)(c)</t>
  </si>
  <si>
    <t>Total: $ and Total Number of Accounts</t>
  </si>
  <si>
    <t>Total AUM and Accounts</t>
  </si>
  <si>
    <t>Total amount of both discretionary and non-discretionary regulatory assets under management and number of related accounts.</t>
  </si>
  <si>
    <t>5.F(3)</t>
  </si>
  <si>
    <t>What is the approximate amount of your total regulatory assets under management (reported in Item 5.F.(2)(c) above) attributable to clients who are non-United States persons?</t>
  </si>
  <si>
    <t>AUM from Non-United States Clients</t>
  </si>
  <si>
    <t>Approximate amount of regulatory assets under management attributable to clients who are non-United States persons.</t>
  </si>
  <si>
    <t>5.G</t>
  </si>
  <si>
    <t>What type(s) of advisory services do you provide? (Check all that apply)</t>
  </si>
  <si>
    <t>Types of Advisory Services [Multiple values]</t>
  </si>
  <si>
    <t>The specific types of advisory services that the adviser provides.</t>
  </si>
  <si>
    <t>5.G(1)</t>
  </si>
  <si>
    <t>Financial planning services</t>
  </si>
  <si>
    <t>Financial Planning Services [Yes/No]</t>
  </si>
  <si>
    <t>Indicates whether financial planning services are provided.</t>
  </si>
  <si>
    <t>5.G(2)</t>
  </si>
  <si>
    <t>Portfolio management for individuals and/or small businesses</t>
  </si>
  <si>
    <t>Portfolio Management for Individuals/Small Businesses [Yes/No]</t>
  </si>
  <si>
    <t>Indicates whether portfolio management services are provided for individuals and/or small businesses.</t>
  </si>
  <si>
    <t>5.G(3)</t>
  </si>
  <si>
    <t>Portfolio management for investment companies (as well as 'business development companies' that have made an election pursuant to section 54 of the Investment Company Act of 1940)</t>
  </si>
  <si>
    <t>Portfolio Management for Investment Companies [Yes/No]</t>
  </si>
  <si>
    <t>Indicates whether portfolio management services are provided for investment companies and business development companies.</t>
  </si>
  <si>
    <t>5.G(4)</t>
  </si>
  <si>
    <t>Portfolio management for pooled investment vehicles (other than investment companies)</t>
  </si>
  <si>
    <t>Portfolio Management for Pooled Investment Vehicles [Yes/No]</t>
  </si>
  <si>
    <t>Indicates whether portfolio management services are provided for pooled investment vehicles other than investment companies.</t>
  </si>
  <si>
    <t>5.G(5)</t>
  </si>
  <si>
    <t>Portfolio management for businesses (other than small businesses) or institutional clients (other than registered investment companies and other pooled investment vehicles)</t>
  </si>
  <si>
    <t>Portfolio Management for Businesses/Institutional Clients [Yes/No]</t>
  </si>
  <si>
    <t>Indicates whether portfolio management services are provided for businesses other than small businesses or institutional clients.</t>
  </si>
  <si>
    <t>5.G(6)</t>
  </si>
  <si>
    <t>Pension consulting services</t>
  </si>
  <si>
    <t>Pension Consulting Services [Yes/No]</t>
  </si>
  <si>
    <t>Indicates whether pension consulting services are provided.</t>
  </si>
  <si>
    <t>5.G(7)</t>
  </si>
  <si>
    <t>Selection of other advisers (including private fund managers)</t>
  </si>
  <si>
    <t>Selection of Other Advisers [Yes/No]</t>
  </si>
  <si>
    <t>Indicates whether services include the selection of other advisers (including private fund managers).</t>
  </si>
  <si>
    <t>5.G(8)</t>
  </si>
  <si>
    <t>Publication of periodicals or newsletters</t>
  </si>
  <si>
    <t>Publication of Periodicals/Newsletters [Yes/No]</t>
  </si>
  <si>
    <t>Indicates whether the adviser publishes periodicals or newsletters.</t>
  </si>
  <si>
    <t>5.G(9)</t>
  </si>
  <si>
    <t>Security ratings or pricing services</t>
  </si>
  <si>
    <t>Security Ratings/Pricing Services [Yes/No]</t>
  </si>
  <si>
    <t>Indicates whether the adviser provides security ratings or pricing services.</t>
  </si>
  <si>
    <t>5.G(10)</t>
  </si>
  <si>
    <t>Market timing services</t>
  </si>
  <si>
    <t>Market Timing Services [Yes/No]</t>
  </si>
  <si>
    <t>Indicates whether market timing services are provided.</t>
  </si>
  <si>
    <t>5.G(11)</t>
  </si>
  <si>
    <t>Educational seminars/workshops</t>
  </si>
  <si>
    <t>Educational Seminars/Workshops [Yes/No]</t>
  </si>
  <si>
    <t>Indicates whether the adviser conducts educational seminars or workshops.</t>
  </si>
  <si>
    <t>5.G(12)</t>
  </si>
  <si>
    <t>Other Services, specify</t>
  </si>
  <si>
    <t>Indicates other advisory services provided, with specific details if applicable.</t>
  </si>
  <si>
    <t>5.H</t>
  </si>
  <si>
    <t>If you provide financial planning services, to how many clients did you provide these services during your last fiscal year?</t>
  </si>
  <si>
    <t>Financial Planning Clients</t>
  </si>
  <si>
    <t>The number of clients who received financial planning services during the adviser's last fiscal year.</t>
  </si>
  <si>
    <t>5.H.Options</t>
  </si>
  <si>
    <t>Select: 0, 1-10, 11-25, 26-50, 51-100, 101-250, 251-500, More than 500 (specify how many if more than 500)</t>
  </si>
  <si>
    <t>Financial Planning Clients Selections</t>
  </si>
  <si>
    <t>Options to specify the range of clients receiving financial planning services.</t>
  </si>
  <si>
    <t>5.I(1)</t>
  </si>
  <si>
    <t>Do you participate in a wrap fee program? (Yes/No)</t>
  </si>
  <si>
    <t>Wrap Fee Program Participation [Yes/No]</t>
  </si>
  <si>
    <t>Indicates whether the adviser participates in a wrap fee program.</t>
  </si>
  <si>
    <t>5.I(2)</t>
  </si>
  <si>
    <t>If you participate in a wrap fee program, what is the amount of your regulatory assets under management attributable to acting as:</t>
  </si>
  <si>
    <t>5.I(2)(a)</t>
  </si>
  <si>
    <t>sponsor to a wrap fee program $</t>
  </si>
  <si>
    <t>AUM as Wrap Fee Program Sponsor</t>
  </si>
  <si>
    <t>Amount of regulatory assets under management attributable to acting as a sponsor to a wrap fee program.</t>
  </si>
  <si>
    <t>5.I(2)(b)</t>
  </si>
  <si>
    <t>portfolio manager for a wrap fee program? $</t>
  </si>
  <si>
    <t>AUM as Wrap Fee Program Portfolio Manager</t>
  </si>
  <si>
    <t>Amount of regulatory assets under management attributable to acting as a portfolio manager for a wrap fee program.</t>
  </si>
  <si>
    <t>5.I(2)(c)</t>
  </si>
  <si>
    <t>sponsor to and portfolio manager for the same wrap fee program? $</t>
  </si>
  <si>
    <t>AUM as Wrap Fee Program Sponsor &amp; Portfolio Manager</t>
  </si>
  <si>
    <t>Amount of regulatory assets under management attributable to acting as both a sponsor and portfolio manager for the same wrap fee program.</t>
  </si>
  <si>
    <t>5.J(1)</t>
  </si>
  <si>
    <t>In response to Item 4.B. of Part 2A of Form ADV, do you indicate that you provide investment advice only with respect to limited types of investments? (Yes/No)</t>
  </si>
  <si>
    <t>Limited Investment Advice [Yes/No]</t>
  </si>
  <si>
    <t>Indicates whether the adviser provides investment advice only with respect to limited types of investments.</t>
  </si>
  <si>
    <t>5.J(2)</t>
  </si>
  <si>
    <t>Do you report client assets in Item 4.E. of Part 2A that are computed using a different method than the method used to compute your regulatory assets under management? (Yes/No)</t>
  </si>
  <si>
    <t>Different Client Asset Computation Method [Yes/No]</t>
  </si>
  <si>
    <t>Indicates whether the client assets are computed using a different methodology than the one used for regulatory assets under management.</t>
  </si>
  <si>
    <t>5.K(1)</t>
  </si>
  <si>
    <t>Do you have regulatory assets under management attributable to clients other than those listed in Item 5.D.(3)(d)-(f) (separately managed account clients)? (Yes/No)</t>
  </si>
  <si>
    <t>SMA Clients with Regulatory AUM [Yes/No]</t>
  </si>
  <si>
    <t>Indicates whether there are regulatory assets under management attributed to separately managed account clients not listed in Item 5.D.(3)(d)-(f).</t>
  </si>
  <si>
    <t>5.K(2)</t>
  </si>
  <si>
    <t>Do you engage in borrowing transactions on behalf of any of the separately managed account clients that you advise? (Yes/No)</t>
  </si>
  <si>
    <t>Borrowing Transactions for SMA Clients [Yes/No]</t>
  </si>
  <si>
    <t>Indicates whether the adviser engages in borrowing transactions on behalf of any separately managed account clients.</t>
  </si>
  <si>
    <t>5.K(3)</t>
  </si>
  <si>
    <t>Do you engage in derivative transactions on behalf of any of the separately managed account clients that you advise? (Yes/No)</t>
  </si>
  <si>
    <t>Derivative Transactions for SMA Clients [Yes/No]</t>
  </si>
  <si>
    <t>Indicates whether the adviser engages in derivative transactions on behalf of any separately managed account clients.</t>
  </si>
  <si>
    <t>5.K(4)</t>
  </si>
  <si>
    <t>Does any custodian hold ten percent or more of the remaining amount of regulatory assets under management after subtracting items in Item 5.D.(3)(d)-(f)? (Yes/No)</t>
  </si>
  <si>
    <t>Custodians Holding ≥10% AUM [Yes/No]</t>
  </si>
  <si>
    <t>Indicates whether any custodian holds ten percent or more of the remaining regulatory assets after subtracting amounts listed in Item 5.D.(3)(d)-(f).</t>
  </si>
  <si>
    <t>5.L(1)</t>
  </si>
  <si>
    <t>Do any of your advertisements include:</t>
  </si>
  <si>
    <t>Advertisement Elements [Multiple values]</t>
  </si>
  <si>
    <t>Elements included in advertisements published by the adviser.</t>
  </si>
  <si>
    <t>5.L(1)(a)</t>
  </si>
  <si>
    <t>Performance results? (Yes/No)</t>
  </si>
  <si>
    <t>Performance Results in Ads [Yes/No]</t>
  </si>
  <si>
    <t>Indicates whether performance results are included in advertisements.</t>
  </si>
  <si>
    <t>5.L(1)(b)</t>
  </si>
  <si>
    <t>A reference to specific investment advice provided by you? (Yes/No)</t>
  </si>
  <si>
    <t>Specific Investment Advice in Ads [Yes/No]</t>
  </si>
  <si>
    <t>Indicates whether specific investment advice is referenced in advertisements.</t>
  </si>
  <si>
    <t>5.L(1)(c)</t>
  </si>
  <si>
    <t>Testimonials (other than those that satisfy rule 206(4)-1(b)(4)(ii))? (Yes/No)</t>
  </si>
  <si>
    <t>Testimonials in Ads [Yes/No]</t>
  </si>
  <si>
    <t>Indicates whether testimonials, excluding those satisfying rule 206(4)-1(b)(4)(ii), are included in advertisements.</t>
  </si>
  <si>
    <t>5.L(1)(d)</t>
  </si>
  <si>
    <t>Endorsements (other than those that satisfy rule 206(4)-1(b)(4)(ii))? (Yes/No)</t>
  </si>
  <si>
    <t>Endorsements in Ads [Yes/No]</t>
  </si>
  <si>
    <t>Indicates whether endorsements, excluding those satisfying rule 206(4)-1(b)(4)(ii), are included in advertisements.</t>
  </si>
  <si>
    <t>5.L(1)(e)</t>
  </si>
  <si>
    <t>Third-party ratings? (Yes/No)</t>
  </si>
  <si>
    <t>Third-Party Ratings in Ads [Yes/No]</t>
  </si>
  <si>
    <t>Indicates whether third-party ratings are included in advertisements.</t>
  </si>
  <si>
    <t>5.L(2)</t>
  </si>
  <si>
    <t>If you answer 'yes' to 5.L(1)(c), (d), or (e) above, do you pay or provide cash or non-cash compensation for the use of testimonials, endorsements, or third-party ratings? (Yes/No)</t>
  </si>
  <si>
    <t>Compensation for Testimonials/Endorsements/Ratings [Yes/No]</t>
  </si>
  <si>
    <t>Indicates whether compensation is provided for the use of testimonials, endorsements, or third-party ratings.</t>
  </si>
  <si>
    <t>5.L(3)</t>
  </si>
  <si>
    <t>Do any of your advertisements include hypothetical performance? (Yes/No)</t>
  </si>
  <si>
    <t>Hypothetical Performance in Ads [Yes/No]</t>
  </si>
  <si>
    <t>Indicates whether hypothetical performance metrics are included in advertisements.</t>
  </si>
  <si>
    <t>5.L(4)</t>
  </si>
  <si>
    <t>Do any of your advertisements include predecessor performance? (Yes/No)</t>
  </si>
  <si>
    <t>Predecessor Performance in Ads [Yes/No]</t>
  </si>
  <si>
    <t>Indicates whether predecessor performance metrics are included in advertisements.</t>
  </si>
  <si>
    <t>6.A</t>
  </si>
  <si>
    <t>You are actively engaged in business as a (check all that apply):</t>
  </si>
  <si>
    <t>Business Activities [Multiple Values]</t>
  </si>
  <si>
    <t>The types of business activities in which the adviser is actively engaged.</t>
  </si>
  <si>
    <t>6.A(1)</t>
  </si>
  <si>
    <t>broker-dealer (registered or unregistered)</t>
  </si>
  <si>
    <t>Business as Broker-Dealer [Yes/No]</t>
  </si>
  <si>
    <t>Indicates whether the firm is actively engaged as a broker-dealer, regardless of registration status.</t>
  </si>
  <si>
    <t>6.A(2)</t>
  </si>
  <si>
    <t>registered representative of a broker-dealer</t>
  </si>
  <si>
    <t>Registered Representative of Broker-Dealer [Yes/No]</t>
  </si>
  <si>
    <t>Indicates whether the firm has registered representatives of a broker-dealer actively engaged in business.</t>
  </si>
  <si>
    <t>6.A(3)</t>
  </si>
  <si>
    <t>commodity pool operator or commodity trading advisor (whether registered or exempt from registration)</t>
  </si>
  <si>
    <t>Commodity Pool Operator/Advisor [Yes/No]</t>
  </si>
  <si>
    <t>Indicates whether the firm is actively engaged as a commodity pool operator or commodity trading advisor, registered or exempt.</t>
  </si>
  <si>
    <t>6.A(4)</t>
  </si>
  <si>
    <t>futures commission merchant</t>
  </si>
  <si>
    <t>Futures Commission Merchant [Yes/No]</t>
  </si>
  <si>
    <t>Indicates whether the firm is actively engaged as a futures commission merchant.</t>
  </si>
  <si>
    <t>6.A(5)</t>
  </si>
  <si>
    <t>real estate broker, dealer, or agent</t>
  </si>
  <si>
    <t>Real Estate Broker/Dealer/Agent [Yes/No]</t>
  </si>
  <si>
    <t>Indicates whether the firm is actively engaged as a real estate broker, dealer, or agent.</t>
  </si>
  <si>
    <t>6.A(6)</t>
  </si>
  <si>
    <t>insurance broker or agent</t>
  </si>
  <si>
    <t>Insurance Broker/Agent [Yes/No]</t>
  </si>
  <si>
    <t>Indicates whether the firm is actively engaged as an insurance broker or agent.</t>
  </si>
  <si>
    <t>6.A(7)</t>
  </si>
  <si>
    <t>bank (including a separately identifiable department or division of a bank)</t>
  </si>
  <si>
    <t>Bank [Yes/No]</t>
  </si>
  <si>
    <t>Indicates whether the firm is actively engaged as a bank or a separately identifiable department or division of a bank.</t>
  </si>
  <si>
    <t>6.A(8)</t>
  </si>
  <si>
    <t>trust company</t>
  </si>
  <si>
    <t>Trust Company [Yes/No]</t>
  </si>
  <si>
    <t>Indicates whether the firm is actively engaged as a trust company.</t>
  </si>
  <si>
    <t>6.A(9)</t>
  </si>
  <si>
    <t>registered municipal advisor</t>
  </si>
  <si>
    <t>Municipal Advisor [Yes/No]</t>
  </si>
  <si>
    <t>Indicates whether the firm is actively engaged as a registered municipal advisor.</t>
  </si>
  <si>
    <t>6.A(10)</t>
  </si>
  <si>
    <t>registered security-based swap dealer</t>
  </si>
  <si>
    <t>Security-Based Swap Dealer [Yes/No]</t>
  </si>
  <si>
    <t>Indicates whether the firm is actively engaged as a registered security-based swap dealer.</t>
  </si>
  <si>
    <t>6.A(11)</t>
  </si>
  <si>
    <t>major security-based swap participant</t>
  </si>
  <si>
    <t>Major Security-Based Swap Participant [Yes/No]</t>
  </si>
  <si>
    <t>Indicates whether the firm is actively engaged as a major security-based swap participant.</t>
  </si>
  <si>
    <t>6.A(12)</t>
  </si>
  <si>
    <t>accountant or accounting firm</t>
  </si>
  <si>
    <t>Accountant/Accounting Firm [Yes/No]</t>
  </si>
  <si>
    <t>Indicates whether the firm is actively engaged as an accountant or accounting firm.</t>
  </si>
  <si>
    <t>6.A(13)</t>
  </si>
  <si>
    <t>lawyer or law firm</t>
  </si>
  <si>
    <t>Lawyer/Law Firm [Yes/No]</t>
  </si>
  <si>
    <t>Indicates whether the firm is actively engaged as a lawyer or law firm.</t>
  </si>
  <si>
    <t>6.A(14)</t>
  </si>
  <si>
    <t>other financial product salesperson (specify):</t>
  </si>
  <si>
    <t>Other Financial Product Salesperson [Yes/No], Specify Sales Activity</t>
  </si>
  <si>
    <t>Indicates whether the firm is actively engaged as another type of financial product salesperson, with specifics.</t>
  </si>
  <si>
    <t>6.A.Detail</t>
  </si>
  <si>
    <t>If you engage in other business using a name that is different from the names reported in Items 1.A. or 1.B.(1), complete Section 6.A. of Schedule D.</t>
  </si>
  <si>
    <t>Text, Text</t>
  </si>
  <si>
    <t>Different Business Name [Yes/No], Other Business Name, Business Activity</t>
  </si>
  <si>
    <t>Indicates whether the firm uses a different name for other business activities, specifying the alternative name and business activity.</t>
  </si>
  <si>
    <t>6.B(1)</t>
  </si>
  <si>
    <t>Are you actively engaged in any other business not listed in Item 6.A. (other than giving investment advice)? (Yes/No)</t>
  </si>
  <si>
    <t>Other Business Activities [Yes/No]</t>
  </si>
  <si>
    <t>Indicates whether the firm is actively engaged in other business activities not listed above, excluding investment advice.</t>
  </si>
  <si>
    <t>6.B(2)</t>
  </si>
  <si>
    <t>If yes, is this other business your primary business? (Yes/No)</t>
  </si>
  <si>
    <t>Primary Other Business [Yes/No]</t>
  </si>
  <si>
    <t>Indicates whether this other business activity is the firm’s primary business.</t>
  </si>
  <si>
    <t>6.B(2).Detail</t>
  </si>
  <si>
    <t>If 'yes,' describe this other business on Section 6.B.(2) of Schedule D, and if you engage in this business under a different name, provide that name.</t>
  </si>
  <si>
    <t>Primary Business Description, Other Business Name</t>
  </si>
  <si>
    <t>Description and, if applicable, name under which the firm engages in its primary business activity other than investment advice.</t>
  </si>
  <si>
    <t>6.B(3)</t>
  </si>
  <si>
    <t>Do you sell products or provide services other than investment advice to your advisory clients? (Yes/No)</t>
  </si>
  <si>
    <t>Sell Non-Advisory Products/Services [Yes/No]</t>
  </si>
  <si>
    <t>Indicates whether the firm sells products or services other than investment advice to its advisory clients.</t>
  </si>
  <si>
    <t>6.B(3).Detail</t>
  </si>
  <si>
    <t>If 'yes,' describe this other business on Section 6.B.(3) of Schedule D, and if you engage in this business under a different name, provide that name.</t>
  </si>
  <si>
    <t>Other Products/Services Description, Different Business Name</t>
  </si>
  <si>
    <t>Description of other products or services provided, and if applicable, the name used for these business activities.</t>
  </si>
  <si>
    <t>7.A</t>
  </si>
  <si>
    <t>This part of Item 7 requires you to provide information about you and your related persons, including foreign affiliates. Your related persons are all of your advisory affiliates and any person that is under common control with you.</t>
  </si>
  <si>
    <t>7.A.Detail</t>
  </si>
  <si>
    <t>You have a related person that is a (check all that apply):</t>
  </si>
  <si>
    <t>Related Person Activities [Multiple Values]</t>
  </si>
  <si>
    <t>Types of activities engaged in by related persons or entities under common control.</t>
  </si>
  <si>
    <t>7.A(1)</t>
  </si>
  <si>
    <t>broker-dealer, municipal securities dealer, or government securities broker or dealer (registered or unregistered)</t>
  </si>
  <si>
    <t>Related Person Broker-Dealer [Yes/No]</t>
  </si>
  <si>
    <t>Indicates whether the related person is a broker-dealer, municipal securities dealer, or government securities broker or dealer, regardless of registration status.</t>
  </si>
  <si>
    <t>7.A(2)</t>
  </si>
  <si>
    <t>other investment adviser (including financial planners)</t>
  </si>
  <si>
    <t>Related Person Investment Adviser [Yes/No]</t>
  </si>
  <si>
    <t>Indicates whether the related person is another investment adviser, including financial planners.</t>
  </si>
  <si>
    <t>7.A(3)</t>
  </si>
  <si>
    <t>Related Person Municipal Advisor [Yes/No]</t>
  </si>
  <si>
    <t>Indicates whether the related person is a registered municipal advisor.</t>
  </si>
  <si>
    <t>7.A(4)</t>
  </si>
  <si>
    <t>Filed Persuant</t>
  </si>
  <si>
    <t>Related Person Security-Based Swap Dealer [Yes/No]</t>
  </si>
  <si>
    <t>Indicates whether the related person is a registered security-based swap dealer.</t>
  </si>
  <si>
    <t>7.A(5)</t>
  </si>
  <si>
    <t>Related Person Security-Based Swap Participant [Yes/No]</t>
  </si>
  <si>
    <t>Indicates whether the related person is a major security-based swap participant.</t>
  </si>
  <si>
    <t>7.A(6)</t>
  </si>
  <si>
    <t>Related Person Commodity Pool Operator/Advisor [Yes/No]</t>
  </si>
  <si>
    <t>Indicates whether the related person is a commodity pool operator or commodity trading advisor, regardless of registration status.</t>
  </si>
  <si>
    <t>7.A(7)</t>
  </si>
  <si>
    <t>Related Person Futures Commission Merchant [Yes/No]</t>
  </si>
  <si>
    <t>Indicates whether the related person is a futures commission merchant.</t>
  </si>
  <si>
    <t>7.A(8)</t>
  </si>
  <si>
    <t>banking or thrift institution</t>
  </si>
  <si>
    <t>Related Person Banking or Thrift Institution [Yes/No]</t>
  </si>
  <si>
    <t>Indicates whether the related person is a banking or thrift institution.</t>
  </si>
  <si>
    <t>7.A(9)</t>
  </si>
  <si>
    <t>Related Person Trust Company [Yes/No]</t>
  </si>
  <si>
    <t>Indicates whether the related person is a trust company.</t>
  </si>
  <si>
    <t>7.A(10)</t>
  </si>
  <si>
    <t>Related Person Accounting Firm [Yes/No]</t>
  </si>
  <si>
    <t>Indicates whether the related person is an accountant or accounting firm.</t>
  </si>
  <si>
    <t>7.A(11)</t>
  </si>
  <si>
    <t>Related Person Lawyer/Law Firm [Yes/No]</t>
  </si>
  <si>
    <t>Indicates whether the related person is a lawyer or law firm.</t>
  </si>
  <si>
    <t>7.A(12)</t>
  </si>
  <si>
    <t>insurance company or agency</t>
  </si>
  <si>
    <t>Related Person Insurance Company/Agency [Yes/No]</t>
  </si>
  <si>
    <t>Indicates whether the related person is an insurance company or agency.</t>
  </si>
  <si>
    <t>7.A(13)</t>
  </si>
  <si>
    <t>pension consultant</t>
  </si>
  <si>
    <t>Related Person Pension Consultant [Yes/No]</t>
  </si>
  <si>
    <t>Indicates whether the related person is a pension consultant.</t>
  </si>
  <si>
    <t>7.A(14)</t>
  </si>
  <si>
    <t>real estate broker or dealer</t>
  </si>
  <si>
    <t>Related Person Real Estate Broker/Dealer [Yes/No]</t>
  </si>
  <si>
    <t>Indicates whether the related person is a real estate broker or dealer.</t>
  </si>
  <si>
    <t>7.A(15)</t>
  </si>
  <si>
    <t>Ownership</t>
  </si>
  <si>
    <t>sponsor or syndicator of limited partnerships (or equivalent), excluding pooled investment vehicles</t>
  </si>
  <si>
    <t>Related Person Sponsor/Syndicator [Yes/No]</t>
  </si>
  <si>
    <t>Indicates whether the related person is a sponsor or syndicator of limited partnerships or equivalent, excluding pooled investment vehicles.</t>
  </si>
  <si>
    <t>7.A(16)</t>
  </si>
  <si>
    <t>sponsor, general partner, managing member (or equivalent) of pooled investment vehicles</t>
  </si>
  <si>
    <t>Related Person Sponsor/General Partner [Yes/No]</t>
  </si>
  <si>
    <t>Indicates whether the related person is a sponsor, general partner, or managing member of pooled investment vehicles.</t>
  </si>
  <si>
    <t>7.B</t>
  </si>
  <si>
    <t>Are you an adviser to any private fund? (Yes/No)</t>
  </si>
  <si>
    <t>Adviser to Private Fund [Yes/No]</t>
  </si>
  <si>
    <t>Indicates whether the firm advises any private funds.</t>
  </si>
  <si>
    <t>8.A</t>
  </si>
  <si>
    <t>Do you or any related person: (Yes/No)</t>
  </si>
  <si>
    <t>Proprietary Interest in Client Transactions [Yes/No]</t>
  </si>
  <si>
    <t>Indicates if the adviser or related persons have proprietary interests in client transactions.</t>
  </si>
  <si>
    <t>8.A(1)</t>
  </si>
  <si>
    <t>buy securities for yourself from advisory clients, or sell securities you own to advisory clients (principal transactions)?</t>
  </si>
  <si>
    <t>Principal Transactions [Yes/No]</t>
  </si>
  <si>
    <t>Indicates whether the adviser buys securities for themselves from advisory clients, or sells securities they own to advisory clients, known as principal transactions.</t>
  </si>
  <si>
    <t>8.A(2)</t>
  </si>
  <si>
    <t>buy or sell for yourself securities (other than shares of mutual funds) that you also recommend to advisory clients?</t>
  </si>
  <si>
    <t>Personal Securities Transactions [Yes/No]</t>
  </si>
  <si>
    <t>Indicates whether the adviser buys or sells for themselves securities that they also recommend to advisory clients.</t>
  </si>
  <si>
    <t>8.A(3)</t>
  </si>
  <si>
    <t>recommend securities (or other investment products) to advisory clients in which you or any related person has some other proprietary (ownership) interest (other than those mentioned in Items 8.A.(1) or (2))?</t>
  </si>
  <si>
    <t>Proprietary Interest Recommendations [Yes/No]</t>
  </si>
  <si>
    <t>Indicates whether the adviser recommends securities or other investment products in which the adviser or any related person has a proprietary interest.</t>
  </si>
  <si>
    <t>8.B</t>
  </si>
  <si>
    <t>Sales Interest in Client Transactions [Yes/No]</t>
  </si>
  <si>
    <t>Indicates if the adviser or related persons have sales interests in client transactions.</t>
  </si>
  <si>
    <t>8.B(1)</t>
  </si>
  <si>
    <t>as a broker-dealer or registered representative of a broker-dealer, execute securities trades for brokerage customers in which advisory client securities are sold to or bought from the brokerage customer (agency cross transactions)?</t>
  </si>
  <si>
    <t>Agency Cross Transactions [Yes/No]</t>
  </si>
  <si>
    <t>Indicates whether the adviser, as a broker-dealer or registered representative, executes securities trades for brokerage customers in which advisory client securities are involved.</t>
  </si>
  <si>
    <t>8.B(2)</t>
  </si>
  <si>
    <t>recommend to advisory clients, or act as a purchaser representative for advisory clients with respect to, the purchase of securities for which you or any related person serves as underwriter or general or managing partner?</t>
  </si>
  <si>
    <t>Underwriter/General Partner Recommendations [Yes/No]</t>
  </si>
  <si>
    <t>Indicates whether the adviser recommends or acts on behalf of advisory clients to purchase securities for which the adviser or related persons serve as underwriter/managing partner.</t>
  </si>
  <si>
    <t>8.B(3)</t>
  </si>
  <si>
    <t>recommend purchase or sale of securities to advisory clients for which you or any related person has any other sales interest (other than the receipt of sales commissions as a broker or registered representative of a broker-dealer)?</t>
  </si>
  <si>
    <t>Sales Interest Recommendations [Yes/No]</t>
  </si>
  <si>
    <t>Indicates whether the adviser recommends the purchase or sale of securities to advisory clients where there is another sales interest besides receiving sales commissions.</t>
  </si>
  <si>
    <t>8.C</t>
  </si>
  <si>
    <t>Do you or any related person have discretionary authority to determine the: (Yes/No)</t>
  </si>
  <si>
    <t>Discretionary Authority on Client Transactions [Yes/No]</t>
  </si>
  <si>
    <t>Indicates if the adviser or related persons have discretionary authority over specifying client transactions.</t>
  </si>
  <si>
    <t>8.C(1)</t>
  </si>
  <si>
    <t>securities to be bought or sold for a client's account?</t>
  </si>
  <si>
    <t>Discretionary Authority on Securities [Yes/No]</t>
  </si>
  <si>
    <t>Indicates if the adviser or related persons possess discretionary authority to decide which securities are bought or sold for client accounts.</t>
  </si>
  <si>
    <t>8.C(2)</t>
  </si>
  <si>
    <t>Format</t>
  </si>
  <si>
    <t>amount of securities to be bought or sold for a client's account?</t>
  </si>
  <si>
    <t>Discretionary Authority on Amounts [Yes/No]</t>
  </si>
  <si>
    <t>Indicates if the adviser or related persons have discretionary power to determine the quantity of securities bought or sold for client accounts.</t>
  </si>
  <si>
    <t>8.C(3)</t>
  </si>
  <si>
    <t>broker or dealer to be used for a purchase or sale of securities for a client's account?</t>
  </si>
  <si>
    <t>Discretionary Broker/Dealer Selection [Yes/No]</t>
  </si>
  <si>
    <t>Indicates if the adviser or related persons hold discretionary authority to select the broker or dealer for client securities transactions.</t>
  </si>
  <si>
    <t>8.C(4)</t>
  </si>
  <si>
    <t>commission rates to be paid to a broker or dealer for a client's securities transactions?</t>
  </si>
  <si>
    <t>Discretionary Commission Rates [Yes/No]</t>
  </si>
  <si>
    <t>Indicates if the adviser or related persons exercise discretionary authority regarding commission rates paid to brokers or dealers for client transactions.</t>
  </si>
  <si>
    <t>8.D</t>
  </si>
  <si>
    <t>Plain English; Fair Disclosure</t>
  </si>
  <si>
    <t>If you answer 'yes' to Item 8.C.(3), are any of the brokers or dealers related persons? (Yes/No)</t>
  </si>
  <si>
    <t>Related Broker/Dealer Selection [Yes/No]</t>
  </si>
  <si>
    <t>Indicates whether brokers or dealers selected with discretionary authority are related persons.</t>
  </si>
  <si>
    <t>8.E</t>
  </si>
  <si>
    <t>Do you or any related person recommend brokers or dealers to clients? (Yes/No)</t>
  </si>
  <si>
    <t>Broker/Dealer Recommendations [Yes/No]</t>
  </si>
  <si>
    <t>Indicates whether the adviser or related persons recommend brokers or dealers to clients.</t>
  </si>
  <si>
    <t>8.F</t>
  </si>
  <si>
    <t>If you answer 'yes' to Item 8.E, are any of the brokers or dealers related persons? (Yes/No)</t>
  </si>
  <si>
    <t>Related Broker/Dealer Recommendations [Yes/No]</t>
  </si>
  <si>
    <t>Indicates whether the recommended brokers or dealers include related persons.</t>
  </si>
  <si>
    <t>8.G</t>
  </si>
  <si>
    <t>Electronic and Graphical Formats</t>
  </si>
  <si>
    <t>Do you or any related person receive research or other products or services other than execution from a broker-dealer or a third party ('soft dollar benefits') in connection with client securities transactions? (Yes/No)</t>
  </si>
  <si>
    <t>Receipt of Soft Dollar Benefits [Yes/No]</t>
  </si>
  <si>
    <t>Indicates whether the adviser or related persons receive research or other services aside from execution (soft dollar benefits) from broker-dealers or third parties.</t>
  </si>
  <si>
    <t>8.G(2)</t>
  </si>
  <si>
    <t>If 'yes' to Item 8.G(1), are all the 'soft dollar benefits' you or any related persons receive eligible 'research or brokerage services' under section 28(e) of the Securities Exchange Act of 1934? (Yes/No)</t>
  </si>
  <si>
    <t>Eligible Soft Dollar Benefits [Yes/No]</t>
  </si>
  <si>
    <t>Indicates whether the "soft dollar benefits" received are eligible "research or brokerage services" as defined by section 28(e) of the Securities Exchange Act of 1934.</t>
  </si>
  <si>
    <t>8.H(1)</t>
  </si>
  <si>
    <t>Do you or any related person, directly or indirectly, compensate any person that is not an employee for client referrals? (Yes/No)</t>
  </si>
  <si>
    <t>Compensation for Client Referrals [Yes/No]</t>
  </si>
  <si>
    <t>Indicates whether the adviser or any related person provides compensation to any non-employee for client referrals.</t>
  </si>
  <si>
    <t>8.H(2)</t>
  </si>
  <si>
    <t>Formatting for Conversation Starters, Additional Information, and Standard of Conduct</t>
  </si>
  <si>
    <t>Do you or any related person, directly or indirectly, provide any employee compensation that is specifically related to obtaining clients for the firm (cash or non-cash compensation in addition to the employee's regular salary)? (Yes/No)</t>
  </si>
  <si>
    <t>Employee Compensation for Obtaining Clients [Yes/No]</t>
  </si>
  <si>
    <t>Indicates whether the adviser or related persons provide additional compensation to employees specifically for obtaining clients for the firm.</t>
  </si>
  <si>
    <t>8.I</t>
  </si>
  <si>
    <t>Do you or any related person, including any employee, directly or indirectly, receive compensation from any person (other than you or any related person) for client referrals? (Yes/No)</t>
  </si>
  <si>
    <t>Compensation from Client Referrals [Yes/No]</t>
  </si>
  <si>
    <t>Indicates whether the adviser or any related person, including employees, receives compensation from any person other than the adviser or related persons for client referrals.</t>
  </si>
  <si>
    <t>8.I.Detail</t>
  </si>
  <si>
    <t>In your response to Item 8.I., do not include the regular salary you pay to an employee.</t>
  </si>
  <si>
    <t>Exclude Regular Salary [Yes/No]</t>
  </si>
  <si>
    <t>Indicates that the response should exclude the regular salary paid to an employee when considering compensation from client referrals.</t>
  </si>
  <si>
    <t>8.H/I.Detail</t>
  </si>
  <si>
    <t>Dual Registrants, Affiliates, and Additional Services</t>
  </si>
  <si>
    <t>In responding to Items 8.H and 8.I, consider all cash and non-cash compensation that you or a related person gave to (in answering Item 8.H.) or received from (in answering Item 8.I.) any person in exchange for client referrals, including any bonus that is based, at least in part, on the number or amount of client referrals.</t>
  </si>
  <si>
    <t>Referrals Compensation Consideration</t>
  </si>
  <si>
    <t>Indicates that responses to Items 8.H and 8.I should include all forms of cash and non-cash compensation related to client referrals, including bonuses.</t>
  </si>
  <si>
    <t>9.A</t>
  </si>
  <si>
    <t>Do you have custody of any advisory clients': (Yes/No)</t>
  </si>
  <si>
    <t>Adviser Custody of Client Assets [Yes/No]</t>
  </si>
  <si>
    <t>Indicates whether the adviser has custody of any advisory clients' assets.</t>
  </si>
  <si>
    <t>9.A(1)(a)</t>
  </si>
  <si>
    <t>cash or bank accounts?</t>
  </si>
  <si>
    <t>Custody of Cash or Bank Accounts [Yes/No]</t>
  </si>
  <si>
    <t>Indicates whether the adviser has custody of clients' cash or bank accounts.</t>
  </si>
  <si>
    <t>9.A(1)(b)</t>
  </si>
  <si>
    <t>Preserving Records</t>
  </si>
  <si>
    <t>securities?</t>
  </si>
  <si>
    <t>Custody of Securities [Yes/No]</t>
  </si>
  <si>
    <t>Indicates whether the adviser has custody of clients' securities.</t>
  </si>
  <si>
    <t>9.A(2)</t>
  </si>
  <si>
    <t>Initial Filing and Delivery; Transition Provisions</t>
  </si>
  <si>
    <t>If you checked 'yes' to Item 9.A(1)(a) or (b), what is the approximate amount of client funds and securities and the total number of clients for which you have custody:</t>
  </si>
  <si>
    <t>9.A(2)(a)</t>
  </si>
  <si>
    <t>U.S. Dollar Amount</t>
  </si>
  <si>
    <t>Custody Amount – Client Funds and Securities ($)</t>
  </si>
  <si>
    <t>The approximate amount of client funds and securities in U.S. dollars for which the adviser has custody.</t>
  </si>
  <si>
    <t>9.A(2)(b)</t>
  </si>
  <si>
    <t>Total Number of Clients</t>
  </si>
  <si>
    <t>Custody – Total Number of Clients</t>
  </si>
  <si>
    <t>The total number of clients for which the adviser has custody of client funds and securities.</t>
  </si>
  <si>
    <t>9.B</t>
  </si>
  <si>
    <t>Updating the Relationship Summary and Filing Amendments</t>
  </si>
  <si>
    <t>In connection with advisory services you provide to clients, do any of your related persons have custody of any of your advisory clients': (Yes/No)</t>
  </si>
  <si>
    <t>Related Persons Custody of Client Assets [Yes/No]</t>
  </si>
  <si>
    <t>Indicates whether related persons have custody of any advisory clients' assets in connection with advisory services.</t>
  </si>
  <si>
    <t>9.B(1)(a)</t>
  </si>
  <si>
    <t>Related Persons Custody of Cash or Bank Accounts [Yes/No]</t>
  </si>
  <si>
    <t>Indicates whether related persons have custody of clients' cash or bank accounts.</t>
  </si>
  <si>
    <t>9.B(1)(b)</t>
  </si>
  <si>
    <t>Related Persons Custody of Securities [Yes/No]</t>
  </si>
  <si>
    <t>Indicates whether related persons have custody of clients' securities.</t>
  </si>
  <si>
    <t>9.B(2)</t>
  </si>
  <si>
    <t>Additional Delivery Requirements to Existing Clients and Customers</t>
  </si>
  <si>
    <t>If you checked 'yes' to Item 9.B(1)(a) or (b), what is the approximate amount of client funds and securities and the total number of clients for which your related persons have custody:</t>
  </si>
  <si>
    <t>9.B(2)(a)</t>
  </si>
  <si>
    <t>Related Persons Custody Amount ($)</t>
  </si>
  <si>
    <t>The approximate amount of client funds and securities in U.S. dollars for which related persons have custody.</t>
  </si>
  <si>
    <t>9.B(2)(b)</t>
  </si>
  <si>
    <t>Electronic Posting and Manner of Delivery</t>
  </si>
  <si>
    <t>Related Persons Custody – Total Number of Clients</t>
  </si>
  <si>
    <t>The total number of clients for which related persons have custody of client funds and securities.</t>
  </si>
  <si>
    <t>9.C</t>
  </si>
  <si>
    <t>If you or your related persons have custody of client funds or securities in connection with advisory services you provide to clients, check all the following that apply:</t>
  </si>
  <si>
    <t>Custody Arrangements [Multiple Values]</t>
  </si>
  <si>
    <t>Indicates the applicable custody arrangements if the adviser or related persons have custody of client funds or securities.</t>
  </si>
  <si>
    <t>9.C(1)</t>
  </si>
  <si>
    <t>A qualified custodian(s) sends account statements at least quarterly to the investors in the pooled investment vehicle(s) you manage.</t>
  </si>
  <si>
    <t>Qualified Custodian Sends Account Statements [Yes/No]</t>
  </si>
  <si>
    <t>Indicates whether a qualified custodian sends account statements at least quarterly to the investors in the pooled investment vehicle(s) managed by the adviser.</t>
  </si>
  <si>
    <t>9.C(2)</t>
  </si>
  <si>
    <t>An independent public accountant audits annually the pooled investment vehicle(s) that you manage and the audited financial statements are distributed to the investors in the pools.</t>
  </si>
  <si>
    <t>Annual Audit by Independent Public Accountant [Yes/No]</t>
  </si>
  <si>
    <t>Indicates whether an independent public accountant audits the pooled investment vehicle(s) annually and distributes the audited financial statements to the investors.</t>
  </si>
  <si>
    <t>9.C(3)</t>
  </si>
  <si>
    <t>An independent public accountant conducts an annual surprise examination of client funds and securities.</t>
  </si>
  <si>
    <t>Annual Surprise Examination [Yes/No]</t>
  </si>
  <si>
    <t>Indicates whether an independent public accountant conducts an annual surprise examination of client funds and securities.</t>
  </si>
  <si>
    <t>9.C(4)</t>
  </si>
  <si>
    <t>An independent public accountant prepares an internal control report with respect to custodial services when you or your related persons are qualified custodians for client funds and securities.</t>
  </si>
  <si>
    <t>Internal Control Report [Yes/No]</t>
  </si>
  <si>
    <t>Indicates whether an independent public accountant prepares an internal control report concerning custodial services when you or related persons are qualified custodians.</t>
  </si>
  <si>
    <t>9.D</t>
  </si>
  <si>
    <t>Do you or your related person(s) act as qualified custodians for your clients in connection with advisory services you provide to clients? (Yes/No)</t>
  </si>
  <si>
    <t>Acting as Qualified Custodians [Yes/No]</t>
  </si>
  <si>
    <t>Indicates whether the adviser or related persons act as qualified custodians for clients in connection with advisory services.</t>
  </si>
  <si>
    <t>9.D(1)</t>
  </si>
  <si>
    <t>you act as a qualified custodian</t>
  </si>
  <si>
    <t>Adviser Acts as Qualified Custodian [Yes/No]</t>
  </si>
  <si>
    <t>Indicates whether the adviser acts as a qualified custodian.</t>
  </si>
  <si>
    <t>9.D(2)</t>
  </si>
  <si>
    <t>your related person(s) act as qualified custodian(s)</t>
  </si>
  <si>
    <t>Related Persons Act as Qualified Custodian [Yes/No]</t>
  </si>
  <si>
    <t>Indicates whether related persons act as qualified custodians.</t>
  </si>
  <si>
    <t>9.E</t>
  </si>
  <si>
    <t>Introduction</t>
  </si>
  <si>
    <t>If you are filing your annual updating amendment and you were subject to a surprise examination by an independent public accountant during your last fiscal year, provide the date (MM/YYYY) the examination commenced:</t>
  </si>
  <si>
    <t>Date Surprise Examination Commenced (MM/YYYY)</t>
  </si>
  <si>
    <t>The date (month and year) when the surprise examination by an independent public accountant commenced.</t>
  </si>
  <si>
    <t>9.F</t>
  </si>
  <si>
    <t>If you or your related persons have custody of client funds or securities, how many persons, including, but not limited to, you and your related persons, act as qualified custodians for your clients in connection with advisory services you provide to clients?</t>
  </si>
  <si>
    <t>Number of Qualified Custodians</t>
  </si>
  <si>
    <t>The total number of persons, including the adviser and related persons, acting as qualified custodians for clients in connection with advisory services.</t>
  </si>
  <si>
    <t>10.A</t>
  </si>
  <si>
    <t>Relationships and Services</t>
  </si>
  <si>
    <t>Does any person not named in Item 1.A. or Schedules A, B, or C, directly or indirectly, control your management or policies? (Yes/No)</t>
  </si>
  <si>
    <t>External Control of Management/Policies [Yes/No]</t>
  </si>
  <si>
    <t>Indicates whether any person not already listed directly or indirectly controls the management or policies of the adviser.</t>
  </si>
  <si>
    <t>10.A.Detail</t>
  </si>
  <si>
    <t>If yes, complete Section 10.A. of Schedule D.</t>
  </si>
  <si>
    <t>Complete Section 10.A. [Yes/No]</t>
  </si>
  <si>
    <t>Instruction to complete Section 10.A. of Schedule D if there is external control of management or policies.</t>
  </si>
  <si>
    <t>10.B</t>
  </si>
  <si>
    <t>If any person named in Schedules A, B, or C or in Section 10.A. of Schedule D is a public reporting company under Sections 12 or 15(d) of the Securities Exchange Act of 1934, please complete Section 10.B. of Schedule D.</t>
  </si>
  <si>
    <t>Indicates whether any person listed in Schedules A, B, or C, or Section 10.A. of Schedule D, is a public reporting company under Sections 12 or 15(d) of the Securities Exchange Act of 1934.</t>
  </si>
  <si>
    <t>Do any of the events below involve you or any of your supervised persons? (Yes/No)</t>
  </si>
  <si>
    <t>Involvement in Specified Events [Yes/No]</t>
  </si>
  <si>
    <t>Indicates whether the adviser or any supervised persons are involved in any specified regulatory or legal events.</t>
  </si>
  <si>
    <t>11.A</t>
  </si>
  <si>
    <t>In the past ten years, have you or any advisory affiliate:</t>
  </si>
  <si>
    <t>11.A(1)</t>
  </si>
  <si>
    <t>been convicted of or pled guilty or nolo contendere ('no contest') in a domestic, foreign, or military court to any felony?</t>
  </si>
  <si>
    <t>Convicted/Pled Guilty to Felony [Yes/No]</t>
  </si>
  <si>
    <t>Indicates whether the adviser or any advisory affiliate has been convicted of or pled guilty or nolo contendere ('no contest') to any felony.</t>
  </si>
  <si>
    <t>11.A(2)</t>
  </si>
  <si>
    <t>been charged with any felony?</t>
  </si>
  <si>
    <t>Charged with Felony [Yes/No]</t>
  </si>
  <si>
    <t>Indicates whether the adviser or any advisory affiliate has been charged with any felony.</t>
  </si>
  <si>
    <t>11.B</t>
  </si>
  <si>
    <t>11.B(1)</t>
  </si>
  <si>
    <t>been convicted of or pled guilty or nolo contendere ('no contest') in a domestic, foreign, or military court to a misdemeanor involving: investments or an investment-related business, or any fraud, false statements, or omissions, wrongful taking of property, bribery, perjury, forgery, counterfeiting, extortion, or a conspiracy to commit any of these offenses?</t>
  </si>
  <si>
    <t>Misdemeanor Involving Specified Offense [Yes/No]</t>
  </si>
  <si>
    <t>Indicates whether the adviser or any advisory affiliate has been convicted of or pled guilty or nolo contendere to a misdemeanor involving specified offenses.</t>
  </si>
  <si>
    <t>11.B(2)</t>
  </si>
  <si>
    <t>been charged with a misdemeanor listed in Item 11.B.(1)?</t>
  </si>
  <si>
    <t>Charged with Specified Misdemeanor [Yes/No]</t>
  </si>
  <si>
    <t>Indicates whether the adviser or any advisory affiliate has been charged with a specified misdemeanor.</t>
  </si>
  <si>
    <t>11.C</t>
  </si>
  <si>
    <t>Has the SEC or the Commodity Futures Trading Commission (CFTC) ever:</t>
  </si>
  <si>
    <t>11.C(1)</t>
  </si>
  <si>
    <t>found you or any advisory affiliate to have made a false statement or omission?</t>
  </si>
  <si>
    <t>Found False Statement/Omission by SEC/CFTC [Yes/No]</t>
  </si>
  <si>
    <t>Indicates whether the SEC or CFTC has found the adviser or any advisory affiliate to have made a false statement or omission.</t>
  </si>
  <si>
    <t>11.C(2)</t>
  </si>
  <si>
    <t>found you or any advisory affiliate to have been involved in a violation of SEC or CFTC regulations or statutes?</t>
  </si>
  <si>
    <t>Violation of SEC/CFTC Regulations [Yes/No]</t>
  </si>
  <si>
    <t>Indicates whether the adviser or any advisory affiliate has been found to be involved in a violation of SEC or CFTC regulations or statutes.</t>
  </si>
  <si>
    <t>11.C(3)</t>
  </si>
  <si>
    <t>Fees, Costs, Conflicts, and Standard of Conduct</t>
  </si>
  <si>
    <t>found you or any advisory affiliate to have been a cause of an investment-related business having its authorization to do business denied, suspended, revoked, or restricted?</t>
  </si>
  <si>
    <t>Cause of Business Denial by SEC/CFTC [Yes/No]</t>
  </si>
  <si>
    <t>Indicates whether the adviser or any advisory affiliate has been a cause of an investment-related business having its authorization to do business denied, suspended, revoked, or restricted by the SEC or CFTC.</t>
  </si>
  <si>
    <t>11.C(4)</t>
  </si>
  <si>
    <t>entered an order against you or any advisory affiliate in connection with investment-related activity?</t>
  </si>
  <si>
    <t>SEC/CFTC Order [Yes/No]</t>
  </si>
  <si>
    <t>Indicates whether the SEC or CFTC has entered an order against the adviser or any advisory affiliate in connection with investment-related activity.</t>
  </si>
  <si>
    <t>11.C(5)</t>
  </si>
  <si>
    <t>imposed a civil money penalty on you or any advisory affiliate, or ordered you or any advisory affiliate to cease and desist from any activity?</t>
  </si>
  <si>
    <t>Civil Money Penalty/Cease and Desist by SEC/CFTC [Yes/No]</t>
  </si>
  <si>
    <t>Indicates whether the SEC or CFTC has imposed a civil money penalty or ordered a cease and desist from any activity on the adviser or any advisory affiliate.</t>
  </si>
  <si>
    <t>11.D</t>
  </si>
  <si>
    <t>Has any other federal regulatory agency, any state regulatory agency, or any foreign financial regulatory authority:</t>
  </si>
  <si>
    <t>11.D(1)</t>
  </si>
  <si>
    <t>ever found you or any advisory affiliate to have made a false statement or omission, or been dishonest, unfair, or unethical?</t>
  </si>
  <si>
    <t>Found False Statement/Omission by Other Regulators [Yes/No]</t>
  </si>
  <si>
    <t>Indicates whether any other federal regulatory agency, state regulatory agency, or foreign financial regulatory authority has found the adviser or any advisory affiliate to have made a false statement or omission, or been dishonest, unfair, or unethical.</t>
  </si>
  <si>
    <t>11.D(2)</t>
  </si>
  <si>
    <t>ever found you or any advisory affiliate to have been involved in a violation of investment-related regulations or statutes?</t>
  </si>
  <si>
    <t>Violation of Other Regulators' Regulations [Yes/No]</t>
  </si>
  <si>
    <t>Indicates whether the adviser or any advisory affiliate has been found to be involved in a violation of investment-related regulations or statutes by other regulators.</t>
  </si>
  <si>
    <t>11.D(3)</t>
  </si>
  <si>
    <t>ever found you or any advisory affiliate to have been a cause of an investment-related business having its authorization to do business denied, suspended, revoked, or restricted?</t>
  </si>
  <si>
    <t>Cause of Business Denial by Other Regulators [Yes/No]</t>
  </si>
  <si>
    <t>Indicates whether the adviser or any advisory affiliate has been a cause of an investment-related business having its authorization to do business denied, suspended, revoked, or restricted by other regulators.</t>
  </si>
  <si>
    <t>11.D(4)</t>
  </si>
  <si>
    <t>in the past ten years, entered an order against you or any advisory affiliate in connection with an investment-related activity?</t>
  </si>
  <si>
    <t>Order by Other Regulators [Yes/No]</t>
  </si>
  <si>
    <t>Indicates whether, in the past ten years, any other regulator has entered an order against the adviser or any advisory affiliate in connection with an investment-related activity.</t>
  </si>
  <si>
    <t>11.D(5)</t>
  </si>
  <si>
    <t>ever denied, suspended, or revoked your or any advisory affiliate's registration or license, or otherwise prevented you or any advisory affiliate, by order, from associating with an investment-related business or restricted your or any advisory affiliate's activity?</t>
  </si>
  <si>
    <t>Registration Denial/Suspension by Other Regulators [Yes/No]</t>
  </si>
  <si>
    <t>Indicates whether any other regulator has denied, suspended, or revoked the adviser's or any advisory affiliate's registration or license, or otherwise prevented them from associating with an investment-related business or restricted their activity.</t>
  </si>
  <si>
    <t>11.E</t>
  </si>
  <si>
    <t>Has any self-regulatory organization or commodities exchange ever:</t>
  </si>
  <si>
    <t>11.E(1)</t>
  </si>
  <si>
    <t>Found False Statement/Omission by SRO/Exchange [Yes/No]</t>
  </si>
  <si>
    <t>Indicates whether any self-regulatory organization or commodities exchange has found the adviser or any advisory affiliate to have made a false statement or omission.</t>
  </si>
  <si>
    <t>11.E(2)</t>
  </si>
  <si>
    <t>found you or any advisory affiliate to have been involved in a violation of its rules (other than a violation designated as a 'minor rule violation' under a plan approved by the SEC)?</t>
  </si>
  <si>
    <t>Violation of SRO/Exchange Rules [Yes/No]</t>
  </si>
  <si>
    <t>Indicates whether the adviser or any advisory affiliate has been found to be involved in a violation of rules by a self-regulatory organization or commodities exchange.</t>
  </si>
  <si>
    <t>11.E(3)</t>
  </si>
  <si>
    <t>found you or any advisory affiliate to have been the cause of an investment-related business having its authorization to do business denied, suspended, revoked, or restricted?</t>
  </si>
  <si>
    <t>Cause of Business Denial by SRO/Exchange [Yes/No]</t>
  </si>
  <si>
    <t>Indicates whether the adviser or any advisory affiliate has been the cause of an investment-related business having its authorization to do business denied, suspended, revoked, or restricted by an SRO/commodities exchange.</t>
  </si>
  <si>
    <t>11.E(4)</t>
  </si>
  <si>
    <t>disciplined you or any advisory affiliate by expelling or suspending you or the advisory affiliate from membership, barring or suspending you or the advisory affiliate from association with other members, or otherwise restricting your or the advisory affiliate's activities?</t>
  </si>
  <si>
    <t>Discipline by SRO/Exchange [Yes/No]</t>
  </si>
  <si>
    <t>Indicates whether any self-regulatory organization or commodities exchange has disciplined the adviser or any advisory affiliate by expelling, suspending, barring association, or otherwise restricting activities.</t>
  </si>
  <si>
    <t>11.F</t>
  </si>
  <si>
    <t>Has an authorization to act as an attorney, accountant, or federal contractor granted to you or any advisory affiliate ever been revoked or suspended?</t>
  </si>
  <si>
    <t>Revocation/Suspension of Authorizations [Yes/No]</t>
  </si>
  <si>
    <t>Indicates whether an authorization to act as an attorney, accountant, or federal contractor granted to the adviser or any advisory affiliate has ever been revoked or suspended.</t>
  </si>
  <si>
    <t>11.G</t>
  </si>
  <si>
    <t>Are you or any advisory affiliate now the subject of any regulatory proceeding that could result in a 'yes' answer to any part of Item 11.C., 11.D., or 11.E.?</t>
  </si>
  <si>
    <t>Ongoing Regulatory Proceeding [Yes/No]</t>
  </si>
  <si>
    <t>Indicates whether the adviser or any advisory affiliate is currently the subject of any regulatory proceeding that could result in a 'yes' answer to any part of Items 11.C., 11.D., or 11.E.</t>
  </si>
  <si>
    <t>11.H</t>
  </si>
  <si>
    <t>Disciplinary History</t>
  </si>
  <si>
    <t>For 'yes' answers to the following questions, complete a Civil Judicial Action DRP:</t>
  </si>
  <si>
    <t>11.H(1)(a)</t>
  </si>
  <si>
    <t>(a) "Has any domestic or foreign court: in the past ten years enjoined you or any advisory affiliate in connection with any investment-related activity?"</t>
  </si>
  <si>
    <t>Civil Injunction in Last 10 Years [Yes/No]</t>
  </si>
  <si>
    <t>Indicates whether any domestic or foreign court has enjoined the adviser or any advisory affiliate in connection with any investment-related activity in the past ten years.</t>
  </si>
  <si>
    <t>11.H(1)(b)</t>
  </si>
  <si>
    <t>ever found that you or any advisory affiliate were involved in a violation of investment-related statutes or regulations?</t>
  </si>
  <si>
    <t>Found Violation of Investment-Related Statutes/Regulations [Yes/No]</t>
  </si>
  <si>
    <t>Indicates whether any domestic or foreign court has found the adviser or any advisory affiliate was involved in a violation of investment-related statutes or regulations.</t>
  </si>
  <si>
    <t>11.H(1)(c)</t>
  </si>
  <si>
    <t>ever dismissed, pursuant to a settlement agreement, an investment-related civil action brought against you or any advisory affiliate by a state or foreign financial regulatory authority?</t>
  </si>
  <si>
    <t>Settlement Dismissal [Yes/No]</t>
  </si>
  <si>
    <t>Indicates whether any domestic or foreign court has dismissed, pursuant to a settlement agreement, an investment-related civil action against the adviser or any advisory affiliate.</t>
  </si>
  <si>
    <t>11.H(2)</t>
  </si>
  <si>
    <t>Are you or any advisory affiliate now the subject of any civil proceeding that could result in a 'yes' answer to any part of Item 11.H.(1)?</t>
  </si>
  <si>
    <t>Ongoing Civil Proceeding [Yes/No]</t>
  </si>
  <si>
    <t>Indicates whether the adviser or any advisory affiliate is now the subject of any civil proceeding that could result in a 'yes' answer to any part of Item 11.H.(1).</t>
  </si>
  <si>
    <t>The SEC is required by the Regulatory Flexibility Act to consider the effect of its regulations on small entities. In order to do this, we need to determine whether you meet the definition of 'small business' or 'small organization' under rule 0-7.</t>
  </si>
  <si>
    <t>Regulation Flexibility Act Compliance [Yes/No]</t>
  </si>
  <si>
    <t>Indicates whether the adviser needs to provide information to determine compliance with the Regulatory Flexibility Act.</t>
  </si>
  <si>
    <t>12.Detail1</t>
  </si>
  <si>
    <t>Answer this Item 12 only if you are registered or registering with the SEC and you indicated in response to Item 5.F.(2)(c) that you have regulatory assets under management of less than $25 million. You are not required to answer this Item 12 if you are filing for initial registration as a state adviser, amending a current state registration, or switching from SEC to state registration.</t>
  </si>
  <si>
    <t>Answer Item 12 Requirement [Yes/No]</t>
  </si>
  <si>
    <t>Indicates whether the adviser is required to answer Item 12 based on the criteria specified.</t>
  </si>
  <si>
    <t>12.Definition1</t>
  </si>
  <si>
    <t>Additional Information</t>
  </si>
  <si>
    <t>For purposes of this Item 12 only: 'Total Assets refers to the total assets of a firm, rather than the assets managed on behalf of clients. In determining your or another person's total assets, you may use the total assets shown on a current balance sheet (but use total assets reported on a consolidated balance sheet with subsidiaries included, if that amount is larger).'</t>
  </si>
  <si>
    <t>Total Assets Definition</t>
  </si>
  <si>
    <t>Definition of total assets for the purpose of responding to Item 12.</t>
  </si>
  <si>
    <t>12.Definition2</t>
  </si>
  <si>
    <t>'Control means the power to direct or cause the direction of the management or policies of a person, whether through ownership of securities, by contract, or otherwise. Any person that directly or indirectly has the right to vote 25 percent or more of the voting securities, or is entitled to 25 percent or more of the profits, of another person is presumed to control the other person.'</t>
  </si>
  <si>
    <t>Control Definition</t>
  </si>
  <si>
    <t>Definition of control for the purpose of responding to Item 12.</t>
  </si>
  <si>
    <t>12.A</t>
  </si>
  <si>
    <t>Did you have total assets of $5 million or more on the last day of your most recent fiscal year? (Yes/No)</t>
  </si>
  <si>
    <t>Total Assets ≥ $5 Million [Yes/No]</t>
  </si>
  <si>
    <t>Indicates whether the adviser had total assets of $5 million or more on the last day of the most recent fiscal year.</t>
  </si>
  <si>
    <t>12.A.Detail</t>
  </si>
  <si>
    <t>Who Must File</t>
  </si>
  <si>
    <t>If 'yes,' you do not need to answer Items 12.B. and 12.C.</t>
  </si>
  <si>
    <t>Skip Items 12.B. and 12.C. [Yes/No]</t>
  </si>
  <si>
    <t>Indicates that no response is needed for Items 12.B. and 12.C. if Item 12.A is answered 'yes.'</t>
  </si>
  <si>
    <t>12.B(1)</t>
  </si>
  <si>
    <t>Do you: control another investment adviser that had regulatory assets under management (calculated in response to Item 5.F.(2)(c) of Form ADV) of $25 million or more on the last day of its most recent fiscal year?</t>
  </si>
  <si>
    <t>Control Investment Adviser with ≥$25M RAUM [Yes/No]</t>
  </si>
  <si>
    <t>Indicates whether the adviser controls another investment adviser with regulatory assets under management of $25 million or more on the last day of the most recent fiscal year.</t>
  </si>
  <si>
    <t>12.B(2)</t>
  </si>
  <si>
    <t>Do you: control another person (other than a natural person) that had total assets of $5 million or more on the last day of its most recent fiscal year?</t>
  </si>
  <si>
    <t>Control Entity with ≥$5M Total Assets [Yes/No]</t>
  </si>
  <si>
    <t>Indicates whether the adviser controls another entity (other than a natural person) that had total assets of $5 million or more on the last day of its most recent fiscal year.</t>
  </si>
  <si>
    <t>12.C(1)</t>
  </si>
  <si>
    <t>Are you: controlled by or under common control with another investment adviser that had regulatory assets under management (calculated in response to Item 5.F.(2)(c) of Form ADV) of $25 million or more on the last day of its most recent fiscal year?</t>
  </si>
  <si>
    <t>Controlled by IA with ≥$25M RAUM [Yes/No]</t>
  </si>
  <si>
    <t>Indicates whether the adviser is controlled by or under common control with another investment adviser that had regulatory assets under management of $25 million or more on the last day of its most recent fiscal year.</t>
  </si>
  <si>
    <t>12.C(2)</t>
  </si>
  <si>
    <t>Are you: controlled by or under common control with another person (other than a natural person) that had total assets of $5 million or more on the last day of its most recent fiscal year?</t>
  </si>
  <si>
    <t>Controlled by Entity with ≥$5M Total Assets [Yes/No]</t>
  </si>
  <si>
    <t>Indicates whether the adviser is controlled by or under common control with another entity (other than a natural person) that had total assets of $5 million or more on the last day of its most recent fiscal year.</t>
  </si>
  <si>
    <t>i</t>
  </si>
  <si>
    <t>(Name of Issuer)</t>
  </si>
  <si>
    <t>Name of the issuer</t>
  </si>
  <si>
    <t>issuer_name</t>
  </si>
  <si>
    <t>ii</t>
  </si>
  <si>
    <t>When Form Must be Filed</t>
  </si>
  <si>
    <t>(Title of Class of Securities)</t>
  </si>
  <si>
    <t>Class of Securities</t>
  </si>
  <si>
    <t>Title of the class of securities</t>
  </si>
  <si>
    <t>class_securities_title</t>
  </si>
  <si>
    <t>iii</t>
  </si>
  <si>
    <t>(CUSIP Number)</t>
  </si>
  <si>
    <t>CUSIP Number</t>
  </si>
  <si>
    <t>CUSIP number of the securities</t>
  </si>
  <si>
    <t>cusip</t>
  </si>
  <si>
    <t>iv</t>
  </si>
  <si>
    <t>(Date of Event Which Requires Filing ...)</t>
  </si>
  <si>
    <t>Event Date</t>
  </si>
  <si>
    <t>Date of the event requiring the filing</t>
  </si>
  <si>
    <t>event_date</t>
  </si>
  <si>
    <t>v</t>
  </si>
  <si>
    <t>Where Form Must be Filed</t>
  </si>
  <si>
    <t>Check the appropriate box to designate …
[ ] Rule 13d-1(b)
[ ] Rule 13d-1(c)
[ ] Rule 13d-1(d)</t>
  </si>
  <si>
    <t>Rule Designation</t>
  </si>
  <si>
    <t>Choice of rule pursuant to which schedule is filed:</t>
  </si>
  <si>
    <t>rule_designation</t>
  </si>
  <si>
    <t>II</t>
  </si>
  <si>
    <t>Reporting Persons</t>
  </si>
  <si>
    <t>Names of Reporting Persons</t>
  </si>
  <si>
    <t>Reporting Person Name</t>
  </si>
  <si>
    <t>Name(s) of the reporting persons</t>
  </si>
  <si>
    <t>reporting_person_name</t>
  </si>
  <si>
    <t>2.a</t>
  </si>
  <si>
    <t>Class of Securities Reported</t>
  </si>
  <si>
    <t>Check the Appropriate Box …</t>
  </si>
  <si>
    <t>Group Membership Option (a)</t>
  </si>
  <si>
    <t>Membership group option (a)</t>
  </si>
  <si>
    <t>membership_group</t>
  </si>
  <si>
    <t>2.b</t>
  </si>
  <si>
    <t>Check the Appropriate Box ...</t>
  </si>
  <si>
    <t>Group Membership Option (b)</t>
  </si>
  <si>
    <t>Membership group option (b)</t>
  </si>
  <si>
    <t>SEC Use Only</t>
  </si>
  <si>
    <t>Reserved for SEC use</t>
  </si>
  <si>
    <t>always null</t>
  </si>
  <si>
    <t>SCHEDULE 13G</t>
  </si>
  <si>
    <t>Citizenship or Place of ...</t>
  </si>
  <si>
    <t>Citizenship</t>
  </si>
  <si>
    <t>Citizenship or place of organization</t>
  </si>
  <si>
    <t>organization_citizenship</t>
  </si>
  <si>
    <t>Holdings Required to be Reported</t>
  </si>
  <si>
    <t>Sole Voting Power</t>
  </si>
  <si>
    <t>Number of shares with sole voting power</t>
  </si>
  <si>
    <t>sole_voting_power_shares</t>
  </si>
  <si>
    <t>Shared Voting Power</t>
  </si>
  <si>
    <t>Number of shares with shared voting power</t>
  </si>
  <si>
    <t>shared_voting_power_shares</t>
  </si>
  <si>
    <t>Sole Dispositive Power</t>
  </si>
  <si>
    <t>Number of shares with sole dispositive power</t>
  </si>
  <si>
    <t>sole_dispositive_power_shares</t>
  </si>
  <si>
    <t>Shared Dispositive Power</t>
  </si>
  <si>
    <t>Number of shares with shared dispositive power</t>
  </si>
  <si>
    <t>shared_dispositive_power_shares</t>
  </si>
  <si>
    <t>Aggregate Amount Beneficially ...</t>
  </si>
  <si>
    <t>Aggregate Amount Owned</t>
  </si>
  <si>
    <t>Aggregate amount beneficially owned</t>
  </si>
  <si>
    <t>beneficial_owned_aggregate</t>
  </si>
  <si>
    <t>Check if the Aggregate Amount ...</t>
  </si>
  <si>
    <t>Exclusion Check</t>
  </si>
  <si>
    <t>Exclusion indicator for certain shares</t>
  </si>
  <si>
    <t>exclusion_check</t>
  </si>
  <si>
    <t>Percent of Class Represented ...</t>
  </si>
  <si>
    <t>Percent of Class</t>
  </si>
  <si>
    <t>Percentage of class represented by amount owned</t>
  </si>
  <si>
    <t>percent_of_class</t>
  </si>
  <si>
    <t>Type of Reporting Person</t>
  </si>
  <si>
    <t>Reporting Person Type</t>
  </si>
  <si>
    <t>Type of reporting person</t>
  </si>
  <si>
    <t>1.(a)</t>
  </si>
  <si>
    <t>ITEM 1. (a) Name of Issuer</t>
  </si>
  <si>
    <t>1.(b)</t>
  </si>
  <si>
    <t>ITEM 1. (b) Address of Issuer's Principal Executive Offices</t>
  </si>
  <si>
    <t>Address of the issuer's principal executive offices</t>
  </si>
  <si>
    <t>issuer_address</t>
  </si>
  <si>
    <t>2.(a)</t>
  </si>
  <si>
    <t>ITEM 2. (a) Name of Person Filing</t>
  </si>
  <si>
    <t>Filer Name</t>
  </si>
  <si>
    <t>Name of the person filing</t>
  </si>
  <si>
    <t>filer_name</t>
  </si>
  <si>
    <t>2.(b)</t>
  </si>
  <si>
    <t>ITEM 2. (b) Address of Principal Business Office, or if None, Residence</t>
  </si>
  <si>
    <t>Filer Address</t>
  </si>
  <si>
    <t>Address of the principal business office or residence</t>
  </si>
  <si>
    <t>filer_address</t>
  </si>
  <si>
    <t>2.(c)</t>
  </si>
  <si>
    <t>ITEM 2. (c) Citizenship</t>
  </si>
  <si>
    <t>Filer Citizenship</t>
  </si>
  <si>
    <t>Citizenship of the filer</t>
  </si>
  <si>
    <t>2.(d)</t>
  </si>
  <si>
    <t>ITEM 2. (d) Title of Class of Securities</t>
  </si>
  <si>
    <t>2.(e)</t>
  </si>
  <si>
    <t>ITEM 2. (e) CUSIP Number</t>
  </si>
  <si>
    <t>ITEM 3.    IF THIS STATEMENT IS FILED PURSUANT TO SS.240.13d-1(b) OR 240.13d-2(b) OR (c), CHECK
WHETHER THE PERSON FILING IS A:
(a) [_] Broker or dealer registered under Section 15 of the Act (15 U.S.C. 78o).
(b) [_] Bank as defined in Section 3(a)(6) of the Act (15 U.S.C. 78c).
(c) [_] Insurance company as defined in Section 3(a)(19) of the Act (15 U.S.C. 78c).
(d) [_] Investment company registered under Section 8 of the Investment Company Act of 1940 (15 U.S.C. 80a-8).
(e) [_] An investment adviser in accordance with ss.240.13d-1(b)(1)(ii)(E);
(f) [_] An employee benefit plan or endowment fund in accordance with ss.240.13d-1(b)(1)(ii)(F);
(g) [_] A parent holding company or control person in accordance with ss.240.13d-1(b)(1)(ii)(G);
(h) [_] A savings associations as defined in Section 3(b) of the Federal Deposit Insurance Act (12 U.S.C. 1813);
(i) [_] A church plan that is excluded from the definition of an investment company under section 3(c)(14) of the Investment Company Act of 1940 (15 U.S.C. 80a-3);
(j) [_] Group, in accordance with ss.240.13d-1(b)(1)(ii)(J).</t>
  </si>
  <si>
    <t>Choice</t>
  </si>
  <si>
    <t>Filing Status</t>
  </si>
  <si>
    <t>Status of the person filing</t>
  </si>
  <si>
    <t>3.a</t>
  </si>
  <si>
    <t>Broker or dealer registered under Section 15 of the Act (15 U.S.C. 78o)</t>
  </si>
  <si>
    <t>Broker</t>
  </si>
  <si>
    <t>Filing status - Broker</t>
  </si>
  <si>
    <t>3.b</t>
  </si>
  <si>
    <t>Amendments</t>
  </si>
  <si>
    <t>Bank as defined in Section 3(a)(6) of the Act (15 U.S.C. 78c)</t>
  </si>
  <si>
    <t>Bank</t>
  </si>
  <si>
    <t>Filing status - Bank</t>
  </si>
  <si>
    <t>3.c</t>
  </si>
  <si>
    <t>Insurance company as defined in Section 3(a)(19) of the Act (15 U.S.C...)</t>
  </si>
  <si>
    <t>Insurance Company</t>
  </si>
  <si>
    <t>Filing status - Insurance company</t>
  </si>
  <si>
    <t>3.d</t>
  </si>
  <si>
    <t>Investment company registered under Section 8 of the Investment ...</t>
  </si>
  <si>
    <t>Investment Company</t>
  </si>
  <si>
    <t>Filing status - Investment company</t>
  </si>
  <si>
    <t>3.e</t>
  </si>
  <si>
    <t>When Form Must Be Filed</t>
  </si>
  <si>
    <t>An investment adviser in accordance with ss.240.13d-1(b)(1)(ii)(E)</t>
  </si>
  <si>
    <t>Investment Adviser</t>
  </si>
  <si>
    <t>Filing status - Investment adviser</t>
  </si>
  <si>
    <t>3.f</t>
  </si>
  <si>
    <t>An employee benefit plan or endowment fund in accordance with ...</t>
  </si>
  <si>
    <t>Employee Benefit Plan</t>
  </si>
  <si>
    <t>Filing status - Employee benefit plan</t>
  </si>
  <si>
    <t>3.g</t>
  </si>
  <si>
    <t>A parent holding company or control person in accordance with ...</t>
  </si>
  <si>
    <t>Parent Holding Company</t>
  </si>
  <si>
    <t>Filing status - Parent holding company</t>
  </si>
  <si>
    <t>3.h</t>
  </si>
  <si>
    <t>A savings associations as defined in Section 3(b) of the Federal ...</t>
  </si>
  <si>
    <t>Savings Association</t>
  </si>
  <si>
    <t>Filing status - Savings associations</t>
  </si>
  <si>
    <t>3.i</t>
  </si>
  <si>
    <t>A church plan that is excluded from the definition of ...</t>
  </si>
  <si>
    <t>Church Plan</t>
  </si>
  <si>
    <t>Filing status - Church plan</t>
  </si>
  <si>
    <t>3.j</t>
  </si>
  <si>
    <t>Group, in accordance with ss.240.13d-1(b)(1)(ii)(J)</t>
  </si>
  <si>
    <t>Group</t>
  </si>
  <si>
    <t>Filing status - Group</t>
  </si>
  <si>
    <t>ITEM 4. OWNERSHIP.</t>
  </si>
  <si>
    <t>Ownership Statement</t>
  </si>
  <si>
    <t>Ownership information for the class of securities</t>
  </si>
  <si>
    <t>4.(a)</t>
  </si>
  <si>
    <t>(a) Amount beneficially owned:</t>
  </si>
  <si>
    <t>Beneficial Ownership Amount</t>
  </si>
  <si>
    <t>Amount beneficially owned</t>
  </si>
  <si>
    <t>4.(b)</t>
  </si>
  <si>
    <t>(b) Percent of class:</t>
  </si>
  <si>
    <t>Percentage of class</t>
  </si>
  <si>
    <t>4.(c)</t>
  </si>
  <si>
    <t>(c) Number of shares as to which such person has:</t>
  </si>
  <si>
    <t>Shares Ownership</t>
  </si>
  <si>
    <t>Number of shares for sole/shared voting/dispositive</t>
  </si>
  <si>
    <t>Item 4.(c).(i)</t>
  </si>
  <si>
    <t>Transactions and Holdings Required To Be Reported</t>
  </si>
  <si>
    <t>(c).(i) Sole power to vote or to direct the vote</t>
  </si>
  <si>
    <t>Sole power to vote or to direct the vote</t>
  </si>
  <si>
    <t>Item 4.(c).(ii)</t>
  </si>
  <si>
    <t>(c).(ii) Shared power to vote or to direct the vote</t>
  </si>
  <si>
    <t>Shared power to vote or to direct the vote</t>
  </si>
  <si>
    <t>Item 4.(c).(iii)</t>
  </si>
  <si>
    <t>(c).(iii) Sole power to dispose or to direct the disposition of</t>
  </si>
  <si>
    <t>Ownership of five percent or less of a class</t>
  </si>
  <si>
    <t>If this statement is being filed to report the fact that as of the date hereof the reporting person has ceased to be the beneficial owner
of more than five percent of the class of securities, check the following [ ].
INSTRUCTION: Dissolution of a group requires a response to this item.</t>
  </si>
  <si>
    <t>Beneficial Owner</t>
  </si>
  <si>
    <t>Check box if the reporting person ceases to be the beneficial owner of more than 5% of the class of securities</t>
  </si>
  <si>
    <t>Ownership of more than five percent on behalf of another person</t>
  </si>
  <si>
    <t>If any other person is known to have the right to receive or the power to direct the receipt of dividends from, or the proceeds from
the sale of, such securities, a statement to that effect should be included in response to this item and, if such interest relates to more
than five percent of the class, such person should be identified. A listing of the shareholders of an investment company registered
under the Investment Company Act of 1940 or the beneficiaries of employee benefit plan, pension fund or endowment fund is not
required.</t>
  </si>
  <si>
    <t>TEXT</t>
  </si>
  <si>
    <t>Beneficiary Information</t>
  </si>
  <si>
    <t>If another person is known to have the right to receive or the power to direct the receipt of dividends or sales proceeds</t>
  </si>
  <si>
    <t>Identity and classification of the subsidiary which acquired the security being reported on by the parent holding company</t>
  </si>
  <si>
    <t>If a parent holding company or Control person has filed this schedule, pursuant to Rule 13d-1(b)(1)(ii)(G), so indicate under Item
3(g) and attach an exhibit stating the identity and the Item 3 classification of the relevant subsidiary. If a parent holding company
or control person has filed this schedule pursuant to Rule 13d-1(c) or Rule 13d-1(d), attach an exhibit stating the identification of
the relevant subsidiary.</t>
  </si>
  <si>
    <t>Subsidiary Information</t>
  </si>
  <si>
    <t>Identity and classification of members of the group, if applicable</t>
  </si>
  <si>
    <t>If a group has filed this schedule pursuant to ss.240.13d-1(b)(1)(ii)(J), so indicate under Item 3(j) and attach an exhibit stating the
identity and Item 3 classification of each member of the group. If a group has filed this schedule pursuant to ss.240.13d-1(c) or
ss.240.13d-1(d), attach an exhibit stating the identity of each member of the group.</t>
  </si>
  <si>
    <t>Group Identification</t>
  </si>
  <si>
    <t>Group Dissolution Notice</t>
  </si>
  <si>
    <t>Notice of dissolution of a group may be furnished as an exhibit stating the date of the dissolution and that all further filings with
respect to transactions in the security reported on will be filed, if required, by members of the group, in their individual capacity.
See Item 5.</t>
  </si>
  <si>
    <t>Group Dissolution</t>
  </si>
  <si>
    <t>Notice of dissolution of a group, including date and future filing information</t>
  </si>
  <si>
    <t>Certification</t>
  </si>
  <si>
    <t>10.(a)</t>
  </si>
  <si>
    <t>(a) The following certification shall be included if the statement is filed pursuant to Rule 13d-1(b):
"By signing below I certify that, to the best of my knowledge and belief, the securities referred to above were
acquired and are held in the ordinary course of business and were not acquired and not held for the purpose of or
with the effect of changing or influencing the control of the issuer of the securities and were not acquired and are
not held in connection with or as a participant in any transaction having such purpose or effect."
(b) The following certification shall be included if the statement is filed pursuant to Rule 13d-1(c):
"By signing below I certify that, to the best of my knowledge and belief, the securities referred to above were not
acquired and are not held for the purpose of or with the effect of changing or influencing the control of the issuer
of the securities and were not acquired and are not held in connection with or as a participant in any transaction
having such purpose or effect."</t>
  </si>
  <si>
    <t>SIGNATURE</t>
  </si>
  <si>
    <t>Rule 13d-1(b) Certification</t>
  </si>
  <si>
    <t>Certification for statements filed pursuant to Rule 13d-1(b)</t>
  </si>
  <si>
    <t>Have you responded to each item and provided responses in the same order as the items appear?</t>
  </si>
  <si>
    <t>Relationship Summary Content Requirements</t>
  </si>
  <si>
    <t>Must provide specific information in a fixed format for the relationship summary</t>
  </si>
  <si>
    <t>Did you include only the required or permitted disclosures in your relationship summary?</t>
  </si>
  <si>
    <t>Limitation on Disclosures</t>
  </si>
  <si>
    <t>Disclosure should be required or permitted only</t>
  </si>
  <si>
    <t>Disclosure_Limitations</t>
  </si>
  <si>
    <t>Can you provide a copy of the relationship summary upon request without charge?</t>
  </si>
  <si>
    <t>Free Copy Availability</t>
  </si>
  <si>
    <t>Summary must be available upon request without charge</t>
  </si>
  <si>
    <t>Have you written your relationship summary in plain English?</t>
  </si>
  <si>
    <t>Disclosure Clarity</t>
  </si>
  <si>
    <t>Ensure information is clear and easily understood by retail investors</t>
  </si>
  <si>
    <t>Is all the information in your relationship summary true and complete?</t>
  </si>
  <si>
    <t>Truthful Disclosure</t>
  </si>
  <si>
    <t>All information must be true and not omit material facts</t>
  </si>
  <si>
    <t>Truthful_Complete_Disclosure</t>
  </si>
  <si>
    <t>Price of Securities</t>
  </si>
  <si>
    <t>Are your responses factual and do they provide balanced descriptions?</t>
  </si>
  <si>
    <t>Factual Disclosure</t>
  </si>
  <si>
    <t>Responses must be factual and provide balanced descriptions</t>
  </si>
  <si>
    <t>Factual_Balanced_Descriptions</t>
  </si>
  <si>
    <t>Are you using charts, graphs, tables, and other graphics in your summary where appropriate?</t>
  </si>
  <si>
    <t>Graphics Usage</t>
  </si>
  <si>
    <t>Use charts, graphs, tables, and other graphics</t>
  </si>
  <si>
    <t>Have you provided means of facilitating access to any additional information referenced in the relationship summary?</t>
  </si>
  <si>
    <t>Information Access Facilitation</t>
  </si>
  <si>
    <t>Ensure referenced information in the summary is accessible online</t>
  </si>
  <si>
    <t>Is all explanatory or supplemental information included in accordance with the instructions?</t>
  </si>
  <si>
    <t>Supplemental Information Compliance</t>
  </si>
  <si>
    <t>Information must meet requirements and not overshadow required disclosures</t>
  </si>
  <si>
    <t>Compliance_with_instructions</t>
  </si>
  <si>
    <t>Form CRS</t>
  </si>
  <si>
    <t>Have you used text features to highlight conversation starters?</t>
  </si>
  <si>
    <t>Conversation Starter Formatting</t>
  </si>
  <si>
    <t>Ensure conversation starters are noticeable through text features</t>
  </si>
  <si>
    <t>For automated services, have you included a section or page on your website that answers the conversation starters?</t>
  </si>
  <si>
    <t>Automated Services Information</t>
  </si>
  <si>
    <t>Provide answers to conversation starters on your website if you offer automated services</t>
  </si>
  <si>
    <t>Automated_Services_Info</t>
  </si>
  <si>
    <t>Have you used text features to highlight additional information about services, fees, and conflicts of interest?</t>
  </si>
  <si>
    <t>Highlight Additional Information</t>
  </si>
  <si>
    <t>Use text features to make additional information more noticeable</t>
  </si>
  <si>
    <t>Highlight_Additional_Info</t>
  </si>
  <si>
    <t>Transaction Codes</t>
  </si>
  <si>
    <t>If you are a dual registrant, have you prepared a single relationship summary for both brokerage and advisory services, or two separate summaries?</t>
  </si>
  <si>
    <t>Dual Registrant Summary Options</t>
  </si>
  <si>
    <t>Dual registrants can prepare one or two separate summaries</t>
  </si>
  <si>
    <t>Dual_Registrant_Summary</t>
  </si>
  <si>
    <t>If your affiliate also provides services, have you disclosed the services you provide together?</t>
  </si>
  <si>
    <t>Affiliate Services Disclosure</t>
  </si>
  <si>
    <t>Disclose services for both you and your affiliate if applicable</t>
  </si>
  <si>
    <t>Affiliate_Services_Disclosure</t>
  </si>
  <si>
    <t>Have you acknowledged additional financial services you provide that are not related to brokerage or advisory services?</t>
  </si>
  <si>
    <t>Additional Financial Services</t>
  </si>
  <si>
    <t>Acknowledge other financial services provided if applicable</t>
  </si>
  <si>
    <t>Additional_Financial_Services</t>
  </si>
  <si>
    <t>Are you maintaining records in accordance with Adviser Act rule 204-2(a)(14)(i) or Exchange Act rule 17a-4(e)(10)?</t>
  </si>
  <si>
    <t>Record Maintenance</t>
  </si>
  <si>
    <t>Compliance with record-keeping requirements</t>
  </si>
  <si>
    <t>Records_Maintenance</t>
  </si>
  <si>
    <t>Rule 10b5-1(c) Transaction Indication</t>
  </si>
  <si>
    <t>Have you filed Form CRS electronically with IARD or Web CRD as required?</t>
  </si>
  <si>
    <t>Electronic Filing Requirement</t>
  </si>
  <si>
    <t>Filing Form CRS electronically with IARD or Web CRD as applicable</t>
  </si>
  <si>
    <t>Electronic_Filing</t>
  </si>
  <si>
    <t>Have you delivered the relationship summary to new and prospective clients as required?</t>
  </si>
  <si>
    <t>Initial Delivery to New Clients</t>
  </si>
  <si>
    <t>Deliver the relationship summary to new and prospective clients as required</t>
  </si>
  <si>
    <t>Delivery_to_New_Clients</t>
  </si>
  <si>
    <t>Have you delivered the relationship summary to your existing clients within 30 days after the first electronic filing?</t>
  </si>
  <si>
    <t>Initial Delivery to Existing Clients</t>
  </si>
  <si>
    <t>Deliver the relationship summary to existing clients upon initial filing</t>
  </si>
  <si>
    <t>Delivery_to_Existing_Clients</t>
  </si>
  <si>
    <t>Have you updated the relationship summary whenever any information becomes materially inaccurate?</t>
  </si>
  <si>
    <t>Relationship Summary Updates</t>
  </si>
  <si>
    <t>Update the summary within 30 days when information becomes materially inaccurate</t>
  </si>
  <si>
    <t>Update_Materially_Inaccurate_Info</t>
  </si>
  <si>
    <t>Have you communicated any changes in the updated relationship summary to retail investors who are existing clients or customers?</t>
  </si>
  <si>
    <t>Communicate Changes</t>
  </si>
  <si>
    <t>Communicate changes in the updated summary to existing clients within 60 days</t>
  </si>
  <si>
    <t>Have you highlighted the most recent changes in the amended relationship summary delivered to existing clients?</t>
  </si>
  <si>
    <t>Highlight Changes</t>
  </si>
  <si>
    <t>Highlight recent changes in the summary delivered to existing clients</t>
  </si>
  <si>
    <t>Highlight_Recent_Changes</t>
  </si>
  <si>
    <t>Have you delivered the most recent relationship summary to existing clients when opening a new account or providing new services?</t>
  </si>
  <si>
    <t>Delivery in Event of New Services</t>
  </si>
  <si>
    <t>Deliver the most recent summary when opening a new account or providing new services</t>
  </si>
  <si>
    <t>Summary_for_New_Services</t>
  </si>
  <si>
    <t>Have you delivered the relationship summary within 30 days upon request by the retail investor?</t>
  </si>
  <si>
    <t>Delivery on Request</t>
  </si>
  <si>
    <t>Deliver the summary within 30 days upon request by the retail investor</t>
  </si>
  <si>
    <t>Delivery_Upon_Request</t>
  </si>
  <si>
    <t>Have you posted the current version of the relationship summary on your public website?</t>
  </si>
  <si>
    <t>Relationship Summary Posting</t>
  </si>
  <si>
    <t>Posting the relationship summary prominently on the public website</t>
  </si>
  <si>
    <t>Relationship_Summary_Posting</t>
  </si>
  <si>
    <t>Have you delivered the relationship summary electronically consistent with SEC guidance on electronic delivery?</t>
  </si>
  <si>
    <t>Electronic Delivery</t>
  </si>
  <si>
    <t>Compliance with SEC guidance on electronic delivery</t>
  </si>
  <si>
    <t>Compliance_Electronic_Delivery</t>
  </si>
  <si>
    <t>If the relationship summary is delivered electronically, is it presented prominently in the electronic medium?</t>
  </si>
  <si>
    <t>Prominent Electronic Presentation</t>
  </si>
  <si>
    <t>Ensure electronic delivery is prominent and easily accessible</t>
  </si>
  <si>
    <t>Prominent_Electronic_Presentation</t>
  </si>
  <si>
    <t>Transactions and Holdings Required to be Reported</t>
  </si>
  <si>
    <t>If delivered in paper format, is the relationship summary the first among the documents?</t>
  </si>
  <si>
    <t>Paper Format Order</t>
  </si>
  <si>
    <t>Ensure the summary is the first document if delivered in paper format</t>
  </si>
  <si>
    <t>Do you have any affiliates directly or indirectly controlling or controlled by you?</t>
  </si>
  <si>
    <t>Affiliate Definition</t>
  </si>
  <si>
    <t>Defines an affiliate as any person controlling, controlled by, or under common control with you</t>
  </si>
  <si>
    <t>Affiliate</t>
  </si>
  <si>
    <t>Are your financial professionals dually licensed as both a broker-dealer and investment adviser?</t>
  </si>
  <si>
    <t>Dually Licensed Financial Professional</t>
  </si>
  <si>
    <t>Defines a financial professional who holds dual licenses</t>
  </si>
  <si>
    <t>Dual_Licensed_Professional</t>
  </si>
  <si>
    <t>Is your firm registered as both a broker-dealer and investment adviser?</t>
  </si>
  <si>
    <t>Dual Registrant</t>
  </si>
  <si>
    <t>Defines a firm that is registered both as a broker-dealer and an investment adviser</t>
  </si>
  <si>
    <t>Dual_Registrant</t>
  </si>
  <si>
    <t>Is the relationship summary prepared in accordance with regulatory requirements?</t>
  </si>
  <si>
    <t>Relationship Summary Definition</t>
  </si>
  <si>
    <t>Defines the written disclosure statement prepared for retail investors</t>
  </si>
  <si>
    <t>Relationship_Summary</t>
  </si>
  <si>
    <t>Are your services provided primarily for personal, family, or household purposes?</t>
  </si>
  <si>
    <t>Retail Investor Definition</t>
  </si>
  <si>
    <t>Defines a retail investor as a natural person or their legal representative seeking services for personal, family, or household purposes</t>
  </si>
  <si>
    <t>Retail_Investor</t>
  </si>
  <si>
    <t>Item Instructions</t>
  </si>
  <si>
    <t>Have you included the introduction with your name and registration status?</t>
  </si>
  <si>
    <t>Introduction Requirements</t>
  </si>
  <si>
    <t>Include the firm’s name and registration status in the introduction</t>
  </si>
  <si>
    <t>Registration_Status</t>
  </si>
  <si>
    <t>Have you stated that free tools are available to research firms and financial professionals at Investor.gov/CRS?</t>
  </si>
  <si>
    <t>Investor Tools Statement</t>
  </si>
  <si>
    <t>Inform investors about free tools at Investor.gov/CRS</t>
  </si>
  <si>
    <t>Info_Investor_Gov_Tools</t>
  </si>
  <si>
    <t>What investment services and advice can you provide me?</t>
  </si>
  <si>
    <t>Description of Services</t>
  </si>
  <si>
    <t>Summarize the principal services, accounts, or investments offered and any material limitations</t>
  </si>
  <si>
    <t>Investment_Services_Advice</t>
  </si>
  <si>
    <t>Do you offer brokerage services, investment advisory services, or both?</t>
  </si>
  <si>
    <t>Service Offering</t>
  </si>
  <si>
    <t>State the types of services offered to retail investors</t>
  </si>
  <si>
    <t>Service_Type_Offered</t>
  </si>
  <si>
    <t>B. (i)</t>
  </si>
  <si>
    <t>Do you monitor retail investors' investments? If so, what is the frequency and what are the limitations?</t>
  </si>
  <si>
    <t>Investment Monitoring</t>
  </si>
  <si>
    <t>Explain if investments are monitored and the frequency and limitations</t>
  </si>
  <si>
    <t>Investment_Monitoring</t>
  </si>
  <si>
    <t>B. (ii)</t>
  </si>
  <si>
    <t>Do you accept discretionary authority, and if so, what are the limitations?</t>
  </si>
  <si>
    <t>Discretionary Authority</t>
  </si>
  <si>
    <t>Describe discretionary investment authority and any material limitations</t>
  </si>
  <si>
    <t>Discretionary_Authority</t>
  </si>
  <si>
    <t>B. (iii)</t>
  </si>
  <si>
    <t>Do you make available or offer advice only with respect to proprietary products, or a limited menu of products?</t>
  </si>
  <si>
    <t>Limited Offerings Disclosure</t>
  </si>
  <si>
    <t>Indicate if advice is limited to proprietary or a limited menu of products</t>
  </si>
  <si>
    <t>Proprietary_Products_Advice</t>
  </si>
  <si>
    <t>B. (iv)</t>
  </si>
  <si>
    <t>Do you have any requirements for retail investors to open or maintain an account or establish a relationship?</t>
  </si>
  <si>
    <t>Account Minimums</t>
  </si>
  <si>
    <t>Explain the requirements for opening or maintaining an account or relationship</t>
  </si>
  <si>
    <t>Account_Setup_Requirements</t>
  </si>
  <si>
    <t>Where can retail investors find more detailed information about your services?</t>
  </si>
  <si>
    <t>Additional Service Information</t>
  </si>
  <si>
    <t>Include specific references to detailed information about your services</t>
  </si>
  <si>
    <t>Info_Services</t>
  </si>
  <si>
    <t>What additional questions can a retail investor ask about your services?</t>
  </si>
  <si>
    <t>Investor Questions</t>
  </si>
  <si>
    <t>Provide sample questions for retail investors to ask</t>
  </si>
  <si>
    <t>Addl_Questions_Services</t>
  </si>
  <si>
    <t>D. (i)</t>
  </si>
  <si>
    <t>Given my financial situation, should I choose a brokerage service? Why or why not?</t>
  </si>
  <si>
    <t>Service Suitability</t>
  </si>
  <si>
    <t>Questions to help retail investors understand the suitability of brokerage services</t>
  </si>
  <si>
    <t>Suitability_Brokerage_Services</t>
  </si>
  <si>
    <t>D. (ii)</t>
  </si>
  <si>
    <t>Given my financial situation, should I choose an investment advisory service? Why or why not?</t>
  </si>
  <si>
    <t>Questions to help retail investors understand the suitability of investment advisory services</t>
  </si>
  <si>
    <t>Suitability_Advisory_Services</t>
  </si>
  <si>
    <t>D. (iii)</t>
  </si>
  <si>
    <t>Given my financial situation, should I choose an investment advisory service? Should I choose a brokerage service? Should I choose both types of services? Why or why not?</t>
  </si>
  <si>
    <t>Questions to help retail investors choose between or combine services</t>
  </si>
  <si>
    <t>Suitability_Both_Services</t>
  </si>
  <si>
    <t>D. (iv)</t>
  </si>
  <si>
    <t>How will you choose investments to recommend to me?</t>
  </si>
  <si>
    <t>Investment Recommendations</t>
  </si>
  <si>
    <t>Questions regarding how investments are recommended to retail investors</t>
  </si>
  <si>
    <t>Investment_Recommendations</t>
  </si>
  <si>
    <t>D. (v)</t>
  </si>
  <si>
    <t>What is your relevant experience, including your licenses, education, and other qualifications? What do these qualifications mean?</t>
  </si>
  <si>
    <t>Advisor Qualifications</t>
  </si>
  <si>
    <t>Questions about the qualifications of the financial professional</t>
  </si>
  <si>
    <t>Professional_Qualifications</t>
  </si>
  <si>
    <t>What fees will I pay?</t>
  </si>
  <si>
    <t>Fees and Costs</t>
  </si>
  <si>
    <t>Summarize the principal fees and costs that retail investors will incur</t>
  </si>
  <si>
    <t>Fees_Principal_Costs</t>
  </si>
  <si>
    <t>A. (i)</t>
  </si>
  <si>
    <t>How frequently are your fees assessed and what conflicts of interest do they create?</t>
  </si>
  <si>
    <t>Conflicts from Fees</t>
  </si>
  <si>
    <t>Describe the frequency of fees and related conflicts of interest</t>
  </si>
  <si>
    <t>Conflicts_Fee_Frequency</t>
  </si>
  <si>
    <t>A. (ii)</t>
  </si>
  <si>
    <t>What other fees and costs will I pay in addition to the principal fees and costs?</t>
  </si>
  <si>
    <t>Other Fees and Costs</t>
  </si>
  <si>
    <t>Detail other fees and costs related to your services</t>
  </si>
  <si>
    <t>Other_Fees_Costs</t>
  </si>
  <si>
    <t>A. (iii)</t>
  </si>
  <si>
    <t>Where can I find more detailed information about your fees and costs?</t>
  </si>
  <si>
    <t>Detailed Fees Information</t>
  </si>
  <si>
    <t>Include specific references to detailed information about your fees and costs</t>
  </si>
  <si>
    <t>Info_Fees_Costs</t>
  </si>
  <si>
    <t>A. (iv)</t>
  </si>
  <si>
    <t>Help me understand how these fees and costs might affect my investments. If I give you $10,000 to invest, how much will go to fees and costs, and how much will be invested for me?</t>
  </si>
  <si>
    <t>Fee Impact Questions</t>
  </si>
  <si>
    <t>Questions to understand the impact of fees and costs on investments</t>
  </si>
  <si>
    <t>Impact_of_Fees</t>
  </si>
  <si>
    <t>What are your legal obligations to me and how does your firm make money? What conflicts of interest do you have?</t>
  </si>
  <si>
    <t>Legal Obligations &amp; Conflicts</t>
  </si>
  <si>
    <t>Explain legal obligations and conflicts of interest related to how the firm makes money</t>
  </si>
  <si>
    <t>Legal_Obligations_Conflicts</t>
  </si>
  <si>
    <t>Do you have to act in my best interest and not put your interest ahead of mine when providing recommendations or acting as my investment adviser?</t>
  </si>
  <si>
    <t>Best Interest Standard</t>
  </si>
  <si>
    <t>Legal obligation to act in the best interest of the client</t>
  </si>
  <si>
    <t>Best_Interest_Standard</t>
  </si>
  <si>
    <t>How does your firm make money and what conflicts of interest are created?</t>
  </si>
  <si>
    <t>Money Making &amp; Conflicts</t>
  </si>
  <si>
    <t>Provide examples of ways the firm makes money and associated conflicts of interest</t>
  </si>
  <si>
    <t>Make_Money_Conflicts</t>
  </si>
  <si>
    <t>B. (ii) (a)</t>
  </si>
  <si>
    <t>How do you make money through proprietary products?</t>
  </si>
  <si>
    <t>Proprietary Products</t>
  </si>
  <si>
    <t>Summarize how the firm makes money from proprietary products</t>
  </si>
  <si>
    <t>Proprietary_Products_Revenue</t>
  </si>
  <si>
    <t>B. (ii) (b)</t>
  </si>
  <si>
    <t>How do you make money through third-party payments?</t>
  </si>
  <si>
    <t>Third-Party Payments</t>
  </si>
  <si>
    <t>Summarize how the firm makes money from third-party payments</t>
  </si>
  <si>
    <t>Third_Party_Payments</t>
  </si>
  <si>
    <t>B. (ii) (c)</t>
  </si>
  <si>
    <t>How do you make money through revenue sharing?</t>
  </si>
  <si>
    <t>Revenue Sharing</t>
  </si>
  <si>
    <t>Summarize how the firm makes money from revenue sharing</t>
  </si>
  <si>
    <t>Revenue_Sharing</t>
  </si>
  <si>
    <t>B. (ii) (d)</t>
  </si>
  <si>
    <t>Fiscal Year</t>
  </si>
  <si>
    <t>How do you make money through principal trading?</t>
  </si>
  <si>
    <t>Principal Trading</t>
  </si>
  <si>
    <t>Summarize how the firm makes money from principal trading</t>
  </si>
  <si>
    <t>Principal_Trading</t>
  </si>
  <si>
    <t>Late Filing Checkbox</t>
  </si>
  <si>
    <t>How might your conflicts of interest affect me, and how will you address them?</t>
  </si>
  <si>
    <t>Conflict Impact Questions</t>
  </si>
  <si>
    <t>Questions for a retail investor to understand the impact of conflicts of interest</t>
  </si>
  <si>
    <t>Impact_of_Conflicts</t>
  </si>
  <si>
    <t>Final Filing Checkbox</t>
  </si>
  <si>
    <t>Where can I find more detailed information about your conflicts of interest?</t>
  </si>
  <si>
    <t>Detailed Conflicts Information</t>
  </si>
  <si>
    <t>Include specific references to more detailed information about your conflicts of interest</t>
  </si>
  <si>
    <t>Info_Conflicts_Of_Interest</t>
  </si>
  <si>
    <t>Sale Price</t>
  </si>
  <si>
    <t>How do your financial professionals make money?</t>
  </si>
  <si>
    <t>Financial Professional Compensation</t>
  </si>
  <si>
    <t>Summarize how financial professionals are compensated</t>
  </si>
  <si>
    <t>Professional_Compensation</t>
  </si>
  <si>
    <t>C. (ii)</t>
  </si>
  <si>
    <t>Redemption Price</t>
  </si>
  <si>
    <t>Are financial professionals compensated based on factors such as the amount of client assets they service?</t>
  </si>
  <si>
    <t>Compensation Factors</t>
  </si>
  <si>
    <t>Describe the basis of compensation for financial professionals</t>
  </si>
  <si>
    <t>Compensation_Basis</t>
  </si>
  <si>
    <t>Prior Redemptions</t>
  </si>
  <si>
    <t>Do you or your financial professionals have legal or disciplinary history?</t>
  </si>
  <si>
    <t>Disciplinary History Disclosure</t>
  </si>
  <si>
    <t>State "Yes" if any legal or disciplinary history exists, otherwise state "No"</t>
  </si>
  <si>
    <t>Disciplinary_History</t>
  </si>
  <si>
    <t>Do you or any of your financial professionals disclose, or are required to disclose, disciplinary information in Form ADV?</t>
  </si>
  <si>
    <t>Form ADV Disclosures</t>
  </si>
  <si>
    <t>State "Yes" if there are any disclosures as required by Form ADV</t>
  </si>
  <si>
    <t>Form_ADV_Disclosure</t>
  </si>
  <si>
    <t>Do you or any of your financial professionals disclose, or are required to disclose, legal or disciplinary history in Form BD?</t>
  </si>
  <si>
    <t>Form BD Disclosures</t>
  </si>
  <si>
    <t>State "Yes" if there are any disclosures as required by Form BD</t>
  </si>
  <si>
    <t>Form_BD_Disclosure</t>
  </si>
  <si>
    <t>Do your financial professionals disclose, or are required to disclose, any information in Form U4, U5, or U6?</t>
  </si>
  <si>
    <t>Forms U4, U5, U6 Disclosures</t>
  </si>
  <si>
    <t>State "Yes" if there are any disclosures as required by Form U4, U5, or U6</t>
  </si>
  <si>
    <t>Form_U4_U5_U6_Disclosure</t>
  </si>
  <si>
    <t>Fee Multiplier</t>
  </si>
  <si>
    <t>If neither you nor any of your financial professionals disclose, or are required to disclose, legal or disciplinary information, state "No".</t>
  </si>
  <si>
    <t>No Disciplinary Disclosures</t>
  </si>
  <si>
    <t>State "No" if there are no legal or disciplinary disclosures</t>
  </si>
  <si>
    <t>No_Disciplinary_Disclosure</t>
  </si>
  <si>
    <t>Have you directed the retail investor to visit Investor.gov/CRS for a free search tool to research you and your financial professionals?</t>
  </si>
  <si>
    <t>Search Tool Direction</t>
  </si>
  <si>
    <t>Inform investors about the free search tool to research disclosures</t>
  </si>
  <si>
    <t>As a financial professional, do you have any disciplinary history? For what type of conduct?</t>
  </si>
  <si>
    <t>Professional Disciplinary Questions</t>
  </si>
  <si>
    <t>Questions for retail investors to ask about the financial professional’s disciplinary history</t>
  </si>
  <si>
    <t>Professional_Disciplinary</t>
  </si>
  <si>
    <t>Where can retail investors find additional information about your brokerage or investment advisory services and request a copy of the relationship summary?</t>
  </si>
  <si>
    <t>Additional Information Availability</t>
  </si>
  <si>
    <t>State where additional information can be obtained and how to request a copy of the relationship summary</t>
  </si>
  <si>
    <t>Addl_Info_Availability</t>
  </si>
  <si>
    <t>What telephone number can retail investors call to request up-to-date information and a copy of the relationship summary?</t>
  </si>
  <si>
    <t>Contact Information</t>
  </si>
  <si>
    <t>Provide a telephone number for retail investors to call for up-to-date information and to request the relationship summary</t>
  </si>
  <si>
    <t>Contact_Information</t>
  </si>
  <si>
    <t>Who is my primary contact person? Is he or she a representative of an investment adviser or a broker-dealer? Who can I talk to if I have concerns about how this person is treating me?</t>
  </si>
  <si>
    <t>Primary Contact Questions</t>
  </si>
  <si>
    <t>Questions for retail investors to identify their primary contact and address concerns about their treatment</t>
  </si>
  <si>
    <t>Primary_Contact</t>
  </si>
  <si>
    <t>A(i)</t>
  </si>
  <si>
    <t>Are you an officer or director of an issuer with a class of equity securities registered under Section 12?</t>
  </si>
  <si>
    <t>Officer/Director Filing Requirement</t>
  </si>
  <si>
    <t>This form must be filed by any director or officer of an issuer with a class of equity securities registered under Section 12 of the Exchange Act</t>
  </si>
  <si>
    <t>Filing_Officer_Director</t>
  </si>
  <si>
    <t>A(ii)</t>
  </si>
  <si>
    <t>Are you a beneficial owner of more than 10% of a class of equity securities registered under Section 12?</t>
  </si>
  <si>
    <t>Beneficial Owner Filing Requirement</t>
  </si>
  <si>
    <t>This form must be filed by any beneficial owner of more than 10% of a class of equity securities registered under Section 12 of the Exchange Act</t>
  </si>
  <si>
    <t>Filing_Beneficial_Owner</t>
  </si>
  <si>
    <t>A(iv)</t>
  </si>
  <si>
    <t>Are you an officer, director, advisory board member, investment adviser, or affiliated person of an investment adviser, or beneficial owner of more than 10% of any class of securities of a registered closed-end investment company?</t>
  </si>
  <si>
    <t>Investment Company Officer/Owner</t>
  </si>
  <si>
    <t>This form must be filed by specific stakeholders of a registered closed-end investment company</t>
  </si>
  <si>
    <t>Filing_Investment_Company</t>
  </si>
  <si>
    <t>A(v)</t>
  </si>
  <si>
    <t>Are you a trust, trustee, beneficiary or settlor required to report pursuant to Rule 16a-8?</t>
  </si>
  <si>
    <t>Trust Stakeholder Filing Requirement</t>
  </si>
  <si>
    <t>This form must be filed by trusts, trustees, beneficiaries, and settlors as required by the rule</t>
  </si>
  <si>
    <t>Filing_Trust_Stakeholder</t>
  </si>
  <si>
    <t>If not an officer, director, or ten percent holder, have you checked "other" and described the reason for reporting status?</t>
  </si>
  <si>
    <t>Other Reporting Person Description</t>
  </si>
  <si>
    <t>Check "other" in Item 5 and describe the reason for reporting status</t>
  </si>
  <si>
    <t>Reporting_Status</t>
  </si>
  <si>
    <t>If no securities are beneficially owned, have you stated that no securities are owned?</t>
  </si>
  <si>
    <t>No Securities Statement</t>
  </si>
  <si>
    <t>State that no securities are beneficially owned if applicable</t>
  </si>
  <si>
    <t>Was this form filed within 10 days after becoming a reporting person?</t>
  </si>
  <si>
    <t>Initial Form Filing Deadline</t>
  </si>
  <si>
    <t>This form must be filed within 10 days after the event causing the person to become a reporting person</t>
  </si>
  <si>
    <t>Filing_Deadline_Initial</t>
  </si>
  <si>
    <t>If the issuer is registering securities for the first time, was this form filed no later than the effective date of the registration statement?</t>
  </si>
  <si>
    <t>Registration Statement Filing</t>
  </si>
  <si>
    <t>File this form no later than the effective date of the registration statement for first-time registrations</t>
  </si>
  <si>
    <t>Filing_Registration_Statement</t>
  </si>
  <si>
    <t>Have you filed a separate Form to reflect beneficial ownership of securities of each issuer?</t>
  </si>
  <si>
    <t>Separate Issuer Forms</t>
  </si>
  <si>
    <t>File a separate Form for each issuer as needed</t>
  </si>
  <si>
    <t>Separate_Issuer_Forms</t>
  </si>
  <si>
    <t>Have you filed this Form in electronic format via EDGAR, unless a hardship exception applies?</t>
  </si>
  <si>
    <t>EDGAR Filing Requirement</t>
  </si>
  <si>
    <t>This form must be filed in electronic format via EDGAR unless a hardship exception applies</t>
  </si>
  <si>
    <t>Electronic_Filing_EDGAR</t>
  </si>
  <si>
    <t>Have you filed one copy with each Exchange on which any class of securities of the issuer is registered?</t>
  </si>
  <si>
    <t>Exchange Filing Requirement</t>
  </si>
  <si>
    <t>File one copy with each Exchange where the issuer’s securities are registered</t>
  </si>
  <si>
    <t>Filing_Exchange_Requirement</t>
  </si>
  <si>
    <t>Have you included information on the beneficial ownership of any class of equity securities of the issuer?</t>
  </si>
  <si>
    <t>Equity Securities Reporting</t>
  </si>
  <si>
    <t>Include information on beneficial ownership of any class of equity securities of the issuer</t>
  </si>
  <si>
    <t>Reporting_Equity_Securities</t>
  </si>
  <si>
    <t>A(iii)</t>
  </si>
  <si>
    <t>For registered closed-end investment companies, have you included information on the beneficial ownership of any class of securities (equity or debt)?</t>
  </si>
  <si>
    <t>Investment Company Securities Reporting</t>
  </si>
  <si>
    <t>Include information on beneficial ownership of any class of securities of the registered closed-end investment company</t>
  </si>
  <si>
    <t>Reporting_Investment_Company</t>
  </si>
  <si>
    <t>Have you clearly identified the class by title in your reporting (e.g., Common Stock, Class A Common Stock)?</t>
  </si>
  <si>
    <t>Security Title Reporting</t>
  </si>
  <si>
    <t>Clearly identify the class of reported securities by title</t>
  </si>
  <si>
    <t>Have you stated the face amount of debt securities or the number of equity securities beneficially owned?</t>
  </si>
  <si>
    <t>Amount of Securities Owned</t>
  </si>
  <si>
    <t>State the face amount of debt securities or the number of equity securities owned</t>
  </si>
  <si>
    <t>Amount_Securities_Owned</t>
  </si>
  <si>
    <t>Have you reported holdings of each class of securities beneficially owned as of the reporting event date?</t>
  </si>
  <si>
    <t>Holdings Reporting</t>
  </si>
  <si>
    <t>Report holdings of each class of securities as of the event date</t>
  </si>
  <si>
    <t>Reporting_Holdings</t>
  </si>
  <si>
    <t>B(i)</t>
  </si>
  <si>
    <t>Do you beneficially own securities over which you have or share the opportunity to profit from transactions?</t>
  </si>
  <si>
    <t>Beneficial Ownership Criteria</t>
  </si>
  <si>
    <t>Beneficial ownership includes securities from which you can profit from transactions</t>
  </si>
  <si>
    <t>Securities_Profit</t>
  </si>
  <si>
    <t>B(ii)</t>
  </si>
  <si>
    <t>Have you reported both direct and indirect beneficial ownership of securities?</t>
  </si>
  <si>
    <t>Direct/Indirect Ownership Reporting</t>
  </si>
  <si>
    <t>Report both direct and indirect beneficial ownership of securities</t>
  </si>
  <si>
    <t>Reporting_Beneficial_Ownership</t>
  </si>
  <si>
    <t>B(iii)</t>
  </si>
  <si>
    <t>Filing Purpose</t>
  </si>
  <si>
    <t>Have you reported direct and indirect ownership separately, and stated the nature of indirect ownership specifically?</t>
  </si>
  <si>
    <t>Separate Line Reporting</t>
  </si>
  <si>
    <t>Report direct and indirect ownership on separate lines, specifying the nature of indirect ownership</t>
  </si>
  <si>
    <t>Reporting_Separate_Lines</t>
  </si>
  <si>
    <t>B(iv)</t>
  </si>
  <si>
    <t>Contents of Registration</t>
  </si>
  <si>
    <t>Have you reported the number of securities representing your proportionate interest in indirectly owned securities?</t>
  </si>
  <si>
    <t>Proportionate Interest</t>
  </si>
  <si>
    <t>State the number of securities representing your interest in indirectly owned securities</t>
  </si>
  <si>
    <t>Proportionate_Interest</t>
  </si>
  <si>
    <t>B(v)</t>
  </si>
  <si>
    <t>Fees</t>
  </si>
  <si>
    <t>If the same equity securities are beneficially owned by more than one person, have you filed individually or jointly?</t>
  </si>
  <si>
    <t>Joint Filing</t>
  </si>
  <si>
    <t>More than one person benefiting from the same security can file jointly, indicating the designated filer</t>
  </si>
  <si>
    <t>Filing_Jointly</t>
  </si>
  <si>
    <t>C(i)</t>
  </si>
  <si>
    <t>Have you reported non-derivative securities beneficially owned in Table I?</t>
  </si>
  <si>
    <t>Non-Derivative Securities Reporting</t>
  </si>
  <si>
    <t>Report beneficially owned non-derivative securities in Table I</t>
  </si>
  <si>
    <t>Reporting_Non_Derivative</t>
  </si>
  <si>
    <t>Communication Guidance</t>
  </si>
  <si>
    <t>Have you reported derivative securities beneficially owned in Table II?</t>
  </si>
  <si>
    <t>Derivative Securities Reporting</t>
  </si>
  <si>
    <t>Report beneficially owned derivative securities in Table II</t>
  </si>
  <si>
    <t>Reporting_Derivative</t>
  </si>
  <si>
    <t>C(ii)</t>
  </si>
  <si>
    <t>Form Structure</t>
  </si>
  <si>
    <t>Have you shown the title of a derivative security and the equity security underlying it separately in Table II?</t>
  </si>
  <si>
    <t>Derivative/Equity Titles</t>
  </si>
  <si>
    <t>Show the title of the derivative security and the underlying equity security separately in Table II</t>
  </si>
  <si>
    <t>Reporting_Der_Eq_Titles</t>
  </si>
  <si>
    <t>C(iii)</t>
  </si>
  <si>
    <t>Disclosure Organization</t>
  </si>
  <si>
    <t>Have you described characteristics of derivative securities including title, exercise price, date exercisable, expiration date, and securities underlying the derivative?</t>
  </si>
  <si>
    <t>Derivative Characteristics</t>
  </si>
  <si>
    <t>Describe characteristics of derivative securities in Table II</t>
  </si>
  <si>
    <t>Securities_Characteristics</t>
  </si>
  <si>
    <t>C(iv)</t>
  </si>
  <si>
    <t>Incorporation by Reference – Specific Rules</t>
  </si>
  <si>
    <t>If securities are components of a unit, have you reported them separately and indicated the relationship between the unit's components?</t>
  </si>
  <si>
    <t>Unit Components Reporting</t>
  </si>
  <si>
    <t>Report unit components separately and indicate their relationship</t>
  </si>
  <si>
    <t>Reporting_Unit_Components</t>
  </si>
  <si>
    <t>Incorporation by Reference – General Requirements</t>
  </si>
  <si>
    <t>If the space provided in the line items on the electronic Form is insufficient, have you used the space provided for footnotes?</t>
  </si>
  <si>
    <t>Footnotes</t>
  </si>
  <si>
    <t>Use footnotes if space is insufficient</t>
  </si>
  <si>
    <t>If space provided in the line items on the paper Form is insufficient, have you attached another Form 3 to provide the necessary additional comments?</t>
  </si>
  <si>
    <t>Additional Comments</t>
  </si>
  <si>
    <t>Attach another Form 3 or additional comments page if needed</t>
  </si>
  <si>
    <t>If one or more exhibits are included, have you provided a sequentially numbered list of the exhibits in the Form?</t>
  </si>
  <si>
    <t>Exhibits List</t>
  </si>
  <si>
    <t>Provide a numbered list of exhibits with the Form</t>
  </si>
  <si>
    <t>List_Exhibits</t>
  </si>
  <si>
    <t>If additional information is not provided, will it be assumed that no additional information was provided?</t>
  </si>
  <si>
    <t>No Additional Info</t>
  </si>
  <si>
    <t>Assume no additional information provided if not reported</t>
  </si>
  <si>
    <t>Assume_No_Additional_Info</t>
  </si>
  <si>
    <t>Risk/Return Summary: Investments, Risks</t>
  </si>
  <si>
    <t>If the Form is filed for an individual, has it been signed by that person or by a person authorized to sign on behalf of the individual?</t>
  </si>
  <si>
    <t>Individual Signature</t>
  </si>
  <si>
    <t>Ensure the Form is signed by the individual or authorized signer</t>
  </si>
  <si>
    <t>If the Form is filed for an entity, has the capacity in which the individual signed (e.g., Secretary, on behalf of X Corporation) been set forth?</t>
  </si>
  <si>
    <t>Entity Signature</t>
  </si>
  <si>
    <t>Indicate the capacity in which the individual signed for an entity</t>
  </si>
  <si>
    <t>If this Form is filed as an amendment to add lines of ownership information to Table I or II, have you provided the necessary footnotes to explain the addition?</t>
  </si>
  <si>
    <t>Adding Lines</t>
  </si>
  <si>
    <t>Add information and relevant footnotes as needed</t>
  </si>
  <si>
    <t>If this Form is filed as an amendment to amend lines previously disclosed in Table I or II, have you provided the complete line or lines as amended, and relevant footnotes?</t>
  </si>
  <si>
    <t>Amending Lines</t>
  </si>
  <si>
    <t>Amend information and provide necessary footnotes</t>
  </si>
  <si>
    <t>If this Form is filed as an amendment for any other purpose, have you provided the necessary footnotes to explain the amendment?</t>
  </si>
  <si>
    <t>Other Amendments</t>
  </si>
  <si>
    <t>Provide necessary footnotes to explain other types of amendments</t>
  </si>
  <si>
    <t>Was this form filed before the end of the second business day following the transaction date?</t>
  </si>
  <si>
    <t>Timely Filing Requirement</t>
  </si>
  <si>
    <t>This form must be filed before the end of the second business day following the transaction date</t>
  </si>
  <si>
    <t>Filing_Timeliness</t>
  </si>
  <si>
    <t>If no longer subject to Section 16 of the Exchange Act, have you checked the exit box?</t>
  </si>
  <si>
    <t>Exit Box Requirement</t>
  </si>
  <si>
    <t>Check the exit box if no longer subject to Section 16</t>
  </si>
  <si>
    <t>Exit_Box_Checked</t>
  </si>
  <si>
    <t>Description of the Fund</t>
  </si>
  <si>
    <t>Have you filed a separate Form for each issuer?</t>
  </si>
  <si>
    <t>Separate Issuer Requirement</t>
  </si>
  <si>
    <t>Separate_Issuer_Form</t>
  </si>
  <si>
    <t>Check "other" and describe the reason for reporting status</t>
  </si>
  <si>
    <t>Other_Reporting_Description</t>
  </si>
  <si>
    <t>Control Persons and Principal Holders</t>
  </si>
  <si>
    <t>Investment Advisory and Other Services</t>
  </si>
  <si>
    <t>Filing_Exchange</t>
  </si>
  <si>
    <t>Have you reported each transaction resulting in a change in beneficial ownership of any class of equity securities of the issuer?</t>
  </si>
  <si>
    <t>Include information on transactions resulting in changes in beneficial ownership of equity securities</t>
  </si>
  <si>
    <t>Brokerage Allocation and Other Practices</t>
  </si>
  <si>
    <t>For registered closed-end investment companies, have you reported each transaction resulting in a change in beneficial ownership of any class of securities (equity or debt)?</t>
  </si>
  <si>
    <t>Report transactions changing beneficial ownership of any class of securities of the investment company</t>
  </si>
  <si>
    <t>Capital Stock and Other Securities</t>
  </si>
  <si>
    <t>Reporting_Security_Title</t>
  </si>
  <si>
    <t>Purchase, Redemption, and Pricing of Shares</t>
  </si>
  <si>
    <t>Reporting_Amount_Securities</t>
  </si>
  <si>
    <t>A(i)(1)</t>
  </si>
  <si>
    <t>Taxation of the Fund</t>
  </si>
  <si>
    <t>Have you reported all transactions not exempt from Section 16(b)?</t>
  </si>
  <si>
    <t>Non-Exempt Transaction Reporting</t>
  </si>
  <si>
    <t>Report all non-exempt transactions from Section 16(b)</t>
  </si>
  <si>
    <t>Reporting_Non_Exempt_Transactions</t>
  </si>
  <si>
    <t>A(i)(2)</t>
  </si>
  <si>
    <t>Underwriters</t>
  </si>
  <si>
    <t>Have you reported all transactions exempt from Section 16(b) under the specified rules?</t>
  </si>
  <si>
    <t>Exempt Transaction Reporting</t>
  </si>
  <si>
    <t>Report all transactions exempt under specific rules</t>
  </si>
  <si>
    <t>Reporting_Exempt_Transactions</t>
  </si>
  <si>
    <t>A(i)(3)</t>
  </si>
  <si>
    <t>Calculation of Performance Data</t>
  </si>
  <si>
    <t>Have you reported all exercises and conversions of derivative securities?</t>
  </si>
  <si>
    <t>Exercise/Conversion Reporting</t>
  </si>
  <si>
    <t>Report all exercises and conversions of derivative securities</t>
  </si>
  <si>
    <t>Reporting_Exercises_Conversions</t>
  </si>
  <si>
    <t>Have you reported each transaction on a separate line and used transaction codes?</t>
  </si>
  <si>
    <t>Report each transaction on a separate line with transaction codes</t>
  </si>
  <si>
    <t>Do you beneficially own securities if you have the opportunity to profit from their transactions?</t>
  </si>
  <si>
    <t>Beneficial ownership includes profiting from transactions</t>
  </si>
  <si>
    <t>Persons Controlled by or Under Common Control</t>
  </si>
  <si>
    <t>Reporting_Direct_Indirect</t>
  </si>
  <si>
    <t>Have you reported transactions in direct and indirect beneficial ownership separately?</t>
  </si>
  <si>
    <t>Report direct and indirect ownership transactions on separate lines</t>
  </si>
  <si>
    <t>Reporting_Direct_Indirect_Separately</t>
  </si>
  <si>
    <t>Business and Other Connections of Investment Adviser</t>
  </si>
  <si>
    <t>Have you reported the number of securities representing your proportionate interest in transactions?</t>
  </si>
  <si>
    <t>State the number of securities representing your interest in transactions</t>
  </si>
  <si>
    <t>Reporting_Proportionate_Interest</t>
  </si>
  <si>
    <t>Principal Underwriters</t>
  </si>
  <si>
    <t>If more than one beneficial owner reports the same transaction, have you filed individually or jointly?</t>
  </si>
  <si>
    <t>Joint or group filing is allowed with necessary information</t>
  </si>
  <si>
    <t>Reporting_Joint_Individual</t>
  </si>
  <si>
    <t>Location of Accounts and Records</t>
  </si>
  <si>
    <t>Have you reported non-derivative security acquisitions, dispositions, and holdings in Table I?</t>
  </si>
  <si>
    <t>Report non-derivative security transactions and holdings in Table I</t>
  </si>
  <si>
    <t>Management Services</t>
  </si>
  <si>
    <t>Have you reported derivative security acquisitions, dispositions, and holdings in Table II?</t>
  </si>
  <si>
    <t>Report derivative security transactions and holdings in Table II</t>
  </si>
  <si>
    <t>Have you shown the title of a derivative security and the underlying equity security separately in Table II?</t>
  </si>
  <si>
    <t>Show titles of derivative and underlying equity securities separately in Table II</t>
  </si>
  <si>
    <t>Reporting_Titles_Derivative_Equity</t>
  </si>
  <si>
    <t>Use of Form N-2</t>
  </si>
  <si>
    <t>Have you described characteristics of derivative securities including title, exercise price, date exercisable, expiration date, and the securities underlying the derivative?</t>
  </si>
  <si>
    <t>Reporting_Derivative_Characteristics</t>
  </si>
  <si>
    <t>Automatic Shelf Offerings by Well-Known Seasoned Issuers</t>
  </si>
  <si>
    <t>If consideration other than cash was paid for the security, have you described the consideration and its value?</t>
  </si>
  <si>
    <t>Cash Consideration Description</t>
  </si>
  <si>
    <t>Describe consideration other than cash and its value</t>
  </si>
  <si>
    <t>Cash_Consideration</t>
  </si>
  <si>
    <t>Application of General Rules and Regulations</t>
  </si>
  <si>
    <t>If the space provided in the line items on the paper Form is insufficient, have you attached another Form 4 or page to provide the necessary additional comments?</t>
  </si>
  <si>
    <t>Attach another Form 4 or additional comments page if needed</t>
  </si>
  <si>
    <t>Documents Composing the Registration Statement or Amendment</t>
  </si>
  <si>
    <t>No_Additional_Info</t>
  </si>
  <si>
    <t>Preparation of the Registration Statement or Amendment</t>
  </si>
  <si>
    <t>Registration of Additional Securities</t>
  </si>
  <si>
    <t>Outside Front Cover</t>
  </si>
  <si>
    <t>Have you used the appropriate transaction codes in Table I and Table II?</t>
  </si>
  <si>
    <t>Transaction Code Usage</t>
  </si>
  <si>
    <t>Use appropriate transaction codes to indicate the nature of the transaction</t>
  </si>
  <si>
    <t>Transaction_Codes</t>
  </si>
  <si>
    <t>Cover Pages; Other Offering Information</t>
  </si>
  <si>
    <t>If this Form is filed as an amendment to add lines of transaction information to Table I or II, have you provided the necessary footnotes to explain the addition?</t>
  </si>
  <si>
    <t>Fee Table and Synopsis</t>
  </si>
  <si>
    <t>Plan of Distribution</t>
  </si>
  <si>
    <t>Have you indicated whether a transaction was made pursuant to a Rule 10b5-1(c) plan?</t>
  </si>
  <si>
    <t>Rule 10b5-1(c) Plan</t>
  </si>
  <si>
    <t>Indicate if the transaction was made under a 10b5-1(c) plan</t>
  </si>
  <si>
    <t>Selling Shareholders</t>
  </si>
  <si>
    <t>Was this form filed on or before the 45th day after the end of the issuer's fiscal year?</t>
  </si>
  <si>
    <t>This form must be filed on or before the 45th day after the end of the issuer's fiscal year</t>
  </si>
  <si>
    <t>General Description of the Registrant</t>
  </si>
  <si>
    <t>Capital Stock, Long-Term Debt, and Other Securities</t>
  </si>
  <si>
    <t>Defaults and Arrears on Senior Securities</t>
  </si>
  <si>
    <t>Legal Proceedings</t>
  </si>
  <si>
    <t>Have you reported transactions and holdings of any class of equity securities of the issuer at the end of the year?</t>
  </si>
  <si>
    <t>Include information on transactions and holdings of equity securities at the end of the year</t>
  </si>
  <si>
    <t>For registered closed-end investment companies, have you reported transactions and holdings of any class of securities (equity or debt) at the end of the year?</t>
  </si>
  <si>
    <t>Report transactions and holdings of any class of securities of the investment company at the end of the year</t>
  </si>
  <si>
    <t>Investment Objective and Policies</t>
  </si>
  <si>
    <t>A(i)(A)</t>
  </si>
  <si>
    <t>Have you reported exempt transactions from Section 16(b) of the Act during the issuer's fiscal year?</t>
  </si>
  <si>
    <t>Report all exempt transactions from Section 16(b)</t>
  </si>
  <si>
    <t>A(i)(B)</t>
  </si>
  <si>
    <t>Have you reported small acquisitions or series of acquisitions during the issuer's fiscal year in a six-month period not exceeding $10,000 in market value?</t>
  </si>
  <si>
    <t>Small Acquisition Reporting</t>
  </si>
  <si>
    <t>Report small acquisitions during the issuer's fiscal year not exceeding $10,000</t>
  </si>
  <si>
    <t>Reporting_Small_Acquisitions</t>
  </si>
  <si>
    <t>A(i)(C)</t>
  </si>
  <si>
    <t>Portfolio managers</t>
  </si>
  <si>
    <t>Have you reported any transactions or holdings that should have been reported on Form 3 or Form 4 but were not?</t>
  </si>
  <si>
    <t>Delinquent Transaction Reporting</t>
  </si>
  <si>
    <t>Report transactions or holdings that should have been reported on Form 3 or Form 4 but were not</t>
  </si>
  <si>
    <t>Reporting_Delinquent_Transactions</t>
  </si>
  <si>
    <t>Tax status</t>
  </si>
  <si>
    <t>Have you reported total beneficial ownership as of the end of the issuer's fiscal year for each class of securities in which a transaction was reported?</t>
  </si>
  <si>
    <t>End of Year Reporting</t>
  </si>
  <si>
    <t>Report total beneficial ownership as of the end of the issuer's fiscal year for each class of securities</t>
  </si>
  <si>
    <t>Reporting_End_Of_Year</t>
  </si>
  <si>
    <t>Beneficial_Ownership</t>
  </si>
  <si>
    <t>Have you reported transactions in securities beneficially owned directly on separate lines from those beneficially owned indirectly?</t>
  </si>
  <si>
    <t>Other Expenses of Issuance and Distribution</t>
  </si>
  <si>
    <t>Have you reported the number of securities representing your proportionate interest in transactions conducted by an entity or holdings of that entity?</t>
  </si>
  <si>
    <t>State the number of securities representing your interest in transactions conducted by an entity or holdings of that entity</t>
  </si>
  <si>
    <t>If more than one beneficial owner reports the same transaction or holding, have you filed individually or jointly?</t>
  </si>
  <si>
    <t>Number of Holders of Securities</t>
  </si>
  <si>
    <t xml:space="preserve">Management services </t>
  </si>
  <si>
    <t>Have prices of securities been reported in U.S. dollars on a per share basis, excluding brokerage commissions and other costs of execution?</t>
  </si>
  <si>
    <t>Per Share Price Reporting</t>
  </si>
  <si>
    <t>Report prices of securities in U.S. dollars per share, excluding commissions and costs</t>
  </si>
  <si>
    <t>Reporting_Price_Per_Share</t>
  </si>
  <si>
    <t>Rule as to Use of Form N-PX</t>
  </si>
  <si>
    <t>Value_Non_Cash_Consideration</t>
  </si>
  <si>
    <t>Application of General Rules</t>
  </si>
  <si>
    <t>Joint Reporting Rules</t>
  </si>
  <si>
    <t>If the space provided in the line items on the paper Form is insufficient, have you attached another Form 5 or page to provide the necessary additional comments?</t>
  </si>
  <si>
    <t>Attach another Form 5 or additional comments page if needed</t>
  </si>
  <si>
    <t>Signature and Filing of Report</t>
  </si>
  <si>
    <t>If this Form is filed as an amendment to add lines of transaction or ownership information to Table I or II, have you provided the necessary footnotes to explain the addition?</t>
  </si>
  <si>
    <t>Transition Rules for Institutional Managers</t>
  </si>
  <si>
    <t>Identifying Info</t>
  </si>
  <si>
    <t>Name and address of issuer</t>
  </si>
  <si>
    <t>The legal name and registered address of the issuer.</t>
  </si>
  <si>
    <t>issuerNameAndAddress</t>
  </si>
  <si>
    <t>Organization of Form N-PX</t>
  </si>
  <si>
    <t>Series/Class Name and EDGAR Identifier</t>
  </si>
  <si>
    <t>The names and EDGAR identifiers of each series or class of securities file.</t>
  </si>
  <si>
    <t>seriesOrClassEdgarIdentifier</t>
  </si>
  <si>
    <t>The SEC file number under the Investment Company Act.</t>
  </si>
  <si>
    <t>investmentCompanyActFileNumber</t>
  </si>
  <si>
    <t>The SEC file number under the Securities Act.</t>
  </si>
  <si>
    <t>securitiesActFileNumber</t>
  </si>
  <si>
    <t>a</t>
  </si>
  <si>
    <t>Last day of fiscal year</t>
  </si>
  <si>
    <t>fiscalYearEndDate</t>
  </si>
  <si>
    <t>Late Filing</t>
  </si>
  <si>
    <t>b</t>
  </si>
  <si>
    <t>Form filed late (if more than 90 days after fiscal year end)</t>
  </si>
  <si>
    <t>Check if the form is filed more than 90 days after the end of the fiscal year.</t>
  </si>
  <si>
    <t>lateFilingIndicator</t>
  </si>
  <si>
    <t>Final Filing</t>
  </si>
  <si>
    <t>c</t>
  </si>
  <si>
    <t>Summary Page</t>
  </si>
  <si>
    <t>This is the last time the issuer will be filing this form</t>
  </si>
  <si>
    <t>Check if this is the last time the issuer will be filing this form.</t>
  </si>
  <si>
    <t>finalFilingIndicator</t>
  </si>
  <si>
    <t>Calculation of Fee</t>
  </si>
  <si>
    <t>Aggregate sale price of securities sold during the fiscal year</t>
  </si>
  <si>
    <t>Total sale price of securities sold during the fiscal year.</t>
  </si>
  <si>
    <t>aggregateSalePrice</t>
  </si>
  <si>
    <t>Aggregate Price of Securities Redeemed</t>
  </si>
  <si>
    <t>Total price of securities redeemed or repurchased during the fiscal year.</t>
  </si>
  <si>
    <t>aggregatePriceOfSecuritiesRedeemed</t>
  </si>
  <si>
    <t>Proxy Voting Information</t>
  </si>
  <si>
    <t>Aggregate price of securities redeemed or repurchased during any prior fiscal year</t>
  </si>
  <si>
    <t>Aggregate Price of Prior Redemptions</t>
  </si>
  <si>
    <t>Total price of securities redeemed or repurchased in prior fiscal years.</t>
  </si>
  <si>
    <t>aggregatePriceOfPriorRedemptions</t>
  </si>
  <si>
    <t>Total available redemption credits</t>
  </si>
  <si>
    <t>Total Available Redemption Credits</t>
  </si>
  <si>
    <t>Sum of Item 5(ii) and Item 5(iii).</t>
  </si>
  <si>
    <t>totalAvailableRedemptionCredits</t>
  </si>
  <si>
    <t>Net sales (Item 5 (i) is greater than Item 5 (iv))</t>
  </si>
  <si>
    <t>Net sales (Item 5(i) minus Item 5(iv)).</t>
  </si>
  <si>
    <t>netSales</t>
  </si>
  <si>
    <t>vi</t>
  </si>
  <si>
    <t>Redemption credits available for use in future years (Item 5 (i) is less than Item 5 (iv))</t>
  </si>
  <si>
    <t>Redemption Credits Available for Future</t>
  </si>
  <si>
    <t>Redemption credits available to be used in future years (Item 5(iv) minus Item 5(i)).</t>
  </si>
  <si>
    <t>redemptionCreditsForFuture</t>
  </si>
  <si>
    <t>vii</t>
  </si>
  <si>
    <t>Multiplier for determining registration fee</t>
  </si>
  <si>
    <t>Multiplier for Determining Registration Fee</t>
  </si>
  <si>
    <t>The multiplier rate used to calculate the registration fee.</t>
  </si>
  <si>
    <t>multiplierRate</t>
  </si>
  <si>
    <t>viii</t>
  </si>
  <si>
    <t>Registration fee due (Item 5 (v) multiplied by Item 5 (vii))</t>
  </si>
  <si>
    <t>The total registration fee due</t>
  </si>
  <si>
    <t>registrationFeeDue</t>
  </si>
  <si>
    <t>Calculation of Interest</t>
  </si>
  <si>
    <t>Interest due if this Form is filed more than 90 days after the end of fiscal year</t>
  </si>
  <si>
    <t>Interest due if the form is filed late.</t>
  </si>
  <si>
    <t>interestDue</t>
  </si>
  <si>
    <t>Total amount of registration fee due plus any interest due (Item 5 (viii) plus Item 6)</t>
  </si>
  <si>
    <t>Total Registration Fee Plus Interest Due</t>
  </si>
  <si>
    <t>Total of registration fee due plus any interest due</t>
  </si>
  <si>
    <t>totalFeeDue</t>
  </si>
  <si>
    <t>Explanatory Notes (if any)</t>
  </si>
  <si>
    <t>Any additional information helpful in understanding the reported data</t>
  </si>
  <si>
    <t>explanatoryNotes</t>
  </si>
  <si>
    <t>The name of the issuer as it appears on the registration statement</t>
  </si>
  <si>
    <t>The name and EDGAR identifier of each series or class of securities for which this Form is filed</t>
  </si>
  <si>
    <t>Series/Class Identifier</t>
  </si>
  <si>
    <t>The identifying information for each series or class of securities</t>
  </si>
  <si>
    <t>Fiscal Year and Filing Indicator</t>
  </si>
  <si>
    <t>The final day of the issuer's fiscal year</t>
  </si>
  <si>
    <t>Rules as to Use of Form N-RN</t>
  </si>
  <si>
    <t>Check box if this Form is being filed late</t>
  </si>
  <si>
    <t>Indicator if the form is being filed late</t>
  </si>
  <si>
    <t>Check box if this is the last time the issuer will be filing this Form</t>
  </si>
  <si>
    <t>Indicator if it is the final filing of the form</t>
  </si>
  <si>
    <t>Total sales price of securities sold during fiscal year</t>
  </si>
  <si>
    <t>Total redemption or repurchase price during fiscal year</t>
  </si>
  <si>
    <t>Information to Be Included in Report Filed on Form N-RN</t>
  </si>
  <si>
    <t>Aggregate price of securities redeemed or repurchased during any prior fiscal year ending no earlier than October 11, 1995 that were not previously used to reduce registration fees payable to the Commission</t>
  </si>
  <si>
    <t>Prior Redemption Price</t>
  </si>
  <si>
    <t>Total redemption or repurchase price from prior fiscal years</t>
  </si>
  <si>
    <t>Filing of Form N-RN</t>
  </si>
  <si>
    <t>Sum of Items 5(ii) and 5(iii)</t>
  </si>
  <si>
    <t>Paperwork Reduction Act Information</t>
  </si>
  <si>
    <t>Net sales</t>
  </si>
  <si>
    <t>Net sales if Item 5(i) is greater than Item 5(iv)</t>
  </si>
  <si>
    <t>Redemption credits available for use in future years</t>
  </si>
  <si>
    <t>Redemption Credits Future Use</t>
  </si>
  <si>
    <t>If Item 5(i) is less than Item 5(iv), credits available for future years</t>
  </si>
  <si>
    <t>Multiplier used for registration fee calculation</t>
  </si>
  <si>
    <t>Securities registered under the Securities Act used to determine Item 5(i)</t>
  </si>
  <si>
    <t>Amount of prepaid shares registered and used in Item 5(i)</t>
  </si>
  <si>
    <t>prepaidShares</t>
  </si>
  <si>
    <t>Interest due if this Form is being filed more than 90 days after the end of the issuer's fiscal year</t>
  </si>
  <si>
    <t>Late Filing Interest</t>
  </si>
  <si>
    <t>Interest payable for late filing of the form</t>
  </si>
  <si>
    <t>Total Registration Fee Due</t>
  </si>
  <si>
    <t>Sum of the registration fee and any interest due</t>
  </si>
  <si>
    <t>Explanatory notes if any</t>
  </si>
  <si>
    <t>Any additional information or explanation provided by issuer</t>
  </si>
  <si>
    <t>What are the key terms defined in the instructions?</t>
  </si>
  <si>
    <t>Key Definitions</t>
  </si>
  <si>
    <t>Definitions of key terms as per the instructions</t>
  </si>
  <si>
    <t>keyDefinitions</t>
  </si>
  <si>
    <t>General Instr.</t>
  </si>
  <si>
    <t>What types of filings is Form N-1A used for?</t>
  </si>
  <si>
    <t>The intended use cases for Form N-1A, such as registration under the Investment Company Act or Securities Act.</t>
  </si>
  <si>
    <t>filingPurpose</t>
  </si>
  <si>
    <t>What is included in a registration statement filed on Form N-1A?</t>
  </si>
  <si>
    <t>Registration Contents</t>
  </si>
  <si>
    <t>The mandatory parts (e.g., Part A, B, C) that make up a complete Form N-1A registration filing.</t>
  </si>
  <si>
    <t>contents</t>
  </si>
  <si>
    <t>Are there any registration fees required for Form N-1A filings?</t>
  </si>
  <si>
    <t>Boolean</t>
  </si>
  <si>
    <t>Filing Fee Requirement</t>
  </si>
  <si>
    <t>Indicates whether registrants must pay a fee when submitting Form N-1A.</t>
  </si>
  <si>
    <t>filingFees</t>
  </si>
  <si>
    <t>Applicable Filing Rules</t>
  </si>
  <si>
    <t>Regulatory rules and regulations under the Securities and Investment Company Acts that govern Form N-1A.</t>
  </si>
  <si>
    <t>applicableRules</t>
  </si>
  <si>
    <t>How should Form N-1A requirements be administered to promote effective investor communication?</t>
  </si>
  <si>
    <t>Disclosure Communication Standards</t>
  </si>
  <si>
    <t>Guidelines for clear, concise communication with investors, including plain language use.</t>
  </si>
  <si>
    <t>communicationGuidance</t>
  </si>
  <si>
    <t>How is Form N-1A organized and what is the purpose of each part (A, B, C)?</t>
  </si>
  <si>
    <t>Form Structural Components</t>
  </si>
  <si>
    <t>Breakdown and purpose of Parts A (Prospectus), B (SAI), and C (Other Info) within Form N-1A.</t>
  </si>
  <si>
    <t>formStructure</t>
  </si>
  <si>
    <t>How should the information in the prospectus and SAI be organized for investor clarity?</t>
  </si>
  <si>
    <t>Disclosure Layout</t>
  </si>
  <si>
    <t>Requirements for ordering and grouping information to improve readability and comparability for investors.</t>
  </si>
  <si>
    <t>disclosureOrganization</t>
  </si>
  <si>
    <t>Under what conditions can information be incorporated by reference in Form N-1A?</t>
  </si>
  <si>
    <t>Specific Incorporation Rules</t>
  </si>
  <si>
    <t>Limitations and permissions for referencing external documents within different parts of Form N-1A.</t>
  </si>
  <si>
    <t>incorpReferenceRules</t>
  </si>
  <si>
    <t>FORM N-1A</t>
  </si>
  <si>
    <t>What general rules apply to incorporation by reference in Form N-1A filings?</t>
  </si>
  <si>
    <t>General Incorporation Guidance</t>
  </si>
  <si>
    <t>Broad criteria and obligations for using incorporation by reference across filings under SEC regulations.</t>
  </si>
  <si>
    <t>incorpReferenceGeneral</t>
  </si>
  <si>
    <t>Information Required in Prospectus</t>
  </si>
  <si>
    <t>Information required on the cover pages of the prospectus.</t>
  </si>
  <si>
    <t>Prospectus Cover Information</t>
  </si>
  <si>
    <t>General information on the fund’s name, ticker symbol, disclaimer, and contact information.</t>
  </si>
  <si>
    <t>Prospectus_Cover_Info</t>
  </si>
  <si>
    <t>Describe the fund’s investment goals and objectives.</t>
  </si>
  <si>
    <t>Investment Objectives</t>
  </si>
  <si>
    <t>Explanation of the fund’s primary investment goals and related strategies.</t>
  </si>
  <si>
    <t>Investment_Objectives</t>
  </si>
  <si>
    <t>Itemize the fees and expenses associated with the fund.</t>
  </si>
  <si>
    <t>Fee Table</t>
  </si>
  <si>
    <t>Detailed listing of shareholder fees and annual fund operating expenses.</t>
  </si>
  <si>
    <t>Fee_Table</t>
  </si>
  <si>
    <t>Describe principal investment strategies and risks.</t>
  </si>
  <si>
    <t>Outline the strategies and risks related to the fund’s investments.</t>
  </si>
  <si>
    <t>Investment_Strategies</t>
  </si>
  <si>
    <t>Information about fund managers and advisors.</t>
  </si>
  <si>
    <t>Provide details about the fund’s investment advisers and key management personnel.</t>
  </si>
  <si>
    <t>Management_Info</t>
  </si>
  <si>
    <t>Define the process for purchasing and selling fund shares.</t>
  </si>
  <si>
    <t>Purchase/Sale of Shares</t>
  </si>
  <si>
    <t>Procedures and conditions for buying and redeeming fund shares.</t>
  </si>
  <si>
    <t>Purchase_Sale_Info</t>
  </si>
  <si>
    <t>Discuss the tax implications for investors related to distributions by the fund.</t>
  </si>
  <si>
    <t>Explanation of the fund’s distributions and how they are taxed.</t>
  </si>
  <si>
    <t>Tax_Info</t>
  </si>
  <si>
    <t>Disclose payments to broker-dealers and other financial intermediaries.</t>
  </si>
  <si>
    <t>Broker-Dealer Compensation</t>
  </si>
  <si>
    <t>Describe any commissions or fees paid to intermediaries for selling fund shares.</t>
  </si>
  <si>
    <t>Financial_Intermediary_Comp</t>
  </si>
  <si>
    <t>Information Required in a SAI</t>
  </si>
  <si>
    <t>Required information on the cover page and the table of contents in SAI.</t>
  </si>
  <si>
    <t>SAI Cover Info</t>
  </si>
  <si>
    <t>Details fund name, ticker, SAI date, and a list of contents.</t>
  </si>
  <si>
    <t>SAI_Cover_Table_Contents</t>
  </si>
  <si>
    <t>Provide the date and state of organization and other business activities or name changes in the past 5 years.</t>
  </si>
  <si>
    <t>Give detailed history and any major changes in business operations or fund name recently.</t>
  </si>
  <si>
    <t>Fund_History_Details</t>
  </si>
  <si>
    <t>Describe the fund’s classification, strategies, risks, and policies.</t>
  </si>
  <si>
    <t>Fund Description</t>
  </si>
  <si>
    <t>A comprehensive view of what the fund invests in, its policies, and related risks and strategies.</t>
  </si>
  <si>
    <t>Fund_Description</t>
  </si>
  <si>
    <t>Management, officers, directors, ownership of securities, and related discussions.</t>
  </si>
  <si>
    <t>Management &amp; Ownership</t>
  </si>
  <si>
    <t>Information on fund executives, their other employments, and ownership in the fund.</t>
  </si>
  <si>
    <t>Management_Ownership</t>
  </si>
  <si>
    <t>Identify individuals or entities with control or major holdings.</t>
  </si>
  <si>
    <t>Control and Major Holders</t>
  </si>
  <si>
    <t>Names and ownership percentages of key holders along with controlling interests.</t>
  </si>
  <si>
    <t>Control_Principal_Holders</t>
  </si>
  <si>
    <t>Detail advisory contracts, fees, and other services provided to the fund.</t>
  </si>
  <si>
    <t>Advisory and Services Information</t>
  </si>
  <si>
    <t>Lists advisers, fees paid, and contractual details involved in fund management.</t>
  </si>
  <si>
    <t>Advisory_Services_Info</t>
  </si>
  <si>
    <t>Information about other accounts managed by portfolio managers.</t>
  </si>
  <si>
    <t>Portfolio Manager Info</t>
  </si>
  <si>
    <t>Details about other fund portfolios managed and potential conflicts of interest.</t>
  </si>
  <si>
    <t>Portfolio_Manager_Other_Accounts</t>
  </si>
  <si>
    <t>Description of brokerage practices and criteria for selecting brokers.</t>
  </si>
  <si>
    <t>Brokerage Allocation</t>
  </si>
  <si>
    <t>Explanation of how transactions are managed and brokerage selection process.</t>
  </si>
  <si>
    <t>Brokerage_Practices</t>
  </si>
  <si>
    <t>Detailed description of all classes of stock and security rights.</t>
  </si>
  <si>
    <t>Capital Stock Information</t>
  </si>
  <si>
    <t>Information on the rights, privileges, and restrictions of various stock classes issued by the fund.</t>
  </si>
  <si>
    <t>Capital_Stock_Securities</t>
  </si>
  <si>
    <t>Procedures for buying, redeeming, and pricing shares, with special focus on unique conditions.</t>
  </si>
  <si>
    <t>Shares Transaction Information</t>
  </si>
  <si>
    <t>Comprehensive guidelines for the purchase, pricing, and redemption of fund shares.</t>
  </si>
  <si>
    <t>Purchase_Redemption_Pricing</t>
  </si>
  <si>
    <t>Disclose tax status and special considerations related to the fund’s distributions and status.</t>
  </si>
  <si>
    <t>Fund Tax Information</t>
  </si>
  <si>
    <t>State tax treatment for the fund and implications if it fails to qualify under certain statuses.</t>
  </si>
  <si>
    <t>Fund_Tax_Info</t>
  </si>
  <si>
    <t>Details about principal underwriters, relationships, and commissions paid.</t>
  </si>
  <si>
    <t>Underwriter Details</t>
  </si>
  <si>
    <t>Disclosure about fees and identity of principal underwriters involved with the fund.</t>
  </si>
  <si>
    <t>Underwriters_Info</t>
  </si>
  <si>
    <t>Instruction on how to calculate and display yield and performance data for reporting.</t>
  </si>
  <si>
    <t>Formula</t>
  </si>
  <si>
    <t>Performance Calculation Methods</t>
  </si>
  <si>
    <t>Formulas mandated to quantify and report fund performance closely reflecting investor returns.</t>
  </si>
  <si>
    <t>Calculation_Performance_Data</t>
  </si>
  <si>
    <t>Include or reference financial statements and how they relate to registration.</t>
  </si>
  <si>
    <t>List required financial statements and their significance to the fund's disclosure and regulatory compliance.</t>
  </si>
  <si>
    <t>Financial_Statements</t>
  </si>
  <si>
    <t>List of all required and optional exhibits, specifying their type and sequence.</t>
  </si>
  <si>
    <t>Exhibits Listing</t>
  </si>
  <si>
    <t>Detailed enumerations of essential and elective documentation attached to the registration statement.</t>
  </si>
  <si>
    <t>Exhibits_List</t>
  </si>
  <si>
    <t>Accountant</t>
  </si>
  <si>
    <t>List or diagram all persons directly controlled by or having control in common with the fund.</t>
  </si>
  <si>
    <t>Control Entities Listing</t>
  </si>
  <si>
    <t>Identifying all entities controlled or having common control with the fund.</t>
  </si>
  <si>
    <t>Control_Entities_List</t>
  </si>
  <si>
    <t>State the effect of any insurance or indemnification arrangements on director and officer liability.</t>
  </si>
  <si>
    <t>Outline of any indemnity affecting director, officer, or underwriter liability in their official capacities.</t>
  </si>
  <si>
    <t>Indemnification_Provision</t>
  </si>
  <si>
    <t>Describe other significant business affiliations of the investment adviser.</t>
  </si>
  <si>
    <t>Adviser Business Connections</t>
  </si>
  <si>
    <t>Specification of other business endeavors of the investment adviser and key personnel's involvement.</t>
  </si>
  <si>
    <t>Adviser_Business_Connections</t>
  </si>
  <si>
    <t>Information about other companies underwritten by the fund’s principal underwriters and relevant individuals.</t>
  </si>
  <si>
    <t>Principal Underwriters Info</t>
  </si>
  <si>
    <t>All necessary disclosure about other investment companies managed by the principal underwriters involved.</t>
  </si>
  <si>
    <t>Principal_Underwriters_Info</t>
  </si>
  <si>
    <t>Who must complete and file a Form PF?</t>
  </si>
  <si>
    <t>Name and address of each person maintaining custody of fund documents and records.</t>
  </si>
  <si>
    <t>Provide locations where critical fund documentation and accounts are maintained.</t>
  </si>
  <si>
    <t>Records_Location_Info</t>
  </si>
  <si>
    <t>Filing with a related person</t>
  </si>
  <si>
    <t>Summary of all management service contracts not discussed elsewhere with details on fees and services.</t>
  </si>
  <si>
    <t>Management Services Contracts</t>
  </si>
  <si>
    <t>Service contracts related to the fund's management, including fees and parties involved.</t>
  </si>
  <si>
    <t>Management_Services_Summary</t>
  </si>
  <si>
    <t>Item 35</t>
  </si>
  <si>
    <t>Form PF organization</t>
  </si>
  <si>
    <t>Any special undertakings such as amendments to the registration statement to include financials, etc.</t>
  </si>
  <si>
    <t>Commitment to comply with specific conditions or provide certain documents in the future.</t>
  </si>
  <si>
    <t>Undertakings_Info</t>
  </si>
  <si>
    <t>Subadviser responsibilities</t>
  </si>
  <si>
    <t>PurposeAndUse</t>
  </si>
  <si>
    <t>Aggregation for reporting threshold</t>
  </si>
  <si>
    <t>AutomaticShelfOfferingRules</t>
  </si>
  <si>
    <t>Reporting information on parallel funds and managed accounts</t>
  </si>
  <si>
    <t>FeeRequirements</t>
  </si>
  <si>
    <t>Treatment of fund of funds and trading vehicles</t>
  </si>
  <si>
    <t>ApplicableRules</t>
  </si>
  <si>
    <t>Treatment of non-private fund investments</t>
  </si>
  <si>
    <t>AmendmentRequirements</t>
  </si>
  <si>
    <t>Update requirements</t>
  </si>
  <si>
    <t>IncorporationByReferenceRules</t>
  </si>
  <si>
    <t>Private fund identification numbers</t>
  </si>
  <si>
    <t>RegistrationStatementContents</t>
  </si>
  <si>
    <t>Signatory authority</t>
  </si>
  <si>
    <t>InteractiveDataFilingRules</t>
  </si>
  <si>
    <t>Filing procedures</t>
  </si>
  <si>
    <t>AdditionalSecuritiesRegistrationProcess</t>
  </si>
  <si>
    <t>INFORMATION REQUIRED IN A PROSPECTUS</t>
  </si>
  <si>
    <t>Filing fees</t>
  </si>
  <si>
    <t>ProspectusCoverPageInformation</t>
  </si>
  <si>
    <t>Temporary hardship exemption</t>
  </si>
  <si>
    <t>TradingSymbolsAndListingMarkets</t>
  </si>
  <si>
    <t>Use of internal methodologies and data entry</t>
  </si>
  <si>
    <t>FeeTableAndExpenseOverview</t>
  </si>
  <si>
    <t>Amending Form PF</t>
  </si>
  <si>
    <t>FinancialHighlights</t>
  </si>
  <si>
    <t>Preserving fund anonymity</t>
  </si>
  <si>
    <t>DistributionPlan</t>
  </si>
  <si>
    <t>Commodity pool treatment for Form PF</t>
  </si>
  <si>
    <t>SellingShareholdersInformation</t>
  </si>
  <si>
    <t>UseOfProceeds</t>
  </si>
  <si>
    <t>A. Information about you</t>
  </si>
  <si>
    <t>GeneralDescription</t>
  </si>
  <si>
    <t>ManagementStructureAndBackground</t>
  </si>
  <si>
    <t>CapitalStockLongTermDebtDetails</t>
  </si>
  <si>
    <t>DefaultsAndArrearagesInformation</t>
  </si>
  <si>
    <t>Signatures of Authorized Representative</t>
  </si>
  <si>
    <t>PendingLegalProceedings</t>
  </si>
  <si>
    <t>INFORMATION REQUIRED IN A STATEMENT OF ADDITIONAL INFORMATION</t>
  </si>
  <si>
    <t>B. Information about assets of private funds that you advise</t>
  </si>
  <si>
    <t>SAICoverPageInformation</t>
  </si>
  <si>
    <t>C. Miscellaneous</t>
  </si>
  <si>
    <t>SAITableOfContents</t>
  </si>
  <si>
    <t>Information About the Private Funds You Advise</t>
  </si>
  <si>
    <t>DetailedInvestmentPolicies</t>
  </si>
  <si>
    <t>A. Reporting fund identifying information</t>
  </si>
  <si>
    <t>DetailedManagementInformation</t>
  </si>
  <si>
    <t>InvestmentAdvisoryServiceAgreements</t>
  </si>
  <si>
    <t>PortfolioManagerResponsibilitiesConflicts</t>
  </si>
  <si>
    <t>BrokeragePractices</t>
  </si>
  <si>
    <t>TaxStatusAndImplications</t>
  </si>
  <si>
    <t>FinancialStatements</t>
  </si>
  <si>
    <t>OTHER INFORMATION</t>
  </si>
  <si>
    <t>FinancialStatementsAndExhibits</t>
  </si>
  <si>
    <t>MarketingArrangements</t>
  </si>
  <si>
    <t>IssuanceAndDistributionCosts</t>
  </si>
  <si>
    <t>ControlRelationships</t>
  </si>
  <si>
    <t>NumberOfHolders</t>
  </si>
  <si>
    <t>IndemnificationProvisions</t>
  </si>
  <si>
    <t>AdvisersBusinessConnections</t>
  </si>
  <si>
    <t>AccountsAndRecordsLocation</t>
  </si>
  <si>
    <t>ManagementServicesDetails</t>
  </si>
  <si>
    <t>RegulatoryUndertakings</t>
  </si>
  <si>
    <t>What is the rule for using Form N-PX?</t>
  </si>
  <si>
    <t>Usage Rules</t>
  </si>
  <si>
    <t>Instructions on how Form N-PX is to be used by registered management investment companies and Institutional Managers.</t>
  </si>
  <si>
    <t>FormNPXUsageRules</t>
  </si>
  <si>
    <t>What are the general application rules for Form N-PX?</t>
  </si>
  <si>
    <t>General Application Rules</t>
  </si>
  <si>
    <t>Directions for general rules and regulations under the Investment Company Act and the Exchange Act.</t>
  </si>
  <si>
    <t>GeneralApplicationRules</t>
  </si>
  <si>
    <t>What if two or more Institutional Managers must include information regarding the same securities vote?</t>
  </si>
  <si>
    <t>Multiple Voting Power Reporting Rules</t>
  </si>
  <si>
    <t>If multiple Institutional Managers hold voting power on the same vote, only one must report the vote information.</t>
  </si>
  <si>
    <t>VotingPowerSameSecurities</t>
  </si>
  <si>
    <t>Can affiliated Institutional Managers file a joint report even if they do not exercise voting power over the same securities?</t>
  </si>
  <si>
    <t>Joint Reporting with Affiliated Managers</t>
  </si>
  <si>
    <t>Affiliated Institutional Managers may file a joint report regardless of whether they exercised voting power over the same securities.</t>
  </si>
  <si>
    <t>JointReportingAffiliated</t>
  </si>
  <si>
    <t>When are Institutional Managers exempt from reporting proxy votes that are reported by a Fund?</t>
  </si>
  <si>
    <t>No Individual Report Requirement</t>
  </si>
  <si>
    <t>An Institutional Manager is not required to report proxy votes disclosed in a Fund's Form N-PX filing.</t>
  </si>
  <si>
    <t>NoReportRequired</t>
  </si>
  <si>
    <t>How should an Institutional Manager identify other Managers or Funds reporting on its behalf?</t>
  </si>
  <si>
    <t>Identifying Additional Reporters</t>
  </si>
  <si>
    <t>An Institutional Manager must identify any other Institutional Managers or Funds reporting votes on its behalf.</t>
  </si>
  <si>
    <t>IdentifyFundReporter</t>
  </si>
  <si>
    <t>How must an Institutional Manager identify other Managers for whom it is reporting votes?</t>
  </si>
  <si>
    <t>Reporting on Behalf of Others</t>
  </si>
  <si>
    <t>Provide details on other Institutional Managers on whose behalf the filing is made.</t>
  </si>
  <si>
    <t>ReportProxyOnBehalf</t>
  </si>
  <si>
    <t>How must a Fund identify Institutional Managers on behalf of which it is filing?</t>
  </si>
  <si>
    <t>Fund Reporting on Behalf</t>
  </si>
  <si>
    <t>Funds must identify Institutional Managers on whose behalf they are filing in the Form N-PX report.</t>
  </si>
  <si>
    <t>FundReportProxyOnBehalf</t>
  </si>
  <si>
    <t>What are the signature requirements for Form N-PX?</t>
  </si>
  <si>
    <t>Signature and Filing Requirements</t>
  </si>
  <si>
    <t>Details on how reports must be signed and filed with the SEC's EDGAR system.</t>
  </si>
  <si>
    <t>SignatureFilingRequirements</t>
  </si>
  <si>
    <t>Form N-PX</t>
  </si>
  <si>
    <t>What are the electronic filing requirements for Form N-PX?</t>
  </si>
  <si>
    <t>Electronic Filing Requirements</t>
  </si>
  <si>
    <t>Requirements for electronically filing Form N-PX via the EDGAR system.</t>
  </si>
  <si>
    <t>ElectronicFilingRequirements</t>
  </si>
  <si>
    <t>What are the key definitions in Form N-PX?</t>
  </si>
  <si>
    <t>Definitions for terms like 'Fund', 'Institutional Manager', 'LEI', 'Reporting Person', and 'Series'.</t>
  </si>
  <si>
    <t>KeyDefinitions</t>
  </si>
  <si>
    <t>What is the initial filing exemption rule for Institutional Managers in the transition period?</t>
  </si>
  <si>
    <t>Initial Filing Exemption</t>
  </si>
  <si>
    <t>Institutional Managers are not required to file a report for the 12-month period ending June 30 of the calendar year when their initial Form 13F is due.</t>
  </si>
  <si>
    <t>InitialFilingExemption</t>
  </si>
  <si>
    <t>What is the final filing exemption rule for Institutional Managers in the transition period?</t>
  </si>
  <si>
    <t>Final Filing Exemption</t>
  </si>
  <si>
    <t>Institutional Managers are not required to file a report for any shareholder votes at meetings after September 30 of the calendar year in which their final Form 13F is due.</t>
  </si>
  <si>
    <t>FinalFilingExemption</t>
  </si>
  <si>
    <t>Special Instructions</t>
  </si>
  <si>
    <t>What are the parts that make up Form N-PX?</t>
  </si>
  <si>
    <t>Organization Structure</t>
  </si>
  <si>
    <t>Format and order guidelines for Cover Page, Summary Page, and Proxy Voting Information in Form N-PX.</t>
  </si>
  <si>
    <t>FormOrganizationStructure</t>
  </si>
  <si>
    <t>How should the Cover Page and Summary Page information be presented?</t>
  </si>
  <si>
    <t>Presentation of Pages</t>
  </si>
  <si>
    <t>Instructions on presenting Cover Page and Summary Page information, including format and additional information guidelines.</t>
  </si>
  <si>
    <t>PresentationOfPages</t>
  </si>
  <si>
    <t>How should amendments to Form N-PX reports be processed?</t>
  </si>
  <si>
    <t>Amendment Reporting</t>
  </si>
  <si>
    <t>Requirements for restating Form N-PX reports with amendments and indicating restatements or new additions.</t>
  </si>
  <si>
    <t>AmendmentReporting</t>
  </si>
  <si>
    <t>Additional Questions</t>
  </si>
  <si>
    <t>How should the report type and list of other reporting persons be provided on the Cover Page?</t>
  </si>
  <si>
    <t>Designation of Report Type</t>
  </si>
  <si>
    <t>Designating the report type for Form N-PX and including the list of other persons reporting when applicable.</t>
  </si>
  <si>
    <t>ReportTypeListDisclosure</t>
  </si>
  <si>
    <t>What additional information regarding Manager's CRD number, SEC file number, and LEI is required?</t>
  </si>
  <si>
    <t>Manager Identifiers</t>
  </si>
  <si>
    <t>Providing CRD number, SEC file number, and LEI of the reporting manager on the Cover Page.</t>
  </si>
  <si>
    <t>ManagerIdentifiers</t>
  </si>
  <si>
    <t>What is the required information for all Institutional Managers included in Form N-PX report?</t>
  </si>
  <si>
    <t>Information about Institutional Managers</t>
  </si>
  <si>
    <t>List institutional managers with votes reported, including their Form 13F file numbers and other identifiers.</t>
  </si>
  <si>
    <t>IncludedInstitutionalManagers</t>
  </si>
  <si>
    <t>What are the specific details needed for each Institutional Manager in the included list?</t>
  </si>
  <si>
    <t>Institutional Manager List</t>
  </si>
  <si>
    <t>Providing numbered list of included Institutional Managers with Form 13F file numbers, CRD numbers, SEC file numbers, and LEIs.</t>
  </si>
  <si>
    <t>InstitutionalManagerListDetails</t>
  </si>
  <si>
    <t>What information is required about the Series of the Fund in the Summary Page of Form N-PX?</t>
  </si>
  <si>
    <t>Information about Series</t>
  </si>
  <si>
    <t>Including the number and names of Series in the Fund, their identification numbers, and LEIs.</t>
  </si>
  <si>
    <t>SeriesInformation</t>
  </si>
  <si>
    <t>What specific information is required for proxy voting records in Form N-PX?</t>
  </si>
  <si>
    <t>Details such as issuer name, CUSIP, ISIN, meeting date, and voting specifics required for creating comprehensive proxy voting records.</t>
  </si>
  <si>
    <t>ProxyVotingDisclosureSteps</t>
  </si>
  <si>
    <t>What are the requirements for including CUSIP in Form N-PX?</t>
  </si>
  <si>
    <t>CUSIP Inclusion</t>
  </si>
  <si>
    <t>Necessity of providing CUSIP numbers or alternate identifiers if CUSIP is unavailable.</t>
  </si>
  <si>
    <t>CUSIPRequirement</t>
  </si>
  <si>
    <t>B. Assets, financing, and investor concentration</t>
  </si>
  <si>
    <t>What guidelines should be followed for identifying the matters voted on in proxy votes?</t>
  </si>
  <si>
    <t>Identifying Voting Matters</t>
  </si>
  <si>
    <t>Proper identification and categorization of matters voted on as per descriptions used in proxy forms or brief descriptions.</t>
  </si>
  <si>
    <t>MatterIdentification</t>
  </si>
  <si>
    <t>How should the voting matters be categorized for reporting purposes?</t>
  </si>
  <si>
    <t>Categorizing Voting Matters</t>
  </si>
  <si>
    <t>Categorization of voting matters using specified list and additional brief description if none apply.</t>
  </si>
  <si>
    <t>MatterCategorization</t>
  </si>
  <si>
    <t>What are the requirements for reporting the number of shares voted in each case?</t>
  </si>
  <si>
    <t>Number of Shares Voted</t>
  </si>
  <si>
    <t>Reporting shares voted based on records at the filing time, with options for updating if actual numbers differ post-confirmation.</t>
  </si>
  <si>
    <t>ReportingSharesVoted</t>
  </si>
  <si>
    <t>How should Institutional Managers report proxy votes when voting on behalf of another manager?</t>
  </si>
  <si>
    <t>Shares Voted on Behalf</t>
  </si>
  <si>
    <t>Reporting votes on behalf of other Institutional Managers with details on the shares and the respective managers.</t>
  </si>
  <si>
    <t>ReportingBehalfOfOthers</t>
  </si>
  <si>
    <t>How should shares that were loaned and not recalled be reported?</t>
  </si>
  <si>
    <t>Loaned Securities Report</t>
  </si>
  <si>
    <t>Reporting the number of shares loaned and not recalled for voting purposes.</t>
  </si>
  <si>
    <t>ReportingLoanedSecurities</t>
  </si>
  <si>
    <t>How should adherence to or deviation from management's voting recommendations be disclosed?</t>
  </si>
  <si>
    <t>Management Recommendation Reporting</t>
  </si>
  <si>
    <t>Reporting whether votes were cast in alignment with management's recommendation.</t>
  </si>
  <si>
    <t>ManagementRecommendation</t>
  </si>
  <si>
    <t>How should information regarding the specific Series or Institutional Manager that voted be reported?</t>
  </si>
  <si>
    <t>Series and Manager Identification</t>
  </si>
  <si>
    <t>Identifying the Series or Institutional Manager by number and name in the voting report.</t>
  </si>
  <si>
    <t>IdentifyingSeriesManager</t>
  </si>
  <si>
    <t>What optional information can be included in the proxy voting information section?</t>
  </si>
  <si>
    <t>Additional Voting Information</t>
  </si>
  <si>
    <t>Providing any other relevant information about the matter or voting process, optionally, in the report.</t>
  </si>
  <si>
    <t>AdditionalInfoProxyVoting</t>
  </si>
  <si>
    <t>Form N-PX Cover Page</t>
  </si>
  <si>
    <t>What information is required on the Cover Page of Form N-PX?</t>
  </si>
  <si>
    <t>Cover Page Details</t>
  </si>
  <si>
    <t>Information including reporting person's name, address, report specifics, SEC file numbers, CRD number, LEI, and amendments.</t>
  </si>
  <si>
    <t>CoverPageDetails</t>
  </si>
  <si>
    <t>Form N-PX Summary Page</t>
  </si>
  <si>
    <t>What information is required on the Summary Page of Form N-PX?</t>
  </si>
  <si>
    <t>Summary Page Details</t>
  </si>
  <si>
    <t>Information about Institutional Managers and Series included in the report, formatted as per instructions.</t>
  </si>
  <si>
    <t>SummaryPageDetails</t>
  </si>
  <si>
    <t>Form N-PX Item 1</t>
  </si>
  <si>
    <t>What information is required for each proxy voting record in Form N-PX?</t>
  </si>
  <si>
    <t>Proxy Voting Record Details</t>
  </si>
  <si>
    <t>Details including issuer name, CUSIP, ISIN, meeting date, matter identification, voting categories, shares voted, and voting outcome.</t>
  </si>
  <si>
    <t>ProxyVotingRecordDetails</t>
  </si>
  <si>
    <t>Instructions for Confidential Treatment Requests</t>
  </si>
  <si>
    <t>What are the steps for filing a confidential treatment request?</t>
  </si>
  <si>
    <t>Confidential Request Details</t>
  </si>
  <si>
    <t>Instructions for making confidential treatment requests, including necessary explanations and submission requirements.</t>
  </si>
  <si>
    <t>ConfidentialRequestDetails</t>
  </si>
  <si>
    <t>When should Form N-RN be used?</t>
  </si>
  <si>
    <t>General Rule</t>
  </si>
  <si>
    <t>Rule for when and why Form N-RN should be used.</t>
  </si>
  <si>
    <t>FormN-RNUsageRule</t>
  </si>
  <si>
    <t>When must a report on Form N-RN be filed after an event occurs?</t>
  </si>
  <si>
    <t>Reporting Deadline</t>
  </si>
  <si>
    <t>Deadline details for filing Form N-RN after an event.</t>
  </si>
  <si>
    <t>FormN-RNDeadline</t>
  </si>
  <si>
    <t>Which parts of Form N-RN should registrants complete?</t>
  </si>
  <si>
    <t>Compliance Requirements</t>
  </si>
  <si>
    <t>Instructions for registrants on which parts to complete based on their type and regulation.</t>
  </si>
  <si>
    <t>ComplianceRequirements</t>
  </si>
  <si>
    <t>What general rules and regulations must be followed for filing Form N-RN?</t>
  </si>
  <si>
    <t>General rules under the Investment Company Act to be followed when filing Form N-RN.</t>
  </si>
  <si>
    <t>What items and parts must be included in filing Form N-RN?</t>
  </si>
  <si>
    <t>Information to Include</t>
  </si>
  <si>
    <t>Information required to be included in reports filed on Form N-RN.</t>
  </si>
  <si>
    <t>InformationIncludedInReport</t>
  </si>
  <si>
    <t>What is the procedure for filing Form N-RN?</t>
  </si>
  <si>
    <t>Filing Procedure</t>
  </si>
  <si>
    <t>Procedure for electronic filing of Form N-RN using the EDGAR system.</t>
  </si>
  <si>
    <t>ProcedureForFiling</t>
  </si>
  <si>
    <t>What is the Paperwork Reduction Act information for Form N-RN?</t>
  </si>
  <si>
    <t>PRA Information</t>
  </si>
  <si>
    <t>Paperwork Reduction Act details and burden estimate information for Form N-RN.</t>
  </si>
  <si>
    <t>PRAInformation</t>
  </si>
  <si>
    <t>What are the key definitions in Form N-RN?</t>
  </si>
  <si>
    <t>Definitions of terms used throughout Form N-RN.</t>
  </si>
  <si>
    <t>KeyDefinitionsN-RN</t>
  </si>
  <si>
    <t>What are the general information items required in Part A of Form N-RN?</t>
  </si>
  <si>
    <t>General Information Items</t>
  </si>
  <si>
    <t>General information including report date, name, CIK number, series name, and contact details.</t>
  </si>
  <si>
    <t>GeneralInformationItems</t>
  </si>
  <si>
    <t>Form N-RN</t>
  </si>
  <si>
    <t>Item A.1</t>
  </si>
  <si>
    <t>What is the report date in mm/dd/yyyy format?</t>
  </si>
  <si>
    <t>Report Date</t>
  </si>
  <si>
    <t>Date on which the report is being filed.</t>
  </si>
  <si>
    <t>ReportDate</t>
  </si>
  <si>
    <t>Item A.2</t>
  </si>
  <si>
    <t>What is the name of the registrant?</t>
  </si>
  <si>
    <t>Name of the registrant filing the report.</t>
  </si>
  <si>
    <t>RegistrantName</t>
  </si>
  <si>
    <t>Item A.3</t>
  </si>
  <si>
    <t>What is the CIK number of the registrant?</t>
  </si>
  <si>
    <t>Registrant CIK</t>
  </si>
  <si>
    <t>Central Index Key (CIK) number assigned to the registrant.</t>
  </si>
  <si>
    <t>RegistrantCIK</t>
  </si>
  <si>
    <t>Item A.4</t>
  </si>
  <si>
    <t>What is the name of the Series, if applicable?</t>
  </si>
  <si>
    <t>Name of the Series, if the report pertains to a specific series of the registrant.</t>
  </si>
  <si>
    <t>SeriesName</t>
  </si>
  <si>
    <t>Item A.5</t>
  </si>
  <si>
    <t>What is the EDGAR Series Identifier, if applicable?</t>
  </si>
  <si>
    <t>EDGAR Series Identifier</t>
  </si>
  <si>
    <t>EDGAR Series Identifier for the series, if applicable.</t>
  </si>
  <si>
    <t>EDGARSeriesIdentifier</t>
  </si>
  <si>
    <t>Item A.6</t>
  </si>
  <si>
    <t>What is the Securities Act File Number, if applicable?</t>
  </si>
  <si>
    <t>Securities Act File Number associated with the registrant.</t>
  </si>
  <si>
    <t>SecuritiesActFileNumber</t>
  </si>
  <si>
    <t>Item A.7</t>
  </si>
  <si>
    <t>What is the name, e-mail address, and telephone number of the person authorized to respond about this form?</t>
  </si>
  <si>
    <t>Name and contact details of the person authorized to receive information and respond to questions about Form N-RN.</t>
  </si>
  <si>
    <t>AuthorizedContactInformation</t>
  </si>
  <si>
    <t>Above 15% Illiquid Investments</t>
  </si>
  <si>
    <t>What event details must be reported when illiquid investments exceed 15% of net assets?</t>
  </si>
  <si>
    <t>Information about the date and percentage of illiquid investments exceeding 15% of net assets.</t>
  </si>
  <si>
    <t>Above15PercentIlliquidInvestments</t>
  </si>
  <si>
    <t>When did the illiquid investments exceed 15% of registrant's net assets?</t>
  </si>
  <si>
    <t>Date Illiquid Exceeded 15%</t>
  </si>
  <si>
    <t>Date(s) on which illiquid investments exceeded 15% of the net assets.</t>
  </si>
  <si>
    <t>DateExceeded15Percent</t>
  </si>
  <si>
    <t>What is the current percentage of net assets that are illiquid investments?</t>
  </si>
  <si>
    <t>Current Illiquid Percentage</t>
  </si>
  <si>
    <t>The current percentage of the registrant's net assets that are illiquid investments.</t>
  </si>
  <si>
    <t>CurrentIlliquidPercentage</t>
  </si>
  <si>
    <t>What are the details of each illiquid investment held by the registrant?</t>
  </si>
  <si>
    <t>Illiquid Investments Details</t>
  </si>
  <si>
    <t>Identification details and percentage of each illiquid investment in the registrant's portfolio.</t>
  </si>
  <si>
    <t>IlliquidInvestmentsIdentification</t>
  </si>
  <si>
    <t>At or Below 15% Illiquid Investments</t>
  </si>
  <si>
    <t>C. Performance Information</t>
  </si>
  <si>
    <t>What event details must be reported when illiquid investments fall to or below 15% of net assets?</t>
  </si>
  <si>
    <t>Information about the date and percentage of illiquid investments falling to or below 15% of net assets.</t>
  </si>
  <si>
    <t>AtOrBelow15PercentIlliquidInvestments</t>
  </si>
  <si>
    <t>When did the illiquid investments fall to or below 15% of registrant's net assets?</t>
  </si>
  <si>
    <t>Date Illiquid Fell to or Below 15%</t>
  </si>
  <si>
    <t>Date(s) on which illiquid investments fell to or below 15% of the net assets.</t>
  </si>
  <si>
    <t>DateFellOrBelow15Percent</t>
  </si>
  <si>
    <t>PART D</t>
  </si>
  <si>
    <t>Assets that Are Highly Liquid Investments Below the Highly Liquid Investment Minimum</t>
  </si>
  <si>
    <t>Information about the hedge funds you advise</t>
  </si>
  <si>
    <t>What event details must be reported when highly liquid assets fall below the registrant's highly liquid investment minimum?</t>
  </si>
  <si>
    <t>Below Highly Liquid Investment Minimum</t>
  </si>
  <si>
    <t>Information about the date and status of highly liquid investments falling below the minimum for over 7 consecutive days.</t>
  </si>
  <si>
    <t>HighlyLiquidAssetsBelowMinimum</t>
  </si>
  <si>
    <t>Item D.1</t>
  </si>
  <si>
    <t>When did the highly liquid investments fall below the highly liquid investment minimum?</t>
  </si>
  <si>
    <t>Date Below Liquid Minimum</t>
  </si>
  <si>
    <t>Date(s) on which highly liquid investments fell below the registrant's highly liquid investment minimum.</t>
  </si>
  <si>
    <t>DateHighlyLiquidBelowMinimum</t>
  </si>
  <si>
    <t>PART E</t>
  </si>
  <si>
    <t>Relative VaR Test Breaches</t>
  </si>
  <si>
    <t>What are the event details required for non-compliance with the relative VaR test that lasts over 5 business days?</t>
  </si>
  <si>
    <t>Reporting dates and details for breaches of the relative VaR test exceeding 5 business days.</t>
  </si>
  <si>
    <t>RelativeVaRTestBreaches</t>
  </si>
  <si>
    <t>Item E.1</t>
  </si>
  <si>
    <t>On what dates did the registrant's VaR exceed 200% or 250% of its reference portfolio's VaR?</t>
  </si>
  <si>
    <t>Dates Exceeded VaR Limit</t>
  </si>
  <si>
    <t>Dates on which the VaR of the registrant's portfolio exceeded the allowed percentage of its designated reference portfolio.</t>
  </si>
  <si>
    <t>VaRLimitBreaches</t>
  </si>
  <si>
    <t>Item E.2</t>
  </si>
  <si>
    <t>B. Certain information regarding the reporting fund</t>
  </si>
  <si>
    <t>What was the value-at-risk (VaR) of the registrant's portfolio on each date it exceeded the VaR limit?</t>
  </si>
  <si>
    <t>Portfolio VaR</t>
  </si>
  <si>
    <t>The VaR of the registrant's portfolio on the dates each exceedance of the VaR limit occurred.</t>
  </si>
  <si>
    <t>PortfolioVaR</t>
  </si>
  <si>
    <t>Item E.3</t>
  </si>
  <si>
    <t>What was the value-at-risk (VaR) of the registrant's reference portfolio on each exceedance date?</t>
  </si>
  <si>
    <t>Reference Portfolio VaR</t>
  </si>
  <si>
    <t>The VaR of the registrant's designated reference portfolio on the dates each exceedance occurred.</t>
  </si>
  <si>
    <t>ReferencePortfolioVaR</t>
  </si>
  <si>
    <t>Item E.4</t>
  </si>
  <si>
    <t>What was the registrant's designated reference portfolio for the VaR test purposes?</t>
  </si>
  <si>
    <t>Designated Reference Portfolio</t>
  </si>
  <si>
    <t>Identification of the registrant's designated reference portfolio for the VaR test reporting purposes.</t>
  </si>
  <si>
    <t>ReferencePortfolio</t>
  </si>
  <si>
    <t>Item E.5</t>
  </si>
  <si>
    <t>What is the index identifier for the registrant's designated index for VaR test purposes?</t>
  </si>
  <si>
    <t>Index Identifier</t>
  </si>
  <si>
    <t>The index identifier for the registrant's designated reference index for VaR test purposes.</t>
  </si>
  <si>
    <t>IndexIdentifier</t>
  </si>
  <si>
    <t>PART F</t>
  </si>
  <si>
    <t>Absolute VaR Test Breaches</t>
  </si>
  <si>
    <t>What are the event details required for non-compliance with the absolute VaR test that lasts over 5 business days?</t>
  </si>
  <si>
    <t>Reporting dates and details for breaches of the absolute VaR test exceeding 5 business days.</t>
  </si>
  <si>
    <t>AbsoluteVaRTestBreaches</t>
  </si>
  <si>
    <t>Item F.1</t>
  </si>
  <si>
    <t>On what dates did the registrant's VaR exceed 20% or 25% of the value of its net assets?</t>
  </si>
  <si>
    <t>Dates on which the VaR of the registrant's portfolio exceeded the allowed percentage of its net assets.</t>
  </si>
  <si>
    <t>Item F.2</t>
  </si>
  <si>
    <t>What was the value-at-risk (VaR) of the registrant's portfolio on each date it exceeded the absolute VaR limit?</t>
  </si>
  <si>
    <t>The VaR of the registrant's portfolio on the dates each exceedance of the absolute VaR limit occurred.</t>
  </si>
  <si>
    <t>Item F.3</t>
  </si>
  <si>
    <t>What was the value of the registrant's net assets on the dates each exceedance of the absolute VaR limit occurred?</t>
  </si>
  <si>
    <t>The value of the registrant's net assets on the dates each exceedance of the absolute VaR limit occurred.</t>
  </si>
  <si>
    <t>NetAssetsValue</t>
  </si>
  <si>
    <t>PART G</t>
  </si>
  <si>
    <t xml:space="preserve"> Compliance with VaR Test</t>
  </si>
  <si>
    <t>What are the details required when a registrant comes back into compliance with the VaR test?</t>
  </si>
  <si>
    <t>Compliance with VaR Test</t>
  </si>
  <si>
    <t>Reporting compliance dates and current VaR after coming back into compliance.</t>
  </si>
  <si>
    <t>ComplianceWithVaR</t>
  </si>
  <si>
    <t>Item G.1</t>
  </si>
  <si>
    <t>What were the dates on which the portfolio exceeded the VaR limits before coming back into compliance?</t>
  </si>
  <si>
    <t>Dates on which the registrant's portfolio exceeded the VaR limit before coming back into compliance.</t>
  </si>
  <si>
    <t>Item G.2</t>
  </si>
  <si>
    <t>What is the current VaR of the registrant's portfolio after coming back into compliance?</t>
  </si>
  <si>
    <t>Current Portfolio VaR</t>
  </si>
  <si>
    <t>The current VaR of the registrant's portfolio after returning to compliance with the VaR test.</t>
  </si>
  <si>
    <t>CurrentPortfolioVaR</t>
  </si>
  <si>
    <t>PART H</t>
  </si>
  <si>
    <t>What optional explanatory notes can be included in Form N-RN?</t>
  </si>
  <si>
    <t>Additional information that might help understand the information reported in Form N-RN.</t>
  </si>
  <si>
    <t>ExplanatoryNotes</t>
  </si>
  <si>
    <t>What is the Investment Adviser Act SEC File Number?</t>
  </si>
  <si>
    <t>SEC File Number assigned to the investment adviser.</t>
  </si>
  <si>
    <t>SECFileNumber</t>
  </si>
  <si>
    <t>What is the State Identification Number and the examination completion date?</t>
  </si>
  <si>
    <t>State Identification Number</t>
  </si>
  <si>
    <t>State Identification Number and examination completion date of the investment adviser.</t>
  </si>
  <si>
    <t>StateIdentificationNumber</t>
  </si>
  <si>
    <t>What is the full name of the Investment Adviser (include last, first, middle name if individual)?</t>
  </si>
  <si>
    <t>Full Name of Investment Adviser</t>
  </si>
  <si>
    <t>Complete name of the investment adviser.</t>
  </si>
  <si>
    <t>FullNameOfInvestmentAdviser</t>
  </si>
  <si>
    <t>Under what name is the business conducted (if different from the full name mentioned above)?</t>
  </si>
  <si>
    <t>Business Conducted Name</t>
  </si>
  <si>
    <t>Name under which the business is conducted if different from the name mentioned in question 3.</t>
  </si>
  <si>
    <t>BusinessConductedName</t>
  </si>
  <si>
    <t>Information about qualifying hedge funds that you advise</t>
  </si>
  <si>
    <t>What is the address of the principal place of business (include number, street, city, state, zip code)?</t>
  </si>
  <si>
    <t>Principal Business Address</t>
  </si>
  <si>
    <t>Complete address of the principal place of business of the investment adviser.</t>
  </si>
  <si>
    <t>PrincipalBusinessAddress</t>
  </si>
  <si>
    <t>INSTRUCTIONS</t>
  </si>
  <si>
    <t>How should the Form ADV-E be completed by the investment adviser?</t>
  </si>
  <si>
    <t>Completing the Form</t>
  </si>
  <si>
    <t>Instructions for completing the Form ADV-E by the investment adviser.</t>
  </si>
  <si>
    <t>CompletingForm</t>
  </si>
  <si>
    <t>Who should receive the completed Form from the investment adviser?</t>
  </si>
  <si>
    <t>Form Submission to Accountant</t>
  </si>
  <si>
    <t>Instructions for submitting the completed Form to the independent public accountant.</t>
  </si>
  <si>
    <t>FormSubmissionToAccountant</t>
  </si>
  <si>
    <t>3(i)</t>
  </si>
  <si>
    <t>What must the independent public accountant submit electronically on the Investment Adviser Registration Depository (IARD)?</t>
  </si>
  <si>
    <t>Certificate of Accounting Requirements</t>
  </si>
  <si>
    <t>Requirements for the independent public accountant to submit the completed Form and certificate of accounting electronically.</t>
  </si>
  <si>
    <t>CertificateOfAccountingRequirements</t>
  </si>
  <si>
    <t>3(ii)(A)</t>
  </si>
  <si>
    <t>B. Reporting fund exposures and trading</t>
  </si>
  <si>
    <t>What should be included in the statement submitted by the accountant upon resignation, dismissal, or other termination?</t>
  </si>
  <si>
    <t>Termination Statement Requirements</t>
  </si>
  <si>
    <t>Requirements for the statement submitted by the accountant upon resignation, dismissal, or other termination, including date and contact information.</t>
  </si>
  <si>
    <t>TerminationStatementRequirements</t>
  </si>
  <si>
    <t xml:space="preserve">Form ADV-E </t>
  </si>
  <si>
    <t>3(ii)(B)</t>
  </si>
  <si>
    <t>What explanation is needed for problems relating to examination scope or procedure that led to termination?</t>
  </si>
  <si>
    <t>Examination Problems Explanation</t>
  </si>
  <si>
    <t>Explanation of problems related to the examination scope or procedure that contributed to the accountant’s resignation, dismissal, or other termination.</t>
  </si>
  <si>
    <t>ExaminationProblemsExplanation</t>
  </si>
  <si>
    <t>SEC’S COLLECTION OF INFORMATION.</t>
  </si>
  <si>
    <t>What is the principal purpose of collecting information on the Form ADV-E?</t>
  </si>
  <si>
    <t>Collection of Information Purpose</t>
  </si>
  <si>
    <t>The principal purpose of collecting information on Form ADV-E, including making examination certificates accessible and ensuring compliance verification.</t>
  </si>
  <si>
    <t>CollectionOfInformationPurpose</t>
  </si>
  <si>
    <t>Filing Requirement</t>
  </si>
  <si>
    <t>Criteria for determining who is required to complete and file Form PF under SEC and CFTC regulations.</t>
  </si>
  <si>
    <t>FilingRequirement</t>
  </si>
  <si>
    <t>I have a related person who is required to file Form PF. May I and my related person file a single Form PF?</t>
  </si>
  <si>
    <t>Related Person Filing</t>
  </si>
  <si>
    <t>Instructions on whether related persons can file a single Form PF and the requirements for doing so.</t>
  </si>
  <si>
    <t>RelatedPersonFiling</t>
  </si>
  <si>
    <t>How is Form PF organized?</t>
  </si>
  <si>
    <t>Form Organization</t>
  </si>
  <si>
    <t>Structure and organization of Form PF, including sections and specific requirements for each.</t>
  </si>
  <si>
    <t>I am a subadviser or engage a subadviser for a private fund. Who is responsible for reporting information about that private fund?</t>
  </si>
  <si>
    <t>Subadviser Reporting</t>
  </si>
  <si>
    <t>Guidelines for determining responsibility for reporting information when subadvisers are involved.</t>
  </si>
  <si>
    <t>SubadviserResponsibility</t>
  </si>
  <si>
    <t>When am I required to aggregate information regarding parallel funds, parallel managed accounts, master-feeder arrangements, and funds managed by related persons?</t>
  </si>
  <si>
    <t>Reporting Threshold Aggregation</t>
  </si>
  <si>
    <t>Details on when to aggregate information for parallel funds, managed accounts, and master-feeder structures to meet reporting thresholds.</t>
  </si>
  <si>
    <t>ThresholdAggregation</t>
  </si>
  <si>
    <t>How do I report information regarding parallel funds, parallel managed accounts, master-feeder arrangements, and funds reported by related persons?</t>
  </si>
  <si>
    <t>Reporting Information</t>
  </si>
  <si>
    <t>Guidelines for reporting information on parallel funds, managed accounts, master-feeder arrangements, and related person funds.</t>
  </si>
  <si>
    <t>ParallelFundsReporting</t>
  </si>
  <si>
    <t>I advise a private fund that invests in other private funds (e.g., a "fund of funds") or trading vehicles. How should I treat these investments for purposes of Form PF?</t>
  </si>
  <si>
    <t>Fund of Funds and Trading Vehicles</t>
  </si>
  <si>
    <t>Instructions on how to treat investments in other private funds and trading vehicles for reporting purposes in Form PF.</t>
  </si>
  <si>
    <t>FundOfFundsTreatment</t>
  </si>
  <si>
    <t>I advise a private fund that invests in funds or other entities that are not private funds or trading vehicles. How should I treat these investments for purposes of Form PF?</t>
  </si>
  <si>
    <t>Non-Private Fund Investment Treatment</t>
  </si>
  <si>
    <t>Guidelines on how to treat investments in non-private funds and other entities for Form PF reporting purposes.</t>
  </si>
  <si>
    <t>NonPrivateFundTreatment</t>
  </si>
  <si>
    <t>When am I required to update Form PF?</t>
  </si>
  <si>
    <t>Update Requirements</t>
  </si>
  <si>
    <t>Conditions and timing for updating information in Form PF submissions.</t>
  </si>
  <si>
    <t>UpdateRequirements</t>
  </si>
  <si>
    <t>How do I obtain private fund identification numbers for my reporting funds?</t>
  </si>
  <si>
    <t>Identification Numbers</t>
  </si>
  <si>
    <t>Procedures for obtaining private fund identification numbers required for Form PF reporting.</t>
  </si>
  <si>
    <t>IdentificationNumbers</t>
  </si>
  <si>
    <t>Who must sign my Form PF or update?</t>
  </si>
  <si>
    <t>Signatory Authority</t>
  </si>
  <si>
    <t>Requirements for individuals authorized to sign Form PF submissions and updates.</t>
  </si>
  <si>
    <t>SignatoryAuthority</t>
  </si>
  <si>
    <t>How do I file my Form PF?</t>
  </si>
  <si>
    <t>Filing Procedures</t>
  </si>
  <si>
    <t>Process for electronically filing Form PF using the Investment Adviser Registration Depository (IARD) system.</t>
  </si>
  <si>
    <t>FilingProcedures</t>
  </si>
  <si>
    <t>Are there filing fees?</t>
  </si>
  <si>
    <t>Filing Fees</t>
  </si>
  <si>
    <t>Information about filing fees associated with submitting Form PF.</t>
  </si>
  <si>
    <t>FilingFees</t>
  </si>
  <si>
    <t>What if I am not able to file electronically?</t>
  </si>
  <si>
    <t>Hardship Exemption</t>
  </si>
  <si>
    <t>Details on how to request a temporary hardship exemption for electronic filing issuess.</t>
  </si>
  <si>
    <t>HardshipExemption</t>
  </si>
  <si>
    <t>May I rely on my own methodologies in responding to Form PF? How should I enter requested information?</t>
  </si>
  <si>
    <t>Methodologies and Data Entry</t>
  </si>
  <si>
    <t>Guidelines on using internal methodologies for reporting and conventions for data entry for Form PF.</t>
  </si>
  <si>
    <t>InternalMethodologies</t>
  </si>
  <si>
    <t>How do I amend Form PF, for example, to make a correction?</t>
  </si>
  <si>
    <t>Procedures for amending Form PF to correct errors or provide updates as necessary.</t>
  </si>
  <si>
    <t>AmendingForm</t>
  </si>
  <si>
    <t>How may I preserve on Form PF the anonymity of a private fund that I advise?</t>
  </si>
  <si>
    <t>Anonymity Preservation</t>
  </si>
  <si>
    <t>Instructions on preserving the anonymity of a private fund when filing Form PF by using codes or other designations.</t>
  </si>
  <si>
    <t>FundAnonymity</t>
  </si>
  <si>
    <t>C. Reporting fund risk metrics and performance</t>
  </si>
  <si>
    <t>How should I treat a commodity pool for purposes of Form PF?</t>
  </si>
  <si>
    <t>Commodity Pool Treatment</t>
  </si>
  <si>
    <t>Guidelines on treating and reporting commodity pools when completing Form PF.</t>
  </si>
  <si>
    <t>CommodityPoolTreatment</t>
  </si>
  <si>
    <t>Section 1a</t>
  </si>
  <si>
    <t>Information About You and Your Related Persons</t>
  </si>
  <si>
    <t>Check the box that indicates what you would like to do.</t>
  </si>
  <si>
    <t>Selection for Filing</t>
  </si>
  <si>
    <t>Options to select the type of filing such as first filing, annual update, amendment, final filing, or hardship exemption.</t>
  </si>
  <si>
    <t>FilingOptions</t>
  </si>
  <si>
    <t>What is your name and the identifying information requested?</t>
  </si>
  <si>
    <t>Adviser &amp; Related Person Information</t>
  </si>
  <si>
    <t>Details required for the investment adviser and any related persons, including names, ID numbers, and relevant identifiers.</t>
  </si>
  <si>
    <t>AdviserInformation</t>
  </si>
  <si>
    <t>Item A, 1(a)</t>
  </si>
  <si>
    <t>Provide your full legal name, NFA ID Number, SEC 801-Number, Large trader ID, Large trader ID suffix, LEI, if any</t>
  </si>
  <si>
    <t>Legal Name Identification</t>
  </si>
  <si>
    <t>Information such as legal name, NFA ID, SEC number, trader ID, suffix, and LEI of the adviser for identification purposes.</t>
  </si>
  <si>
    <t>LegalNameIdentification</t>
  </si>
  <si>
    <t>Item A, 1(b)</t>
  </si>
  <si>
    <t>Provide the following information for each of the related persons</t>
  </si>
  <si>
    <t>Related Persons</t>
  </si>
  <si>
    <t>Information including legal name, SEC number, NFA ID number, large trader ID, suffix, and LEI for related persons.</t>
  </si>
  <si>
    <t>RelatedPersonsInformation</t>
  </si>
  <si>
    <t>Item A, 1(c)</t>
  </si>
  <si>
    <t>Provide the information for yourself and each of the related persons that is registered or required to be registered as a CPO and/or CTA</t>
  </si>
  <si>
    <t>CPO/CTA Information</t>
  </si>
  <si>
    <t>Details about the adviser and related persons registered as CPO or CTA, including the registration status (CPO, CTA, or both).</t>
  </si>
  <si>
    <t>CPOInformation</t>
  </si>
  <si>
    <t>Provide the signatures of sole proprietor or authorized representatives on behalf of the adviser firm and related persons</t>
  </si>
  <si>
    <t>Certification and Signatures</t>
  </si>
  <si>
    <t>Certification details including the name, title, email address, telephone contact number, and date of signature for authorized personnel of the adviser firm and related persons.</t>
  </si>
  <si>
    <t>Item B, 3</t>
  </si>
  <si>
    <t>Provide a breakdown of your regulatory assets under management and your net assets under management</t>
  </si>
  <si>
    <t>Asset Breakdown</t>
  </si>
  <si>
    <t>Details on the regulatory and net assets managed, categorized by fund types such as hedge funds, liquidity funds, private equity funds, etc.</t>
  </si>
  <si>
    <t>AssetBreakdown</t>
  </si>
  <si>
    <t>Item C, 4</t>
  </si>
  <si>
    <t>You may use the space to explain any assumptions that you made in responding to any question in this Form PF</t>
  </si>
  <si>
    <t>Additional space provided for the adviser to explain assumptions made in the responses or to provide additional context to the information provided</t>
  </si>
  <si>
    <t>Section 1b</t>
  </si>
  <si>
    <t>What information about private funds do you need to provide?</t>
  </si>
  <si>
    <t>Fund Information</t>
  </si>
  <si>
    <t>Complete a separate Section 1b for each private fund that you advise, except as provided by Instruction 6</t>
  </si>
  <si>
    <t>FundInformation</t>
  </si>
  <si>
    <t>Item A, 5</t>
  </si>
  <si>
    <t>What are the name and identifying details of the reporting fund?</t>
  </si>
  <si>
    <t>Fund Identifiers</t>
  </si>
  <si>
    <t>Provide the name, private fund identification number, NFA identification number, and LEI, if any, for the reporting fund</t>
  </si>
  <si>
    <t>FundIdentifiers</t>
  </si>
  <si>
    <t>Item A, 5(a)</t>
  </si>
  <si>
    <t>Information about liquidity funds that you advise</t>
  </si>
  <si>
    <t>What is the name of the reporting fund?</t>
  </si>
  <si>
    <t>Fund Name</t>
  </si>
  <si>
    <t>The legal name of the reporting fund</t>
  </si>
  <si>
    <t>FundName</t>
  </si>
  <si>
    <t>Item A, 5(b)</t>
  </si>
  <si>
    <t>A. Reporting fund identifying and operational information</t>
  </si>
  <si>
    <t>What is the private fund identification number of the reporting fund?</t>
  </si>
  <si>
    <t>Fund ID</t>
  </si>
  <si>
    <t>Private fund identification number as assigned on Form ADV Schedule D</t>
  </si>
  <si>
    <t>FundID</t>
  </si>
  <si>
    <t>Item A, 5(c)</t>
  </si>
  <si>
    <t>What is the NFA identification number of the reporting fund, if applicable?</t>
  </si>
  <si>
    <t>NFA ID</t>
  </si>
  <si>
    <t>NFA identification number of the reporting fund</t>
  </si>
  <si>
    <t>NFAID</t>
  </si>
  <si>
    <t>Item A, 5(d)</t>
  </si>
  <si>
    <t>What is the LEI of the reporting fund, if any?</t>
  </si>
  <si>
    <t>LEI of the reporting fund, if available</t>
  </si>
  <si>
    <t>Item A, 6(a)</t>
  </si>
  <si>
    <t>Fund Type Information</t>
  </si>
  <si>
    <t>Specify whether the reporting fund is a hedge fund, liquidity fund, private equity fund, real estate fund, securitized asset fund, venture capital fund, or other</t>
  </si>
  <si>
    <t>FundType</t>
  </si>
  <si>
    <t>Item A, 6(b)</t>
  </si>
  <si>
    <t>Is the reporting fund a commodity pool?</t>
  </si>
  <si>
    <t>Commodity Pool Information</t>
  </si>
  <si>
    <t>Determine whether the reporting fund operates as a commodity pool under CFTC regulations</t>
  </si>
  <si>
    <t>CommodityPool</t>
  </si>
  <si>
    <t>Item A, 6(c)</t>
  </si>
  <si>
    <t>B. Reporting fund assets</t>
  </si>
  <si>
    <t>Does the reporting fund operate as a UCITS?</t>
  </si>
  <si>
    <t>UCITS Information</t>
  </si>
  <si>
    <t>Determine whether the reporting fund operates under the UCITS Directive of the European Union</t>
  </si>
  <si>
    <t>UCITS</t>
  </si>
  <si>
    <t>Item A, 6(d)</t>
  </si>
  <si>
    <t>In what countries does the reporting fund operate as a UCITS?</t>
  </si>
  <si>
    <t>UCITS Countries</t>
  </si>
  <si>
    <t>Provide a list of countries where the reporting fund operates as a UCITS</t>
  </si>
  <si>
    <t>UCITSCountries</t>
  </si>
  <si>
    <t>Item A, 6(e)</t>
  </si>
  <si>
    <t>Does the reporting fund operate as an AIF?</t>
  </si>
  <si>
    <t>AIF Information</t>
  </si>
  <si>
    <t>Determine whether the reporting fund operates as an Alternative Investment Fund under applicable European regulations</t>
  </si>
  <si>
    <t>AIF</t>
  </si>
  <si>
    <t>Item A, 6(f)</t>
  </si>
  <si>
    <t>In what countries does the reporting fund operate as an AIF?</t>
  </si>
  <si>
    <t>AIF Countries</t>
  </si>
  <si>
    <t>Provide a list of countries where the reporting fund operates as an AIF</t>
  </si>
  <si>
    <t>AIFCountries</t>
  </si>
  <si>
    <t>Item A, 6(g)</t>
  </si>
  <si>
    <t>Does the reporting fund offer itself as a money market fund outside the United States?</t>
  </si>
  <si>
    <t>Money Market Fund Information</t>
  </si>
  <si>
    <t>Determine if the fund markets itself as a money market fund in non-U.S. jurisdictions</t>
  </si>
  <si>
    <t>MoneyMarketFundOutsideUS</t>
  </si>
  <si>
    <t>Item A, 6(h)</t>
  </si>
  <si>
    <t>In what countries does the reporting fund offer itself as a money market fund?</t>
  </si>
  <si>
    <t>Money Market Fund Countries</t>
  </si>
  <si>
    <t>Provide the countries where the reporting fund operates as a money market fund</t>
  </si>
  <si>
    <t>MoneyMarketFundCountries</t>
  </si>
  <si>
    <t>Item A, 7(a)</t>
  </si>
  <si>
    <t>Is the reporting fund the master fund of a master-feeder arrangement?</t>
  </si>
  <si>
    <t>Master-Feeder Information</t>
  </si>
  <si>
    <t>Determine whether the reporting fund is a master fund and provide details of feeder funds under the arrangement</t>
  </si>
  <si>
    <t>MasterFeederArrangement</t>
  </si>
  <si>
    <t>Item A, 7(a)(i)</t>
  </si>
  <si>
    <t>What is the name of the feeder fund?</t>
  </si>
  <si>
    <t>Feeder Fund Name</t>
  </si>
  <si>
    <t>Provide the name of each feeder fund within the master-feeder arrangement</t>
  </si>
  <si>
    <t>FeederFundName</t>
  </si>
  <si>
    <t>Item A, 7(a)(ii)</t>
  </si>
  <si>
    <t>What is the private fund identification number of the feeder fund?</t>
  </si>
  <si>
    <t>Feeder Fund ID</t>
  </si>
  <si>
    <t>Provide the private fund identification number of each feeder fund within the master-feeder arrangement</t>
  </si>
  <si>
    <t>FeederFundID</t>
  </si>
  <si>
    <t>Item A, 7(a)(iii)</t>
  </si>
  <si>
    <t>Is the feeder fund a separate reporting fund?</t>
  </si>
  <si>
    <t>Separate Reporting Fund</t>
  </si>
  <si>
    <t>Indicate whether each feeder fund in the arrangement is treated as a separate reporting fund</t>
  </si>
  <si>
    <t>SeparateReportingFund</t>
  </si>
  <si>
    <t>Item A, 7(b)</t>
  </si>
  <si>
    <t>Do any internal private funds invest in the reporting fund?</t>
  </si>
  <si>
    <t>Internal Private Funds</t>
  </si>
  <si>
    <t>Determine if there are internal private funds (not feeder funds) investing in the reporting fund</t>
  </si>
  <si>
    <t>InternalPrivateFunds</t>
  </si>
  <si>
    <t>Item A, 7(b)(i)</t>
  </si>
  <si>
    <t>What is the name of the internal private fund?</t>
  </si>
  <si>
    <t>Internal Private Fund Name</t>
  </si>
  <si>
    <t>Provide the name of internal private funds that invest in the reporting fund</t>
  </si>
  <si>
    <t>InternalPrivateFundName</t>
  </si>
  <si>
    <t>Item A, 7(b)(ii)</t>
  </si>
  <si>
    <t>C. Financing information</t>
  </si>
  <si>
    <t>What is the LEI of the internal private fund?</t>
  </si>
  <si>
    <t>Internal Private Fund LEI</t>
  </si>
  <si>
    <t>Provide the LEI of each internal private fund that invests in the reporting fund</t>
  </si>
  <si>
    <t>InternalPrivateFundLEI</t>
  </si>
  <si>
    <t>Item A, 7(b)(iii)</t>
  </si>
  <si>
    <t>What is the private fund identification number of the internal private fund?</t>
  </si>
  <si>
    <t>Internal Private Fund ID</t>
  </si>
  <si>
    <t>Provide the private fund identification number for each internal private fund that invests in the reporting fund</t>
  </si>
  <si>
    <t>InternalPrivateFundID</t>
  </si>
  <si>
    <t>Item A, 8(a)</t>
  </si>
  <si>
    <t>Is the reporting fund a component of a parallel fund structure?</t>
  </si>
  <si>
    <t>Parallel Fund Structure</t>
  </si>
  <si>
    <t>Determine whether the reporting fund is part of a parallel fund structure</t>
  </si>
  <si>
    <t>ParallelFundStructure</t>
  </si>
  <si>
    <t>Item A, 8(b)</t>
  </si>
  <si>
    <t>What is the name of the parallel fund?</t>
  </si>
  <si>
    <t>Parallel Fund Name</t>
  </si>
  <si>
    <t>Provide the name of each parallel fund within the structure</t>
  </si>
  <si>
    <t>ParallelFundName</t>
  </si>
  <si>
    <t>Item A, 8(c)</t>
  </si>
  <si>
    <t>D. Investor information</t>
  </si>
  <si>
    <t>What is the private fund identification number of the parallel fund?</t>
  </si>
  <si>
    <t>Parallel Fund ID</t>
  </si>
  <si>
    <t>Provide the private fund identification number for each parallel fund within the structure</t>
  </si>
  <si>
    <t>ParallelFundID</t>
  </si>
  <si>
    <t>Item A, 8(d)</t>
  </si>
  <si>
    <t>What is the NFA identification number of the parallel fund, if applicable?</t>
  </si>
  <si>
    <t>Parallel Fund NFA ID</t>
  </si>
  <si>
    <t>Provide the NFA identification number for each parallel fund within the structure</t>
  </si>
  <si>
    <t>ParallelFundNFAID</t>
  </si>
  <si>
    <t>Item A, 8(e)</t>
  </si>
  <si>
    <t>What is the LEI of the parallel fund, if any?</t>
  </si>
  <si>
    <t>Parallel Fund LEI</t>
  </si>
  <si>
    <t>Provide the LEI for each parallel fund within the structure</t>
  </si>
  <si>
    <t>ParallelFundLEI</t>
  </si>
  <si>
    <t>Item A, 9(a)</t>
  </si>
  <si>
    <t>Does the reporting fund hold assets through a trading vehicle?</t>
  </si>
  <si>
    <t>Trading Vehicle Information</t>
  </si>
  <si>
    <t>Determine whether the reporting fund uses a trading vehicle to hold assets</t>
  </si>
  <si>
    <t>TradingVehicle</t>
  </si>
  <si>
    <t>Item A, 9(b)</t>
  </si>
  <si>
    <t>What is the LEI of the trading vehicle, if any?</t>
  </si>
  <si>
    <t>Trading Vehicle LEI</t>
  </si>
  <si>
    <t>Provide the LEI for the trading vehicle used by the reporting fund</t>
  </si>
  <si>
    <t>TradingVehicleLEI</t>
  </si>
  <si>
    <t>Item A, 9(c)</t>
  </si>
  <si>
    <t>Provide other identifying information for the trading vehicle</t>
  </si>
  <si>
    <t>Trading Vehicle Identifiers</t>
  </si>
  <si>
    <t>Identify the trading vehicle using relevant identifiers such as RSSD ID or other types</t>
  </si>
  <si>
    <t>TradingVehicleOtherIdentifiers</t>
  </si>
  <si>
    <t>Item A, 9(d)</t>
  </si>
  <si>
    <t>E. Portfolio information</t>
  </si>
  <si>
    <t>Does the reporting fund hold assets through the trading vehicle?</t>
  </si>
  <si>
    <t>Trading Vehicle Assets</t>
  </si>
  <si>
    <t>Determine whether the trading vehicle holds assets for the reporting fund</t>
  </si>
  <si>
    <t>TradingVehicleAssets</t>
  </si>
  <si>
    <t>Item A, 9(e)</t>
  </si>
  <si>
    <t>Does the reporting fund incur leverage through the trading vehicle?</t>
  </si>
  <si>
    <t>Trading Vehicle Leverage</t>
  </si>
  <si>
    <t>Determine whether the trading vehicle incurs leverage for the reporting fund</t>
  </si>
  <si>
    <t>TradingVehicleLeverage</t>
  </si>
  <si>
    <t>Item A, 9(f)</t>
  </si>
  <si>
    <t>Does the reporting fund conduct trading or other activities through the trading vehicle?</t>
  </si>
  <si>
    <t>Trading Vehicle Activities</t>
  </si>
  <si>
    <t>Determine whether the trading vehicle is used for trading or other activities for the reporting fund</t>
  </si>
  <si>
    <t>TradingVehicleActivities</t>
  </si>
  <si>
    <t>Item A, 10(a)</t>
  </si>
  <si>
    <t>Is the reporting fund an open-end private fund?</t>
  </si>
  <si>
    <t>Open-end Private Fund</t>
  </si>
  <si>
    <t>Determine whether the reporting fund operates as an open-end private fund</t>
  </si>
  <si>
    <t>OpenEndPrivateFund</t>
  </si>
  <si>
    <t>Item A, 10(b)</t>
  </si>
  <si>
    <t>Is the reporting fund a closed-end private fund?</t>
  </si>
  <si>
    <t>Closed-end Private Fund</t>
  </si>
  <si>
    <t>Determine whether the reporting fund operates as a closed-end private fund</t>
  </si>
  <si>
    <t>ClosedEndPrivateFund</t>
  </si>
  <si>
    <t>Item A, 10(c)</t>
  </si>
  <si>
    <t>How frequently are withdrawals/redemptions permitted for the reporting fund?</t>
  </si>
  <si>
    <t>Redemption Intervals</t>
  </si>
  <si>
    <t>Specify common intervals for withdrawal/redemption availability for investors in open-end funds</t>
  </si>
  <si>
    <t>RedemptionIntervals</t>
  </si>
  <si>
    <t>Item A, 10(d)(i)</t>
  </si>
  <si>
    <t>What percentage of NAV is subject to suspension of withdrawals?</t>
  </si>
  <si>
    <t>Withdrawal Suspension</t>
  </si>
  <si>
    <t>Determine the percentage of the fund's net asset value that could be suspended for withdrawals</t>
  </si>
  <si>
    <t>WithdrawalSuspension</t>
  </si>
  <si>
    <t>Item A, 10(d)(ii)</t>
  </si>
  <si>
    <t>What percentage of NAV is subject to material restrictions on withdrawals?</t>
  </si>
  <si>
    <t>Withdrawal Restrictions</t>
  </si>
  <si>
    <t>Determine the percentage of the fund's net asset value that could be restricted for withdrawals</t>
  </si>
  <si>
    <t>WithdrawalRestrictions</t>
  </si>
  <si>
    <t>Item A, 10(d)(iii)</t>
  </si>
  <si>
    <t>What percentage of NAV is currently subject to effective suspension of withdrawals?</t>
  </si>
  <si>
    <t>Effective Withdrawal Suspension</t>
  </si>
  <si>
    <t>Determine the percentage of net asset value currently under effective suspension conditions</t>
  </si>
  <si>
    <t>EffectiveWithdrawalSuspension</t>
  </si>
  <si>
    <t>Item A, 10(d)(iv)</t>
  </si>
  <si>
    <t>What percentage of NAV is currently subject to material restrictions on withdrawals?</t>
  </si>
  <si>
    <t>Effective Withdrawal Restrictions</t>
  </si>
  <si>
    <t>Determine the percentage of net asset value currently subject to material withdrawal restrictions</t>
  </si>
  <si>
    <t>EffectiveWithdrawalRestrictions</t>
  </si>
  <si>
    <t>Item B, 11(a)</t>
  </si>
  <si>
    <t>What is the gross asset value of the reporting fund at the end of the reporting period?</t>
  </si>
  <si>
    <t>Provide the gross asset value of the reporting fund at the end of the reporting period</t>
  </si>
  <si>
    <t>GrossAssetValue</t>
  </si>
  <si>
    <t>Item B, 11(b)</t>
  </si>
  <si>
    <t>If filing quarterly, what is the gross asset value or calculated value at the end of the first month?</t>
  </si>
  <si>
    <t>Monthly Gross Asset Value</t>
  </si>
  <si>
    <t>Provide the gross asset value or calculated value at the end of the first month of the reporting period</t>
  </si>
  <si>
    <t>MonthlyGrossAssetValue</t>
  </si>
  <si>
    <t>Item B, 11(c)</t>
  </si>
  <si>
    <t>If filing quarterly, what is the gross asset value or calculated value at the end of the second month?</t>
  </si>
  <si>
    <t>Provide the gross asset value or calculated value at the end of the second month of the reporting period</t>
  </si>
  <si>
    <t>Item B, 12(a)</t>
  </si>
  <si>
    <t>What is the net asset value of the reporting fund at the end of the reporting period?</t>
  </si>
  <si>
    <t>Provide the net asset value of the reporting fund at the end of the reporting period</t>
  </si>
  <si>
    <t>NetAssetValue</t>
  </si>
  <si>
    <t>Item B, 12(b)</t>
  </si>
  <si>
    <t>If filing quarterly, what is the net asset value or calculated value at the end of the first month?</t>
  </si>
  <si>
    <t>Monthly Net Asset Value</t>
  </si>
  <si>
    <t>Provide the net asset value or calculated value at the end of the first month of the reporting period</t>
  </si>
  <si>
    <t>MonthlyNetAssetValue</t>
  </si>
  <si>
    <t>Item B, 12(c)</t>
  </si>
  <si>
    <t>If filing quarterly, what is the net asset value or calculated value at the end of the second month?</t>
  </si>
  <si>
    <t>Provide the net asset value or calculated value at the end of the second month of the reporting period</t>
  </si>
  <si>
    <t>Item B, 13</t>
  </si>
  <si>
    <t>What is the value of unfunded commitments included in the gross asset value or net asset value reported?</t>
  </si>
  <si>
    <t>Unfunded Commitments</t>
  </si>
  <si>
    <t>Provide the value of contractual unfunded commitments included in the gross and net asset values of the fund</t>
  </si>
  <si>
    <t>UnfundedCommitments</t>
  </si>
  <si>
    <t>Item B, 14</t>
  </si>
  <si>
    <t>Provide details of the reporting fund's contributions and redemptions during the reporting period.</t>
  </si>
  <si>
    <t>Fund Contributions and Redemptions</t>
  </si>
  <si>
    <t>Provide contribution and redemption amounts during the reporting period, including monthly</t>
  </si>
  <si>
    <t>FundContributionsRedemptions</t>
  </si>
  <si>
    <t>Item B, 14(a)</t>
  </si>
  <si>
    <t>What were the contributions to the reporting fund during the reporting period?</t>
  </si>
  <si>
    <t>Fund Contributions</t>
  </si>
  <si>
    <t>Total value of new contributions to the reporting fund during the reporting period</t>
  </si>
  <si>
    <t>FundContributions</t>
  </si>
  <si>
    <t>Item B, 14(b)</t>
  </si>
  <si>
    <t>What were the withdrawals and redemptions from the reporting fund during the reporting period?</t>
  </si>
  <si>
    <t>Fund Withdrawals and Redemptions</t>
  </si>
  <si>
    <t>Total value of withdrawals and redemptions from the reporting fund during the reporting period</t>
  </si>
  <si>
    <t>FundWithdrawalsRedemptions</t>
  </si>
  <si>
    <t>Item B, 15(a)</t>
  </si>
  <si>
    <t>What is the value of the reporting fund's investments in equity of external private funds?</t>
  </si>
  <si>
    <t>Investments in External Private Funds</t>
  </si>
  <si>
    <t>Value of the reporting fund's investments in external private funds' equity</t>
  </si>
  <si>
    <t>InvestmentsExternalPrivateFunds</t>
  </si>
  <si>
    <t>Item B, 15(b)</t>
  </si>
  <si>
    <t>Is the reporting fund a feeder fund within a master-feeder arrangement?</t>
  </si>
  <si>
    <t>Feeder Fund Information</t>
  </si>
  <si>
    <t>Indicate if the reporting fund operates as a feeder fund within a master-feeder arrangement</t>
  </si>
  <si>
    <t>FeederFundArrangement</t>
  </si>
  <si>
    <t>Item B, 15(b)(i)</t>
  </si>
  <si>
    <t>What is the name of the master fund?</t>
  </si>
  <si>
    <t>Master Fund Name</t>
  </si>
  <si>
    <t>Provide the name of the master fund in the arrangement</t>
  </si>
  <si>
    <t>MasterFundName</t>
  </si>
  <si>
    <t>Item B, 15(b)(ii)</t>
  </si>
  <si>
    <t>What is the private fund identification number of the master fund?</t>
  </si>
  <si>
    <t>Master Fund ID</t>
  </si>
  <si>
    <t>Provide the private fund identification number of the master fund</t>
  </si>
  <si>
    <t>MasterFundID</t>
  </si>
  <si>
    <t>Item B, 15(b)(iii)</t>
  </si>
  <si>
    <t>F. Disposition of Portfolio Securities</t>
  </si>
  <si>
    <t>What is the LEI of the master fund, if any?</t>
  </si>
  <si>
    <t>Provide the LEI of the master fund, if available</t>
  </si>
  <si>
    <t>MasterFundLEI</t>
  </si>
  <si>
    <t>Item B, 15(b)(iv)</t>
  </si>
  <si>
    <t>What is the value of the private fund's investments in equity of the master fund?</t>
  </si>
  <si>
    <t>Value of Investments in Master Fund</t>
  </si>
  <si>
    <t>Provide the value of the private fund's investments in the equity of the master fund</t>
  </si>
  <si>
    <t>InvestedMasterFund</t>
  </si>
  <si>
    <t>Item B, 15(c)</t>
  </si>
  <si>
    <t>G. Parallel Money Market Funds</t>
  </si>
  <si>
    <t>Does the reporting fund invest in any internal private funds?</t>
  </si>
  <si>
    <t>Internal Private Fund Investment</t>
  </si>
  <si>
    <t>Indicate if the reporting fund invests in any internal private funds</t>
  </si>
  <si>
    <t>InternalPrivateFundInvestment</t>
  </si>
  <si>
    <t>Item B, 15(c)(i)</t>
  </si>
  <si>
    <t>Provide the name of the internal private fund in which the reporting fund invests</t>
  </si>
  <si>
    <t>Item B, 15(c)(ii)</t>
  </si>
  <si>
    <t>Information about private equity funds that you advise</t>
  </si>
  <si>
    <t>Provide the private fund identification number of the internal private fund</t>
  </si>
  <si>
    <t>Item B, 15(c)(iii)</t>
  </si>
  <si>
    <t>What is the LEI of the internal private fund, if any?</t>
  </si>
  <si>
    <t>Provide the LEI of the internal private fund, if available</t>
  </si>
  <si>
    <t>Item B, 15(c)(iv)</t>
  </si>
  <si>
    <t>What is the value of the private fund's investments in equity of the internal private fund?</t>
  </si>
  <si>
    <t>Value of Investments in Internal Private Fund</t>
  </si>
  <si>
    <t>Provide the value of the private fund's investments in the equity of the internal private fund</t>
  </si>
  <si>
    <t>InvestedInternalPrivateFund</t>
  </si>
  <si>
    <t>Item B, 16</t>
  </si>
  <si>
    <t>What is the value of all parallel managed accounts related to the reporting fund?</t>
  </si>
  <si>
    <t>Parallel Managed Accounts Value</t>
  </si>
  <si>
    <t>Provide the total value of all parallel managed accounts tied to the reporting fund</t>
  </si>
  <si>
    <t>ParallelManagedAccountsValue</t>
  </si>
  <si>
    <t>Item B, 17</t>
  </si>
  <si>
    <t>What is the base currency of the reporting fund?</t>
  </si>
  <si>
    <t>Base Currency Information</t>
  </si>
  <si>
    <t>Specify the base currency used by the reporting fund</t>
  </si>
  <si>
    <t>BaseCurrency</t>
  </si>
  <si>
    <t>Item B, 18(a)</t>
  </si>
  <si>
    <t>What is the dollar amount of total borrowings of the reporting fund?</t>
  </si>
  <si>
    <t>Total Borrowings</t>
  </si>
  <si>
    <t>Provide the total amount borrowed by the reporting fund in U.S. dollars</t>
  </si>
  <si>
    <t>TotalBorrowings</t>
  </si>
  <si>
    <t>Item B, 18(b)</t>
  </si>
  <si>
    <t>C. Financing Information</t>
  </si>
  <si>
    <t>What percentage of the borrowings is from U.S. depository institutions?</t>
  </si>
  <si>
    <t>U.S. Depository Borrowings</t>
  </si>
  <si>
    <t>Provide the percentage of total borrowings from U.S. depository institutions</t>
  </si>
  <si>
    <t>USDepositoryBorrowings</t>
  </si>
  <si>
    <t>Item B, 18(c)</t>
  </si>
  <si>
    <t>What percentage of the borrowings is from U.S. creditors that are not depository institutions?</t>
  </si>
  <si>
    <t>U.S. Non-Depository Borrowings</t>
  </si>
  <si>
    <t>Provide the percentage of borrowings from U.S. creditors other than depository institutions</t>
  </si>
  <si>
    <t>USNonDepositoryBorrowings</t>
  </si>
  <si>
    <t>Item B, 18(d)</t>
  </si>
  <si>
    <t>What percentage of the borrowings is from non-U.S. creditors?</t>
  </si>
  <si>
    <t>Non-U.S. Borrowings</t>
  </si>
  <si>
    <t>Provide the percentage of total borrowings from non-U.S. creditors</t>
  </si>
  <si>
    <t>NonUsBorrowings</t>
  </si>
  <si>
    <t>Item B, 19(a)</t>
  </si>
  <si>
    <t>Does the reporting fund have any outstanding derivatives positions?</t>
  </si>
  <si>
    <t>Derivatives Positions Information</t>
  </si>
  <si>
    <t>Indicate whether the reporting fund has any open derivatives positions</t>
  </si>
  <si>
    <t>DerivativesPositions</t>
  </si>
  <si>
    <t>Item B, 19(b)</t>
  </si>
  <si>
    <t>What is the aggregate value of the derivatives positions of the reporting fund?</t>
  </si>
  <si>
    <t>Aggregate Derivatives Value</t>
  </si>
  <si>
    <t>Provide the total aggregate value of all derivatives positions held by the reporting fund</t>
  </si>
  <si>
    <t>AggregateDerivatives Value</t>
  </si>
  <si>
    <t>Item B, 20</t>
  </si>
  <si>
    <t>What is the summary of the assets and liabilities of the reporting fund, including valuation assumptions?</t>
  </si>
  <si>
    <t>Summary of Assets and Liabilities Information</t>
  </si>
  <si>
    <t>Provide a summarized overview of the reporting fund's assets and liabilities, categorized for valuation</t>
  </si>
  <si>
    <t>SummaryAssetsLiabilities</t>
  </si>
  <si>
    <t>Item B, 21</t>
  </si>
  <si>
    <t>What is the approximate percentage of equity owned by the five largest beneficial owners?</t>
  </si>
  <si>
    <t>Beneficial Ownership Concentration</t>
  </si>
  <si>
    <t>Provide the percentage of the reporting fund's equity owned by the top five beneficial owners of fund</t>
  </si>
  <si>
    <t>LargestBeneficialOwners</t>
  </si>
  <si>
    <t>Item B, 22</t>
  </si>
  <si>
    <t>What is the concentration of the reporting fund's equity by groups of investors?</t>
  </si>
  <si>
    <t>Investor Equity Concentration</t>
  </si>
  <si>
    <t>Break down the equity ownership of the reporting fund by different groups of investors</t>
  </si>
  <si>
    <t>ConcentrationOfEquity</t>
  </si>
  <si>
    <t>Item C, 23(a)</t>
  </si>
  <si>
    <t>What is the reporting fund's gross and net performance, as reported to investors?</t>
  </si>
  <si>
    <t>Gross and Net Performance</t>
  </si>
  <si>
    <t>Performance data including gross and net returns as reported to investors for monthly and quarterly periods</t>
  </si>
  <si>
    <t>PerformanceGrossNet</t>
  </si>
  <si>
    <t>Item C, 23(b)</t>
  </si>
  <si>
    <t>What is the reporting fund's internal rate of return since inception?</t>
  </si>
  <si>
    <t>Internal Rate of Return</t>
  </si>
  <si>
    <t>Provide the calculated internal rate of return (IRR) since inception of the fund</t>
  </si>
  <si>
    <t>InternalRateOfReturn</t>
  </si>
  <si>
    <t>Item C, 23(c)</t>
  </si>
  <si>
    <t>What is the daily valuation and annualized volatility for positions in the fund's portfolio?</t>
  </si>
  <si>
    <t>Daily Valuation and Volatility Information</t>
  </si>
  <si>
    <t>Provide details on daily valuations and the annualized volatility for the positions in the reporting fund's portfolio</t>
  </si>
  <si>
    <t>DailyValuationVolatility</t>
  </si>
  <si>
    <t>Section 1c</t>
  </si>
  <si>
    <t>What information about hedge funds do you need to provide?</t>
  </si>
  <si>
    <t>Hedge Fund Information</t>
  </si>
  <si>
    <t>Complete a separate Section 1c for each hedge fund that you advise, except as provided by Instruction 6</t>
  </si>
  <si>
    <t>HedgeFundInformation</t>
  </si>
  <si>
    <t>Item A, 24</t>
  </si>
  <si>
    <t>Hedge Fund Identifiers</t>
  </si>
  <si>
    <t>Provide the name and private fund identification number of the reporting hedge fund</t>
  </si>
  <si>
    <t>HedgeFundIdentifiers</t>
  </si>
  <si>
    <t>Item A, 24(a)</t>
  </si>
  <si>
    <t>What is the name of the reporting hedge fund?</t>
  </si>
  <si>
    <t>The legal name of the reporting hedge fund</t>
  </si>
  <si>
    <t>HedgeFundName</t>
  </si>
  <si>
    <t>Item A, 24(b)</t>
  </si>
  <si>
    <t>What is the private fund identification number of the reporting hedge fund?</t>
  </si>
  <si>
    <t>Hedge Fund ID</t>
  </si>
  <si>
    <t>HedgeFundID</t>
  </si>
  <si>
    <t>Item B, 25</t>
  </si>
  <si>
    <t>What investment strategies does the reporting hedge fund use?</t>
  </si>
  <si>
    <t>Hedge Fund Investment Strategies</t>
  </si>
  <si>
    <t>Details on the hedge fund's investment strategies, including percentages represented by each strategy</t>
  </si>
  <si>
    <t>HedgeFundStrategies</t>
  </si>
  <si>
    <t>Item B, 26</t>
  </si>
  <si>
    <t>What is the reporting fund's consolidated counterparty exposure?</t>
  </si>
  <si>
    <t>Details on the reporting fund's borrowing and collateral exposure with counterparties and creditors</t>
  </si>
  <si>
    <t>CounterpartyExposure</t>
  </si>
  <si>
    <t>Item B, 26(a)</t>
  </si>
  <si>
    <t>What is the value of unsecured borrowing in cash and cash equivalents?</t>
  </si>
  <si>
    <t>Unsecured Borrowing Value</t>
  </si>
  <si>
    <t>Value of unsecured borrowings in cash and cash equivalents for the reporting hedge fund</t>
  </si>
  <si>
    <t>UnsecuredBorrowing</t>
  </si>
  <si>
    <t>Item B, 26(b)</t>
  </si>
  <si>
    <t>What is the value of secured borrowing and lending under prime brokerage or other brokerage agreements?</t>
  </si>
  <si>
    <t>Secured Borrowing &amp; Lending Value</t>
  </si>
  <si>
    <t>The total value of cash and cash equivalents, government securities, and other securities borrowed or received under such agreements</t>
  </si>
  <si>
    <t>SecuredBorrowingLending</t>
  </si>
  <si>
    <t>Item B, 26(c)</t>
  </si>
  <si>
    <t>What is the value of secured borrowing and lending via repo/reverse repo (tri-party)?</t>
  </si>
  <si>
    <t>Repo/Reverse Repo Borrowing &amp; Lending Value</t>
  </si>
  <si>
    <t>Value of cash, government securities, and other securities borrowed or received under repo and reverse repo agreements</t>
  </si>
  <si>
    <t>RepoReverseRepoBorrowingLending</t>
  </si>
  <si>
    <t>Item B, 26(d)</t>
  </si>
  <si>
    <t>What is the value of other secured borrowing and lending?</t>
  </si>
  <si>
    <t>Other Secured Borrowing &amp; Lending Value</t>
  </si>
  <si>
    <t>Value of other secured borrowing and lending transactions</t>
  </si>
  <si>
    <t>OtherSecuredBorrowingLending</t>
  </si>
  <si>
    <t>Item B, 26(e)</t>
  </si>
  <si>
    <t>What is the value of derivative positions cleared by a CCP?</t>
  </si>
  <si>
    <t>Cleared Derivative Positions Value</t>
  </si>
  <si>
    <t>Value of mark-to-market derivatives positions cleared by a central counterparty</t>
  </si>
  <si>
    <t>ClearedDerivativePositions</t>
  </si>
  <si>
    <t>Item B, 26(f)</t>
  </si>
  <si>
    <t>What is the value of derivative positions not cleared by a CCP?</t>
  </si>
  <si>
    <t>Uncleared Derivative Positions Value</t>
  </si>
  <si>
    <t>Value of gross notional value, mark-to-market derivatives, and collateral for uncured derivatives positions</t>
  </si>
  <si>
    <t>UnclearedDerivativePositions</t>
  </si>
  <si>
    <t>Item B, 27</t>
  </si>
  <si>
    <t>Who are the creditors or counterparties with the largest exposure in cash borrowing?</t>
  </si>
  <si>
    <t>Largest Counterparty Exposures Information</t>
  </si>
  <si>
    <t>Legal names, identifiers, and values for the largest creditors/counterparties with cash borrowing exposure</t>
  </si>
  <si>
    <t>LargestCounterpartyExposures</t>
  </si>
  <si>
    <t>Item B, 28</t>
  </si>
  <si>
    <t>What is the reporting fund's largest net mark-to-market counterparty credit exposure after collateral?</t>
  </si>
  <si>
    <t>Net Mark-to-Market Counterparty Exposure Information</t>
  </si>
  <si>
    <t>Legal names, identifiers, and values for counterparty credit exposure, marked-to-market basis, after considering collateral</t>
  </si>
  <si>
    <t>NetMarkToMarketCounterpartyExposure</t>
  </si>
  <si>
    <t>Item B, 29</t>
  </si>
  <si>
    <t>D. Portfolio Company Investment Exposures</t>
  </si>
  <si>
    <t>Provide information on the value traded by the reporting fund in various trading and clearing mechanisms.</t>
  </si>
  <si>
    <t>Trading and Clearing Mechanisms Information</t>
  </si>
  <si>
    <t>Value of securities, derivatives, and repo transactions across various trading and clearing mechanisms</t>
  </si>
  <si>
    <t>TradingClearingMechanisms</t>
  </si>
  <si>
    <t>Item B, 29(a)</t>
  </si>
  <si>
    <t>What is the value traded and end of reporting period value for securities, excluding derivatives?</t>
  </si>
  <si>
    <t>Value Traded Securities Only</t>
  </si>
  <si>
    <t>Value traded and value of positions at the end of the reporting period for non-derivative securities</t>
  </si>
  <si>
    <t>ValueTradedSecuritiesOnly</t>
  </si>
  <si>
    <t>Item B, 29(b)</t>
  </si>
  <si>
    <t>What is the value traded and end of reporting period value for interest rate derivatives?</t>
  </si>
  <si>
    <t>Value Traded Interest Rate Derivatives</t>
  </si>
  <si>
    <t>Value traded and value of positions at the end of the reporting period for interest rate derivatives contracts</t>
  </si>
  <si>
    <t>ValueTradedInterestRateDerivatives</t>
  </si>
  <si>
    <t>Item B, 29(c)</t>
  </si>
  <si>
    <t>What is the value traded and end of reporting period value for other derivatives?</t>
  </si>
  <si>
    <t>Value Traded Other Derivatives</t>
  </si>
  <si>
    <t>Value traded and value of positions at the end of the reporting period for non-interest rate derivatives contracts</t>
  </si>
  <si>
    <t>ValueTradedOtherDerivatives</t>
  </si>
  <si>
    <t>Item B, 29(d)</t>
  </si>
  <si>
    <t>What is the value traded and end of period value for repo/reverse repo transactions?</t>
  </si>
  <si>
    <t>Value Traded Repo/Reverse Repo</t>
  </si>
  <si>
    <t>Value traded and value of positions at the end of the reporting period for repo and reverse repo transactions</t>
  </si>
  <si>
    <t>ValueTradedRepoReverseRepo</t>
  </si>
  <si>
    <t>Item B, 30</t>
  </si>
  <si>
    <t>What is the value traded for transactions not described in any other categories?</t>
  </si>
  <si>
    <t>Value of Other Trading Categories</t>
  </si>
  <si>
    <t>Value traded for transactions not listed in specific asset classes or trading mechanisms in other questions</t>
  </si>
  <si>
    <t>ValueOtherTradingCategories</t>
  </si>
  <si>
    <t>Section 2</t>
  </si>
  <si>
    <t xml:space="preserve">Current report for large hedge fund advisers to qualifying hedge funds </t>
  </si>
  <si>
    <t>What information about qualifying hedge funds do you need to provide?</t>
  </si>
  <si>
    <t>Qualifying Hedge Fund Information</t>
  </si>
  <si>
    <t>Complete a separate Section 2 for each qualifying hedge fund that you advise, except as provided by Instruction 6</t>
  </si>
  <si>
    <t>QualifyingHedgeFundInformation</t>
  </si>
  <si>
    <t>Item A, 31</t>
  </si>
  <si>
    <t>A. Information about you and the reporting fund</t>
  </si>
  <si>
    <t>Item A, 31(a)</t>
  </si>
  <si>
    <t>Item A, 31(b)</t>
  </si>
  <si>
    <t>Item B, 32</t>
  </si>
  <si>
    <t>What are the monthly exposures of the reporting fund in various sub-asset classes?</t>
  </si>
  <si>
    <t>Monthly Fund Exposures</t>
  </si>
  <si>
    <t>Provide details on long and short positions in various sub-asset classes for each month of the reporting period</t>
  </si>
  <si>
    <t>MonthlyFundExposures</t>
  </si>
  <si>
    <t>Item B, 32(a)</t>
  </si>
  <si>
    <t>What is the dollar value of long and short positions in each sub-asset class?</t>
  </si>
  <si>
    <t>Fund Long and Short Positions</t>
  </si>
  <si>
    <t>Provide the dollar value of long and short positions in each sub-asset class and instrument type</t>
  </si>
  <si>
    <t>FundLongShortPositions</t>
  </si>
  <si>
    <t>Item B, 32(b)</t>
  </si>
  <si>
    <t>What is the adjusted exposure of long and short positions by netting positions in the same underlying reference asset within the same term buckets?</t>
  </si>
  <si>
    <t>Adjusted Exposure</t>
  </si>
  <si>
    <t>Report adjusted exposure by netting positions in the same underlying reference asset within the same term buckets</t>
  </si>
  <si>
    <t>AdjustedExposure</t>
  </si>
  <si>
    <t>Item B, 32(c)</t>
  </si>
  <si>
    <t>B. Extraordinary Investment Losses</t>
  </si>
  <si>
    <t>What is the 10-year bond equivalent interest rate risk for the sub-asset class positions?</t>
  </si>
  <si>
    <t>Interest Rate Risk Information</t>
  </si>
  <si>
    <t>Provide the 10-year bond equivalent interest rate risk for long and short positions in sub-asset classes</t>
  </si>
  <si>
    <t>InterestRateRisk</t>
  </si>
  <si>
    <t>Item B, 33</t>
  </si>
  <si>
    <t>What is the monthly currency exposure arising from foreign exchange derivatives and other assets and liabilities?</t>
  </si>
  <si>
    <t>Monthly Currency Exposure</t>
  </si>
  <si>
    <t>Provide net long and net short value of currency exposure for each month of the reporting period</t>
  </si>
  <si>
    <t>MonthlyCurrencyExposure</t>
  </si>
  <si>
    <t>Item B, 34</t>
  </si>
  <si>
    <t>What is the value of turnover in each asset class listed for the reporting period?</t>
  </si>
  <si>
    <t>Fund Turnover Information</t>
  </si>
  <si>
    <t>Provide the sum of the absolute values of transactions in each asset class during the reporting period</t>
  </si>
  <si>
    <t>ValueFundTurnover</t>
  </si>
  <si>
    <t>Item B, 35</t>
  </si>
  <si>
    <t>Identify country exposure by ISO code if the exposure meets certain thresholds</t>
  </si>
  <si>
    <t>Country Exposure Information</t>
  </si>
  <si>
    <t>Provide long and short values of exposure by country for each month if exposure exceeds set percentages of NAV</t>
  </si>
  <si>
    <t>CountryExposure</t>
  </si>
  <si>
    <t>Item B, 36</t>
  </si>
  <si>
    <t>C. Margin, Collateral, or Equivalent Increase</t>
  </si>
  <si>
    <t>Identify industry exposure by NAICS code if the exposure meets certain thresholds</t>
  </si>
  <si>
    <t>Industry Exposure Information</t>
  </si>
  <si>
    <t>Provide long and short values of exposure by industry for each month if exposure exceeds set percentages of NAV</t>
  </si>
  <si>
    <t>IndustryExposure</t>
  </si>
  <si>
    <t>Item B, 37</t>
  </si>
  <si>
    <t>How quickly can positions be liquidated?</t>
  </si>
  <si>
    <t>Portfolio Liquidity Information</t>
  </si>
  <si>
    <t>Provide the percentage of the fund's positions that can be liquidated within specified time periods under normal market conditions</t>
  </si>
  <si>
    <t>PortfolioLiquidity</t>
  </si>
  <si>
    <t>Item B, 38</t>
  </si>
  <si>
    <t>What is the value of the reporting fund’s unencumbered cash?</t>
  </si>
  <si>
    <t>Unencumbered Cash Value</t>
  </si>
  <si>
    <t>Provide the total value of the reporting fund's unencumbered cash</t>
  </si>
  <si>
    <t>UnencumberedCash</t>
  </si>
  <si>
    <t>Item B, 39</t>
  </si>
  <si>
    <t>What is the long and short netted exposure to reference assets at the end of the month?</t>
  </si>
  <si>
    <t>Netted Exposure Information</t>
  </si>
  <si>
    <t>Provide the total number of reference assets netted exposure, aggregated by the reporting fund’s net long and short positions</t>
  </si>
  <si>
    <t>NettedExposure</t>
  </si>
  <si>
    <t>Item B, 40(a)</t>
  </si>
  <si>
    <t>Provide information about positions exceeding specified thresholds at the end of the first month</t>
  </si>
  <si>
    <t>Top Exposures Information</t>
  </si>
  <si>
    <t>Provide positions net long, net short, values by sub-asset class, issuer name, ISIN, LEI, etc., for the first month of reporting period if exposure exceeds set NAV</t>
  </si>
  <si>
    <t>TopExposures</t>
  </si>
  <si>
    <t>Item B, 40(b)</t>
  </si>
  <si>
    <t>Provide information about positions exceeding specified thresholds at the end of the second month</t>
  </si>
  <si>
    <t>Second Month Top Exposures</t>
  </si>
  <si>
    <t>Provide positions net long, net short, values by sub-asset class, issuer name, ISIN, LEI, etc., for the second month if exposure exceeds set NAV</t>
  </si>
  <si>
    <t>SecondMonthTopExposures</t>
  </si>
  <si>
    <t>Item B, 40(c)</t>
  </si>
  <si>
    <t>Provide information about positions exceeding specified thresholds at the end of the third month</t>
  </si>
  <si>
    <t>Third Month Top Exposures</t>
  </si>
  <si>
    <t>Provide positions net long, net short, values by sub-asset class, issuer name, ISIN, LEI, etc., for the third month if exposure exceeds set NAV</t>
  </si>
  <si>
    <t>ThirdMonthTopExposures</t>
  </si>
  <si>
    <t>Item B, 41</t>
  </si>
  <si>
    <t>D. Notice of Margin Default or Inability to Meet a Call</t>
  </si>
  <si>
    <t>Provide the reporting fund's borrowing and collateral exposure with counterparties for each month</t>
  </si>
  <si>
    <t>Provide consolidated details of borrowing and collateral received by the fund across different creditors and counterparties for each month</t>
  </si>
  <si>
    <t>ConsolidatedCounterpartyExposure</t>
  </si>
  <si>
    <t>Item B, 42(a)</t>
  </si>
  <si>
    <t>List of Top 5 creditors or counterparties with largest dollar amounts in cash borrowing entries before collateral</t>
  </si>
  <si>
    <t>Top 5 Borrowing Counterparties Information</t>
  </si>
  <si>
    <t>Provide the legal entity names, LEI, borrowing amounts and collateral posted to each of the top 5 borrowing counterparties for each month</t>
  </si>
  <si>
    <t>Top5BorrowingCounterparties</t>
  </si>
  <si>
    <t>Item B, 42(b)</t>
  </si>
  <si>
    <t>List other creditors and counterparties with equal or greater than 5% of borrowing NAV or $1B</t>
  </si>
  <si>
    <t>Secondary Counterparties Information</t>
  </si>
  <si>
    <t>Provide list of other creditors and counterparties with borrowing amounts posted collateral equal to or greater than 5% NAV or $1B</t>
  </si>
  <si>
    <t>OtherCreditorsCounterparties</t>
  </si>
  <si>
    <t>Item B, 43(a)</t>
  </si>
  <si>
    <t>Provide details of the top 5 counterparties with net mark-to-market exposure before and after collateral</t>
  </si>
  <si>
    <t>Top 5 Debtor Counterparties Information</t>
  </si>
  <si>
    <t>Provide legal names, LEI, net mark-to-market exposure before and after collateral, percentage, and entity names</t>
  </si>
  <si>
    <t>Top5DebtorCounterparties</t>
  </si>
  <si>
    <t>Item B, 43(b)</t>
  </si>
  <si>
    <t>E. Counterparty Default</t>
  </si>
  <si>
    <t>List additional counterparties with net mark-to-market exposure equal to or exceeding 5% NAV or $1B</t>
  </si>
  <si>
    <t>Additional Counterparties Information</t>
  </si>
  <si>
    <t>Provide legal names, LEI, net mark-to-market exposure before and after collateral for additional counterparties</t>
  </si>
  <si>
    <t>AdditionalCounterparties</t>
  </si>
  <si>
    <t>Item B, 44</t>
  </si>
  <si>
    <t>List CCPs and third parties holding 5% NAV or $1B in collateral</t>
  </si>
  <si>
    <t>Collateral Holding Entities Information</t>
  </si>
  <si>
    <t>Provide names, LEI, posted margin, net exposure and entity names of CCPs or third parties holding collateral equal to or exceeding 5% NAV or $1B</t>
  </si>
  <si>
    <t>CCPThirdPartyCollateralHolders</t>
  </si>
  <si>
    <t>Item C, 45(a)</t>
  </si>
  <si>
    <t>How much of the collateral by counterparties be rehypothecated?</t>
  </si>
  <si>
    <t>Rehypothecation Information</t>
  </si>
  <si>
    <t>Provide the percentage of the pledged or received collateral that can be rehypothecated by the fund’s counterparties</t>
  </si>
  <si>
    <t>Rehypothecation</t>
  </si>
  <si>
    <t>Item C, 45(b)</t>
  </si>
  <si>
    <t>F. Prime Broker Relationship Terminated or Restricted</t>
  </si>
  <si>
    <t>Has the reporting fund rehypothecated collateral?</t>
  </si>
  <si>
    <t>Rehypothecation Use</t>
  </si>
  <si>
    <t>Provide the percentage of the collateral rehypothecated by the fund during the reporting period</t>
  </si>
  <si>
    <t>RehypothecatedUse</t>
  </si>
  <si>
    <t>Item C, 46</t>
  </si>
  <si>
    <t>Does the reporting fund regularly calculate Value-at-Risk (VaR)?</t>
  </si>
  <si>
    <t>VaR Calculation Information</t>
  </si>
  <si>
    <t>Indicate if the Value-at-Risk (VaR) is calculated in regular terms of the fund</t>
  </si>
  <si>
    <t>VaRInformation</t>
  </si>
  <si>
    <t>Item C, 46(b)1</t>
  </si>
  <si>
    <t>What is the confidence interval used for VaR calculation?</t>
  </si>
  <si>
    <t>VaR Confidence Interval</t>
  </si>
  <si>
    <t>Provide the confidence level used when calculating the Value-at-Risk (VaR)</t>
  </si>
  <si>
    <t>VaRConfidenceInterval</t>
  </si>
  <si>
    <t>Item C, 46(b)2</t>
  </si>
  <si>
    <t>G. Operations Event</t>
  </si>
  <si>
    <t>What time horizon is used for VaR calculation?</t>
  </si>
  <si>
    <t>VaR Time Horizon</t>
  </si>
  <si>
    <t>Specify the number of days used as the time horizon for the VaR calculation</t>
  </si>
  <si>
    <t>VaRTimeHorizon</t>
  </si>
  <si>
    <t>Item C, 46(b)3</t>
  </si>
  <si>
    <t>What weighting method was used to calculate VaR?</t>
  </si>
  <si>
    <t>VaR Weighting Method</t>
  </si>
  <si>
    <t>Specify whether no weighting, exponential, or other weighting method was used</t>
  </si>
  <si>
    <t>VaRWeightingMethod</t>
  </si>
  <si>
    <t>Item C, 46(b)4</t>
  </si>
  <si>
    <t>If exponential, what weighting factor was used for VaR calculation?</t>
  </si>
  <si>
    <t>VaR Weighting Factor</t>
  </si>
  <si>
    <t>Provide the weighting factor used in an exponential weighting method for VaR</t>
  </si>
  <si>
    <t>VaRWeightingFactor</t>
  </si>
  <si>
    <t>Item C, 46(b)5</t>
  </si>
  <si>
    <t>What method was used to calculate VaR?</t>
  </si>
  <si>
    <t>VaR Calculation Method</t>
  </si>
  <si>
    <t>Specify whether historical simulation, Monte Carlo simulation, parametric, etc., are used</t>
  </si>
  <si>
    <t>VaRCalculationMethod</t>
  </si>
  <si>
    <t>Item C, 46(b)6</t>
  </si>
  <si>
    <t>What is the historical lookback period used for the VaR calculation?</t>
  </si>
  <si>
    <t>Historical Lookback Period</t>
  </si>
  <si>
    <t>Provide the number of years used as the historical lookback period for VaR calculations</t>
  </si>
  <si>
    <t>HistoricalLookbackPeriod</t>
  </si>
  <si>
    <t>Item C, 46(b)7</t>
  </si>
  <si>
    <t>H. Withdrawals and Redemptions</t>
  </si>
  <si>
    <t>What is the VaR percentage at the end of each reporting month?</t>
  </si>
  <si>
    <t>Monthly VaR Percentage</t>
  </si>
  <si>
    <t>Provide the VaR percentages calculated at the end of the first month</t>
  </si>
  <si>
    <t>MonthlyVARPercentages</t>
  </si>
  <si>
    <t>Item C, 47</t>
  </si>
  <si>
    <t>What is the effect of specified changes for various market factors on the reporting fund’s portfolio? Effect on long components of portfolio (as % of NAV) Effect on short components of portfolio (as % of NAV)</t>
  </si>
  <si>
    <t>Market Factor Impact</t>
  </si>
  <si>
    <t>Provide impact details for market factor changes like equity prices, interest rates, credit spreads, etc., on the portfolio</t>
  </si>
  <si>
    <t>MarketFactorImpact</t>
  </si>
  <si>
    <t>Section 3</t>
  </si>
  <si>
    <t>What information about liquidity funds do you need to provide?</t>
  </si>
  <si>
    <t>Liquidity Fund Information</t>
  </si>
  <si>
    <t>Complete a separate Section 3 for each liquidity fund you advise, except as provided by the General Instructions</t>
  </si>
  <si>
    <t>LiquidityFundInformation</t>
  </si>
  <si>
    <t>Item A, 54</t>
  </si>
  <si>
    <t>Liquidity Fund Identifiers</t>
  </si>
  <si>
    <t>Provide the name and private fund identification number of the liquidity reporting fund</t>
  </si>
  <si>
    <t>LiquidityFundIdentifiers</t>
  </si>
  <si>
    <t>Item A, 54(a)</t>
  </si>
  <si>
    <t>I. Unable to Satisfy or Suspension of Redemptions</t>
  </si>
  <si>
    <t>What is the name of the reporting liquidity fund?</t>
  </si>
  <si>
    <t>The legal name of the reporting liquidity fund</t>
  </si>
  <si>
    <t>LiquidityFundName</t>
  </si>
  <si>
    <t>Item A, 54(b)</t>
  </si>
  <si>
    <t>What is the private fund identification number of the reporting liquidity fund?</t>
  </si>
  <si>
    <t>Liquidity Fund ID</t>
  </si>
  <si>
    <t>LiquidityFundID</t>
  </si>
  <si>
    <t>Item A, 55(a)</t>
  </si>
  <si>
    <t>Stable Price Information</t>
  </si>
  <si>
    <t>Indicate if the fund seeks to maintain a stable price per share and provide the stable price if applicable</t>
  </si>
  <si>
    <t>StablePricePerShare</t>
  </si>
  <si>
    <t>Item A, 55(b)</t>
  </si>
  <si>
    <t>J. Explanatory Notes</t>
  </si>
  <si>
    <t>What is the stable price per share that the reporting fund seeks to maintain?</t>
  </si>
  <si>
    <t>Stable Price Detail</t>
  </si>
  <si>
    <t>Provide the stable price per share that the fund seeks to maintain</t>
  </si>
  <si>
    <t>StablePrice</t>
  </si>
  <si>
    <t>Item B, 56(a)</t>
  </si>
  <si>
    <t xml:space="preserve">Quarterly report for advisers to private equity funds </t>
  </si>
  <si>
    <t>What is the net asset value of the reporting fund at the end of the month?</t>
  </si>
  <si>
    <t>Fund Net Asset Value</t>
  </si>
  <si>
    <t>Provide the net asset value of the reporting fund as reported to current and prospective investors</t>
  </si>
  <si>
    <t>Item B, 56(b)</t>
  </si>
  <si>
    <t>What is the net asset value per share of the reporting fund as reported to investors?</t>
  </si>
  <si>
    <t>Fund Net Asset Value Per Share</t>
  </si>
  <si>
    <t>Provide the NAV per share of the reporting fund as reported to current and prospective investors</t>
  </si>
  <si>
    <t>NetAssetValuePerShare</t>
  </si>
  <si>
    <t>Item B, 56(c)</t>
  </si>
  <si>
    <t>What is the NAV per share excluding the value of any capital support agreement?</t>
  </si>
  <si>
    <t>NAV Per Share Excluding Capital Support</t>
  </si>
  <si>
    <t>Provide the NAV per share excluding the value of any capital support agreement or similar items</t>
  </si>
  <si>
    <t>NAVPerShareExcludingSupport</t>
  </si>
  <si>
    <t>Item B, 56(d)</t>
  </si>
  <si>
    <t>What is the weighted average maturity (WAM) of the reporting fund in days?</t>
  </si>
  <si>
    <t>Weighted Average Maturity</t>
  </si>
  <si>
    <t>Provide the weighted average maturity in days</t>
  </si>
  <si>
    <t>WeightedAverageMaturity</t>
  </si>
  <si>
    <t>Item B, 56(e)</t>
  </si>
  <si>
    <t>What is the weighted average life (WAL) of the reporting fund in days?</t>
  </si>
  <si>
    <t>Weighted Average Life</t>
  </si>
  <si>
    <t>Provide the weighted average life in days</t>
  </si>
  <si>
    <t>WeightedAverageLife</t>
  </si>
  <si>
    <t>Item B, 56(f)</t>
  </si>
  <si>
    <t>What is the 7-day gross yield of the reporting fund to the nearest hundredth of one percent?</t>
  </si>
  <si>
    <t>7-Day Gross Yield</t>
  </si>
  <si>
    <t>Provide the 7-day gross yield of the reporting fund to the nearest hundredth of one percent</t>
  </si>
  <si>
    <t>SevenDayGrossYield</t>
  </si>
  <si>
    <t>Item B, 56(g)</t>
  </si>
  <si>
    <t>What is the dollar amount of the reporting fund's daily liquid assets?</t>
  </si>
  <si>
    <t>Daily Liquid Assets</t>
  </si>
  <si>
    <t>Provide the total dollar amount of the fund's assets that can be liquidated within one business day</t>
  </si>
  <si>
    <t>DailyLiquidAssets</t>
  </si>
  <si>
    <t>Item B, 56(h)</t>
  </si>
  <si>
    <t>B. Adviser-Led Secondary Transactions</t>
  </si>
  <si>
    <t>What is the dollar amount of the reporting fund's weekly liquid assets?</t>
  </si>
  <si>
    <t>Weekly Liquid Assets</t>
  </si>
  <si>
    <t>Provide the total dollar amount of the fund's assets that can be liquidated within five business days</t>
  </si>
  <si>
    <t>WeeklyLiquidAssets</t>
  </si>
  <si>
    <t>Item B, 56(i)</t>
  </si>
  <si>
    <t>What is the dollar amount of the reporting fund's assets that have a maturity greater than 397 days?</t>
  </si>
  <si>
    <t>Assets with Maturity over 397 Days</t>
  </si>
  <si>
    <t>Provide the total dollar amount of the fund's assets that have a maturity greater than 397 days</t>
  </si>
  <si>
    <t>AssetsMaturityOver397Days</t>
  </si>
  <si>
    <t>Item B, 56(j)</t>
  </si>
  <si>
    <t>C. General Partner Removal, Investment Period Termination, or Fund Termination</t>
  </si>
  <si>
    <t>What amount of cash is held by the reporting fund?</t>
  </si>
  <si>
    <t>Cash Held by the Fund</t>
  </si>
  <si>
    <t>Provide the total amount of cash held by the reporting fund</t>
  </si>
  <si>
    <t>CashHeldByFund</t>
  </si>
  <si>
    <t>Item B, 56(k)</t>
  </si>
  <si>
    <t>What are the total gross subscriptions, including dividend reinvestments, for the reporting fund?</t>
  </si>
  <si>
    <t>Total Gross Subscriptions</t>
  </si>
  <si>
    <t>Provide the total gross subscriptions, including dividend reinvestments, during the reporting period</t>
  </si>
  <si>
    <t>GrossSubscriptions</t>
  </si>
  <si>
    <t>Item B, 56(l)</t>
  </si>
  <si>
    <t>D. Explanatory Notes</t>
  </si>
  <si>
    <t>What are the total gross redemptions for the reporting fund?</t>
  </si>
  <si>
    <t>Total Gross Redemptions</t>
  </si>
  <si>
    <t>Provide the total gross redemptions during the reporting period</t>
  </si>
  <si>
    <t>GrossRedemptions</t>
  </si>
  <si>
    <t>Item C, 57(a)</t>
  </si>
  <si>
    <t xml:space="preserve">Request for temporary hardship exemption </t>
  </si>
  <si>
    <t>Is the borrowing amount equal to or greater than 5% of NAV?</t>
  </si>
  <si>
    <t>Borrowing Equal or Greater 5% NAV Information</t>
  </si>
  <si>
    <t>Indicate if the total borrowing amount equals or exceeds 5% of the net asset value of the fund</t>
  </si>
  <si>
    <t>BorrowingGreater5PercentNAV</t>
  </si>
  <si>
    <t>Item C, 57(b)</t>
  </si>
  <si>
    <t>A. Filing Type Selection</t>
  </si>
  <si>
    <t>Breakdown of total borrowing by type, creditor type, and maturity period if borrowing equal to or greater than 5% of NAV</t>
  </si>
  <si>
    <t>Total Borrowing Breakdown</t>
  </si>
  <si>
    <t>Provide the breakdown of the total borrowing by type, the nature of the creditor, and the maturity period</t>
  </si>
  <si>
    <t>TotalBorrowingBreakdown</t>
  </si>
  <si>
    <t>Item C, 58(a)</t>
  </si>
  <si>
    <t>B. Details of Hardship Exemption Request</t>
  </si>
  <si>
    <t>Does the reporting fund have any committed liquidity facilities in place?</t>
  </si>
  <si>
    <t>Committed Liquidity Facility Information</t>
  </si>
  <si>
    <t>Indicate if the reporting fund has any committed liquidity facilities in place</t>
  </si>
  <si>
    <t>CommittedLiquidityFacility</t>
  </si>
  <si>
    <t>Item C, 58(b)</t>
  </si>
  <si>
    <t>What is the aggregate dollar value of commitments under the reported liquidity facilities?</t>
  </si>
  <si>
    <t>Aggregate Value of Liquidity Facility Commitments</t>
  </si>
  <si>
    <t>Provide the total dollar value committed under the liquidity facilities</t>
  </si>
  <si>
    <t>AggregateFacilityCommitments</t>
  </si>
  <si>
    <t>Item D, 59</t>
  </si>
  <si>
    <t>What is the number of outstanding shares or units of the reporting fund?</t>
  </si>
  <si>
    <t>Outstanding Shares Information</t>
  </si>
  <si>
    <t>Provide the number of shares or units of stock or similar securities outstanding for the reporting fund</t>
  </si>
  <si>
    <t>OutstandingSharesUnits</t>
  </si>
  <si>
    <t>Item D, 60</t>
  </si>
  <si>
    <t>Is the fund established as a cash management vehicle for other funds or accounts managed by you or your affiliates?</t>
  </si>
  <si>
    <t>Cash Management Vehicle Information</t>
  </si>
  <si>
    <t>Indicate if the liquidity fund is established as a cash management vehicle for other funds or accounts managed by you or your affiliates</t>
  </si>
  <si>
    <t>CashManagementVehicle</t>
  </si>
  <si>
    <t>Item D, 61(a)</t>
  </si>
  <si>
    <t>What is the percentage of the reporting fund's equity beneficially owned by the owner with the largest equity interest?</t>
  </si>
  <si>
    <t>Largest Equity Owner Percentage</t>
  </si>
  <si>
    <t>Provide the percentage ownership by the largest equity owner of the reporting fund</t>
  </si>
  <si>
    <t>LargestEquityOwner</t>
  </si>
  <si>
    <t>Item D, 61(b)</t>
  </si>
  <si>
    <t>List investors owning 5% or more of the fund's equity, including investor category and percentage</t>
  </si>
  <si>
    <t>Text/Percentage</t>
  </si>
  <si>
    <t>Investors Owning 5% or More Information</t>
  </si>
  <si>
    <t>Provide a list of investors owning 5% or more of the fund's equity, including investor category and percentage ownership</t>
  </si>
  <si>
    <t>InvestorsOwningFivePercentOrMore</t>
  </si>
  <si>
    <t>Item D, 62</t>
  </si>
  <si>
    <t>What percentage of the fund’s outstanding equity was purchased using securities lending collateral?</t>
  </si>
  <si>
    <t>Securities Lending Collateral Usage</t>
  </si>
  <si>
    <t>Provide a good faith estimate of the percentage of outstanding equity purchased using securities lending collateral</t>
  </si>
  <si>
    <t>SecuritiesLendingCollateral</t>
  </si>
  <si>
    <t>Item D, 63</t>
  </si>
  <si>
    <t>What percentage of the NAV may be subject to suspensions or material restrictions on investor withdrawals or redemptions by the adviser or governing body?</t>
  </si>
  <si>
    <t>Withdrawals Restrictions Information</t>
  </si>
  <si>
    <t>Provide the percentage of NAV that may be subjected to suspension or material restrictions on withdrawals or redemptions by adviser or governing body</t>
  </si>
  <si>
    <t>Item E, 64</t>
  </si>
  <si>
    <t>Amendment Type</t>
  </si>
  <si>
    <t>What is the investor liquidity measured by specific periods within which funds can be withdrawn?</t>
  </si>
  <si>
    <t>Investor Liquidity Information</t>
  </si>
  <si>
    <t>Divide the reporting fund's NAV among specified periods in which investors can withdraw funds, assuming no suspension or fees</t>
  </si>
  <si>
    <t>InvestorLiquidity</t>
  </si>
  <si>
    <t>Item E, 65(a)</t>
  </si>
  <si>
    <t>Name of issuer for each security held by the reporting fund at end of month</t>
  </si>
  <si>
    <t>Issuer Information</t>
  </si>
  <si>
    <t>Provide the name of the issuer for each security held by the reporting fund</t>
  </si>
  <si>
    <t>IssuerName</t>
  </si>
  <si>
    <t>Item E, 65(b)</t>
  </si>
  <si>
    <t>Title of the issue (including coupon, if applicable)</t>
  </si>
  <si>
    <t>Provide the title of the issue for each security held by the reporting fund as of the last day of the month</t>
  </si>
  <si>
    <t>SecurityTitle</t>
  </si>
  <si>
    <t>Item E, 65(c)</t>
  </si>
  <si>
    <t>CUSIP for each security held by the reporting fund</t>
  </si>
  <si>
    <t>CUSIP</t>
  </si>
  <si>
    <t>Provide CUSIP for each security held by the reporting fund</t>
  </si>
  <si>
    <t>SecurityCUSIP</t>
  </si>
  <si>
    <t>Item E, 65(d)</t>
  </si>
  <si>
    <t>LEI for each security held by the reporting fund</t>
  </si>
  <si>
    <t>Provide LEI for each security held by the reporting fund</t>
  </si>
  <si>
    <t>SecurityLEI</t>
  </si>
  <si>
    <t>Item E, 65(e)</t>
  </si>
  <si>
    <t>Additional identifiers (e.g., ISIN, CIK) for each security held</t>
  </si>
  <si>
    <t>Security Identifiers</t>
  </si>
  <si>
    <t>Provide other identifiers used (e.g., ISIN, CIK), and type for each security held by the reporting fund</t>
  </si>
  <si>
    <t>SecurityIdentifiers</t>
  </si>
  <si>
    <t>Item E, 65(f)</t>
  </si>
  <si>
    <t>The category of investment that most closely represents the security</t>
  </si>
  <si>
    <t>Select the investment category that most accurately describes the type of security held by the fund</t>
  </si>
  <si>
    <t>InvestmentCategory</t>
  </si>
  <si>
    <t>Item E, 65(g)</t>
  </si>
  <si>
    <t>For repo, provide all details related to issuer, CUSIP, LEI, type, and value of collateral</t>
  </si>
  <si>
    <t>Repo Collateral Information</t>
  </si>
  <si>
    <t>Provide collateral details (issuer, CUSIP, LEI, maturity date, interest rate, value) for repo positions held during a reporting period</t>
  </si>
  <si>
    <t>RepoCollateral</t>
  </si>
  <si>
    <t>Item E, 65(h)</t>
  </si>
  <si>
    <t>Person Signing</t>
  </si>
  <si>
    <t>If a rating from a credit rating agency was used in security evaluation, provide name of agency and rating</t>
  </si>
  <si>
    <t>Credit Rating Information</t>
  </si>
  <si>
    <t>Provide the name of each credit rating agency and the rating assigned if it influenced the security evaluation</t>
  </si>
  <si>
    <t>CreditRating</t>
  </si>
  <si>
    <t>Item E, 65(i)</t>
  </si>
  <si>
    <t>Maturity date used to calculate WAM</t>
  </si>
  <si>
    <t>Maturity Date</t>
  </si>
  <si>
    <t>Provide the maturity date used for Weighted Average Maturity calculations</t>
  </si>
  <si>
    <t>MaturityDate</t>
  </si>
  <si>
    <t>Item E, 65(j)</t>
  </si>
  <si>
    <t>Maturity date used to calculate WAL</t>
  </si>
  <si>
    <t>Provide the maturity date used for Weighted Average Life calculations</t>
  </si>
  <si>
    <t>Item E, 65(k)</t>
  </si>
  <si>
    <t>The final maturity date of the security, excluding readjustment or demand features</t>
  </si>
  <si>
    <t>Legal Maturity Date</t>
  </si>
  <si>
    <t>Provide the ultimate legal maturity date, excluding any interest readjustment or demand feature, for the security</t>
  </si>
  <si>
    <t>LegalMaturityDate</t>
  </si>
  <si>
    <t>Item E, 65(l)</t>
  </si>
  <si>
    <t>Signature, Place, Date</t>
  </si>
  <si>
    <t>Provide full details (Name of the issuer/rating/period/fraction) of the demand feature of the security, if applicable</t>
  </si>
  <si>
    <t>Demand Feature Information</t>
  </si>
  <si>
    <t>Provide details of demand features, including issuer, rating, time periods, and percentage support of each feature</t>
  </si>
  <si>
    <t>DemandFeature</t>
  </si>
  <si>
    <t>Item E, 65(m)</t>
  </si>
  <si>
    <t>Provide full details (Name/Rating/Fraction) of the guarantee of the security, if applicable</t>
  </si>
  <si>
    <t>Guarantee Information</t>
  </si>
  <si>
    <t>Provide details of guarantees, including name of guarantors, rating, and percentage fraction support of each guarantee</t>
  </si>
  <si>
    <t>Guarantee</t>
  </si>
  <si>
    <t>Item E, 65(n)</t>
  </si>
  <si>
    <t>Provide full details (Name/Rating/Fraction) of enhancements to the security, if applicable</t>
  </si>
  <si>
    <t>Enhancements Information</t>
  </si>
  <si>
    <t>Provide details of enhancements, if any, including name of enhancement providers, rating, and percentage fraction support</t>
  </si>
  <si>
    <t>Enhancements</t>
  </si>
  <si>
    <t>Item E, 65(o)</t>
  </si>
  <si>
    <t>What is the yield of the security as of the reporting date?</t>
  </si>
  <si>
    <t>Security Yield Information</t>
  </si>
  <si>
    <t>Provide yield of each security held by the fund as of the reporting date</t>
  </si>
  <si>
    <t>SecurityYield</t>
  </si>
  <si>
    <t>Item E, 65(p)(i)</t>
  </si>
  <si>
    <t>What is the total market value, to the nearest cent, of the reporting fund’s position in the security? Including value of sponsor support</t>
  </si>
  <si>
    <t>Fund Position Value Total</t>
  </si>
  <si>
    <t>Provide the total market value of the reporting fund’s position in each security, including the value of support from sponsors or similar parties</t>
  </si>
  <si>
    <t>FundPositionValue</t>
  </si>
  <si>
    <t>Item E, 65(p)(ii)</t>
  </si>
  <si>
    <t>What is the value of the amortized cost (to the nearest cent) of the security excluding sponsor support</t>
  </si>
  <si>
    <t>Amortized Cost Value</t>
  </si>
  <si>
    <t>Provide the amortized cost value of each security excluding sponsor support</t>
  </si>
  <si>
    <t>AmortizedCostValue</t>
  </si>
  <si>
    <t>Item E, 65(q)</t>
  </si>
  <si>
    <t>What is the percentage of the reporting fund’s net assets invested in the security?</t>
  </si>
  <si>
    <t>Percentage NAV Invested</t>
  </si>
  <si>
    <t>Provide the percentage of the reporting fund’s net assets invested in each security, to the nearest hundredth of a percent</t>
  </si>
  <si>
    <t>NAVPercentageSecurity</t>
  </si>
  <si>
    <t>Item E, 65(r)</t>
  </si>
  <si>
    <t>Is the security categorized as a Level 3 asset or liability?</t>
  </si>
  <si>
    <t>Level 3 Asset or Liability</t>
  </si>
  <si>
    <t>Indicate whether each security is categorized as a Level 3 asset or liability on the fair value hierarchy</t>
  </si>
  <si>
    <t>Level3AssetOrLiability</t>
  </si>
  <si>
    <t>Item E, 65(s)</t>
  </si>
  <si>
    <t>Is the security a daily liquid asset?</t>
  </si>
  <si>
    <t>Daily Liquid Asset</t>
  </si>
  <si>
    <t>Determine if the security qualifies as a daily liquid asset as per fund regulations</t>
  </si>
  <si>
    <t>DailyLiquidAsset</t>
  </si>
  <si>
    <t>Item E, 65(t)</t>
  </si>
  <si>
    <t>Is the security a weekly liquid asset?</t>
  </si>
  <si>
    <t>Weekly Liquid Asset</t>
  </si>
  <si>
    <t>Determine if the security qualifies as a weekly liquid asset as per fund regulations</t>
  </si>
  <si>
    <t>WeeklyLiquidAsset</t>
  </si>
  <si>
    <t>Item E, 65(u)</t>
  </si>
  <si>
    <t>Is the security categorized as an illiquid security?</t>
  </si>
  <si>
    <t>Illiquid Security</t>
  </si>
  <si>
    <t>Determine if the security qualifies as an illiquid security as per fund regulations</t>
  </si>
  <si>
    <t>IlliquidSecurity</t>
  </si>
  <si>
    <t>Item E, 65(v)</t>
  </si>
  <si>
    <t>Provide any explanatory notes applicable to the portfolio security</t>
  </si>
  <si>
    <t>Additional comments or information that might help understand the context of the portfolio security</t>
  </si>
  <si>
    <t>Item F, 66</t>
  </si>
  <si>
    <t>What is the gross market value of portfolio securities sold or disposed of during the reporting period?</t>
  </si>
  <si>
    <t>Disposed Securities Value</t>
  </si>
  <si>
    <t>Provide the gross market value (to the nearest cent) of securities sold or disposed of, categorized by type</t>
  </si>
  <si>
    <t>DisposedSecuritiesValue</t>
  </si>
  <si>
    <t>Item F, 66(a)</t>
  </si>
  <si>
    <t>Categorization of disposed securities by investment type</t>
  </si>
  <si>
    <t>Number/Dropdown</t>
  </si>
  <si>
    <t>Disposed Securities Categorization</t>
  </si>
  <si>
    <t>Provide the categories and amount for the securities sold or disposed of</t>
  </si>
  <si>
    <t>DisposedSecuritiesCategorization</t>
  </si>
  <si>
    <t>Item G, 67</t>
  </si>
  <si>
    <t>Does the reporting fund invest in parallel with any money market fund advised by you or your related persons?</t>
  </si>
  <si>
    <t>Parallel Funds Information</t>
  </si>
  <si>
    <t>Determine if the reporting fund operates side by side with any money market fund advised by the filer or related persons</t>
  </si>
  <si>
    <t>ParallelFunds</t>
  </si>
  <si>
    <t>Item G, 67(a)</t>
  </si>
  <si>
    <t>Provide the EDGAR series identifier for the parallel money market fund</t>
  </si>
  <si>
    <t>Provide the EDGAR series identifier for any money market fund investing side by side with the liquidity fund</t>
  </si>
  <si>
    <t>Section 4</t>
  </si>
  <si>
    <t>What information about private equity funds do you need to provide?</t>
  </si>
  <si>
    <t>Private Equity Fund Information</t>
  </si>
  <si>
    <t>Complete a separate Section 4 for each private equity fund you advise, except as provided in the General Instructions</t>
  </si>
  <si>
    <t>PrivateEquityFundInformation</t>
  </si>
  <si>
    <t>Item A, 68</t>
  </si>
  <si>
    <t>Private Equity Fund Identifiers</t>
  </si>
  <si>
    <t>Provide the name and private fund identification number of the reporting private equity fund</t>
  </si>
  <si>
    <t>PrivateEquityFundIdentifiers</t>
  </si>
  <si>
    <t>Item A, 68(a)</t>
  </si>
  <si>
    <t>Confidential Treatment</t>
  </si>
  <si>
    <t>What is the name of the reporting private equity fund?</t>
  </si>
  <si>
    <t>The legal name of the reporting private equity fund</t>
  </si>
  <si>
    <t>PrivateEquityFundName</t>
  </si>
  <si>
    <t>Item A, 68(b)</t>
  </si>
  <si>
    <t>List of Other Included Managers:</t>
  </si>
  <si>
    <t>What is the private fund identification number of the reporting private equity fund?</t>
  </si>
  <si>
    <t>Private Equity Fund ID</t>
  </si>
  <si>
    <t>PrivateEquityFundID</t>
  </si>
  <si>
    <t>Item B, 69</t>
  </si>
  <si>
    <t>What investment strategies does the reporting private equity fund use?</t>
  </si>
  <si>
    <t>Private Equity Investment Strategies</t>
  </si>
  <si>
    <t>Details on the fund's investment strategies, including percentages represented by each strategy</t>
  </si>
  <si>
    <t>PrivateEquityStrategies</t>
  </si>
  <si>
    <t>Item B, 70</t>
  </si>
  <si>
    <t>Provide ISO country code for large investments in portfolio companies of the reporting private equity fund</t>
  </si>
  <si>
    <t>Private Equity Country Exposures</t>
  </si>
  <si>
    <t>Provide exposure percentages to countries for significant investments in portfolio companies</t>
  </si>
  <si>
    <t>CountryExposurePrivateEquity</t>
  </si>
  <si>
    <t>Item C, 71</t>
  </si>
  <si>
    <t>Provide details on total borrowings and types of creditors</t>
  </si>
  <si>
    <t>Private Equity Borrowing Information</t>
  </si>
  <si>
    <t>Provide total amounts and percentages borrowed by the fund from different types of creditors</t>
  </si>
  <si>
    <t>PrivateEquityBorrowingDetails</t>
  </si>
  <si>
    <t>Item C, 71(a)</t>
  </si>
  <si>
    <t>COLUMN 1</t>
  </si>
  <si>
    <t>What is the dollar amount of total borrowings of the reporting private equity fund?</t>
  </si>
  <si>
    <t>Total Private Equity Fund Borrowings</t>
  </si>
  <si>
    <t>Provide the total dollar amount borrowed by the reporting private equity fund</t>
  </si>
  <si>
    <t>TotalPrivateEquityBorrowings</t>
  </si>
  <si>
    <t>Item C, 71(b)</t>
  </si>
  <si>
    <t>COLUMN 2</t>
  </si>
  <si>
    <t>What percentage of the borrowings is from U.S. financial institutions?</t>
  </si>
  <si>
    <t>U.S. Financial Institution Borrowings</t>
  </si>
  <si>
    <t>Provide the percentage of borrowings from U.S. financial institutions</t>
  </si>
  <si>
    <t>USFinancialInstitutionBorrowings</t>
  </si>
  <si>
    <t>Item C, 71(c)</t>
  </si>
  <si>
    <t>COLUMN 3</t>
  </si>
  <si>
    <t>What percentage of the borrowings is from non-U.S. financial institutions?</t>
  </si>
  <si>
    <t>Non-U.S. Financial Institution Borrowings</t>
  </si>
  <si>
    <t>Provide the percentage of borrowings from non-U.S. financial institutions</t>
  </si>
  <si>
    <t>NonUSFinancialInstitutionBorrowings</t>
  </si>
  <si>
    <t>Item C, 71(d)</t>
  </si>
  <si>
    <t>COLUMN 4</t>
  </si>
  <si>
    <t>What percentage of the borrowings is from U.S. creditors that are not financial institutions?</t>
  </si>
  <si>
    <t>U.S. Non-Financial Institution Borrowings</t>
  </si>
  <si>
    <t>Provide the percentage of borrowings from U.S. creditors other than financial institutions</t>
  </si>
  <si>
    <t>USNonFinancialInstitutionBorrowings</t>
  </si>
  <si>
    <t>Item C, 71(e)</t>
  </si>
  <si>
    <t>COLUMN 5</t>
  </si>
  <si>
    <t>What percentage of the borrowings is from non-U.S. creditors that are not financial institutions?</t>
  </si>
  <si>
    <t>Non-U.S. Non-Financial Institution Borrowings</t>
  </si>
  <si>
    <t>Provide the percentage of borrowings from non-U.S. creditors other than financial institutions</t>
  </si>
  <si>
    <t>NonUSNonFinancialInstitutionBorrowings</t>
  </si>
  <si>
    <t>Item C, 71(f)</t>
  </si>
  <si>
    <t>COLUMN 6</t>
  </si>
  <si>
    <t>Does the reporting fund have fund-level borrowing or ability to borrow at the fund level?</t>
  </si>
  <si>
    <t>Fund-level Borrowing Information</t>
  </si>
  <si>
    <t>Indicate if the private equity fund has fund-level borrowing or the ability to borrow at the fund level</t>
  </si>
  <si>
    <t>FundLevelBorrowing</t>
  </si>
  <si>
    <t>Item C, 71(g)</t>
  </si>
  <si>
    <t>COLUMN 7</t>
  </si>
  <si>
    <t>Provide types of fund-level borrowing or cash financing available to the reporting fund</t>
  </si>
  <si>
    <t>Types of Fund-level Borrowing Information</t>
  </si>
  <si>
    <t>Provide amount and average borrowed for types of fund-level cash financing available</t>
  </si>
  <si>
    <t>FundLevelBorrowingTypes</t>
  </si>
  <si>
    <t>Item C, 71(g)(i)</t>
  </si>
  <si>
    <t>COLUMN 8</t>
  </si>
  <si>
    <t>What is the dollar amount of credit secured by the investments of the reporting fund?</t>
  </si>
  <si>
    <t>Credit Secured by Investments Information</t>
  </si>
  <si>
    <t>Provide the total dollar amount secured by investments</t>
  </si>
  <si>
    <t>CreditSecuredByInvestments</t>
  </si>
  <si>
    <t>Item C, 71(g)(ii)</t>
  </si>
  <si>
    <t>COLUMN 9</t>
  </si>
  <si>
    <t>What is the dollar amount of credit secured by unfunded commitments of the reporting fund?</t>
  </si>
  <si>
    <t>Credit Secured by Unfunded Commitments Information</t>
  </si>
  <si>
    <t>Provide the total dollar amount secured by unfunded commitments</t>
  </si>
  <si>
    <t>CreditSecuredByUnfundedCommitments</t>
  </si>
  <si>
    <t>Item C, 71(g)(iii)</t>
  </si>
  <si>
    <t>COLUMN 10</t>
  </si>
  <si>
    <t>What is the dollar amount of credit secured by a combination of unfunded commitments and investments of the reporting fund?</t>
  </si>
  <si>
    <t>Credit Secured by Combined Information</t>
  </si>
  <si>
    <t>Provide the total dollar amount secured by a combination of unfunded commitments and investments</t>
  </si>
  <si>
    <t>CreditSecuredByCombined</t>
  </si>
  <si>
    <t>Item C, 71(g)(iv)</t>
  </si>
  <si>
    <t>COLUMN 11</t>
  </si>
  <si>
    <t>What is the dollar amount of other types of secured credit?</t>
  </si>
  <si>
    <t>Other Credit Secured</t>
  </si>
  <si>
    <t>Provide total amounts borrowed under other types of secured credit arrangements</t>
  </si>
  <si>
    <t>OtherCreditSecured</t>
  </si>
  <si>
    <t>Item C, 72(a)</t>
  </si>
  <si>
    <t>COLUMN 12</t>
  </si>
  <si>
    <t>Do you or any related persons guarantee or are obligated to satisfy obligations of portfolio company investments?</t>
  </si>
  <si>
    <t>Portfolio Company Guarantees</t>
  </si>
  <si>
    <t>Determine if the adviser or related persons guarantee obligations for portfolio companies towards debt or liabilities</t>
  </si>
  <si>
    <t>PortfolioCompanyGuarantees</t>
  </si>
  <si>
    <t>Item C, 72(b)</t>
  </si>
  <si>
    <t>What is the total dollar value of all such guarantees and obligations?</t>
  </si>
  <si>
    <t>Total Guarantees and Obligations</t>
  </si>
  <si>
    <t>Provide total value of guarantees and obligations for portfolio companies by the adviser or related persons</t>
  </si>
  <si>
    <t>TotalGuaranteesObligations</t>
  </si>
  <si>
    <t>Item C, 73(a)</t>
  </si>
  <si>
    <t>What is the weighted average debt-to-equity ratio of controlled portfolio companies invested by the fund?</t>
  </si>
  <si>
    <t>Number/Decimal</t>
  </si>
  <si>
    <t>Weighted Average Debt-to-Equity</t>
  </si>
  <si>
    <t>Provide the ratio of debt-to-equity on a weighted average basis for controlled portfolio companies</t>
  </si>
  <si>
    <t>WeightedDebtToEquityRatio</t>
  </si>
  <si>
    <t>Item C, 73(b)</t>
  </si>
  <si>
    <t>What is the highest debt-to-equity ratio of any controlled portfolio company in the reporting fund's portfolio?</t>
  </si>
  <si>
    <t>Highest Debt-to-Equity</t>
  </si>
  <si>
    <t>Provide the highest debt-to-equity ratio for a portfolio company controlled by the reporting private equity fund</t>
  </si>
  <si>
    <t>HighestDebtToEquityRatio</t>
  </si>
  <si>
    <t>Item C, 74</t>
  </si>
  <si>
    <t>What is the lowest debt-to-equity ratio of any controlled portfolio company in the reporting fund's portfolio?</t>
  </si>
  <si>
    <t>Lowest Debt-to-Equity Percent</t>
  </si>
  <si>
    <t>Provide the lowest debt-to-equity ratio for a portfolio company controlled by the reporting private equity fund</t>
  </si>
  <si>
    <t>LowestDebtToEquityRatio</t>
  </si>
  <si>
    <t>Item C, 75</t>
  </si>
  <si>
    <t>What is the aggregate gross asset value of the controlled portfolio companies invested by the reporting private equity fund?</t>
  </si>
  <si>
    <t>Aggregate Gross Asset Value</t>
  </si>
  <si>
    <t>Provide total gross asset value of controlled portfolio companies invested by the reporting private equity fund</t>
  </si>
  <si>
    <t>GrossAssetValuePortfolioCompanies</t>
  </si>
  <si>
    <t>Item C, 76</t>
  </si>
  <si>
    <t>What is the aggregate principal amount of borrowings categorized as current liabilities on the most recent balance sheet of the reporting fund’s controlled portfolio companies?</t>
  </si>
  <si>
    <t>Principal Amount of Current Borrowings</t>
  </si>
  <si>
    <t>Provide the aggregate principal amount of borrowings classified as current liabilities on the most recent balance sheets</t>
  </si>
  <si>
    <t>CurrentLiabilitiesBorrowings</t>
  </si>
  <si>
    <t>Item C, 77</t>
  </si>
  <si>
    <t>What is the aggregate principal amount of borrowings categorized as long-term liabilities on the most recent balance sheet of the reporting fund’s controlled portfolio companies?</t>
  </si>
  <si>
    <t>Principal Amount of Long-term Borrowings</t>
  </si>
  <si>
    <t>Provide the aggregate principal amount of borrowings classified as long-term liabilities on the most recent balance sheets</t>
  </si>
  <si>
    <t>LongTermLiabilitiesBorrowings</t>
  </si>
  <si>
    <t>Item C, 78</t>
  </si>
  <si>
    <t>What percentage of the aggregate borrowings of the reporting fund’s controlled portfolio companies is payment-in-kind (PIK) or zero-coupon debt?</t>
  </si>
  <si>
    <t>Payment-In-Kind or Zero-coupon Debt</t>
  </si>
  <si>
    <t>Provide the percentage of PIK or zero-coupon debt in aggregate borrowings of controlled portfolio companies</t>
  </si>
  <si>
    <t>PIKorZeroCouponDebt</t>
  </si>
  <si>
    <t>Item C, 79(a)</t>
  </si>
  <si>
    <t>Did the controlled portfolio companies or the fund experience a default event under any debt instrument during the reporting period?</t>
  </si>
  <si>
    <t>Default Events Information</t>
  </si>
  <si>
    <t>Determine if the reporting fund or controlled portfolio companies experienced any event of default under debt instruments</t>
  </si>
  <si>
    <t>DefaultEvents</t>
  </si>
  <si>
    <t>Item C, 79 (b)(i)</t>
  </si>
  <si>
    <t>Determined default by any payment failures?</t>
  </si>
  <si>
    <t>Default Payment Fund</t>
  </si>
  <si>
    <t>Determine if the reporting fund faced a default event from missing payment like creditor withdrawals, contract failures, etc.,</t>
  </si>
  <si>
    <t>PaymentDefaults</t>
  </si>
  <si>
    <t>Item C, 79 (b)(ii)</t>
  </si>
  <si>
    <t>Default Payment Portfolio</t>
  </si>
  <si>
    <t>Determine if the reporting portfolio company faced a default event from missing payment like creditor withdrawals, contract failures, etc.,</t>
  </si>
  <si>
    <t>PaymentDefaultsPortfolio</t>
  </si>
  <si>
    <t>Item C, 80</t>
  </si>
  <si>
    <t>Provide details of bridge loans or commitments (subject to customary conditions) by the controlled portfolio company</t>
  </si>
  <si>
    <t>Bridge Loans/Commitments Information</t>
  </si>
  <si>
    <t>Determine if any controlled portfolio company has bridge loans or commitments in place</t>
  </si>
  <si>
    <t>BridgeLoansCommitments</t>
  </si>
  <si>
    <t>Item D, 81(a)</t>
  </si>
  <si>
    <t>Does the reporting fund invest in any financial industry portfolio companies?</t>
  </si>
  <si>
    <t>Financial Industry Portfolio Investments</t>
  </si>
  <si>
    <t>Determine if the reporting private equity fund invests in financial industry portfolio companies</t>
  </si>
  <si>
    <t>FinancialIndustryPortfolioInvestments</t>
  </si>
  <si>
    <t>Item D, 81(b)</t>
  </si>
  <si>
    <t>Provide details (NAICS, Debt-to-equity ratio) for each financial industry portfolio company invested by the reporting private equity fund</t>
  </si>
  <si>
    <t>Details of Financial Industry Portfolio Companies</t>
  </si>
  <si>
    <t>Provide financing data such as principal office details, NAICS code, LEI, debt-to-equity ratio, etc., for each financial portfolio company invested</t>
  </si>
  <si>
    <t>FinancialIndustryCompanyDetails</t>
  </si>
  <si>
    <t>Item D, 82</t>
  </si>
  <si>
    <t>Provide breakdown of the reporting fund's investments in portfolio companies by industry (NAICS Code)</t>
  </si>
  <si>
    <t>Investment Breakdown by Industry</t>
  </si>
  <si>
    <t>Provide the percentage distribution of the Portfolio company investments by NAICS industry codes</t>
  </si>
  <si>
    <t>PortfolioCompaniesByIndustry</t>
  </si>
  <si>
    <t>Item D, 83</t>
  </si>
  <si>
    <t>Did the adviser or related persons (other than the reporting fund) invest in any portfolio companies of the reporting private equity fund?</t>
  </si>
  <si>
    <t>Adviser/Related Persons Investments Information</t>
  </si>
  <si>
    <t>Determine if the adviser and related persons are investing in any portfolio companies controlled by the reporting private equity fund</t>
  </si>
  <si>
    <t>AdviserInvestmentsPortfolio</t>
  </si>
  <si>
    <t>Item D, 84</t>
  </si>
  <si>
    <t>Provide details of general partner (GP) clawbacks or limited partner (LP) clawbacks exceeding certain thresholds</t>
  </si>
  <si>
    <t>Text/Date</t>
  </si>
  <si>
    <t>LP or GP Clawbacks</t>
  </si>
  <si>
    <t>Provide effective date and type of clawback, including reasons for clawback in private equity.A clawback by LP in excess of 10% fund capital</t>
  </si>
  <si>
    <t>LPOrGPClawbacks</t>
  </si>
  <si>
    <t>Item D, 85</t>
  </si>
  <si>
    <t>Provide any information you believe would be helpful in understanding the information reported. Identify the related question number for each comment</t>
  </si>
  <si>
    <t>Provide additional information that might help understand the reported details about portfolio companies and their exposures</t>
  </si>
  <si>
    <t>Section 5</t>
  </si>
  <si>
    <t>What current reporting events need to be disclosed for large hedge fund advisors to qualifying hedge funds?</t>
  </si>
  <si>
    <t>Hedge Fund Current Reporting Events</t>
  </si>
  <si>
    <t>Reportable events by large hedge fund advisers involving their qualifying hedge funds, reported within 72 hours, details in specified subsections</t>
  </si>
  <si>
    <t>HedgeFundCurrentReports</t>
  </si>
  <si>
    <t>Item A, 5-1</t>
  </si>
  <si>
    <t>Provide legal name, SEC registration, large trader ID, and other identifying information</t>
  </si>
  <si>
    <t>Adviser and Reporting Fund Information</t>
  </si>
  <si>
    <t>Provide the name, registration, large trader ID, and other information identifying the adviser and reporting hedge fund</t>
  </si>
  <si>
    <t>AdviserFundInfo</t>
  </si>
  <si>
    <t>Item A, 5-2</t>
  </si>
  <si>
    <t>Item A, 5-2(b)</t>
  </si>
  <si>
    <t>Item A, 5-2(c)</t>
  </si>
  <si>
    <t>What is the NFA identification number of the reporting hedge fund, if applicable?</t>
  </si>
  <si>
    <t>NFA Identification Number</t>
  </si>
  <si>
    <t>NFA identification number of the reporting hedge fund</t>
  </si>
  <si>
    <t>NFA_ID</t>
  </si>
  <si>
    <t>Item A, 5-2(d)</t>
  </si>
  <si>
    <t>What is the LEI of the reporting hedge fund, if any?</t>
  </si>
  <si>
    <t>Legal Entity Identifier (LEI) of the reporting hedge fund, if available</t>
  </si>
  <si>
    <t>Item A, 5-3</t>
  </si>
  <si>
    <t>Provide signatures of authorized representatives</t>
  </si>
  <si>
    <t>Signatures</t>
  </si>
  <si>
    <t>Authorized signatures with name, title, email, contact number, and date</t>
  </si>
  <si>
    <t>Item B, 5-4</t>
  </si>
  <si>
    <t>What was the beginning date of the 10-business-day loss period for extraordinary investment losses?</t>
  </si>
  <si>
    <t>Start Date of Loss Period</t>
  </si>
  <si>
    <t>Date when the extraordinary loss period began</t>
  </si>
  <si>
    <t>LossPeriodStartDate</t>
  </si>
  <si>
    <t>Item B, 5-5</t>
  </si>
  <si>
    <t>What was the end date of the 10-business-day loss period for extraordinary investment losses?</t>
  </si>
  <si>
    <t>End Date of Loss Period</t>
  </si>
  <si>
    <t>Date when the extraordinary loss period ended</t>
  </si>
  <si>
    <t>LossPeriodEndDate</t>
  </si>
  <si>
    <t>Item B, 5-6</t>
  </si>
  <si>
    <t>What was the holding period return over the 10-business-day loss period?</t>
  </si>
  <si>
    <t>Number/Percentage</t>
  </si>
  <si>
    <t>Holding Period Return</t>
  </si>
  <si>
    <t>Calculate the percentage return over the holding period of the 10-business-day loss</t>
  </si>
  <si>
    <t>HoldingPeriodReturn</t>
  </si>
  <si>
    <t>Item B, 5-7</t>
  </si>
  <si>
    <t>What was the dollar amount of loss over the 10-business-day loss period?</t>
  </si>
  <si>
    <t>Dollar Amount of Loss</t>
  </si>
  <si>
    <t>Total net loss amount in dollars experienced over the 10-business-day loss period</t>
  </si>
  <si>
    <t>LossAmount</t>
  </si>
  <si>
    <t>Item C, 5-8</t>
  </si>
  <si>
    <t>What was the start date of the 10-business-day period during which the margin, collateral, or equivalent increase was measured?</t>
  </si>
  <si>
    <t>Start Date of Measurement Period</t>
  </si>
  <si>
    <t>Starting date of the measurement period for margin/collateral/equivalent increase</t>
  </si>
  <si>
    <t>MeasurementPeriodStartDate</t>
  </si>
  <si>
    <t>Item C, 5-9</t>
  </si>
  <si>
    <t>What was the end date of the 10-business-day period during which the margin, collateral, or equivalent increase was measured?</t>
  </si>
  <si>
    <t>End Date of Measurement Period</t>
  </si>
  <si>
    <t>Ending date of the measurement period for margin/collateral/equivalent increase</t>
  </si>
  <si>
    <t>MeasurementPeriodEndDate</t>
  </si>
  <si>
    <t>Item C, 5-10</t>
  </si>
  <si>
    <t>What was the dollar amount of margin, collateral, or equivalent posted at the beginning of the period?</t>
  </si>
  <si>
    <t>Initial Value of Collateral</t>
  </si>
  <si>
    <t>Initial value in dollars of margin/collateral/equivalent posted at the beginning of this period</t>
  </si>
  <si>
    <t>InitialValueCollateral</t>
  </si>
  <si>
    <t>Item C, 5-11</t>
  </si>
  <si>
    <t>What was the dollar amount of margin, collateral, or equivalent posted at the end of the period?</t>
  </si>
  <si>
    <t>End Value of Collateral</t>
  </si>
  <si>
    <t>End value in dollars of margin/collateral/equivalent posted at the end of the 10-business-day period</t>
  </si>
  <si>
    <t>EndValueCollateral</t>
  </si>
  <si>
    <t>Item C, 5-12</t>
  </si>
  <si>
    <t>What was the average daily reporting fund aggregate calculated value during the period?</t>
  </si>
  <si>
    <t>Average Daily Fund Value</t>
  </si>
  <si>
    <t>Average daily value calculated over the 10-business-day period</t>
  </si>
  <si>
    <t>AvgDailyFundValue</t>
  </si>
  <si>
    <t>Item C, 5-13</t>
  </si>
  <si>
    <t>Which counterparties required the increased margin, collateral, or equivalent?</t>
  </si>
  <si>
    <t>Counterparty Information</t>
  </si>
  <si>
    <t>Name the counterparties requiring collateral increase details</t>
  </si>
  <si>
    <t>Counterparties</t>
  </si>
  <si>
    <t>Item C, 5-14</t>
  </si>
  <si>
    <t>Describe the understanding of circumstances relating to the margin/collateral increase?</t>
  </si>
  <si>
    <t>Circumstances Information</t>
  </si>
  <si>
    <t>Check options for circumstances leading to margin/collateral/equivalent increase (e.g., new relationship, deteriorating position)</t>
  </si>
  <si>
    <t>Circumstances</t>
  </si>
  <si>
    <t>Item D, 5-15</t>
  </si>
  <si>
    <t>What is the date of notification that the fund is in default on a call for margin/collateral or the determination of inability to meet the call?</t>
  </si>
  <si>
    <t>Date Notification/Determination</t>
  </si>
  <si>
    <t>Date that notice of margin default or determination of inability to meet the call was received or made</t>
  </si>
  <si>
    <t>DateNotificationDetermination</t>
  </si>
  <si>
    <t>Item D, 5-16</t>
  </si>
  <si>
    <t>What was the dollar amount of the call for margin, collateral, or equivalent?</t>
  </si>
  <si>
    <t>Dollar Amount of Call</t>
  </si>
  <si>
    <t>Dollar amount of margin/collateral/equivalent that the reporting fund was called to provide</t>
  </si>
  <si>
    <t>CallAmount</t>
  </si>
  <si>
    <t>Item D, 5-17</t>
  </si>
  <si>
    <t>What counterparty issued the margin/collateral call?</t>
  </si>
  <si>
    <t>Provide the legal name and LEI, if available, of the counterparty who issued the call</t>
  </si>
  <si>
    <t>Counterparty LEI</t>
  </si>
  <si>
    <t>Item D, 5-18</t>
  </si>
  <si>
    <t>Describe the understanding of the circumstances that led to the default or inability to meet the call for margin/collateral?</t>
  </si>
  <si>
    <t>Check options for understanding of circumstances leading to default or inability to meet call (e.g., increased requirements, losses)</t>
  </si>
  <si>
    <t>DefaultCircumstances</t>
  </si>
  <si>
    <t>Item E, 5-19</t>
  </si>
  <si>
    <t>What is the date of the default by a counterparty?</t>
  </si>
  <si>
    <t>Specify the date on which a counterparty default occurred</t>
  </si>
  <si>
    <t>DefaultDate</t>
  </si>
  <si>
    <t>Item E, 5-20</t>
  </si>
  <si>
    <t>What is the dollar amount of the counterparty default?</t>
  </si>
  <si>
    <t>Dollar Amount of Default</t>
  </si>
  <si>
    <t>Provide the total dollar amount not met by the counterparty in default</t>
  </si>
  <si>
    <t>DefaultAmount</t>
  </si>
  <si>
    <t>Item E, 5-21</t>
  </si>
  <si>
    <t>Which counterparty defaulted?</t>
  </si>
  <si>
    <t>Provide the legal name and LEI, if available, of the defaulting counterparty</t>
  </si>
  <si>
    <t>DefaultingCounterparty</t>
  </si>
  <si>
    <t>Item F, 5-22</t>
  </si>
  <si>
    <t>What is the date of the termination or material restriction of the prime brokerage relationship?</t>
  </si>
  <si>
    <t>Date of Termination/Material Restriction</t>
  </si>
  <si>
    <t>Specify the date when the prime broker relationship was terminated or materially restricted</t>
  </si>
  <si>
    <t>TerminationDate</t>
  </si>
  <si>
    <t>Item F, 5-23</t>
  </si>
  <si>
    <t>What is the date of the termination event as per the prime brokerage agreement or related agreements?</t>
  </si>
  <si>
    <t>Date of Termination Event</t>
  </si>
  <si>
    <t>Specify the date of the underlying termination event if different from the termination date</t>
  </si>
  <si>
    <t>TerminationEventDate</t>
  </si>
  <si>
    <t>Item F, 5-24</t>
  </si>
  <si>
    <t>Which prime broker terminated or restricted the relationship?</t>
  </si>
  <si>
    <t>Prime Broker Information</t>
  </si>
  <si>
    <t>Provide the legal name and LEI, if available, of the prime broker involved in the termination or restriction</t>
  </si>
  <si>
    <t>PrimeBroker</t>
  </si>
  <si>
    <t>Item G, 5-25</t>
  </si>
  <si>
    <t>What date did the operations event occur?</t>
  </si>
  <si>
    <t>Date of Operations Event</t>
  </si>
  <si>
    <t>Specify the date when the operations event first occurred that led to disruption</t>
  </si>
  <si>
    <t>OperationsEventDate</t>
  </si>
  <si>
    <t>Item G, 5-26</t>
  </si>
  <si>
    <t>What is the date the operations event was discovered?</t>
  </si>
  <si>
    <t>Date of Discovery</t>
  </si>
  <si>
    <t>Specify the date when the operations event was discovered, if different from the actual event date</t>
  </si>
  <si>
    <t>OperationsEventDiscoveryDate</t>
  </si>
  <si>
    <t>Item G, 5-27</t>
  </si>
  <si>
    <t>Understanding why and how operations event was happened?</t>
  </si>
  <si>
    <t>Text/Dropdown</t>
  </si>
  <si>
    <t>Check options to describe current understanding of the circumstances that led to the operations event (e.g., service provider, internal cause)</t>
  </si>
  <si>
    <t>OperationsCircumstances</t>
  </si>
  <si>
    <t>Item G, 5-28</t>
  </si>
  <si>
    <t>Did the adviser initiate a disaster recovery or business continuity plan in response to the operations event?</t>
  </si>
  <si>
    <t>Recovery Plan Details</t>
  </si>
  <si>
    <t>Indicate whether a disaster recovery or business continuity plan was initiated for managing the operational event</t>
  </si>
  <si>
    <t>DisasterRecoveryPlan</t>
  </si>
  <si>
    <t>Item G, 5-29</t>
  </si>
  <si>
    <t>How did the operations event impact the normal operations of the reporting fund (check all that apply)?</t>
  </si>
  <si>
    <t>Impact Information</t>
  </si>
  <si>
    <t>Check options to describe the impact of the operations event on fund operations, including trading, valuation, risk management, or compliance</t>
  </si>
  <si>
    <t>OperationsImpact</t>
  </si>
  <si>
    <t>Item H, 5-30</t>
  </si>
  <si>
    <t>What is the date withdrawals or redemption requests exceeded 50% NAV?</t>
  </si>
  <si>
    <t>Withdrawal Requests Exceeded 50%</t>
  </si>
  <si>
    <t>Specify the date when withdrawal/redemption requests exceeded 50% of the reporting fund’s NAV</t>
  </si>
  <si>
    <t>WithdrawalRequestsDate</t>
  </si>
  <si>
    <t>Item H, 5-31</t>
  </si>
  <si>
    <t>What is the net value of withdrawals or redemptions paid out from the reporting fund?</t>
  </si>
  <si>
    <t>Net Withdrawals/Redemptions</t>
  </si>
  <si>
    <t>Provide the net value of withdrawals or redemptions paid out between the last reporting date and the current report date</t>
  </si>
  <si>
    <t>NetWithdrawalsRedemptions</t>
  </si>
  <si>
    <t>Item H, 5-32</t>
  </si>
  <si>
    <t>What is the percentage of NAV requested for withdrawals or redemptions not yet paid as of the current report date?</t>
  </si>
  <si>
    <t>NAV for Withdrawals/Redemptions</t>
  </si>
  <si>
    <t>Provide the percentage of NAV for which withdrawal or redemption requests have been made and are not yet paid</t>
  </si>
  <si>
    <t>NAVWithdrawalsRequests</t>
  </si>
  <si>
    <t>Item H, 5-33</t>
  </si>
  <si>
    <t>Have investors been notified that the fund will be liquidated?</t>
  </si>
  <si>
    <t>Liquidation Notice</t>
  </si>
  <si>
    <t>Indicate if investors have been informed that the reporting fund will be liquidated</t>
  </si>
  <si>
    <t>LiquidationNotice</t>
  </si>
  <si>
    <t>Item I, 5-34</t>
  </si>
  <si>
    <t>What is the start date when the reporting fund suspended redemptions or declared inability to satisfy redemption requests?</t>
  </si>
  <si>
    <t>Date of Suspension</t>
  </si>
  <si>
    <t>Provide date when redemptions were suspended or the fund first declared an inability to meet redemption requests</t>
  </si>
  <si>
    <t>SuspensionStartDate</t>
  </si>
  <si>
    <t>Item I, 5-35</t>
  </si>
  <si>
    <t>What is the percentage of NAV requested for redemptions that have not yet been paid as of the current report date?</t>
  </si>
  <si>
    <t>NAV for Redemptions Not Paid</t>
  </si>
  <si>
    <t>Provide the percentage of NAV for redemption requests not yet paid on the date of the current report</t>
  </si>
  <si>
    <t>NAVNotPaidRedemptions</t>
  </si>
  <si>
    <t>Item I, 5-36</t>
  </si>
  <si>
    <t>Have investors been notified that the reporting fund will be liquidated?</t>
  </si>
  <si>
    <t>Indicate if investors have been informed about the liquidation plan for the reporting fund</t>
  </si>
  <si>
    <t>FundLiquidationNotice</t>
  </si>
  <si>
    <t>Item J</t>
  </si>
  <si>
    <t>Provide any information that may help in understanding the information reported in the current report</t>
  </si>
  <si>
    <t>Provide additional explanations or comments about the situations or events leading to the current report, with reference to related question numbers</t>
  </si>
  <si>
    <t>Section 6</t>
  </si>
  <si>
    <t>What private equity reporting events need to be disclosed for advisers to private equity funds?</t>
  </si>
  <si>
    <t>Private Equity Reporting Events</t>
  </si>
  <si>
    <t>Reportable events occurring within a fiscal quarter for private equity funds, provided within 60 days, details in specified subsections</t>
  </si>
  <si>
    <t>PrivateEquityQuarterlyReports</t>
  </si>
  <si>
    <t>Item A, 6-1</t>
  </si>
  <si>
    <t>Provide the name, registration, large trader ID, and other identifying information for the adviser and reporting private equity fund</t>
  </si>
  <si>
    <t>Item A, 6-2(a)</t>
  </si>
  <si>
    <t>Item A, 6-2(b)</t>
  </si>
  <si>
    <t>Item A, 6-2(c)</t>
  </si>
  <si>
    <t>What is the NFA identification number of the reporting private equity fund, if applicable?</t>
  </si>
  <si>
    <t>NFA identification number of the reporting private equity fund</t>
  </si>
  <si>
    <t>Item A, 6-2(d)</t>
  </si>
  <si>
    <t>What is the LEI of the reporting private equity fund, if applicable?</t>
  </si>
  <si>
    <t>Legal Entity Identifier (LEI) of the reporting private equity fund, if available</t>
  </si>
  <si>
    <t>Item A, 6-3</t>
  </si>
  <si>
    <t>Item B, 6-4</t>
  </si>
  <si>
    <t>What is the closing date of the adviser-led secondary transaction?</t>
  </si>
  <si>
    <t>Closing Date of Transaction</t>
  </si>
  <si>
    <t>Specify the closing date of the adviser-led secondary transaction</t>
  </si>
  <si>
    <t>ClosingDateSecondaryTransaction</t>
  </si>
  <si>
    <t>Item B, 6-5</t>
  </si>
  <si>
    <t>Provide a description of the adviser-led secondary transaction</t>
  </si>
  <si>
    <t>Transaction Description</t>
  </si>
  <si>
    <t>Description of the adviser-led secondary transaction, including relevant details</t>
  </si>
  <si>
    <t>TransactionDescription</t>
  </si>
  <si>
    <t>Item C, 6-6</t>
  </si>
  <si>
    <t>What is the effective date of the removal event?</t>
  </si>
  <si>
    <t>Removal Event Information</t>
  </si>
  <si>
    <t>Provide the effective date when the general partner was removed, the investment period was terminated, or the fund was terminated</t>
  </si>
  <si>
    <t>RemovalEventDate</t>
  </si>
  <si>
    <t>Item C, 6-7</t>
  </si>
  <si>
    <t>What is the description of the removal event?</t>
  </si>
  <si>
    <t>Provide a description of the removal event involving the general partner, investment period, or fund termination</t>
  </si>
  <si>
    <t>RemovalEventDescription</t>
  </si>
  <si>
    <t>Item D, 6-8</t>
  </si>
  <si>
    <t>Section 7</t>
  </si>
  <si>
    <t>What information is required for requesting a temporary hardship exemption?</t>
  </si>
  <si>
    <t>Temporary Hardship Exemption Information</t>
  </si>
  <si>
    <t>Information required to request a temporary hardship exemption from filing Form PF electronically</t>
  </si>
  <si>
    <t>HardshipExemptionInformation</t>
  </si>
  <si>
    <t>What type of Form PF filing are you seeking a temporary hardship exemption for?</t>
  </si>
  <si>
    <t>Type of Form PF Filing</t>
  </si>
  <si>
    <t>Options to select the type of filing such as initial filing, quarterly update, transition filing, final filing, or annual/other update</t>
  </si>
  <si>
    <t>TypeOfFilingSelection</t>
  </si>
  <si>
    <t>Describe the nature and extent of technical difficulties encountered</t>
  </si>
  <si>
    <t>Description of Technical Difficulties</t>
  </si>
  <si>
    <t>Explanation of specific unanticipated technical difficulties that prevent timely electronic submission of Form PF</t>
  </si>
  <si>
    <t>TechnicalDifficultiesDescription</t>
  </si>
  <si>
    <t>Item B, 1</t>
  </si>
  <si>
    <t>Describe the extent of previous electronic submissions using the same hardware/software</t>
  </si>
  <si>
    <t>Previous Submissions</t>
  </si>
  <si>
    <t>Explanation of past electronic submissions made with the current hardware/software to show habitual use</t>
  </si>
  <si>
    <t>PreviousElectronicSubmissions</t>
  </si>
  <si>
    <t>Item B, 2</t>
  </si>
  <si>
    <t>Describe the burden and expense of using alternative methods to submit the filing</t>
  </si>
  <si>
    <t>Burden and Expense Description</t>
  </si>
  <si>
    <t>Explanation of why employing alternative means (e.g., service provider) to submit filing electronically would be burdensome/expensive</t>
  </si>
  <si>
    <t>AlternativeFilingBurden</t>
  </si>
  <si>
    <t>Provide any other reasons that justify the need for a temporary hardship exemption</t>
  </si>
  <si>
    <t>Other Reasons for Exemption</t>
  </si>
  <si>
    <t>Additional reasons or circumstances that warrant a temporary hardship exemption from the electronic filing requirement</t>
  </si>
  <si>
    <t>OtherHardshipReasons</t>
  </si>
  <si>
    <t>Item B, 4</t>
  </si>
  <si>
    <t>How soon can the electronic filing be made after the period of hardship ends?</t>
  </si>
  <si>
    <t>Timeline for Electronic Submission</t>
  </si>
  <si>
    <t>Provide a timeline for when the electronic submission of Form PF will be completed, once the temporary hardship is resolved</t>
  </si>
  <si>
    <t>ElectronicSubmissionTimeline</t>
  </si>
  <si>
    <t>Report for the Calendar Year or Quarter Ended:</t>
  </si>
  <si>
    <t>The calendar year or quarter for which the report is filed.</t>
  </si>
  <si>
    <t>Check here if Amendment</t>
  </si>
  <si>
    <t>Amendment Checkbox</t>
  </si>
  <si>
    <t>Indicator to specify if the 13F filing is an amendment to a previously submitted report.</t>
  </si>
  <si>
    <t>Amendment Number:</t>
  </si>
  <si>
    <t>Amendment Number</t>
  </si>
  <si>
    <t>The number assigned to an amendment to indicate its order among other amendments.</t>
  </si>
  <si>
    <t>This Amendment (Check only one.):
- is a restatement.
- adds new holdings entries.</t>
  </si>
  <si>
    <t>Type of amendment indicating whether it is a restatement or adds new holdings.</t>
  </si>
  <si>
    <t>Institutional Investment Manager Filing this Report:</t>
  </si>
  <si>
    <t>Filing Institution</t>
  </si>
  <si>
    <t>The institutional investment manager submitting the report.</t>
  </si>
  <si>
    <t>Name:</t>
  </si>
  <si>
    <t>Manager Name</t>
  </si>
  <si>
    <t>The name of the institutional investment manager filing the report.</t>
  </si>
  <si>
    <t>Address:</t>
  </si>
  <si>
    <t>Manager Address</t>
  </si>
  <si>
    <t>The address of the institutional investment manager.</t>
  </si>
  <si>
    <t>Form 13F File Number: 28-</t>
  </si>
  <si>
    <t>13F File Number</t>
  </si>
  <si>
    <t>A unique identifier assigned to the manager's Form 13F filings.</t>
  </si>
  <si>
    <t>CRD Number (if applicable):</t>
  </si>
  <si>
    <t>Central Registration Depository (CRD) number for the manager, if applicable.</t>
  </si>
  <si>
    <t>13F-HR</t>
  </si>
  <si>
    <t>SEC File Number (if applicable):</t>
  </si>
  <si>
    <t>A unique identifier assigned by the SEC specific to the manager's filings.</t>
  </si>
  <si>
    <t>The institutional investment manager filing this report and the person by whom it is signed hereby represent that the person signing the report is authorized to submit it, that all information contained herein is true, correct and complete, and that it is understood that all required items, statements, schedules, lists, and tables, are considered integral parts of this form.</t>
  </si>
  <si>
    <t>Statement</t>
  </si>
  <si>
    <t>Filing Authorization Statement</t>
  </si>
  <si>
    <t>Statement affirming the authority and accuracy of the submission.</t>
  </si>
  <si>
    <t>Person Signing this Report on Behalf of Reporting Manager:</t>
  </si>
  <si>
    <t>Signing Person</t>
  </si>
  <si>
    <t>Individual authorized to sign the report on behalf of the reporting manager.</t>
  </si>
  <si>
    <t>Signatory Name</t>
  </si>
  <si>
    <t>Name of the person signing the report.</t>
  </si>
  <si>
    <t>Title:</t>
  </si>
  <si>
    <t>Signatory Title</t>
  </si>
  <si>
    <t>Title or position of the person signing the report.</t>
  </si>
  <si>
    <t>Phone:</t>
  </si>
  <si>
    <t>Signatory Phone</t>
  </si>
  <si>
    <t>Contact phone number for the person signing the report.</t>
  </si>
  <si>
    <t>Signature, Place, and Date of Signing:</t>
  </si>
  <si>
    <t>Signing Details</t>
  </si>
  <si>
    <t>Signature, place, and date of the report's signing.</t>
  </si>
  <si>
    <t>[Signature]</t>
  </si>
  <si>
    <t>Signature of the authorized individual.</t>
  </si>
  <si>
    <t>[City, State]</t>
  </si>
  <si>
    <t>Signing Location</t>
  </si>
  <si>
    <t>City and state where the report is signed.</t>
  </si>
  <si>
    <t>[Date]</t>
  </si>
  <si>
    <t>Signing Date</t>
  </si>
  <si>
    <t>Date on which the report is signed.</t>
  </si>
  <si>
    <t>Report Type</t>
  </si>
  <si>
    <t>Report Type (Check only one.):</t>
  </si>
  <si>
    <t>Dropdown/Checkbox</t>
  </si>
  <si>
    <t>Holdings Report</t>
  </si>
  <si>
    <t>Indicates the filing is a 13F Holdings Report.</t>
  </si>
  <si>
    <t>[ ] 13F HOLDINGS REPORT.</t>
  </si>
  <si>
    <t>Notice Report</t>
  </si>
  <si>
    <t>Indicates the filing is a 13F Notice Report.</t>
  </si>
  <si>
    <t>[ ] 13F NOTICE.</t>
  </si>
  <si>
    <t>Combination Report</t>
  </si>
  <si>
    <t>Indicates the filing is a 13F Combination Report.</t>
  </si>
  <si>
    <t>[ ] 13F COMBINATION REPORT.</t>
  </si>
  <si>
    <t>Other Reporting Managers</t>
  </si>
  <si>
    <t>List of additional managers reporting for the filing manager.</t>
  </si>
  <si>
    <t>Other Managers</t>
  </si>
  <si>
    <t>List of Other Managers Reporting for this Manager:</t>
  </si>
  <si>
    <t>Other Manager Name</t>
  </si>
  <si>
    <t>Name of another institutional manager included in the report.</t>
  </si>
  <si>
    <t>Other Manager 13F File No.</t>
  </si>
  <si>
    <t>Form 13F file number of another manager.</t>
  </si>
  <si>
    <t>Form 13F File No.</t>
  </si>
  <si>
    <t>Other Manager CRD No.</t>
  </si>
  <si>
    <t>CRD number of another manager, if applicable.</t>
  </si>
  <si>
    <t>CRD No. (if applicable)</t>
  </si>
  <si>
    <t>Other Manager SEC File No.</t>
  </si>
  <si>
    <t>SEC file number of another manager, if applicable.</t>
  </si>
  <si>
    <t>SEC File No. (if applicable)</t>
  </si>
  <si>
    <t>Report Summary</t>
  </si>
  <si>
    <t>Summary of key information contained in the Form 13F filing.</t>
  </si>
  <si>
    <t>FORM 13F SUMMARY PAGE</t>
  </si>
  <si>
    <t>Title/Header</t>
  </si>
  <si>
    <t>Other Included Managers Count</t>
  </si>
  <si>
    <t>The number of other managers included with the filing manager.</t>
  </si>
  <si>
    <t>Report Summary:</t>
  </si>
  <si>
    <t>Information Table Entry Total</t>
  </si>
  <si>
    <t>Total number of entries in the 13F Information Table.</t>
  </si>
  <si>
    <t>Number of Other Included Managers:</t>
  </si>
  <si>
    <t>Information Table Value Total</t>
  </si>
  <si>
    <t>Total value of all holdings reported in the 13F Information Table.</t>
  </si>
  <si>
    <t>Form 13F Information Table Entry Total:</t>
  </si>
  <si>
    <t>Request to keep certain report information confidential.</t>
  </si>
  <si>
    <t>Form 13F Information Table Value Total:</t>
  </si>
  <si>
    <t>Included Managers List</t>
  </si>
  <si>
    <t>List of other managers included in the primary manager's filing.</t>
  </si>
  <si>
    <t>Confidential Treatment Requested.</t>
  </si>
  <si>
    <t>Included Manager No.</t>
  </si>
  <si>
    <t>Number used to identify other included managers.</t>
  </si>
  <si>
    <t>Other Included Managers</t>
  </si>
  <si>
    <t>Included Manager Name</t>
  </si>
  <si>
    <t>Name of a manager included in the report.</t>
  </si>
  <si>
    <t>No.</t>
  </si>
  <si>
    <t>Included Manager 13F File No.</t>
  </si>
  <si>
    <t>13F file number for an included manager.</t>
  </si>
  <si>
    <t>Included Manager CRD No.</t>
  </si>
  <si>
    <t>CRD number for an included manager, if applicable.</t>
  </si>
  <si>
    <t>Form 13F File No.:</t>
  </si>
  <si>
    <t>Included Manager SEC File No.</t>
  </si>
  <si>
    <t>SEC file number for an included manager, if applicable.</t>
  </si>
  <si>
    <t>Information Table</t>
  </si>
  <si>
    <t>NAME OF ISSUER</t>
  </si>
  <si>
    <t>Name of Issuer</t>
  </si>
  <si>
    <t>The company or entity whose securities are held.</t>
  </si>
  <si>
    <t>AES CORP</t>
  </si>
  <si>
    <t>TITLE OF CLASS</t>
  </si>
  <si>
    <t>Title of Class</t>
  </si>
  <si>
    <t>The type or class of the securities held.</t>
  </si>
  <si>
    <t>COM</t>
  </si>
  <si>
    <t>COLUMN 3: CUSIP</t>
  </si>
  <si>
    <t>A nine-character identifier for the security.</t>
  </si>
  <si>
    <t>COLUMN 4: VALUE (to the nearest dollar)</t>
  </si>
  <si>
    <t>Number/Currency</t>
  </si>
  <si>
    <t>Value</t>
  </si>
  <si>
    <t>Total market value of holdings, to the nearest dollar.</t>
  </si>
  <si>
    <t>COLUMN 5: SHRS OR PRN AMT</t>
  </si>
  <si>
    <t>Shares or Principal Amount</t>
  </si>
  <si>
    <t>Quantity of shares or principal amount of securities held.</t>
  </si>
  <si>
    <t>COLUMN 6: SH/ PRN</t>
  </si>
  <si>
    <t>Share/Principal Format</t>
  </si>
  <si>
    <t>Specifies whether the amount is in shares or principal terms.</t>
  </si>
  <si>
    <t>SH</t>
  </si>
  <si>
    <t>COLUMN 7: PUT/ CALL</t>
  </si>
  <si>
    <t>Put/Call</t>
  </si>
  <si>
    <t>Specifies whether the security is an option, and whether it is a put or call.</t>
  </si>
  <si>
    <t>DFND</t>
  </si>
  <si>
    <t>COLUMN 8: INVESTMENT DISCRETION</t>
  </si>
  <si>
    <t>Investment Discretion</t>
  </si>
  <si>
    <t>Indicates whether investment discretion is sole, shared, or none.</t>
  </si>
  <si>
    <t>1, 2</t>
  </si>
  <si>
    <t>COLUMN 9: OTHER MANAGER</t>
  </si>
  <si>
    <t>Other Manager</t>
  </si>
  <si>
    <t>Indicates another manager with shared discretion over the security.</t>
  </si>
  <si>
    <t>COLUMN 10: VOTING AUTH. - SOLE</t>
  </si>
  <si>
    <t>Voting Authority - Sole</t>
  </si>
  <si>
    <t>Number of shares for which sole voting authority is held.</t>
  </si>
  <si>
    <t>COLUMN 11: VOTING AUTH. - SHARED</t>
  </si>
  <si>
    <t>Voting Authority - Shared</t>
  </si>
  <si>
    <t>Number of shares for which shared voting authority is held.</t>
  </si>
  <si>
    <t>COLUMN 12: VOTING AUTH. - NONE</t>
  </si>
  <si>
    <t>Voting Authority - None</t>
  </si>
  <si>
    <t>Number of shares for which no voting authority is held.</t>
  </si>
  <si>
    <t>AT&amp;T INC</t>
  </si>
  <si>
    <t>00206R102</t>
  </si>
  <si>
    <t>135-HR</t>
  </si>
  <si>
    <t>1,2</t>
  </si>
  <si>
    <t>ABBOT LABS</t>
  </si>
  <si>
    <t>ABBVIE INC</t>
  </si>
  <si>
    <t>00287Y109</t>
  </si>
  <si>
    <t>ADOBE INC</t>
  </si>
  <si>
    <t>00724F101</t>
  </si>
  <si>
    <t>ADVANCE AUTO PARTS INC</t>
  </si>
  <si>
    <t>00751Y106</t>
  </si>
  <si>
    <t>AIRBNB INC</t>
  </si>
  <si>
    <t>COM CL A</t>
  </si>
  <si>
    <t>AIR PRODS &amp; CHEMS INC</t>
  </si>
  <si>
    <t>ATI INC</t>
  </si>
  <si>
    <t>01741R102</t>
  </si>
  <si>
    <t>ALNYLAM PHARMACEUTICALS INC</t>
  </si>
  <si>
    <t>02043Q107</t>
  </si>
  <si>
    <t>ALPHABET INC</t>
  </si>
  <si>
    <t>CAP STK CL C</t>
  </si>
  <si>
    <t>02079K107</t>
  </si>
  <si>
    <t>CAP STK CL A</t>
  </si>
  <si>
    <t>02079K305</t>
  </si>
  <si>
    <t>ALTRIA GROUP INC</t>
  </si>
  <si>
    <t>02209S103</t>
  </si>
  <si>
    <t>AMAZON COM INC</t>
  </si>
  <si>
    <t>AMERICA MOVIL SAB DE CV</t>
  </si>
  <si>
    <t>SPON ADS RP CL B</t>
  </si>
  <si>
    <t>02390A101</t>
  </si>
  <si>
    <t>AMERICAN EXPRESS CO</t>
  </si>
  <si>
    <t>AMERICAN TOWER CORP NEW</t>
  </si>
  <si>
    <t>03027X100</t>
  </si>
  <si>
    <t>AMETEK INC</t>
  </si>
  <si>
    <t>AMGEN INC</t>
  </si>
  <si>
    <t>ANALOG DEVICES INC</t>
  </si>
  <si>
    <t>ELEVANCE HEALTH INC</t>
  </si>
  <si>
    <t xml:space="preserve"> </t>
  </si>
  <si>
    <t>APOLLO GLOBAL MGMT INC</t>
  </si>
  <si>
    <t>03769M106</t>
  </si>
  <si>
    <t>SER A MAND CNV</t>
  </si>
  <si>
    <t>03769M304</t>
  </si>
  <si>
    <t>APPLE INC</t>
  </si>
  <si>
    <t>APPLIED MATLS INC</t>
  </si>
  <si>
    <t>ARAMARK</t>
  </si>
  <si>
    <t>03852U106</t>
  </si>
  <si>
    <t>ARES MANAGEMENT CORPORATION</t>
  </si>
  <si>
    <t>CL A COM STK</t>
  </si>
  <si>
    <t>03990B101</t>
  </si>
  <si>
    <t>ARM HOLDINGS PLC</t>
  </si>
  <si>
    <t>SPONSORED ADS</t>
  </si>
  <si>
    <t>ARMSTRONG WORLD INDS INC NEW</t>
  </si>
  <si>
    <t>04247X102</t>
  </si>
  <si>
    <t>ASCENDIS PHARMA A/S</t>
  </si>
  <si>
    <t>SPONSORED ADR</t>
  </si>
  <si>
    <t>04351P101</t>
  </si>
  <si>
    <t>ASTRAZENECA PLC</t>
  </si>
  <si>
    <t>ATLASSIAN CORPORATION</t>
  </si>
  <si>
    <t>CL A</t>
  </si>
  <si>
    <t>ATMOS ENERGY CORP</t>
  </si>
  <si>
    <t>AVALONBAY CMNTYS INC</t>
  </si>
  <si>
    <t>BANK AMERICA CORP</t>
  </si>
  <si>
    <t>BARRICK GOLD CORP</t>
  </si>
  <si>
    <t>BEIGENE LTD</t>
  </si>
  <si>
    <t>07725L102</t>
  </si>
  <si>
    <t>BIONTECH SE</t>
  </si>
  <si>
    <t>09075V102</t>
  </si>
  <si>
    <t>BLACKSTONE INC</t>
  </si>
  <si>
    <t>09260D107</t>
  </si>
  <si>
    <t>BLACKROCK INC</t>
  </si>
  <si>
    <t>09290D101</t>
  </si>
  <si>
    <t>BLUE OWL CAPITAL INC</t>
  </si>
  <si>
    <t>09581B103</t>
  </si>
  <si>
    <t>BOEING CO</t>
  </si>
  <si>
    <t>DEP CONV PFD A</t>
  </si>
  <si>
    <t>BOOKING HOLDINGS INC</t>
  </si>
  <si>
    <t>09857L108</t>
  </si>
  <si>
    <t>BOSTON SCIENTIFIC CORP</t>
  </si>
  <si>
    <t>BRISTOL-MYERS SQUIBB CO</t>
  </si>
  <si>
    <t>BRITISH AMERN TOB PLC</t>
  </si>
  <si>
    <t>BROADRIDGE FINL SOLUTIONS IN</t>
  </si>
  <si>
    <t>11133T103</t>
  </si>
  <si>
    <t>BROADCOM INC</t>
  </si>
  <si>
    <t>11135F101</t>
  </si>
  <si>
    <t>BROOKFIELD CORP</t>
  </si>
  <si>
    <t>CL A LTD VT SH</t>
  </si>
  <si>
    <t>11271J107</t>
  </si>
  <si>
    <t>BROOKFIELD ASSET MANAGMT LTD</t>
  </si>
  <si>
    <t>CL A LMT VTG SHS</t>
  </si>
  <si>
    <t>BURLINGTON STORES INC</t>
  </si>
  <si>
    <t>CME GROUP INC</t>
  </si>
  <si>
    <t>12572Q105</t>
  </si>
  <si>
    <t>CMS ENERGY CORP</t>
  </si>
  <si>
    <t>CSX CORP</t>
  </si>
  <si>
    <t>CVS HEALTH CORP</t>
  </si>
  <si>
    <t>CADENCE DESIGN SYSTEM INC</t>
  </si>
  <si>
    <t>CANADIAN IMPERIAL BK COMM</t>
  </si>
  <si>
    <t>CANADIAN NATL RY CO</t>
  </si>
  <si>
    <t>CANADIAN NAT RES LTD</t>
  </si>
  <si>
    <t>CAPITAL ONE FINL CORP</t>
  </si>
  <si>
    <t>14040H105</t>
  </si>
  <si>
    <t>CARLYLE GROUP INC</t>
  </si>
  <si>
    <t>14316J108</t>
  </si>
  <si>
    <t>CARRIER GLOBAL CORPORATION</t>
  </si>
  <si>
    <t>14448C104</t>
  </si>
  <si>
    <t>CASELLA WASTE SYS INC</t>
  </si>
  <si>
    <t>CATERPILLAR INC</t>
  </si>
  <si>
    <t>CELANESE CORP DEL</t>
  </si>
  <si>
    <t>CENOVUS ENERGY INC</t>
  </si>
  <si>
    <t>15135U109</t>
  </si>
  <si>
    <t>CENTERPOINT ENERGY INC</t>
  </si>
  <si>
    <t>15189T107</t>
  </si>
  <si>
    <t>DAYFORCE INC</t>
  </si>
  <si>
    <t>15677J108</t>
  </si>
  <si>
    <t>CHARTER COMMUNICATIONS INC N</t>
  </si>
  <si>
    <t>16119P108</t>
  </si>
  <si>
    <t>CHEVRON CORP NEW</t>
  </si>
  <si>
    <t>CHIPOTLE MEXICAN GRILL INC</t>
  </si>
  <si>
    <t>CHURCH &amp; DWIGHT CO INC</t>
  </si>
  <si>
    <t>CITIGROUP INC</t>
  </si>
  <si>
    <t>COM NEW</t>
  </si>
  <si>
    <t>CITIZENS FINL GROUP INC</t>
  </si>
  <si>
    <t>CLOUDFLARE INC</t>
  </si>
  <si>
    <t>CL A COM</t>
  </si>
  <si>
    <t>18915M107</t>
  </si>
  <si>
    <t>COCA COLA CO</t>
  </si>
  <si>
    <t>COMCAST CORP NEW</t>
  </si>
  <si>
    <t>20030N101</t>
  </si>
  <si>
    <t>CONOCOPHILLIPS</t>
  </si>
  <si>
    <t>20825C104</t>
  </si>
  <si>
    <t>CONSTELLATION BRANDS INC</t>
  </si>
  <si>
    <t>21036P108</t>
  </si>
  <si>
    <t>CONSTELLATION ENERGY CORP</t>
  </si>
  <si>
    <t>21037T109</t>
  </si>
  <si>
    <t>COOPER COS INC</t>
  </si>
  <si>
    <t>COPART INC</t>
  </si>
  <si>
    <t>CORTEVA INC</t>
  </si>
  <si>
    <t>22052L104</t>
  </si>
  <si>
    <t>COSTCO WHSL CORP NEW</t>
  </si>
  <si>
    <t>22160K105</t>
  </si>
  <si>
    <t>COSTAR GROUP INC</t>
  </si>
  <si>
    <t>22160N109</t>
  </si>
  <si>
    <t>COUPANG INC</t>
  </si>
  <si>
    <t>22266T109</t>
  </si>
  <si>
    <t>D R HORTON INC</t>
  </si>
  <si>
    <t>23331A109</t>
  </si>
  <si>
    <t>DTE ENERGY CO</t>
  </si>
  <si>
    <t>DANAHER CORPORATION</t>
  </si>
  <si>
    <t>DARDEN RESTAURANTS INC</t>
  </si>
  <si>
    <t>DEERE &amp; CO</t>
  </si>
  <si>
    <t>DELTA AIR LINES INC DEL</t>
  </si>
  <si>
    <t>DIEBOLD NIXDORF INC</t>
  </si>
  <si>
    <t>COM SHS</t>
  </si>
  <si>
    <t>DISNEY WALT CO</t>
  </si>
  <si>
    <t>DISCOVER FINL SVCS</t>
  </si>
  <si>
    <t>DOLLAR GEN CORP NEW</t>
  </si>
  <si>
    <t>DOLLAR TREE INC</t>
  </si>
  <si>
    <t>DOW INC</t>
  </si>
  <si>
    <t>DUOLINGO INC</t>
  </si>
  <si>
    <t>26603R106</t>
  </si>
  <si>
    <t>EOG RES INC</t>
  </si>
  <si>
    <t>26875P101</t>
  </si>
  <si>
    <t>EAST WEST BANCORP INC</t>
  </si>
  <si>
    <t>27579R104</t>
  </si>
  <si>
    <t>EDISON INTL</t>
  </si>
  <si>
    <t>ELECTRONIC ARTS INC</t>
  </si>
  <si>
    <t>ENTERGY CORP NEW</t>
  </si>
  <si>
    <t>29364G103</t>
  </si>
  <si>
    <t>EPAM SYS INC</t>
  </si>
  <si>
    <t>29414B104</t>
  </si>
  <si>
    <t>EQUIFAX INC</t>
  </si>
  <si>
    <t>EQUINIX INC</t>
  </si>
  <si>
    <t>29444U700</t>
  </si>
  <si>
    <t>EXTRA SPACE STORAGE INC</t>
  </si>
  <si>
    <t>30225T102</t>
  </si>
  <si>
    <t>EXXON MOBIL CORP</t>
  </si>
  <si>
    <t>30231G102</t>
  </si>
  <si>
    <t>META PLATFORMS INC</t>
  </si>
  <si>
    <t>30303M102</t>
  </si>
  <si>
    <t>FEDEX CORP</t>
  </si>
  <si>
    <t>31428X106</t>
  </si>
  <si>
    <t>FIFTH THIRD BANCORP</t>
  </si>
  <si>
    <t>FIRST AMERN FINL CORP</t>
  </si>
  <si>
    <t>31847R102</t>
  </si>
  <si>
    <t>FIRSTENERGY CORP</t>
  </si>
  <si>
    <t>FREEPORT-MCMORAN INC</t>
  </si>
  <si>
    <t>CL B</t>
  </si>
  <si>
    <t>35671D857</t>
  </si>
  <si>
    <t>FULLER H B CO</t>
  </si>
  <si>
    <t>GALLAGHER ARTHUR J &amp; CO</t>
  </si>
  <si>
    <t>GE VERNOVA INC</t>
  </si>
  <si>
    <t>36828A101</t>
  </si>
  <si>
    <t>GE AEROSPACE</t>
  </si>
  <si>
    <t>GENERAL MTRS CO</t>
  </si>
  <si>
    <t>37045V100</t>
  </si>
  <si>
    <t>GERDAU SA</t>
  </si>
  <si>
    <t>SPON ADR REP PFD</t>
  </si>
  <si>
    <t>GILEAD SCIENCES INC</t>
  </si>
  <si>
    <t>GODADDY INC</t>
  </si>
  <si>
    <t>GOLDMAN SACHS GROUP INC</t>
  </si>
  <si>
    <t>38141G104</t>
  </si>
  <si>
    <t>GRIFOLS S A</t>
  </si>
  <si>
    <t>SP ADR REP B NVT</t>
  </si>
  <si>
    <t>GUARDANT HEALTH INC</t>
  </si>
  <si>
    <t>40131M109</t>
  </si>
  <si>
    <t>HALLIBURTON CO</t>
  </si>
  <si>
    <t>HEICO CORP NEW</t>
  </si>
  <si>
    <t>HERSHEY CO</t>
  </si>
  <si>
    <t>HILTON WORLDWIDE HLDGS INC</t>
  </si>
  <si>
    <t>43300A203</t>
  </si>
  <si>
    <t>HOME DEPOT INC</t>
  </si>
  <si>
    <t>HONEYWELL INTL INC</t>
  </si>
  <si>
    <t>HOWMET AEROSPACE INC</t>
  </si>
  <si>
    <t>H WORLD GROUP LTD</t>
  </si>
  <si>
    <t>44332N106</t>
  </si>
  <si>
    <t>HUMANA INC</t>
  </si>
  <si>
    <t>ITT INC</t>
  </si>
  <si>
    <t>45073V108</t>
  </si>
  <si>
    <t>ICICI BANK LIMITED</t>
  </si>
  <si>
    <t>ADR</t>
  </si>
  <si>
    <t>45104G104</t>
  </si>
  <si>
    <t>ILLUMINA INC</t>
  </si>
  <si>
    <t>INGERSOLL RAND INC</t>
  </si>
  <si>
    <t>45687V106</t>
  </si>
  <si>
    <t>INTEL CORP</t>
  </si>
  <si>
    <t>INTERCONTINENTAL EXCHANGE IN</t>
  </si>
  <si>
    <t>45866F104</t>
  </si>
  <si>
    <t>INTERNATIONAL BUSINESS MACHS</t>
  </si>
  <si>
    <t>INTERNATIONAL PAPER CO</t>
  </si>
  <si>
    <t>INTUITIVE SURGICAL INC</t>
  </si>
  <si>
    <t>46120E602</t>
  </si>
  <si>
    <t>JPMORGAN CHASE &amp; CO.</t>
  </si>
  <si>
    <t>46625H100</t>
  </si>
  <si>
    <t>JOHNSON &amp; JOHNSON</t>
  </si>
  <si>
    <t>KB FINL GROUP INC</t>
  </si>
  <si>
    <t>48241A105</t>
  </si>
  <si>
    <t>KLA CORP</t>
  </si>
  <si>
    <t>KKR &amp; CO INC</t>
  </si>
  <si>
    <t>48251W104</t>
  </si>
  <si>
    <t>6.25 CON SER D</t>
  </si>
  <si>
    <t>48251W500</t>
  </si>
  <si>
    <t>KT CORP</t>
  </si>
  <si>
    <t>48268K101</t>
  </si>
  <si>
    <t>KANZHUN LIMITED</t>
  </si>
  <si>
    <t>48553T106</t>
  </si>
  <si>
    <t>KASPI KZ JSC</t>
  </si>
  <si>
    <t>48581R205</t>
  </si>
  <si>
    <t>KEURIG DR PEPPER INC</t>
  </si>
  <si>
    <t>49271V100</t>
  </si>
  <si>
    <t>KEYSIGHT TECHNOLOGIES INC</t>
  </si>
  <si>
    <t>49338L103</t>
  </si>
  <si>
    <t>KIMBERLY-CLARK CORP</t>
  </si>
  <si>
    <t>KRAFT HEINZ CO</t>
  </si>
  <si>
    <t>L3HARRIS TECHNOLOGIES INC</t>
  </si>
  <si>
    <t>LAUDER ESTEE COS INC</t>
  </si>
  <si>
    <t>LEGEND BIOTECH CORP</t>
  </si>
  <si>
    <t>52490G102</t>
  </si>
  <si>
    <t>LENNAR CORP</t>
  </si>
  <si>
    <t>LENNOX INTL INC</t>
  </si>
  <si>
    <t>ELI LILLY &amp; CO</t>
  </si>
  <si>
    <t>LULULEMON ATHLETICA INC</t>
  </si>
  <si>
    <t>MSCI INC</t>
  </si>
  <si>
    <t>55354G100</t>
  </si>
  <si>
    <t>MARSH &amp; MCLENNAN COS INC</t>
  </si>
  <si>
    <t>MARRIOTT INTL INC NEW</t>
  </si>
  <si>
    <t>MASTERCARD INCORPORATED</t>
  </si>
  <si>
    <t>57636Q104</t>
  </si>
  <si>
    <t>MCDONALDS CORP</t>
  </si>
  <si>
    <t>MERCADOLIBRE INC</t>
  </si>
  <si>
    <t>58733R102</t>
  </si>
  <si>
    <t>MERCK &amp; CO INC</t>
  </si>
  <si>
    <t>58933Y105</t>
  </si>
  <si>
    <t>METTLER TOLEDO INTERNATIONAL</t>
  </si>
  <si>
    <t>MICROSOFT CORP</t>
  </si>
  <si>
    <t>MICROSTRATEGY INC</t>
  </si>
  <si>
    <t>CL A NEW</t>
  </si>
  <si>
    <t>MICROCHIP TECHNOLOGY INC.</t>
  </si>
  <si>
    <t>DEP SHS REPSTG</t>
  </si>
  <si>
    <t>MICRON TECHNOLOGY INC</t>
  </si>
  <si>
    <t>MID-AMER APT CMNTYS INC</t>
  </si>
  <si>
    <t>59522J103</t>
  </si>
  <si>
    <t>MONDELEZ INTL INC</t>
  </si>
  <si>
    <t>MONSTER BEVERAGE CORP NEW</t>
  </si>
  <si>
    <t>61174X109</t>
  </si>
  <si>
    <t>MORGAN STANLEY</t>
  </si>
  <si>
    <t>MOTOROLA SOLUTIONS INC</t>
  </si>
  <si>
    <t>NASDAQ INC</t>
  </si>
  <si>
    <t>NETFLIX INC</t>
  </si>
  <si>
    <t>64110L106</t>
  </si>
  <si>
    <t>NETEASE INC</t>
  </si>
  <si>
    <t>64110W102</t>
  </si>
  <si>
    <t>NEXTERA ENERGY INC</t>
  </si>
  <si>
    <t>65339F101</t>
  </si>
  <si>
    <t>NIKE INC</t>
  </si>
  <si>
    <t>NISOURCE INC</t>
  </si>
  <si>
    <t>65473P105</t>
  </si>
  <si>
    <t>NORFOLK SOUTHN CORP</t>
  </si>
  <si>
    <t>NORTHROP GRUMMAN CORP</t>
  </si>
  <si>
    <t>NOVO-NORDISK A S</t>
  </si>
  <si>
    <t>NVIDIA CORPORATION</t>
  </si>
  <si>
    <t>67066G104</t>
  </si>
  <si>
    <t>NUTRIEN LTD</t>
  </si>
  <si>
    <t>67077M108</t>
  </si>
  <si>
    <t>ON SEMICONDUCTOR CORP</t>
  </si>
  <si>
    <t>ORACLE CORP</t>
  </si>
  <si>
    <t>68389X105</t>
  </si>
  <si>
    <t>PG&amp;E CORP</t>
  </si>
  <si>
    <t>69331C108</t>
  </si>
  <si>
    <t>PNC FINL SVCS GROUP INC</t>
  </si>
  <si>
    <t>PACCAR INC</t>
  </si>
  <si>
    <t>PALANTIR TECHNOLOGIES INC</t>
  </si>
  <si>
    <t>69608A108</t>
  </si>
  <si>
    <t>PARKER-HANNIFIN CORP</t>
  </si>
  <si>
    <t>PAYCHEX INC</t>
  </si>
  <si>
    <t>PFIZER INC</t>
  </si>
  <si>
    <t>PHILIP MORRIS INTL INC</t>
  </si>
  <si>
    <t>PDD HOLDINGS INC</t>
  </si>
  <si>
    <t>PINTEREST INC</t>
  </si>
  <si>
    <t>72352L106</t>
  </si>
  <si>
    <t>PROCTER AND GAMBLE CO</t>
  </si>
  <si>
    <t>PROGRESSIVE CORP</t>
  </si>
  <si>
    <t>PROLOGIS INC.</t>
  </si>
  <si>
    <t>74340W103</t>
  </si>
  <si>
    <t>PUBLIC SVC ENTERPRISE GRP IN</t>
  </si>
  <si>
    <t>RTX CORPORATION</t>
  </si>
  <si>
    <t>REGAL REXNORD CORPORATION</t>
  </si>
  <si>
    <t>REGENERON PHARMACEUTICALS</t>
  </si>
  <si>
    <t>75886F107</t>
  </si>
  <si>
    <t>REPUBLIC SVCS INC</t>
  </si>
  <si>
    <t>RESTAURANT BRANDS INTL INC</t>
  </si>
  <si>
    <t>76131D103</t>
  </si>
  <si>
    <t>REXFORD INDL RLTY INC</t>
  </si>
  <si>
    <t>76169C100</t>
  </si>
  <si>
    <t>RIO TINTO PLC</t>
  </si>
  <si>
    <t>ROBLOX CORP</t>
  </si>
  <si>
    <t>SHELL PLC</t>
  </si>
  <si>
    <t>SPON ADS</t>
  </si>
  <si>
    <t>ROYAL GOLD INC</t>
  </si>
  <si>
    <t>RYANAIR HOLDINGS PLC</t>
  </si>
  <si>
    <t>S&amp;P GLOBAL INC</t>
  </si>
  <si>
    <t>78409V104</t>
  </si>
  <si>
    <t>SBA COMMUNICATIONS CORP NEW</t>
  </si>
  <si>
    <t>78410G104</t>
  </si>
  <si>
    <t>SAIA INC</t>
  </si>
  <si>
    <t>78709Y105</t>
  </si>
  <si>
    <t>SALESFORCE INC</t>
  </si>
  <si>
    <t>79466L302</t>
  </si>
  <si>
    <t>SANOFI</t>
  </si>
  <si>
    <t>80105N105</t>
  </si>
  <si>
    <t>SAP SE</t>
  </si>
  <si>
    <t>SPON ADR</t>
  </si>
  <si>
    <t>SAREPTA THERAPEUTICS INC</t>
  </si>
  <si>
    <t>SCHLUMBERGER LTD</t>
  </si>
  <si>
    <t>COM STK</t>
  </si>
  <si>
    <t>SEMPRA</t>
  </si>
  <si>
    <t>SERVICE CORP INTL</t>
  </si>
  <si>
    <t>SERVICENOW INC</t>
  </si>
  <si>
    <t>81762P102</t>
  </si>
  <si>
    <t>SHERWIN WILLIAMS CO</t>
  </si>
  <si>
    <t>SHOPIFY INC</t>
  </si>
  <si>
    <t>82509L107</t>
  </si>
  <si>
    <t>SIMON PPTY GROUP INC NEW</t>
  </si>
  <si>
    <t>SONY GROUP CORP</t>
  </si>
  <si>
    <t>SOUTH BOW CORP</t>
  </si>
  <si>
    <t>83671M105</t>
  </si>
  <si>
    <t>SOUTHERN CO</t>
  </si>
  <si>
    <t>STARBUCKS CORP</t>
  </si>
  <si>
    <t>SUN CMNTYS INC</t>
  </si>
  <si>
    <t>SYNOPSYS INC</t>
  </si>
  <si>
    <t>TFI INTL INC</t>
  </si>
  <si>
    <t>87241L109</t>
  </si>
  <si>
    <t>TJX COS INC NEW</t>
  </si>
  <si>
    <t>T-MOBILE US INC</t>
  </si>
  <si>
    <t>TPG INC</t>
  </si>
  <si>
    <t>TAIWAN SEMICONDUCTOR MFG LTD</t>
  </si>
  <si>
    <t>TAKE-TWO INTERACTIVE SOFTWAR</t>
  </si>
  <si>
    <t>TARGET CORP</t>
  </si>
  <si>
    <t>TC ENERGY CORP</t>
  </si>
  <si>
    <t>87807B107</t>
  </si>
  <si>
    <t>TESLA INC</t>
  </si>
  <si>
    <t>88160R101</t>
  </si>
  <si>
    <t>TEXAS INSTRS INC</t>
  </si>
  <si>
    <t>THERMO FISHER SCIENTIFIC INC</t>
  </si>
  <si>
    <t>3M CO</t>
  </si>
  <si>
    <t>88579Y101</t>
  </si>
  <si>
    <t>TOAST INC</t>
  </si>
  <si>
    <t>TOPBUILD CORP</t>
  </si>
  <si>
    <t>89055F103</t>
  </si>
  <si>
    <t>TRACTOR SUPPLY CO</t>
  </si>
  <si>
    <t>TRANSDIGM GROUP INC</t>
  </si>
  <si>
    <t>TRANSUNION</t>
  </si>
  <si>
    <t>89400J107</t>
  </si>
  <si>
    <t>TRINITY INDS INC</t>
  </si>
  <si>
    <t>TRIP COM GROUP LTD</t>
  </si>
  <si>
    <t>ADS</t>
  </si>
  <si>
    <t>89677Q107</t>
  </si>
  <si>
    <t>TRUIST FINL CORP</t>
  </si>
  <si>
    <t>89832Q109</t>
  </si>
  <si>
    <t>UBER TECHNOLOGIES INC</t>
  </si>
  <si>
    <t>90353T100</t>
  </si>
  <si>
    <t>UL SOLUTIONS INC</t>
  </si>
  <si>
    <t>CLASS A COM SHS</t>
  </si>
  <si>
    <t>UNION PAC CORP</t>
  </si>
  <si>
    <t>UNITED RENTALS INC</t>
  </si>
  <si>
    <t>UNITEDHEALTH GROUP INC</t>
  </si>
  <si>
    <t>91324P102</t>
  </si>
  <si>
    <t>VAIL RESORTS INC</t>
  </si>
  <si>
    <t>91879Q109</t>
  </si>
  <si>
    <t>VALE S A</t>
  </si>
  <si>
    <t>VERALTO CORP</t>
  </si>
  <si>
    <t>92338C103</t>
  </si>
  <si>
    <t>VERIZON COMMUNICATIONS INC</t>
  </si>
  <si>
    <t>92343V104</t>
  </si>
  <si>
    <t>VERTEX PHARMACEUTICALS INC</t>
  </si>
  <si>
    <t>92532F100</t>
  </si>
  <si>
    <t>VESTA REAL ESTATE CORP</t>
  </si>
  <si>
    <t>92540K109</t>
  </si>
  <si>
    <t>VICI PPTYS INC</t>
  </si>
  <si>
    <t>VISA INC</t>
  </si>
  <si>
    <t>92826C839</t>
  </si>
  <si>
    <t>WASTE CONNECTIONS INC</t>
  </si>
  <si>
    <t>94106B101</t>
  </si>
  <si>
    <t>WEBSTER FINL CORP</t>
  </si>
  <si>
    <t>WELLS FARGO CO NEW</t>
  </si>
  <si>
    <t>WELLTOWER INC</t>
  </si>
  <si>
    <t>95040Q104</t>
  </si>
  <si>
    <t>WHEATON PRECIOUS METALS CORP</t>
  </si>
  <si>
    <t>WYNN RESORTS LTD</t>
  </si>
  <si>
    <t>XPO INC</t>
  </si>
  <si>
    <t>YUM BRANDS INC</t>
  </si>
  <si>
    <t>ZOETIS INC</t>
  </si>
  <si>
    <t>98978V103</t>
  </si>
  <si>
    <t>DEUTSCHE BANK A G</t>
  </si>
  <si>
    <t>NAMEN AKT</t>
  </si>
  <si>
    <t>D18190898</t>
  </si>
  <si>
    <t>AON PLC</t>
  </si>
  <si>
    <t>SHS CL A</t>
  </si>
  <si>
    <t>G0403H108</t>
  </si>
  <si>
    <t>ARCH CAP GROUP LTD</t>
  </si>
  <si>
    <t>ORD</t>
  </si>
  <si>
    <t>G0450A105</t>
  </si>
  <si>
    <t>BBB FOODS INC</t>
  </si>
  <si>
    <t>G0896C103</t>
  </si>
  <si>
    <t>ACCENTURE PLC IRELAND</t>
  </si>
  <si>
    <t>SHS CLASS A</t>
  </si>
  <si>
    <t>G1151C101</t>
  </si>
  <si>
    <t>BORR DRILLING LTD</t>
  </si>
  <si>
    <t>SHS</t>
  </si>
  <si>
    <t>G1466R173</t>
  </si>
  <si>
    <t>EATON CORP PLC</t>
  </si>
  <si>
    <t>G29183103</t>
  </si>
  <si>
    <t>FLUTTER ENTMT PLC</t>
  </si>
  <si>
    <t>G3643J108</t>
  </si>
  <si>
    <t>FTAI AVIATION LTD</t>
  </si>
  <si>
    <t>G3730V105</t>
  </si>
  <si>
    <t>GENPACT LIMITED</t>
  </si>
  <si>
    <t>G3922B107</t>
  </si>
  <si>
    <t>JOHNSON CTLS INTL PLC</t>
  </si>
  <si>
    <t>G51502105</t>
  </si>
  <si>
    <t>LINDE PLC</t>
  </si>
  <si>
    <t>G54950103</t>
  </si>
  <si>
    <t>NU HLDGS LTD</t>
  </si>
  <si>
    <t>ORD SHS CL A</t>
  </si>
  <si>
    <t>G6683N103</t>
  </si>
  <si>
    <t>BUNGE GLOBAL SA</t>
  </si>
  <si>
    <t>H11356104</t>
  </si>
  <si>
    <t>CHUBB LIMITED</t>
  </si>
  <si>
    <t>H1467J104</t>
  </si>
  <si>
    <t>CRISPR THERAPEUTICS AG</t>
  </si>
  <si>
    <t>H17182108</t>
  </si>
  <si>
    <t>GLOBANT S A</t>
  </si>
  <si>
    <t>L44385109</t>
  </si>
  <si>
    <t>SPOTIFY TECHNOLOGY S A</t>
  </si>
  <si>
    <t>L8681T102</t>
  </si>
  <si>
    <t>ASML HOLDING N V</t>
  </si>
  <si>
    <t>N Y REGISTRY SHS</t>
  </si>
  <si>
    <t>N07059210</t>
  </si>
  <si>
    <t>FERRARI N V</t>
  </si>
  <si>
    <t>N3167Y103</t>
  </si>
  <si>
    <t>LYONDELLBASELL INDUSTRIES N</t>
  </si>
  <si>
    <t>SHS - A -</t>
  </si>
  <si>
    <t>N53745100</t>
  </si>
  <si>
    <t>STELLANTIS N.V</t>
  </si>
  <si>
    <t>N82405106</t>
  </si>
  <si>
    <t>MAKEMYTRIP LIMITED MAURITIUS</t>
  </si>
  <si>
    <t>V5633W109</t>
  </si>
  <si>
    <t>ROYAL CARIBBEAN GROUP</t>
  </si>
  <si>
    <t>V7780T103</t>
  </si>
  <si>
    <t>American Balanced Fund</t>
  </si>
  <si>
    <t xml:space="preserve">811-00066 </t>
  </si>
  <si>
    <t>0000004568</t>
  </si>
  <si>
    <t>L8DP8S00A6XHCCDH3332</t>
  </si>
  <si>
    <t xml:space="preserve">6455 Irvine Center Drive, Irvine, CALIFORNIA, UNITED STATES OF AMERICA, 92618, 9499755000 </t>
  </si>
  <si>
    <t>S000008801</t>
  </si>
  <si>
    <t xml:space="preserve">GOLDMAN SACHS GROUP INC SR UNSEC 1.948% 10-21-27/26 </t>
  </si>
  <si>
    <t xml:space="preserve">38141GYM0 </t>
  </si>
  <si>
    <t xml:space="preserve">US38141GYM04 </t>
  </si>
  <si>
    <t xml:space="preserve">United States Dollar  </t>
  </si>
  <si>
    <t xml:space="preserve">Debt  </t>
  </si>
  <si>
    <t>Variable, 1.948</t>
  </si>
  <si>
    <t xml:space="preserve">784F5XWPLTWKTBV3E584 </t>
  </si>
  <si>
    <t xml:space="preserve">GOLDMAN SACHS GROUP INC SR UNSEC 3.102% 02-24-33/32 </t>
  </si>
  <si>
    <t xml:space="preserve">38141GZM9 </t>
  </si>
  <si>
    <t xml:space="preserve">US38141GZM94 </t>
  </si>
  <si>
    <t>Variable, 3.102</t>
  </si>
  <si>
    <t xml:space="preserve">GOLDMAN SACHS GROUP INC SR UNSEC 2.64% 02-24-28/27 </t>
  </si>
  <si>
    <t xml:space="preserve">38141GZK3 </t>
  </si>
  <si>
    <t xml:space="preserve">US38141GZK39 </t>
  </si>
  <si>
    <t>Variable, 2.64</t>
  </si>
  <si>
    <t xml:space="preserve">GOLDMAN SACHS GROUP INC SR UNSEC 3.615% 03-15-28/27 </t>
  </si>
  <si>
    <t>38141GZR8</t>
  </si>
  <si>
    <t>US38141GZR81</t>
  </si>
  <si>
    <t>Variable, 3.615</t>
  </si>
  <si>
    <t xml:space="preserve">GENERAL MOTORS FINANCIAL CO INC </t>
  </si>
  <si>
    <t xml:space="preserve">5493008B6JBRUJ90QL97 </t>
  </si>
  <si>
    <t xml:space="preserve">GENERAL MOTORS FINANCIAL CO INC SR UNSEC 3.8% 04-07-25 </t>
  </si>
  <si>
    <t xml:space="preserve">37045XDU7 </t>
  </si>
  <si>
    <t>US37045XDU72</t>
  </si>
  <si>
    <t>Fixed, 3.8</t>
  </si>
  <si>
    <t>GENERAL MOTORS FINANCIAL CO INC</t>
  </si>
  <si>
    <t>GENERAL MOTORS FINANCIAL CO INC SR UNSEC 6.4% 01-09-33</t>
  </si>
  <si>
    <t xml:space="preserve">37045XED4 </t>
  </si>
  <si>
    <t>US37045XED49</t>
  </si>
  <si>
    <t>Corpoarte</t>
  </si>
  <si>
    <t>Fixed, 6.4</t>
  </si>
  <si>
    <t>GREENSAIF PIPELINES BIDCO SARL</t>
  </si>
  <si>
    <t xml:space="preserve">549300YWDGUXPB8GRP47 </t>
  </si>
  <si>
    <t>GREENSAIF PIPELINES BIDCO SARL REG S SR SEC 1ST LIEN SF 6.129% 02-23-38</t>
  </si>
  <si>
    <t>XS2542166231</t>
  </si>
  <si>
    <t>LUXEMBOURG</t>
  </si>
  <si>
    <t>Fixed, 6.129</t>
  </si>
  <si>
    <t xml:space="preserve">GREENSAIF PIPELINES BIDCO SARL REG S SR SEC 1ST LIEN SF 6.51% 02-23-42 </t>
  </si>
  <si>
    <t xml:space="preserve">XS2542166744 </t>
  </si>
  <si>
    <t>Fixed, 6.51</t>
  </si>
  <si>
    <t>GEORGIA POWER CO</t>
  </si>
  <si>
    <t>D981X4Z4RWS7PDMJUZ03</t>
  </si>
  <si>
    <t xml:space="preserve">GEORGIA POWER CO SR UNSEC 4.65% 05-16-28 </t>
  </si>
  <si>
    <t xml:space="preserve">373334KS9 </t>
  </si>
  <si>
    <t xml:space="preserve">US373334KS95 </t>
  </si>
  <si>
    <t>Fixed, 4.65</t>
  </si>
  <si>
    <t xml:space="preserve">GEORGIA POWER CO </t>
  </si>
  <si>
    <t>GEORGIA POWER CO SR UNSEC 4.95% 05-17-33</t>
  </si>
  <si>
    <t xml:space="preserve">373334KT7 </t>
  </si>
  <si>
    <t xml:space="preserve">US373334KT78 </t>
  </si>
  <si>
    <t>Fixed, 4.95</t>
  </si>
  <si>
    <t xml:space="preserve">GE HEALTHCARE TECHNOLOGIES INC </t>
  </si>
  <si>
    <t xml:space="preserve">549300OI9J7XOWZMUN85 </t>
  </si>
  <si>
    <t xml:space="preserve">GE HEALTHCARE TECHNOLOGIES INC SR UNSEC 5.65% 11-15-27 </t>
  </si>
  <si>
    <t xml:space="preserve">36267VAF0 </t>
  </si>
  <si>
    <t>US36267VAF04</t>
  </si>
  <si>
    <t>Fixed, 5.65</t>
  </si>
  <si>
    <t xml:space="preserve">549300WTZWR07K8MNV44 </t>
  </si>
  <si>
    <t>GILEAD SCIENCES INC SR UNSEC 5.25% 10-15-33</t>
  </si>
  <si>
    <t xml:space="preserve">375558BZ5 </t>
  </si>
  <si>
    <t xml:space="preserve">US375558BZ59 </t>
  </si>
  <si>
    <t>Fixed, 5.25</t>
  </si>
  <si>
    <t xml:space="preserve">529900YLDW34GJAO4J06 </t>
  </si>
  <si>
    <t xml:space="preserve">HUMANA INC SR UNSEC 5.75% 04-15-54 </t>
  </si>
  <si>
    <t>444859CB6</t>
  </si>
  <si>
    <t xml:space="preserve">US444859CB64 </t>
  </si>
  <si>
    <t>Fixed, 5.75</t>
  </si>
  <si>
    <t>Regulatory Reporting</t>
  </si>
  <si>
    <t>NCEN</t>
  </si>
  <si>
    <t>Item A.1.</t>
  </si>
  <si>
    <t>Transfer Agent.</t>
  </si>
  <si>
    <t>Investment Adviser.</t>
  </si>
  <si>
    <t>Sub-Adviser. If a fund has one or more sub-advisers, disclose the name of each sub-adviser.</t>
  </si>
  <si>
    <t>Independent Public Accountant.</t>
  </si>
  <si>
    <t>Administrator. If a fund has one or more administrators, disclose the name of each administrator.</t>
  </si>
  <si>
    <t>This question not in SEC</t>
  </si>
  <si>
    <t>B.8.d.i</t>
  </si>
  <si>
    <t>811-22881</t>
  </si>
  <si>
    <t>Blank</t>
  </si>
  <si>
    <t>J.P. Morgan SE </t>
  </si>
  <si>
    <t>BELGIUM  </t>
  </si>
  <si>
    <t>France</t>
  </si>
  <si>
    <t>Deutsche Bank AG </t>
  </si>
  <si>
    <t>GERMANY  </t>
  </si>
  <si>
    <t>464,788,046,911.000000000000 </t>
  </si>
  <si>
    <t>C.12.1.a.v</t>
  </si>
  <si>
    <t>C.12.1.a.iv</t>
  </si>
  <si>
    <t>C.12.1.a.iii.</t>
  </si>
  <si>
    <t>C.12.1.a.ii.</t>
  </si>
  <si>
    <t>C.12.1.a.i.</t>
  </si>
  <si>
    <t>C.12.1.a.vi</t>
  </si>
  <si>
    <t>C.12.1.a.vii</t>
  </si>
  <si>
    <t>C.12.1.a.vii.1</t>
  </si>
  <si>
    <t>C.12.1.a.vii.2</t>
  </si>
  <si>
    <t>C.12.1.a.vii.3</t>
  </si>
  <si>
    <t>C.12.1.a.vii.4</t>
  </si>
  <si>
    <t>C.12.1.a.vii.5</t>
  </si>
  <si>
    <t>C.12.1.a.vii.6</t>
  </si>
  <si>
    <t>C.12.1.a.vii.7</t>
  </si>
  <si>
    <t>C.12.1.a.vii.8</t>
  </si>
  <si>
    <t>C.12.1.a.vii.9</t>
  </si>
  <si>
    <t>C.12.2.a.i</t>
  </si>
  <si>
    <t>C.12.2.a.ii</t>
  </si>
  <si>
    <t>C.12.2.a.iii</t>
  </si>
  <si>
    <t>C.12.2.a.iv</t>
  </si>
  <si>
    <t>C.12.2.a.v</t>
  </si>
  <si>
    <t>C.12.2.a.vi</t>
  </si>
  <si>
    <t>C.12.2.a.vii</t>
  </si>
  <si>
    <t>C.12.2.a.vii.1</t>
  </si>
  <si>
    <t>C.12.2.a.vii.2</t>
  </si>
  <si>
    <t>C.12.2.a.vii.3</t>
  </si>
  <si>
    <t>C.12.2.a.vii.4</t>
  </si>
  <si>
    <t>C.12.2.a.vii.5</t>
  </si>
  <si>
    <t>C.12.2.a.vii.6</t>
  </si>
  <si>
    <t>C.12.2.a.vii.7</t>
  </si>
  <si>
    <t>C.12.2.a.vii.8</t>
  </si>
  <si>
    <t>C.12.2.a.vii.9</t>
  </si>
  <si>
    <t>C.12.3.a.i</t>
  </si>
  <si>
    <t>C.12.3.a.ii</t>
  </si>
  <si>
    <t>C.12.3.a.iii</t>
  </si>
  <si>
    <t>C.12.3.a.iv</t>
  </si>
  <si>
    <t>C.12.3.a.v</t>
  </si>
  <si>
    <t>C.12.3.a.vi</t>
  </si>
  <si>
    <t>C.12.3.a.vii</t>
  </si>
  <si>
    <t>C.12.3.a.vii.1</t>
  </si>
  <si>
    <t>C.12.3.a.vii.2</t>
  </si>
  <si>
    <t>C.12.3.a.vii.3</t>
  </si>
  <si>
    <t>C.12.3.a.vii.4</t>
  </si>
  <si>
    <t>C.12.3.a.vii.5</t>
  </si>
  <si>
    <t>C.12.3.a.vii.6</t>
  </si>
  <si>
    <t>C.12.3.a.vii.7</t>
  </si>
  <si>
    <t>C.12.3.a.vii.8</t>
  </si>
  <si>
    <t>C.12.3.a.vii.9</t>
  </si>
  <si>
    <t>C.12.4.a.i</t>
  </si>
  <si>
    <t>C.12.4.a.ii</t>
  </si>
  <si>
    <t>C.12.4.a.iii</t>
  </si>
  <si>
    <t>C.12.4.a.iv</t>
  </si>
  <si>
    <t>C.12.4.a.v</t>
  </si>
  <si>
    <t>C.12.4.a.vi</t>
  </si>
  <si>
    <t>C.12.4.a.vii</t>
  </si>
  <si>
    <t>C.12.4.a.vii.1</t>
  </si>
  <si>
    <t>C.12.4.a.vii.2</t>
  </si>
  <si>
    <t>C.12.4.a.vii.3</t>
  </si>
  <si>
    <t>C.12.4.a.vii.4</t>
  </si>
  <si>
    <t>C.12.4.a.vii.5</t>
  </si>
  <si>
    <t>C.12.4.a.vii.6</t>
  </si>
  <si>
    <t>C.12.4.a.vii.7</t>
  </si>
  <si>
    <t>C.12.4.a.vii.8</t>
  </si>
  <si>
    <t>C.12.4.a.vii.9</t>
  </si>
  <si>
    <t>00130H105</t>
  </si>
  <si>
    <t>N-PORT and N-CEN both use Series and Class Identifiers to distniguish between different funds/share classes</t>
  </si>
  <si>
    <t>All forms have Filer Name</t>
  </si>
  <si>
    <t>LEI to match entities acorss N-PORT and N-CEN</t>
  </si>
  <si>
    <t>Both N-PORT and N-CEN follow the same alphabetical section structure</t>
  </si>
  <si>
    <t>C1</t>
  </si>
  <si>
    <t>C2</t>
  </si>
  <si>
    <t>C3</t>
  </si>
  <si>
    <t>C4</t>
  </si>
  <si>
    <t>C5</t>
  </si>
  <si>
    <t>C6</t>
  </si>
  <si>
    <t>C7</t>
  </si>
  <si>
    <t>C8</t>
  </si>
  <si>
    <t>C9</t>
  </si>
  <si>
    <t>C10</t>
  </si>
  <si>
    <t>C11</t>
  </si>
  <si>
    <t>C12</t>
  </si>
  <si>
    <t>QuestionID</t>
  </si>
  <si>
    <t>Tag identifiers:</t>
  </si>
  <si>
    <t>CIK</t>
  </si>
  <si>
    <t>Unique SEC-assigned ID for each filer</t>
  </si>
  <si>
    <t>Global ID for legal entities</t>
  </si>
  <si>
    <t>Description</t>
  </si>
  <si>
    <t>Forms Present</t>
  </si>
  <si>
    <t>N-PORT, N-CEN</t>
  </si>
  <si>
    <t>Series ID</t>
  </si>
  <si>
    <t>Identifies specific funds or share classes</t>
  </si>
  <si>
    <t>U.S. security identifier</t>
  </si>
  <si>
    <t>N-PORT, N-CEN, 13F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</si>
</sst>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scheme val="minor"/>
    </font>
    <font>
      <sz val="11"/>
      <color rgb="FF006100"/>
      <name val="Aptos Narrow"/>
      <family val="2"/>
      <scheme val="minor"/>
    </font>
    <font>
      <u/>
      <sz val="11"/>
      <color theme="10"/>
      <name val="Aptos Narrow"/>
      <family val="2"/>
      <scheme val="minor"/>
    </font>
    <font>
      <b/>
      <sz val="9"/>
      <color indexed="81"/>
      <name val="Tahoma"/>
      <family val="2"/>
    </font>
    <font>
      <sz val="9"/>
      <color indexed="81"/>
      <name val="Tahoma"/>
      <family val="2"/>
    </font>
    <font>
      <sz val="8"/>
      <name val="Aptos Narrow"/>
      <family val="2"/>
      <scheme val="minor"/>
    </font>
    <font>
      <b/>
      <sz val="11"/>
      <color rgb="FF000000"/>
      <name val="Aptos Narrow"/>
      <family val="2"/>
      <scheme val="minor"/>
    </font>
    <font>
      <b/>
      <sz val="14"/>
      <color theme="1"/>
      <name val="Aptos Narrow"/>
      <family val="2"/>
      <scheme val="minor"/>
    </font>
    <font>
      <sz val="11"/>
      <color rgb="FF0070C0"/>
      <name val="Aptos Narrow"/>
      <family val="2"/>
      <scheme val="minor"/>
    </font>
  </fonts>
  <fills count="6">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rgb="FFFFFFCC"/>
        <bgColor indexed="64"/>
      </patternFill>
    </fill>
    <fill>
      <patternFill patternType="solid">
        <fgColor rgb="FFFF7C80"/>
        <bgColor indexed="64"/>
      </patternFill>
    </fill>
  </fills>
  <borders count="1">
    <border>
      <left/>
      <right/>
      <top/>
      <bottom/>
      <diagonal/>
    </border>
  </borders>
  <cellStyleXfs count="3">
    <xf numFmtId="0" fontId="0" fillId="0" borderId="0"/>
    <xf numFmtId="0" fontId="4" fillId="2" borderId="0" applyNumberFormat="0" applyBorder="0" applyAlignment="0" applyProtection="0"/>
    <xf numFmtId="0" fontId="5" fillId="0" borderId="0" applyNumberFormat="0" applyFill="0" applyBorder="0" applyAlignment="0" applyProtection="0"/>
  </cellStyleXfs>
  <cellXfs count="40">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wrapText="1"/>
    </xf>
    <xf numFmtId="0" fontId="2" fillId="0" borderId="0" xfId="0" applyFont="1"/>
    <xf numFmtId="0" fontId="3" fillId="0" borderId="0" xfId="0" applyFont="1" applyAlignment="1">
      <alignment vertical="center" wrapText="1"/>
    </xf>
    <xf numFmtId="0" fontId="0" fillId="0" borderId="0" xfId="0" applyAlignment="1">
      <alignment horizontal="left" wrapText="1"/>
    </xf>
    <xf numFmtId="0" fontId="5" fillId="0" borderId="0" xfId="2"/>
    <xf numFmtId="0" fontId="0" fillId="3" borderId="0" xfId="0" applyFill="1" applyAlignment="1">
      <alignment wrapText="1"/>
    </xf>
    <xf numFmtId="0" fontId="4" fillId="2" borderId="0" xfId="1"/>
    <xf numFmtId="0" fontId="0" fillId="0" borderId="0" xfId="0" applyAlignment="1">
      <alignment vertical="center"/>
    </xf>
    <xf numFmtId="14" fontId="0" fillId="0" borderId="0" xfId="0" applyNumberFormat="1"/>
    <xf numFmtId="49" fontId="0" fillId="0" borderId="0" xfId="0" applyNumberFormat="1"/>
    <xf numFmtId="0" fontId="0" fillId="4" borderId="0" xfId="0" applyFill="1"/>
    <xf numFmtId="0" fontId="2" fillId="3" borderId="0" xfId="0" applyFont="1" applyFill="1" applyAlignment="1">
      <alignment vertical="center" wrapText="1"/>
    </xf>
    <xf numFmtId="14" fontId="0" fillId="0" borderId="0" xfId="0" applyNumberFormat="1" applyAlignment="1">
      <alignment horizontal="left"/>
    </xf>
    <xf numFmtId="0" fontId="0" fillId="0" borderId="0" xfId="0" applyAlignment="1">
      <alignment horizontal="left"/>
    </xf>
    <xf numFmtId="2" fontId="0" fillId="0" borderId="0" xfId="0" applyNumberFormat="1" applyAlignment="1">
      <alignment horizontal="left"/>
    </xf>
    <xf numFmtId="0" fontId="0" fillId="5" borderId="0" xfId="0" applyFill="1" applyAlignment="1">
      <alignment horizontal="left"/>
    </xf>
    <xf numFmtId="3" fontId="0" fillId="0" borderId="0" xfId="0" applyNumberFormat="1" applyAlignment="1">
      <alignment horizontal="left"/>
    </xf>
    <xf numFmtId="49" fontId="1" fillId="0" borderId="0" xfId="0" applyNumberFormat="1" applyFont="1" applyAlignment="1">
      <alignment horizontal="center"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14" fontId="0" fillId="0" borderId="0" xfId="0" applyNumberFormat="1" applyAlignment="1">
      <alignment horizontal="left" vertical="center" wrapText="1"/>
    </xf>
    <xf numFmtId="49" fontId="0" fillId="0" borderId="0" xfId="0" applyNumberFormat="1" applyAlignment="1">
      <alignment horizontal="left"/>
    </xf>
    <xf numFmtId="0" fontId="0" fillId="3" borderId="0" xfId="0" applyFill="1"/>
    <xf numFmtId="0" fontId="9" fillId="0" borderId="0" xfId="0" applyFont="1" applyAlignment="1">
      <alignment horizontal="center" vertical="center" wrapText="1"/>
    </xf>
    <xf numFmtId="0" fontId="9" fillId="0" borderId="0" xfId="0" applyFont="1" applyAlignment="1">
      <alignment horizontal="center" vertical="center"/>
    </xf>
    <xf numFmtId="0" fontId="3" fillId="0" borderId="0" xfId="0" applyFont="1"/>
    <xf numFmtId="0" fontId="3" fillId="0" borderId="0" xfId="0" applyFont="1" applyAlignment="1">
      <alignment horizontal="left"/>
    </xf>
    <xf numFmtId="0" fontId="3" fillId="0" borderId="0" xfId="0" applyFont="1" applyAlignment="1">
      <alignment wrapText="1"/>
    </xf>
    <xf numFmtId="0" fontId="10" fillId="0" borderId="0" xfId="0" applyFont="1" applyAlignment="1">
      <alignment horizontal="center"/>
    </xf>
    <xf numFmtId="0" fontId="11" fillId="0" borderId="0" xfId="0" applyFont="1"/>
    <xf numFmtId="0" fontId="1" fillId="4" borderId="0" xfId="0" applyFont="1" applyFill="1" applyAlignment="1">
      <alignment horizontal="center" vertical="center" wrapText="1"/>
    </xf>
    <xf numFmtId="0" fontId="2" fillId="0" borderId="0" xfId="0" applyFont="1" applyAlignment="1">
      <alignment vertical="center" wrapText="1"/>
    </xf>
    <xf numFmtId="0" fontId="11" fillId="0" borderId="0" xfId="0" applyFont="1" applyAlignment="1">
      <alignment wrapText="1"/>
    </xf>
  </cellXfs>
  <cellStyles count="3">
    <cellStyle name="Good" xfId="1" builtinId="26"/>
    <cellStyle name="Hyperlink" xfId="2" builtinId="8"/>
    <cellStyle name="Normal" xfId="0" builtinId="0"/>
  </cellStyles>
  <dxfs count="0"/>
  <tableStyles count="0" defaultTableStyle="TableStyleMedium2" defaultPivotStyle="PivotStyleLight16"/>
  <colors>
    <mruColors>
      <color rgb="FFFFFF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person displayName="Shiao, Kaemon" id="{000CD08E-FBC5-410D-B5F4-DB83B7D80224}" userId="S::kshiao@kpmg.com::6c5f501f-6fd2-4414-a2d2-f8132c132dd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5-07-16T16:35:31.43" personId="{000CD08E-FBC5-410D-B5F4-DB83B7D80224}" id="{E1BC50A4-915C-451A-AE3C-8EC8A27E03B0}" done="1">
    <text>concat</text>
  </threadedComment>
</ThreadedComments>
</file>

<file path=xl/threadedComments/threadedComment2.xml><?xml version="1.0" encoding="utf-8"?>
<ThreadedComments xmlns="http://schemas.microsoft.com/office/spreadsheetml/2018/threadedcomments" xmlns:x="http://schemas.openxmlformats.org/spreadsheetml/2006/main">
  <threadedComment ref="A6" dT="2025-07-15T22:11:35.38" personId="{000CD08E-FBC5-410D-B5F4-DB83B7D80224}" id="{E954243F-D302-4867-A7BE-A9E18BD8E7AF}">
    <text xml:space="preserve">All have names but some mean the name of funds, individuals, classes, etc so they do not fall under the same category.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sec.gov/files/formn-4-legacy.pdf" TargetMode="External"/><Relationship Id="rId18" Type="http://schemas.openxmlformats.org/officeDocument/2006/relationships/hyperlink" Target="https://www.sec.gov/files/formn-6f.pdf" TargetMode="External"/><Relationship Id="rId26" Type="http://schemas.openxmlformats.org/officeDocument/2006/relationships/hyperlink" Target="https://www.sec.gov/files/formn-mfp.pdf" TargetMode="External"/><Relationship Id="rId39" Type="http://schemas.openxmlformats.org/officeDocument/2006/relationships/hyperlink" Target="https://www.sec.gov/files/formcrs.pdf" TargetMode="External"/><Relationship Id="rId21" Type="http://schemas.openxmlformats.org/officeDocument/2006/relationships/hyperlink" Target="https://www.sec.gov/files/formn-8b-4.pdf" TargetMode="External"/><Relationship Id="rId34" Type="http://schemas.openxmlformats.org/officeDocument/2006/relationships/hyperlink" Target="https://www.sec.gov/files/formadv-w.pdf" TargetMode="External"/><Relationship Id="rId42" Type="http://schemas.openxmlformats.org/officeDocument/2006/relationships/hyperlink" Target="https://www.sec.gov/about/forms/form4data.pdf" TargetMode="External"/><Relationship Id="rId47" Type="http://schemas.openxmlformats.org/officeDocument/2006/relationships/printerSettings" Target="../printerSettings/printerSettings1.bin"/><Relationship Id="rId7" Type="http://schemas.openxmlformats.org/officeDocument/2006/relationships/hyperlink" Target="https://www.sec.gov/files/form-n-1a.pdf" TargetMode="External"/><Relationship Id="rId2" Type="http://schemas.openxmlformats.org/officeDocument/2006/relationships/hyperlink" Target="https://www.sec.gov/files/formn-14.pdf" TargetMode="External"/><Relationship Id="rId16" Type="http://schemas.openxmlformats.org/officeDocument/2006/relationships/hyperlink" Target="https://www.sec.gov/files/formn-6.pdf" TargetMode="External"/><Relationship Id="rId29" Type="http://schemas.openxmlformats.org/officeDocument/2006/relationships/hyperlink" Target="https://www.sec.gov/files/formn-rn.pdf" TargetMode="External"/><Relationship Id="rId11" Type="http://schemas.openxmlformats.org/officeDocument/2006/relationships/hyperlink" Target="https://www.sec.gov/files/formn-3.pdf" TargetMode="External"/><Relationship Id="rId24" Type="http://schemas.openxmlformats.org/officeDocument/2006/relationships/hyperlink" Target="https://www.sec.gov/files/formn-cr.PDF" TargetMode="External"/><Relationship Id="rId32" Type="http://schemas.openxmlformats.org/officeDocument/2006/relationships/hyperlink" Target="https://www.sec.gov/files/formadv-h.pdf" TargetMode="External"/><Relationship Id="rId37" Type="http://schemas.openxmlformats.org/officeDocument/2006/relationships/hyperlink" Target="https://www.sec.gov/files/formmsdw.pdf" TargetMode="External"/><Relationship Id="rId40" Type="http://schemas.openxmlformats.org/officeDocument/2006/relationships/hyperlink" Target="https://www.sec.gov/files/form13f.pdf" TargetMode="External"/><Relationship Id="rId45" Type="http://schemas.openxmlformats.org/officeDocument/2006/relationships/hyperlink" Target="https://rdgfilings.com/wp-content/themes/rdg/doc/Sc13g.pdf" TargetMode="External"/><Relationship Id="rId5" Type="http://schemas.openxmlformats.org/officeDocument/2006/relationships/hyperlink" Target="https://www.sec.gov/files/formn-17f-2.pdf" TargetMode="External"/><Relationship Id="rId15" Type="http://schemas.openxmlformats.org/officeDocument/2006/relationships/hyperlink" Target="https://www.sec.gov/files/formn-54c.pdf" TargetMode="External"/><Relationship Id="rId23" Type="http://schemas.openxmlformats.org/officeDocument/2006/relationships/hyperlink" Target="https://www.sec.gov/files/formn-cen.pdf" TargetMode="External"/><Relationship Id="rId28" Type="http://schemas.openxmlformats.org/officeDocument/2006/relationships/hyperlink" Target="https://www.sec.gov/files/formnpx.pdf" TargetMode="External"/><Relationship Id="rId36" Type="http://schemas.openxmlformats.org/officeDocument/2006/relationships/hyperlink" Target="https://www.sec.gov/files/formmsd.pdf" TargetMode="External"/><Relationship Id="rId49" Type="http://schemas.openxmlformats.org/officeDocument/2006/relationships/comments" Target="../comments1.xml"/><Relationship Id="rId10" Type="http://schemas.openxmlformats.org/officeDocument/2006/relationships/hyperlink" Target="https://www.sec.gov/files/formn-27d-1.pdf" TargetMode="External"/><Relationship Id="rId19" Type="http://schemas.openxmlformats.org/officeDocument/2006/relationships/hyperlink" Target="https://www.sec.gov/files/formn-8a.pdf" TargetMode="External"/><Relationship Id="rId31" Type="http://schemas.openxmlformats.org/officeDocument/2006/relationships/hyperlink" Target="https://www.sec.gov/files/formadv-e.pdf" TargetMode="External"/><Relationship Id="rId44" Type="http://schemas.openxmlformats.org/officeDocument/2006/relationships/hyperlink" Target="https://www.securexfilings.com/wp-content/uploads/2013/04/sched13d.pdf" TargetMode="External"/><Relationship Id="rId4" Type="http://schemas.openxmlformats.org/officeDocument/2006/relationships/hyperlink" Target="https://www.sec.gov/files/formn-17f-1.pdf" TargetMode="External"/><Relationship Id="rId9" Type="http://schemas.openxmlformats.org/officeDocument/2006/relationships/hyperlink" Target="https://www.sec.gov/files/formn-23c-3.pdf" TargetMode="External"/><Relationship Id="rId14" Type="http://schemas.openxmlformats.org/officeDocument/2006/relationships/hyperlink" Target="https://www.sec.gov/files/formn-54a.pdf" TargetMode="External"/><Relationship Id="rId22" Type="http://schemas.openxmlformats.org/officeDocument/2006/relationships/hyperlink" Target="https://www.sec.gov/files/formn-8f.pdf" TargetMode="External"/><Relationship Id="rId27" Type="http://schemas.openxmlformats.org/officeDocument/2006/relationships/hyperlink" Target="https://www.sec.gov/files/formn-port.pdf" TargetMode="External"/><Relationship Id="rId30" Type="http://schemas.openxmlformats.org/officeDocument/2006/relationships/hyperlink" Target="https://www.sec.gov/files/formadv.pdf" TargetMode="External"/><Relationship Id="rId35" Type="http://schemas.openxmlformats.org/officeDocument/2006/relationships/hyperlink" Target="https://www.sec.gov/files/formpf.pdf" TargetMode="External"/><Relationship Id="rId43" Type="http://schemas.openxmlformats.org/officeDocument/2006/relationships/hyperlink" Target="https://www.sec.gov/about/forms/form5data.pdf" TargetMode="External"/><Relationship Id="rId48" Type="http://schemas.openxmlformats.org/officeDocument/2006/relationships/vmlDrawing" Target="../drawings/vmlDrawing1.vml"/><Relationship Id="rId8" Type="http://schemas.openxmlformats.org/officeDocument/2006/relationships/hyperlink" Target="https://www.sec.gov/files/formn-2.pdf" TargetMode="External"/><Relationship Id="rId3" Type="http://schemas.openxmlformats.org/officeDocument/2006/relationships/hyperlink" Target="https://www.sec.gov/files/formn-17d-1.pdf" TargetMode="External"/><Relationship Id="rId12" Type="http://schemas.openxmlformats.org/officeDocument/2006/relationships/hyperlink" Target="https://www.sec.gov/files/formn-4.pdf" TargetMode="External"/><Relationship Id="rId17" Type="http://schemas.openxmlformats.org/officeDocument/2006/relationships/hyperlink" Target="https://www.sec.gov/files/form-n-6ei-1.pdf" TargetMode="External"/><Relationship Id="rId25" Type="http://schemas.openxmlformats.org/officeDocument/2006/relationships/hyperlink" Target="https://www.sec.gov/files/formn-csr.pdf" TargetMode="External"/><Relationship Id="rId33" Type="http://schemas.openxmlformats.org/officeDocument/2006/relationships/hyperlink" Target="https://www.sec.gov/files/formadv-nr.pdf" TargetMode="External"/><Relationship Id="rId38" Type="http://schemas.openxmlformats.org/officeDocument/2006/relationships/hyperlink" Target="https://www.sec.gov/files/form24f-2.pdf" TargetMode="External"/><Relationship Id="rId46" Type="http://schemas.openxmlformats.org/officeDocument/2006/relationships/hyperlink" Target="https://www.sec.gov/files/form13h.pdf" TargetMode="External"/><Relationship Id="rId20" Type="http://schemas.openxmlformats.org/officeDocument/2006/relationships/hyperlink" Target="https://www.sec.gov/files/formn-8b-2.pdf" TargetMode="External"/><Relationship Id="rId41" Type="http://schemas.openxmlformats.org/officeDocument/2006/relationships/hyperlink" Target="https://www.sec.gov/files/form3data.pdf" TargetMode="External"/><Relationship Id="rId1" Type="http://schemas.openxmlformats.org/officeDocument/2006/relationships/hyperlink" Target="https://www.sec.gov/files/form24f-2-legacy.pdf" TargetMode="External"/><Relationship Id="rId6" Type="http://schemas.openxmlformats.org/officeDocument/2006/relationships/hyperlink" Target="https://www.sec.gov/files/formn-18f-1.pdf"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14A5-6918-463E-8C62-49D4DB4BAD23}">
  <dimension ref="A1:J47"/>
  <sheetViews>
    <sheetView zoomScale="96" zoomScaleNormal="96" workbookViewId="0">
      <selection activeCell="I3" sqref="I3"/>
    </sheetView>
  </sheetViews>
  <sheetFormatPr defaultRowHeight="14.5" x14ac:dyDescent="0.35"/>
  <cols>
    <col min="1" max="1" width="24.26953125" customWidth="1"/>
    <col min="2" max="2" width="37.81640625" customWidth="1"/>
    <col min="3" max="3" width="21" customWidth="1"/>
    <col min="4" max="4" width="15.7265625" customWidth="1"/>
    <col min="5" max="5" width="46.453125" customWidth="1"/>
    <col min="6" max="6" width="86.81640625" style="5" customWidth="1"/>
    <col min="7" max="7" width="50.54296875" bestFit="1" customWidth="1"/>
    <col min="8" max="8" width="12.453125" bestFit="1" customWidth="1"/>
    <col min="10" max="10" width="14.7265625" bestFit="1" customWidth="1"/>
  </cols>
  <sheetData>
    <row r="1" spans="1:10" x14ac:dyDescent="0.35">
      <c r="A1" t="s">
        <v>0</v>
      </c>
      <c r="B1" t="s">
        <v>1</v>
      </c>
      <c r="C1" t="s">
        <v>2</v>
      </c>
      <c r="D1" t="s">
        <v>3</v>
      </c>
      <c r="E1" t="s">
        <v>4</v>
      </c>
      <c r="F1" s="5" t="s">
        <v>5</v>
      </c>
      <c r="G1" t="s">
        <v>6</v>
      </c>
      <c r="H1" t="s">
        <v>7</v>
      </c>
      <c r="I1" t="s">
        <v>8</v>
      </c>
      <c r="J1" t="s">
        <v>9</v>
      </c>
    </row>
    <row r="2" spans="1:10" ht="58" x14ac:dyDescent="0.35">
      <c r="A2" t="s">
        <v>10</v>
      </c>
      <c r="B2" t="s">
        <v>11</v>
      </c>
      <c r="C2" t="s">
        <v>12</v>
      </c>
      <c r="D2" t="s">
        <v>13</v>
      </c>
      <c r="E2" s="9" t="s">
        <v>14</v>
      </c>
      <c r="F2" s="5" t="s">
        <v>15</v>
      </c>
      <c r="G2" s="5" t="s">
        <v>16</v>
      </c>
      <c r="I2" t="s">
        <v>17</v>
      </c>
    </row>
    <row r="3" spans="1:10" ht="87" x14ac:dyDescent="0.35">
      <c r="A3" t="s">
        <v>10</v>
      </c>
      <c r="B3" t="s">
        <v>11</v>
      </c>
      <c r="C3" t="s">
        <v>18</v>
      </c>
      <c r="D3" t="s">
        <v>19</v>
      </c>
      <c r="E3" s="9" t="s">
        <v>20</v>
      </c>
      <c r="F3" s="5" t="s">
        <v>21</v>
      </c>
      <c r="G3" t="s">
        <v>22</v>
      </c>
      <c r="I3" t="s">
        <v>17</v>
      </c>
    </row>
    <row r="4" spans="1:10" ht="58" x14ac:dyDescent="0.35">
      <c r="A4" t="s">
        <v>10</v>
      </c>
      <c r="B4" t="s">
        <v>11</v>
      </c>
      <c r="C4" t="s">
        <v>23</v>
      </c>
      <c r="D4" t="s">
        <v>13</v>
      </c>
      <c r="E4" s="9" t="s">
        <v>24</v>
      </c>
      <c r="F4" s="5" t="s">
        <v>25</v>
      </c>
      <c r="G4" s="5" t="s">
        <v>16</v>
      </c>
      <c r="I4" t="s">
        <v>26</v>
      </c>
      <c r="J4" t="s">
        <v>27</v>
      </c>
    </row>
    <row r="5" spans="1:10" ht="72.5" x14ac:dyDescent="0.35">
      <c r="A5" t="s">
        <v>10</v>
      </c>
      <c r="B5" t="s">
        <v>11</v>
      </c>
      <c r="C5" t="s">
        <v>28</v>
      </c>
      <c r="D5" t="s">
        <v>13</v>
      </c>
      <c r="E5" s="9" t="s">
        <v>29</v>
      </c>
      <c r="F5" s="5" t="s">
        <v>30</v>
      </c>
      <c r="G5" t="s">
        <v>31</v>
      </c>
      <c r="I5" t="s">
        <v>17</v>
      </c>
    </row>
    <row r="6" spans="1:10" ht="58" x14ac:dyDescent="0.35">
      <c r="A6" t="s">
        <v>32</v>
      </c>
      <c r="B6" t="s">
        <v>33</v>
      </c>
      <c r="C6" t="s">
        <v>34</v>
      </c>
      <c r="D6" t="s">
        <v>35</v>
      </c>
      <c r="E6" s="9" t="s">
        <v>36</v>
      </c>
      <c r="F6" s="10" t="s">
        <v>37</v>
      </c>
      <c r="G6" t="s">
        <v>38</v>
      </c>
      <c r="I6" t="s">
        <v>17</v>
      </c>
    </row>
    <row r="7" spans="1:10" ht="58" x14ac:dyDescent="0.35">
      <c r="A7" t="s">
        <v>39</v>
      </c>
      <c r="B7" t="s">
        <v>40</v>
      </c>
      <c r="C7" t="s">
        <v>41</v>
      </c>
      <c r="D7" t="s">
        <v>42</v>
      </c>
      <c r="E7" s="9" t="s">
        <v>43</v>
      </c>
      <c r="F7" s="10" t="s">
        <v>44</v>
      </c>
      <c r="G7" t="s">
        <v>45</v>
      </c>
      <c r="I7" t="s">
        <v>26</v>
      </c>
    </row>
    <row r="8" spans="1:10" ht="58" x14ac:dyDescent="0.35">
      <c r="A8" t="s">
        <v>39</v>
      </c>
      <c r="B8" t="s">
        <v>40</v>
      </c>
      <c r="C8" t="s">
        <v>46</v>
      </c>
      <c r="D8" t="s">
        <v>42</v>
      </c>
      <c r="E8" s="9" t="s">
        <v>47</v>
      </c>
      <c r="F8" s="10" t="s">
        <v>48</v>
      </c>
      <c r="G8" t="s">
        <v>49</v>
      </c>
      <c r="I8" t="s">
        <v>26</v>
      </c>
    </row>
    <row r="9" spans="1:10" ht="58" x14ac:dyDescent="0.35">
      <c r="A9" t="s">
        <v>39</v>
      </c>
      <c r="B9" t="s">
        <v>40</v>
      </c>
      <c r="C9" t="s">
        <v>50</v>
      </c>
      <c r="D9" t="s">
        <v>51</v>
      </c>
      <c r="E9" s="9" t="s">
        <v>52</v>
      </c>
      <c r="F9" s="10" t="s">
        <v>53</v>
      </c>
      <c r="G9" t="s">
        <v>49</v>
      </c>
      <c r="I9" t="s">
        <v>26</v>
      </c>
    </row>
    <row r="10" spans="1:10" ht="58" x14ac:dyDescent="0.35">
      <c r="A10" t="s">
        <v>39</v>
      </c>
      <c r="B10" t="s">
        <v>40</v>
      </c>
      <c r="C10" t="s">
        <v>54</v>
      </c>
      <c r="D10" t="s">
        <v>55</v>
      </c>
      <c r="E10" s="9" t="s">
        <v>56</v>
      </c>
      <c r="F10" s="10" t="s">
        <v>57</v>
      </c>
      <c r="G10" t="s">
        <v>49</v>
      </c>
      <c r="I10" t="s">
        <v>26</v>
      </c>
    </row>
    <row r="11" spans="1:10" ht="58" x14ac:dyDescent="0.35">
      <c r="A11" t="s">
        <v>39</v>
      </c>
      <c r="B11" t="s">
        <v>40</v>
      </c>
      <c r="C11" t="s">
        <v>58</v>
      </c>
      <c r="D11" t="s">
        <v>59</v>
      </c>
      <c r="E11" s="9" t="s">
        <v>60</v>
      </c>
      <c r="F11" s="10" t="s">
        <v>61</v>
      </c>
      <c r="G11" t="s">
        <v>62</v>
      </c>
      <c r="I11" t="s">
        <v>26</v>
      </c>
    </row>
    <row r="12" spans="1:10" ht="72.5" x14ac:dyDescent="0.35">
      <c r="A12" t="s">
        <v>39</v>
      </c>
      <c r="B12" t="s">
        <v>40</v>
      </c>
      <c r="C12" t="s">
        <v>63</v>
      </c>
      <c r="D12" t="s">
        <v>64</v>
      </c>
      <c r="E12" s="9" t="s">
        <v>65</v>
      </c>
      <c r="F12" s="10" t="s">
        <v>66</v>
      </c>
      <c r="G12" t="s">
        <v>67</v>
      </c>
      <c r="I12" s="11" t="s">
        <v>17</v>
      </c>
    </row>
    <row r="13" spans="1:10" ht="58" x14ac:dyDescent="0.35">
      <c r="A13" t="s">
        <v>39</v>
      </c>
      <c r="B13" t="s">
        <v>40</v>
      </c>
      <c r="C13" t="s">
        <v>68</v>
      </c>
      <c r="D13" t="s">
        <v>69</v>
      </c>
      <c r="E13" s="9" t="s">
        <v>70</v>
      </c>
      <c r="F13" s="10" t="s">
        <v>71</v>
      </c>
      <c r="G13" t="s">
        <v>72</v>
      </c>
      <c r="I13" t="s">
        <v>26</v>
      </c>
    </row>
    <row r="14" spans="1:10" ht="72.5" x14ac:dyDescent="0.35">
      <c r="A14" t="s">
        <v>39</v>
      </c>
      <c r="B14" t="s">
        <v>40</v>
      </c>
      <c r="C14" t="s">
        <v>73</v>
      </c>
      <c r="D14" t="s">
        <v>74</v>
      </c>
      <c r="E14" s="9" t="s">
        <v>75</v>
      </c>
      <c r="F14" s="10" t="s">
        <v>76</v>
      </c>
      <c r="G14" t="s">
        <v>77</v>
      </c>
      <c r="I14" t="s">
        <v>26</v>
      </c>
    </row>
    <row r="15" spans="1:10" ht="58" x14ac:dyDescent="0.35">
      <c r="A15" t="s">
        <v>39</v>
      </c>
      <c r="B15" t="s">
        <v>40</v>
      </c>
      <c r="C15" t="s">
        <v>78</v>
      </c>
      <c r="D15" t="s">
        <v>79</v>
      </c>
      <c r="E15" s="9" t="s">
        <v>80</v>
      </c>
      <c r="F15" s="5" t="s">
        <v>81</v>
      </c>
      <c r="G15" t="s">
        <v>49</v>
      </c>
      <c r="I15" t="s">
        <v>26</v>
      </c>
    </row>
    <row r="16" spans="1:10" ht="58" x14ac:dyDescent="0.35">
      <c r="A16" t="s">
        <v>39</v>
      </c>
      <c r="B16" t="s">
        <v>40</v>
      </c>
      <c r="C16" t="s">
        <v>82</v>
      </c>
      <c r="D16" t="s">
        <v>83</v>
      </c>
      <c r="E16" s="9" t="s">
        <v>84</v>
      </c>
      <c r="F16" s="10" t="s">
        <v>85</v>
      </c>
      <c r="G16" t="s">
        <v>49</v>
      </c>
      <c r="I16" t="s">
        <v>26</v>
      </c>
    </row>
    <row r="17" spans="1:9" ht="58" x14ac:dyDescent="0.35">
      <c r="A17" t="s">
        <v>39</v>
      </c>
      <c r="B17" t="s">
        <v>40</v>
      </c>
      <c r="C17" t="s">
        <v>86</v>
      </c>
      <c r="D17" t="s">
        <v>87</v>
      </c>
      <c r="E17" s="9" t="s">
        <v>88</v>
      </c>
      <c r="F17" s="10" t="s">
        <v>89</v>
      </c>
      <c r="G17" t="s">
        <v>45</v>
      </c>
      <c r="I17" t="s">
        <v>26</v>
      </c>
    </row>
    <row r="18" spans="1:9" ht="72.5" x14ac:dyDescent="0.35">
      <c r="A18" t="s">
        <v>39</v>
      </c>
      <c r="B18" t="s">
        <v>40</v>
      </c>
      <c r="C18" t="s">
        <v>90</v>
      </c>
      <c r="D18" t="s">
        <v>91</v>
      </c>
      <c r="E18" s="9" t="s">
        <v>92</v>
      </c>
      <c r="F18" s="10" t="s">
        <v>93</v>
      </c>
      <c r="G18" t="s">
        <v>77</v>
      </c>
      <c r="I18" t="s">
        <v>26</v>
      </c>
    </row>
    <row r="19" spans="1:9" ht="58" x14ac:dyDescent="0.35">
      <c r="A19" t="s">
        <v>39</v>
      </c>
      <c r="B19" t="s">
        <v>40</v>
      </c>
      <c r="C19" t="s">
        <v>94</v>
      </c>
      <c r="D19" t="s">
        <v>95</v>
      </c>
      <c r="E19" s="9" t="s">
        <v>96</v>
      </c>
      <c r="F19" s="10" t="s">
        <v>97</v>
      </c>
      <c r="G19" t="s">
        <v>77</v>
      </c>
      <c r="I19" t="s">
        <v>26</v>
      </c>
    </row>
    <row r="20" spans="1:9" x14ac:dyDescent="0.35">
      <c r="A20" t="s">
        <v>39</v>
      </c>
      <c r="B20" t="s">
        <v>40</v>
      </c>
      <c r="C20" t="s">
        <v>94</v>
      </c>
      <c r="D20" t="s">
        <v>95</v>
      </c>
      <c r="E20" s="9" t="s">
        <v>98</v>
      </c>
      <c r="F20" s="10"/>
      <c r="G20" t="s">
        <v>77</v>
      </c>
      <c r="I20" t="s">
        <v>26</v>
      </c>
    </row>
    <row r="21" spans="1:9" x14ac:dyDescent="0.35">
      <c r="A21" t="s">
        <v>39</v>
      </c>
      <c r="B21" t="s">
        <v>40</v>
      </c>
      <c r="C21" t="s">
        <v>99</v>
      </c>
      <c r="D21" t="s">
        <v>100</v>
      </c>
      <c r="E21" s="9" t="s">
        <v>101</v>
      </c>
      <c r="G21" t="s">
        <v>49</v>
      </c>
      <c r="I21" t="s">
        <v>102</v>
      </c>
    </row>
    <row r="22" spans="1:9" ht="29" x14ac:dyDescent="0.35">
      <c r="A22" t="s">
        <v>39</v>
      </c>
      <c r="B22" t="s">
        <v>40</v>
      </c>
      <c r="C22" t="s">
        <v>103</v>
      </c>
      <c r="D22" t="s">
        <v>104</v>
      </c>
      <c r="E22" s="9" t="s">
        <v>105</v>
      </c>
      <c r="F22" s="5" t="s">
        <v>106</v>
      </c>
      <c r="G22" t="s">
        <v>49</v>
      </c>
      <c r="I22" t="s">
        <v>102</v>
      </c>
    </row>
    <row r="23" spans="1:9" ht="72.5" x14ac:dyDescent="0.35">
      <c r="A23" t="s">
        <v>39</v>
      </c>
      <c r="B23" t="s">
        <v>40</v>
      </c>
      <c r="C23" t="s">
        <v>107</v>
      </c>
      <c r="D23" t="s">
        <v>108</v>
      </c>
      <c r="E23" s="9" t="s">
        <v>109</v>
      </c>
      <c r="F23" s="10" t="s">
        <v>110</v>
      </c>
      <c r="G23" t="s">
        <v>45</v>
      </c>
      <c r="I23" t="s">
        <v>26</v>
      </c>
    </row>
    <row r="24" spans="1:9" ht="58" x14ac:dyDescent="0.35">
      <c r="A24" t="s">
        <v>39</v>
      </c>
      <c r="B24" t="s">
        <v>40</v>
      </c>
      <c r="C24" t="s">
        <v>111</v>
      </c>
      <c r="D24" t="s">
        <v>112</v>
      </c>
      <c r="E24" s="9" t="s">
        <v>113</v>
      </c>
      <c r="F24" s="10" t="s">
        <v>114</v>
      </c>
      <c r="G24" t="s">
        <v>49</v>
      </c>
      <c r="I24" t="s">
        <v>26</v>
      </c>
    </row>
    <row r="25" spans="1:9" ht="58" x14ac:dyDescent="0.35">
      <c r="A25" t="s">
        <v>39</v>
      </c>
      <c r="B25" t="s">
        <v>40</v>
      </c>
      <c r="C25" t="s">
        <v>115</v>
      </c>
      <c r="D25" t="s">
        <v>116</v>
      </c>
      <c r="E25" s="9" t="s">
        <v>117</v>
      </c>
      <c r="F25" s="10" t="s">
        <v>118</v>
      </c>
      <c r="G25" t="s">
        <v>49</v>
      </c>
      <c r="I25" t="s">
        <v>26</v>
      </c>
    </row>
    <row r="26" spans="1:9" ht="58" x14ac:dyDescent="0.35">
      <c r="A26" t="s">
        <v>39</v>
      </c>
      <c r="B26" t="s">
        <v>40</v>
      </c>
      <c r="C26" t="s">
        <v>119</v>
      </c>
      <c r="D26" t="s">
        <v>120</v>
      </c>
      <c r="E26" s="9" t="s">
        <v>121</v>
      </c>
      <c r="F26" s="10" t="s">
        <v>122</v>
      </c>
      <c r="G26" t="s">
        <v>123</v>
      </c>
      <c r="I26" t="s">
        <v>26</v>
      </c>
    </row>
    <row r="27" spans="1:9" ht="58" x14ac:dyDescent="0.35">
      <c r="A27" t="s">
        <v>39</v>
      </c>
      <c r="B27" t="s">
        <v>40</v>
      </c>
      <c r="C27" t="s">
        <v>124</v>
      </c>
      <c r="D27" t="s">
        <v>125</v>
      </c>
      <c r="E27" s="9" t="s">
        <v>126</v>
      </c>
      <c r="F27" s="10" t="s">
        <v>127</v>
      </c>
      <c r="G27" t="s">
        <v>45</v>
      </c>
      <c r="I27" t="s">
        <v>26</v>
      </c>
    </row>
    <row r="28" spans="1:9" ht="58" x14ac:dyDescent="0.35">
      <c r="A28" t="s">
        <v>39</v>
      </c>
      <c r="B28" t="s">
        <v>40</v>
      </c>
      <c r="C28" t="s">
        <v>128</v>
      </c>
      <c r="D28" t="s">
        <v>129</v>
      </c>
      <c r="E28" s="9" t="s">
        <v>130</v>
      </c>
      <c r="F28" s="10" t="s">
        <v>131</v>
      </c>
      <c r="G28" t="s">
        <v>49</v>
      </c>
      <c r="I28" t="s">
        <v>26</v>
      </c>
    </row>
    <row r="29" spans="1:9" ht="58" x14ac:dyDescent="0.35">
      <c r="A29" t="s">
        <v>39</v>
      </c>
      <c r="B29" t="s">
        <v>40</v>
      </c>
      <c r="C29" t="s">
        <v>132</v>
      </c>
      <c r="D29" t="s">
        <v>133</v>
      </c>
      <c r="E29" s="9" t="s">
        <v>134</v>
      </c>
      <c r="F29" s="10" t="s">
        <v>135</v>
      </c>
      <c r="G29" t="s">
        <v>136</v>
      </c>
      <c r="I29" t="s">
        <v>26</v>
      </c>
    </row>
    <row r="30" spans="1:9" ht="58" x14ac:dyDescent="0.35">
      <c r="A30" t="s">
        <v>39</v>
      </c>
      <c r="B30" t="s">
        <v>40</v>
      </c>
      <c r="C30" t="s">
        <v>137</v>
      </c>
      <c r="D30" t="s">
        <v>138</v>
      </c>
      <c r="E30" s="9" t="s">
        <v>139</v>
      </c>
      <c r="F30" s="10" t="s">
        <v>140</v>
      </c>
      <c r="G30" t="s">
        <v>45</v>
      </c>
      <c r="I30" t="s">
        <v>26</v>
      </c>
    </row>
    <row r="31" spans="1:9" ht="58" x14ac:dyDescent="0.35">
      <c r="A31" t="s">
        <v>39</v>
      </c>
      <c r="B31" t="s">
        <v>40</v>
      </c>
      <c r="C31" t="s">
        <v>141</v>
      </c>
      <c r="D31" t="s">
        <v>142</v>
      </c>
      <c r="E31" s="9" t="s">
        <v>143</v>
      </c>
      <c r="F31" s="10" t="s">
        <v>144</v>
      </c>
      <c r="G31" t="s">
        <v>49</v>
      </c>
      <c r="I31" t="s">
        <v>26</v>
      </c>
    </row>
    <row r="32" spans="1:9" ht="43.5" x14ac:dyDescent="0.35">
      <c r="A32" t="s">
        <v>39</v>
      </c>
      <c r="B32" t="s">
        <v>40</v>
      </c>
      <c r="C32" t="s">
        <v>145</v>
      </c>
      <c r="D32" t="s">
        <v>146</v>
      </c>
      <c r="E32" s="9" t="s">
        <v>147</v>
      </c>
      <c r="F32" s="10" t="s">
        <v>148</v>
      </c>
      <c r="G32" t="s">
        <v>67</v>
      </c>
      <c r="I32" t="s">
        <v>26</v>
      </c>
    </row>
    <row r="33" spans="1:9" ht="58" x14ac:dyDescent="0.35">
      <c r="A33" t="s">
        <v>39</v>
      </c>
      <c r="B33" t="s">
        <v>40</v>
      </c>
      <c r="C33" t="s">
        <v>149</v>
      </c>
      <c r="D33" t="s">
        <v>150</v>
      </c>
      <c r="E33" s="9" t="s">
        <v>151</v>
      </c>
      <c r="F33" s="10" t="s">
        <v>152</v>
      </c>
      <c r="G33" t="s">
        <v>153</v>
      </c>
      <c r="I33" t="s">
        <v>26</v>
      </c>
    </row>
    <row r="34" spans="1:9" ht="58" x14ac:dyDescent="0.35">
      <c r="A34" t="s">
        <v>39</v>
      </c>
      <c r="B34" t="s">
        <v>40</v>
      </c>
      <c r="C34" t="s">
        <v>154</v>
      </c>
      <c r="D34" t="s">
        <v>155</v>
      </c>
      <c r="E34" s="9" t="s">
        <v>156</v>
      </c>
      <c r="F34" s="10" t="s">
        <v>157</v>
      </c>
      <c r="G34" t="s">
        <v>153</v>
      </c>
      <c r="I34" t="s">
        <v>26</v>
      </c>
    </row>
    <row r="35" spans="1:9" ht="43.5" x14ac:dyDescent="0.35">
      <c r="A35" t="s">
        <v>39</v>
      </c>
      <c r="B35" t="s">
        <v>40</v>
      </c>
      <c r="C35" t="s">
        <v>158</v>
      </c>
      <c r="D35" t="s">
        <v>159</v>
      </c>
      <c r="E35" s="9" t="s">
        <v>160</v>
      </c>
      <c r="F35" s="10" t="s">
        <v>161</v>
      </c>
      <c r="G35" t="s">
        <v>45</v>
      </c>
      <c r="I35" t="s">
        <v>26</v>
      </c>
    </row>
    <row r="36" spans="1:9" ht="43.5" x14ac:dyDescent="0.35">
      <c r="A36" t="s">
        <v>39</v>
      </c>
      <c r="B36" t="s">
        <v>40</v>
      </c>
      <c r="C36" t="s">
        <v>162</v>
      </c>
      <c r="D36" t="s">
        <v>163</v>
      </c>
      <c r="E36" s="9" t="s">
        <v>164</v>
      </c>
      <c r="F36" s="10" t="s">
        <v>165</v>
      </c>
      <c r="G36" t="s">
        <v>49</v>
      </c>
      <c r="I36" t="s">
        <v>26</v>
      </c>
    </row>
    <row r="37" spans="1:9" ht="43.5" x14ac:dyDescent="0.35">
      <c r="A37" t="s">
        <v>32</v>
      </c>
      <c r="B37" t="s">
        <v>33</v>
      </c>
      <c r="C37" t="s">
        <v>166</v>
      </c>
      <c r="D37" t="s">
        <v>167</v>
      </c>
      <c r="E37" s="9" t="s">
        <v>168</v>
      </c>
      <c r="F37" s="10" t="s">
        <v>169</v>
      </c>
      <c r="G37" t="s">
        <v>77</v>
      </c>
      <c r="I37" t="s">
        <v>102</v>
      </c>
    </row>
    <row r="38" spans="1:9" ht="43.5" x14ac:dyDescent="0.35">
      <c r="A38" t="s">
        <v>32</v>
      </c>
      <c r="B38" t="s">
        <v>33</v>
      </c>
      <c r="C38" t="s">
        <v>170</v>
      </c>
      <c r="D38" t="s">
        <v>171</v>
      </c>
      <c r="E38" s="9" t="s">
        <v>172</v>
      </c>
      <c r="F38" s="10" t="s">
        <v>173</v>
      </c>
      <c r="G38" t="s">
        <v>45</v>
      </c>
      <c r="I38" t="s">
        <v>102</v>
      </c>
    </row>
    <row r="39" spans="1:9" ht="43.5" x14ac:dyDescent="0.35">
      <c r="A39" t="s">
        <v>32</v>
      </c>
      <c r="B39" t="s">
        <v>33</v>
      </c>
      <c r="C39" t="s">
        <v>174</v>
      </c>
      <c r="D39" t="s">
        <v>175</v>
      </c>
      <c r="E39" s="9" t="s">
        <v>176</v>
      </c>
      <c r="F39" s="10" t="s">
        <v>177</v>
      </c>
      <c r="G39" t="s">
        <v>49</v>
      </c>
      <c r="I39" t="s">
        <v>102</v>
      </c>
    </row>
    <row r="40" spans="1:9" ht="43.5" x14ac:dyDescent="0.35">
      <c r="A40" t="s">
        <v>32</v>
      </c>
      <c r="B40" t="s">
        <v>33</v>
      </c>
      <c r="C40" t="s">
        <v>178</v>
      </c>
      <c r="D40" t="s">
        <v>179</v>
      </c>
      <c r="E40" s="9" t="s">
        <v>180</v>
      </c>
      <c r="F40" s="10" t="s">
        <v>181</v>
      </c>
      <c r="G40" t="s">
        <v>49</v>
      </c>
      <c r="I40" t="s">
        <v>102</v>
      </c>
    </row>
    <row r="41" spans="1:9" ht="43.5" x14ac:dyDescent="0.35">
      <c r="A41" t="s">
        <v>32</v>
      </c>
      <c r="B41" t="s">
        <v>33</v>
      </c>
      <c r="C41" t="s">
        <v>182</v>
      </c>
      <c r="D41" t="s">
        <v>183</v>
      </c>
      <c r="E41" s="9" t="s">
        <v>184</v>
      </c>
      <c r="F41" s="10" t="s">
        <v>185</v>
      </c>
      <c r="G41" t="s">
        <v>186</v>
      </c>
      <c r="I41" t="s">
        <v>102</v>
      </c>
    </row>
    <row r="42" spans="1:9" x14ac:dyDescent="0.35">
      <c r="A42" t="s">
        <v>32</v>
      </c>
      <c r="B42" t="s">
        <v>33</v>
      </c>
      <c r="C42" t="s">
        <v>187</v>
      </c>
      <c r="D42" t="s">
        <v>188</v>
      </c>
      <c r="E42" s="9" t="s">
        <v>189</v>
      </c>
      <c r="F42" s="5" t="s">
        <v>190</v>
      </c>
      <c r="G42" t="s">
        <v>191</v>
      </c>
      <c r="I42" t="s">
        <v>26</v>
      </c>
    </row>
    <row r="43" spans="1:9" ht="43.5" x14ac:dyDescent="0.35">
      <c r="A43" t="s">
        <v>192</v>
      </c>
      <c r="B43" t="s">
        <v>192</v>
      </c>
      <c r="C43" t="s">
        <v>193</v>
      </c>
      <c r="D43" t="s">
        <v>194</v>
      </c>
      <c r="E43" s="9" t="s">
        <v>195</v>
      </c>
      <c r="F43" s="5" t="s">
        <v>196</v>
      </c>
      <c r="G43" t="s">
        <v>49</v>
      </c>
      <c r="I43" t="s">
        <v>102</v>
      </c>
    </row>
    <row r="44" spans="1:9" ht="29" x14ac:dyDescent="0.35">
      <c r="A44" t="s">
        <v>192</v>
      </c>
      <c r="B44" t="s">
        <v>192</v>
      </c>
      <c r="C44" t="s">
        <v>197</v>
      </c>
      <c r="D44" t="s">
        <v>198</v>
      </c>
      <c r="E44" s="9" t="s">
        <v>199</v>
      </c>
      <c r="F44" s="5" t="s">
        <v>200</v>
      </c>
      <c r="G44" t="s">
        <v>49</v>
      </c>
      <c r="I44" t="s">
        <v>102</v>
      </c>
    </row>
    <row r="45" spans="1:9" x14ac:dyDescent="0.35">
      <c r="A45" t="s">
        <v>32</v>
      </c>
      <c r="B45" t="s">
        <v>11</v>
      </c>
      <c r="C45" t="s">
        <v>201</v>
      </c>
      <c r="D45" t="s">
        <v>202</v>
      </c>
      <c r="E45" s="9" t="s">
        <v>201</v>
      </c>
      <c r="F45" s="5" t="s">
        <v>203</v>
      </c>
      <c r="G45" t="s">
        <v>123</v>
      </c>
      <c r="I45" t="s">
        <v>204</v>
      </c>
    </row>
    <row r="46" spans="1:9" x14ac:dyDescent="0.35">
      <c r="A46" t="s">
        <v>32</v>
      </c>
      <c r="B46" t="s">
        <v>11</v>
      </c>
      <c r="C46" t="s">
        <v>205</v>
      </c>
      <c r="D46" t="s">
        <v>206</v>
      </c>
      <c r="E46" s="9" t="s">
        <v>205</v>
      </c>
      <c r="F46" s="5" t="s">
        <v>207</v>
      </c>
      <c r="G46" t="s">
        <v>49</v>
      </c>
      <c r="I46" t="s">
        <v>204</v>
      </c>
    </row>
    <row r="47" spans="1:9" x14ac:dyDescent="0.35">
      <c r="A47" t="s">
        <v>32</v>
      </c>
      <c r="B47" t="s">
        <v>11</v>
      </c>
      <c r="C47" t="s">
        <v>208</v>
      </c>
      <c r="D47" t="s">
        <v>209</v>
      </c>
      <c r="E47" s="9" t="s">
        <v>208</v>
      </c>
      <c r="F47" s="5" t="s">
        <v>210</v>
      </c>
      <c r="G47" t="s">
        <v>45</v>
      </c>
      <c r="I47" t="s">
        <v>204</v>
      </c>
    </row>
  </sheetData>
  <autoFilter ref="A1:J47" xr:uid="{56B52910-4EED-4D60-8D9B-B65B1D08B70A}"/>
  <hyperlinks>
    <hyperlink ref="E8" r:id="rId1" display="https://www.sec.gov/files/form24f-2-legacy.pdf" xr:uid="{4291225F-DDBA-4711-97DA-2ECA9633FB65}"/>
    <hyperlink ref="E9" r:id="rId2" display="https://www.sec.gov/files/formn-14.pdf" xr:uid="{958A67DE-A832-4279-BE01-59736C2E3D3E}"/>
    <hyperlink ref="E10" r:id="rId3" display="https://www.sec.gov/files/formn-17d-1.pdf" xr:uid="{778761C2-7884-4A88-9CA6-9AA9E012CE0F}"/>
    <hyperlink ref="E11" r:id="rId4" display="https://www.sec.gov/files/formn-17f-1.pdf" xr:uid="{407F81E4-AF8C-45F5-9FF0-8C043D58011B}"/>
    <hyperlink ref="E12" r:id="rId5" display="https://www.sec.gov/files/formn-17f-2.pdf" xr:uid="{58A10BA4-8EE4-41F4-842C-67DF6938C5FA}"/>
    <hyperlink ref="E13" r:id="rId6" display="https://www.sec.gov/files/formn-18f-1.pdf" xr:uid="{10DBC6BD-9DDB-4F46-B171-19978345B268}"/>
    <hyperlink ref="E14" r:id="rId7" display="https://www.sec.gov/files/form-n-1a.pdf" xr:uid="{6E4C6E96-9008-46D8-8C96-C8A05D493350}"/>
    <hyperlink ref="E15" r:id="rId8" display="https://www.sec.gov/files/formn-2.pdf" xr:uid="{DCFC7774-6E21-4F25-8E35-8E01C950C99C}"/>
    <hyperlink ref="E16" r:id="rId9" display="https://www.sec.gov/files/formn-23c-3.pdf" xr:uid="{BA2ACB19-C517-4E8C-9EC3-BD928957A47F}"/>
    <hyperlink ref="E17" r:id="rId10" display="https://www.sec.gov/files/formn-27d-1.pdf" xr:uid="{1A582FDA-62B3-44ED-9056-409A52C1AB97}"/>
    <hyperlink ref="E18" r:id="rId11" display="https://www.sec.gov/files/formn-3.pdf" xr:uid="{BA96B536-3075-432C-ABBB-CAAD0F147766}"/>
    <hyperlink ref="E19" r:id="rId12" display="https://www.sec.gov/files/formn-4.pdf" xr:uid="{1108923F-25D6-43B4-AAEA-FA04E63DB520}"/>
    <hyperlink ref="E20" r:id="rId13" display="https://www.sec.gov/files/formn-4-legacy.pdf" xr:uid="{5C962E3C-C91D-4723-A4A3-AC24613C201B}"/>
    <hyperlink ref="E21" r:id="rId14" display="https://www.sec.gov/files/formn-54a.pdf" xr:uid="{EE1D89D7-4E74-4F72-B64A-0ADE219F43BA}"/>
    <hyperlink ref="E22" r:id="rId15" display="https://www.sec.gov/files/formn-54c.pdf" xr:uid="{9E4BBABF-0D06-45E7-979E-0D224AF9002C}"/>
    <hyperlink ref="E23" r:id="rId16" display="https://www.sec.gov/files/formn-6.pdf" xr:uid="{1FFF6936-9E02-4195-ADA9-7E6E4ADA3824}"/>
    <hyperlink ref="E24" r:id="rId17" display="https://www.sec.gov/files/form-n-6ei-1.pdf" xr:uid="{ACEA53CB-6275-49CB-A736-F870A98BA16F}"/>
    <hyperlink ref="E25" r:id="rId18" display="https://www.sec.gov/files/formn-6f.pdf" xr:uid="{13463BF5-250E-4EEB-BA12-5074B62256FA}"/>
    <hyperlink ref="E26" r:id="rId19" display="https://www.sec.gov/files/formn-8a.pdf" xr:uid="{92A945B9-72AE-451F-B4B6-D66CC064192F}"/>
    <hyperlink ref="E27" r:id="rId20" display="https://www.sec.gov/files/formn-8b-2.pdf" xr:uid="{538057CC-2058-4A5A-B676-9736F9B03136}"/>
    <hyperlink ref="E28" r:id="rId21" display="https://www.sec.gov/files/formn-8b-4.pdf" xr:uid="{CBA31F4F-0789-4C90-9CF0-2F329900D011}"/>
    <hyperlink ref="E29" r:id="rId22" display="https://www.sec.gov/files/formn-8f.pdf" xr:uid="{CDEA7DAB-597B-4DE6-8A6C-48661E1756C0}"/>
    <hyperlink ref="E30" r:id="rId23" display="https://www.sec.gov/files/formn-cen.pdf" xr:uid="{6DEB967F-D137-4539-91E5-284B06885291}"/>
    <hyperlink ref="E31" r:id="rId24" display="https://www.sec.gov/files/formn-cr.PDF" xr:uid="{B570FDDE-05D2-4FA1-B234-9540E951D037}"/>
    <hyperlink ref="E32" r:id="rId25" display="https://www.sec.gov/files/formn-csr.pdf" xr:uid="{575BE1B9-5056-4897-9A3B-A029270D42BC}"/>
    <hyperlink ref="E33" r:id="rId26" display="https://www.sec.gov/files/formn-mfp.pdf" xr:uid="{2D40A45A-F409-44CE-B734-B285924ABFAB}"/>
    <hyperlink ref="E34" r:id="rId27" display="https://www.sec.gov/files/formn-port.pdf" xr:uid="{CB5815C1-66CD-480F-95F4-C15E94B1A65C}"/>
    <hyperlink ref="E35" r:id="rId28" display="https://www.sec.gov/files/formnpx.pdf" xr:uid="{7599ECCF-5273-488E-8888-717574B08B5A}"/>
    <hyperlink ref="E36" r:id="rId29" display="https://www.sec.gov/files/formn-rn.pdf" xr:uid="{EC028BBB-DD6E-432F-8530-A2650516967A}"/>
    <hyperlink ref="E37" r:id="rId30" display="https://www.sec.gov/files/formadv.pdf" xr:uid="{B67999F1-8875-4A60-A05A-C8D675B25D54}"/>
    <hyperlink ref="E38" r:id="rId31" display="https://www.sec.gov/files/formadv-e.pdf" xr:uid="{4F38AD0B-A17D-4F34-9DEA-76479DB6CF03}"/>
    <hyperlink ref="E39" r:id="rId32" display="https://www.sec.gov/files/formadv-h.pdf" xr:uid="{0B42C2E2-B492-41AE-8679-954FC1552A62}"/>
    <hyperlink ref="E40" r:id="rId33" display="https://www.sec.gov/files/formadv-nr.pdf" xr:uid="{8E4702AB-C465-4956-8DC5-EAF45AE2FC15}"/>
    <hyperlink ref="E41" r:id="rId34" display="https://www.sec.gov/files/formadv-w.pdf" xr:uid="{66F499FB-B0F2-48C1-B8F7-306901E4466C}"/>
    <hyperlink ref="E42" r:id="rId35" display="https://www.sec.gov/files/formpf.pdf" xr:uid="{E4C6F40C-3FC0-482E-8EB5-58B65E241286}"/>
    <hyperlink ref="E43" r:id="rId36" display="https://www.sec.gov/files/formmsd.pdf" xr:uid="{18EA4228-22D0-45AA-825E-BF8A6F7ECB7C}"/>
    <hyperlink ref="E44" r:id="rId37" display="https://www.sec.gov/files/formmsdw.pdf" xr:uid="{B54FE628-8CB3-44FE-9C08-F633E10F6955}"/>
    <hyperlink ref="E7" r:id="rId38" display="https://www.sec.gov/files/form24f-2.pdf" xr:uid="{83B391D2-1279-4E7D-84AF-1086FD501850}"/>
    <hyperlink ref="E6" r:id="rId39" display="https://www.sec.gov/files/formcrs.pdf" xr:uid="{5811677D-F9A7-4991-ADAD-3EC2C3B3F944}"/>
    <hyperlink ref="E3" r:id="rId40" display="https://www.sec.gov/files/form13f.pdf" xr:uid="{8A8659B8-6C92-4CE7-9600-CD28706E3262}"/>
    <hyperlink ref="E45" r:id="rId41" display="https://www.sec.gov/files/form3data.pdf" xr:uid="{00E6DFDA-D176-4755-BFFE-5B6D2EF85E86}"/>
    <hyperlink ref="E46" r:id="rId42" display="https://www.sec.gov/about/forms/form4data.pdf" xr:uid="{F38251F9-BE6F-4537-92D7-5484B26A537B}"/>
    <hyperlink ref="E47" r:id="rId43" display="https://www.sec.gov/about/forms/form5data.pdf" xr:uid="{FA50BB41-1B37-4F45-BE09-830C2071F4F1}"/>
    <hyperlink ref="E2" r:id="rId44" display="https://www.securexfilings.com/wp-content/uploads/2013/04/sched13d.pdf" xr:uid="{158C3F72-C985-4DE0-B058-AA7D4B7D5801}"/>
    <hyperlink ref="E4" r:id="rId45" display="https://rdgfilings.com/wp-content/themes/rdg/doc/Sc13g.pdf" xr:uid="{557E5B28-8ADE-4127-8FA8-740C85E21317}"/>
    <hyperlink ref="E5" r:id="rId46" display="https://www.sec.gov/files/form13h.pdf" xr:uid="{D87F564F-F8F4-4D01-B38A-A1CCEFFE5F89}"/>
  </hyperlinks>
  <pageMargins left="0.7" right="0.7" top="0.75" bottom="0.75" header="0.3" footer="0.3"/>
  <pageSetup orientation="portrait" r:id="rId47"/>
  <legacyDrawing r:id="rId4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A0BB-16D6-4C08-B799-EACEF0A39A16}">
  <sheetPr filterMode="1">
    <tabColor theme="5" tint="0.59999389629810485"/>
  </sheetPr>
  <dimension ref="A1:P2542"/>
  <sheetViews>
    <sheetView zoomScale="62" zoomScaleNormal="62" workbookViewId="0">
      <pane ySplit="1" topLeftCell="A1460" activePane="bottomLeft" state="frozen"/>
      <selection pane="bottomLeft" activeCell="C2275" sqref="C2275"/>
    </sheetView>
  </sheetViews>
  <sheetFormatPr defaultRowHeight="14.5" x14ac:dyDescent="0.35"/>
  <cols>
    <col min="1" max="1" width="18.453125" customWidth="1"/>
    <col min="2" max="5" width="29.1796875" customWidth="1"/>
    <col min="6" max="6" width="37.54296875" customWidth="1"/>
    <col min="7" max="7" width="24.26953125" customWidth="1"/>
    <col min="8" max="8" width="24.1796875" customWidth="1"/>
    <col min="9" max="9" width="27" customWidth="1"/>
    <col min="10" max="10" width="72.26953125" customWidth="1"/>
    <col min="11" max="11" width="0.1796875" customWidth="1"/>
    <col min="12" max="12" width="28.1796875" customWidth="1"/>
    <col min="13" max="13" width="50.453125" customWidth="1"/>
    <col min="14" max="14" width="8.7265625" hidden="1" customWidth="1"/>
    <col min="15" max="15" width="30" hidden="1" customWidth="1"/>
    <col min="16" max="16" width="65.7265625" style="18" customWidth="1"/>
  </cols>
  <sheetData>
    <row r="1" spans="1:16" ht="40.5" customHeight="1" x14ac:dyDescent="0.35">
      <c r="A1" s="1" t="s">
        <v>211</v>
      </c>
      <c r="B1" s="1" t="s">
        <v>8</v>
      </c>
      <c r="C1" s="1" t="s">
        <v>212</v>
      </c>
      <c r="D1" s="1" t="s">
        <v>213</v>
      </c>
      <c r="E1" s="1" t="s">
        <v>214</v>
      </c>
      <c r="F1" s="1" t="s">
        <v>215</v>
      </c>
      <c r="G1" s="1" t="s">
        <v>216</v>
      </c>
      <c r="H1" s="1" t="s">
        <v>217</v>
      </c>
      <c r="I1" s="1" t="s">
        <v>218</v>
      </c>
      <c r="J1" s="1" t="s">
        <v>219</v>
      </c>
      <c r="K1" s="2" t="s">
        <v>220</v>
      </c>
      <c r="L1" s="1" t="s">
        <v>221</v>
      </c>
      <c r="M1" s="1" t="s">
        <v>222</v>
      </c>
      <c r="N1" s="1" t="s">
        <v>223</v>
      </c>
      <c r="O1" s="1" t="s">
        <v>224</v>
      </c>
      <c r="P1" s="1" t="s">
        <v>225</v>
      </c>
    </row>
    <row r="2" spans="1:16" hidden="1" x14ac:dyDescent="0.35">
      <c r="A2" s="3"/>
      <c r="B2" s="3"/>
      <c r="C2" s="3"/>
      <c r="D2" s="3"/>
      <c r="E2" s="3"/>
      <c r="F2" s="3"/>
      <c r="G2" s="3"/>
      <c r="H2" s="3"/>
      <c r="I2" s="3"/>
      <c r="J2" s="3"/>
      <c r="K2" s="12"/>
      <c r="L2" s="3"/>
      <c r="M2" s="3"/>
      <c r="N2" s="3"/>
      <c r="O2" s="3"/>
      <c r="P2" s="3"/>
    </row>
    <row r="3" spans="1:16" ht="58" hidden="1" x14ac:dyDescent="0.35">
      <c r="A3" s="3" t="s">
        <v>226</v>
      </c>
      <c r="B3" t="s">
        <v>204</v>
      </c>
      <c r="F3" s="3">
        <v>1</v>
      </c>
      <c r="G3" s="3" t="s">
        <v>227</v>
      </c>
      <c r="H3" s="3"/>
      <c r="I3" s="3"/>
      <c r="J3" s="3" t="s">
        <v>228</v>
      </c>
      <c r="K3" s="3" t="s">
        <v>229</v>
      </c>
      <c r="L3" s="3" t="s">
        <v>230</v>
      </c>
      <c r="M3" s="3" t="s">
        <v>231</v>
      </c>
      <c r="P3"/>
    </row>
    <row r="4" spans="1:16" ht="58" hidden="1" x14ac:dyDescent="0.35">
      <c r="A4" s="3" t="s">
        <v>226</v>
      </c>
      <c r="B4" t="s">
        <v>204</v>
      </c>
      <c r="F4" s="3">
        <v>1</v>
      </c>
      <c r="G4" s="3" t="s">
        <v>227</v>
      </c>
      <c r="H4" s="3"/>
      <c r="I4" s="3"/>
      <c r="J4" s="3" t="s">
        <v>232</v>
      </c>
      <c r="K4" s="3" t="s">
        <v>229</v>
      </c>
      <c r="L4" s="3" t="s">
        <v>233</v>
      </c>
      <c r="M4" s="3" t="s">
        <v>234</v>
      </c>
      <c r="P4"/>
    </row>
    <row r="5" spans="1:16" ht="290" hidden="1" x14ac:dyDescent="0.35">
      <c r="A5" s="3" t="s">
        <v>226</v>
      </c>
      <c r="B5" t="s">
        <v>204</v>
      </c>
      <c r="F5" s="3">
        <v>2</v>
      </c>
      <c r="G5" s="3" t="s">
        <v>235</v>
      </c>
      <c r="H5" s="3"/>
      <c r="I5" s="3"/>
      <c r="J5" s="3" t="s">
        <v>236</v>
      </c>
      <c r="K5" s="3" t="s">
        <v>237</v>
      </c>
      <c r="L5" s="3" t="s">
        <v>235</v>
      </c>
      <c r="M5" s="3" t="s">
        <v>238</v>
      </c>
      <c r="P5"/>
    </row>
    <row r="6" spans="1:16" ht="87" hidden="1" x14ac:dyDescent="0.35">
      <c r="A6" s="3" t="s">
        <v>226</v>
      </c>
      <c r="B6" t="s">
        <v>204</v>
      </c>
      <c r="F6" s="3">
        <v>3</v>
      </c>
      <c r="G6" s="3" t="s">
        <v>239</v>
      </c>
      <c r="H6" s="3"/>
      <c r="I6" s="3"/>
      <c r="J6" s="3" t="s">
        <v>240</v>
      </c>
      <c r="K6" s="3" t="s">
        <v>241</v>
      </c>
      <c r="L6" s="3" t="s">
        <v>242</v>
      </c>
      <c r="M6" s="3" t="s">
        <v>243</v>
      </c>
      <c r="P6"/>
    </row>
    <row r="7" spans="1:16" ht="87" hidden="1" x14ac:dyDescent="0.35">
      <c r="A7" s="3" t="s">
        <v>226</v>
      </c>
      <c r="B7" t="s">
        <v>204</v>
      </c>
      <c r="F7" s="3">
        <v>3</v>
      </c>
      <c r="G7" s="3" t="s">
        <v>239</v>
      </c>
      <c r="H7" s="3"/>
      <c r="I7" s="3"/>
      <c r="J7" s="3" t="s">
        <v>244</v>
      </c>
      <c r="K7" s="3" t="s">
        <v>241</v>
      </c>
      <c r="L7" s="3" t="s">
        <v>242</v>
      </c>
      <c r="M7" s="3" t="s">
        <v>243</v>
      </c>
      <c r="P7"/>
    </row>
    <row r="8" spans="1:16" ht="58" hidden="1" x14ac:dyDescent="0.35">
      <c r="A8" s="3" t="s">
        <v>226</v>
      </c>
      <c r="B8" t="s">
        <v>204</v>
      </c>
      <c r="F8" s="3">
        <v>4</v>
      </c>
      <c r="G8" s="3" t="s">
        <v>245</v>
      </c>
      <c r="H8" s="3" t="s">
        <v>246</v>
      </c>
      <c r="I8" s="3"/>
      <c r="J8" s="3" t="s">
        <v>247</v>
      </c>
      <c r="K8" s="3" t="s">
        <v>248</v>
      </c>
      <c r="L8" s="3" t="s">
        <v>249</v>
      </c>
      <c r="M8" s="3" t="s">
        <v>250</v>
      </c>
      <c r="P8"/>
    </row>
    <row r="9" spans="1:16" ht="116" hidden="1" x14ac:dyDescent="0.35">
      <c r="A9" s="3" t="s">
        <v>226</v>
      </c>
      <c r="B9" t="s">
        <v>204</v>
      </c>
      <c r="F9" s="3">
        <v>4</v>
      </c>
      <c r="G9" s="3" t="s">
        <v>245</v>
      </c>
      <c r="H9" s="3" t="s">
        <v>251</v>
      </c>
      <c r="I9" s="3"/>
      <c r="J9" s="3" t="s">
        <v>252</v>
      </c>
      <c r="K9" s="3" t="s">
        <v>253</v>
      </c>
      <c r="L9" s="3" t="s">
        <v>254</v>
      </c>
      <c r="M9" s="3" t="s">
        <v>255</v>
      </c>
      <c r="P9"/>
    </row>
    <row r="10" spans="1:16" ht="116" hidden="1" x14ac:dyDescent="0.35">
      <c r="A10" s="3" t="s">
        <v>226</v>
      </c>
      <c r="B10" t="s">
        <v>204</v>
      </c>
      <c r="F10" s="3">
        <v>4</v>
      </c>
      <c r="G10" s="3" t="s">
        <v>245</v>
      </c>
      <c r="H10" s="3" t="s">
        <v>256</v>
      </c>
      <c r="I10" s="3"/>
      <c r="J10" s="3" t="s">
        <v>257</v>
      </c>
      <c r="K10" s="3" t="s">
        <v>253</v>
      </c>
      <c r="L10" s="3" t="s">
        <v>258</v>
      </c>
      <c r="M10" s="3" t="s">
        <v>259</v>
      </c>
      <c r="P10"/>
    </row>
    <row r="11" spans="1:16" ht="116" hidden="1" x14ac:dyDescent="0.35">
      <c r="A11" s="3" t="s">
        <v>226</v>
      </c>
      <c r="B11" t="s">
        <v>204</v>
      </c>
      <c r="F11" s="3">
        <v>5</v>
      </c>
      <c r="G11" s="3" t="s">
        <v>260</v>
      </c>
      <c r="H11" s="3" t="s">
        <v>261</v>
      </c>
      <c r="I11" s="3"/>
      <c r="J11" s="3" t="s">
        <v>262</v>
      </c>
      <c r="K11" s="3" t="s">
        <v>263</v>
      </c>
      <c r="L11" s="3" t="s">
        <v>264</v>
      </c>
      <c r="M11" s="3" t="s">
        <v>265</v>
      </c>
      <c r="P11"/>
    </row>
    <row r="12" spans="1:16" ht="116" hidden="1" x14ac:dyDescent="0.35">
      <c r="A12" s="3" t="s">
        <v>226</v>
      </c>
      <c r="B12" t="s">
        <v>204</v>
      </c>
      <c r="F12" s="3">
        <v>5</v>
      </c>
      <c r="G12" s="3" t="s">
        <v>260</v>
      </c>
      <c r="H12" s="3" t="s">
        <v>266</v>
      </c>
      <c r="I12" s="3"/>
      <c r="J12" s="3" t="s">
        <v>267</v>
      </c>
      <c r="K12" s="3" t="s">
        <v>263</v>
      </c>
      <c r="L12" s="3" t="s">
        <v>268</v>
      </c>
      <c r="M12" s="3" t="s">
        <v>269</v>
      </c>
      <c r="P12"/>
    </row>
    <row r="13" spans="1:16" ht="116" hidden="1" x14ac:dyDescent="0.35">
      <c r="A13" s="3" t="s">
        <v>226</v>
      </c>
      <c r="B13" t="s">
        <v>204</v>
      </c>
      <c r="F13" s="3">
        <v>5</v>
      </c>
      <c r="G13" s="3" t="s">
        <v>270</v>
      </c>
      <c r="H13" s="3" t="s">
        <v>271</v>
      </c>
      <c r="I13" s="3"/>
      <c r="J13" s="3" t="s">
        <v>272</v>
      </c>
      <c r="K13" s="3" t="s">
        <v>263</v>
      </c>
      <c r="L13" s="3" t="s">
        <v>273</v>
      </c>
      <c r="M13" s="3" t="s">
        <v>274</v>
      </c>
      <c r="P13"/>
    </row>
    <row r="14" spans="1:16" ht="116" hidden="1" x14ac:dyDescent="0.35">
      <c r="A14" s="3" t="s">
        <v>226</v>
      </c>
      <c r="B14" t="s">
        <v>204</v>
      </c>
      <c r="F14" s="3">
        <v>5</v>
      </c>
      <c r="G14" s="3" t="s">
        <v>270</v>
      </c>
      <c r="H14" s="3" t="s">
        <v>275</v>
      </c>
      <c r="I14" s="3"/>
      <c r="J14" s="3" t="s">
        <v>276</v>
      </c>
      <c r="K14" s="3" t="s">
        <v>263</v>
      </c>
      <c r="L14" s="3" t="s">
        <v>277</v>
      </c>
      <c r="M14" s="3" t="s">
        <v>278</v>
      </c>
      <c r="P14"/>
    </row>
    <row r="15" spans="1:16" ht="116" hidden="1" x14ac:dyDescent="0.35">
      <c r="A15" s="3" t="s">
        <v>226</v>
      </c>
      <c r="B15" t="s">
        <v>204</v>
      </c>
      <c r="F15" s="3">
        <v>5</v>
      </c>
      <c r="G15" s="3" t="s">
        <v>270</v>
      </c>
      <c r="H15" s="3" t="s">
        <v>279</v>
      </c>
      <c r="I15" s="3"/>
      <c r="J15" s="3" t="s">
        <v>280</v>
      </c>
      <c r="K15" s="3" t="s">
        <v>263</v>
      </c>
      <c r="L15" s="3" t="s">
        <v>281</v>
      </c>
      <c r="M15" s="3" t="s">
        <v>282</v>
      </c>
      <c r="P15"/>
    </row>
    <row r="16" spans="1:16" ht="116" hidden="1" x14ac:dyDescent="0.35">
      <c r="A16" s="3" t="s">
        <v>226</v>
      </c>
      <c r="B16" t="s">
        <v>204</v>
      </c>
      <c r="F16" s="3">
        <v>5</v>
      </c>
      <c r="G16" s="3" t="s">
        <v>270</v>
      </c>
      <c r="H16" s="3" t="s">
        <v>283</v>
      </c>
      <c r="I16" s="3"/>
      <c r="J16" s="3" t="s">
        <v>284</v>
      </c>
      <c r="K16" s="3" t="s">
        <v>263</v>
      </c>
      <c r="L16" s="3" t="s">
        <v>285</v>
      </c>
      <c r="M16" s="3" t="s">
        <v>286</v>
      </c>
      <c r="P16"/>
    </row>
    <row r="17" spans="1:13" customFormat="1" ht="87" hidden="1" x14ac:dyDescent="0.35">
      <c r="A17" s="3" t="s">
        <v>226</v>
      </c>
      <c r="B17" t="s">
        <v>204</v>
      </c>
      <c r="F17" s="3">
        <v>5</v>
      </c>
      <c r="G17" s="3" t="s">
        <v>270</v>
      </c>
      <c r="H17" s="3" t="s">
        <v>287</v>
      </c>
      <c r="I17" s="3"/>
      <c r="J17" s="3" t="s">
        <v>288</v>
      </c>
      <c r="K17" s="3" t="s">
        <v>241</v>
      </c>
      <c r="L17" s="3" t="s">
        <v>289</v>
      </c>
      <c r="M17" s="3" t="s">
        <v>290</v>
      </c>
    </row>
    <row r="18" spans="1:13" customFormat="1" ht="116" hidden="1" x14ac:dyDescent="0.35">
      <c r="A18" s="3" t="s">
        <v>226</v>
      </c>
      <c r="B18" t="s">
        <v>204</v>
      </c>
      <c r="F18" s="3">
        <v>5</v>
      </c>
      <c r="G18" s="3" t="s">
        <v>270</v>
      </c>
      <c r="H18" s="3" t="s">
        <v>291</v>
      </c>
      <c r="I18" s="3"/>
      <c r="J18" s="3" t="s">
        <v>292</v>
      </c>
      <c r="K18" s="3" t="s">
        <v>263</v>
      </c>
      <c r="L18" s="3" t="s">
        <v>293</v>
      </c>
      <c r="M18" s="3" t="s">
        <v>294</v>
      </c>
    </row>
    <row r="19" spans="1:13" customFormat="1" ht="116" hidden="1" x14ac:dyDescent="0.35">
      <c r="A19" s="3" t="s">
        <v>226</v>
      </c>
      <c r="B19" t="s">
        <v>204</v>
      </c>
      <c r="F19" s="3">
        <v>6</v>
      </c>
      <c r="G19" s="3" t="s">
        <v>295</v>
      </c>
      <c r="H19" s="3" t="s">
        <v>13</v>
      </c>
      <c r="I19" s="3"/>
      <c r="J19" s="3" t="s">
        <v>296</v>
      </c>
      <c r="K19" s="3" t="s">
        <v>263</v>
      </c>
      <c r="L19" s="3" t="s">
        <v>295</v>
      </c>
      <c r="M19" s="3" t="s">
        <v>297</v>
      </c>
    </row>
    <row r="20" spans="1:13" customFormat="1" ht="116" hidden="1" x14ac:dyDescent="0.35">
      <c r="A20" s="3" t="s">
        <v>226</v>
      </c>
      <c r="B20" t="s">
        <v>204</v>
      </c>
      <c r="F20" s="3">
        <v>7</v>
      </c>
      <c r="G20" s="3" t="s">
        <v>298</v>
      </c>
      <c r="H20" s="3" t="s">
        <v>13</v>
      </c>
      <c r="I20" s="3"/>
      <c r="J20" s="3" t="s">
        <v>299</v>
      </c>
      <c r="K20" s="3" t="s">
        <v>263</v>
      </c>
      <c r="L20" s="3" t="s">
        <v>300</v>
      </c>
      <c r="M20" s="3" t="s">
        <v>301</v>
      </c>
    </row>
    <row r="21" spans="1:13" customFormat="1" ht="58" hidden="1" x14ac:dyDescent="0.35">
      <c r="A21" s="3" t="s">
        <v>226</v>
      </c>
      <c r="B21" t="s">
        <v>204</v>
      </c>
      <c r="F21" s="3">
        <v>8</v>
      </c>
      <c r="G21" s="3" t="s">
        <v>302</v>
      </c>
      <c r="H21" s="3" t="s">
        <v>13</v>
      </c>
      <c r="I21" s="3"/>
      <c r="J21" s="3" t="s">
        <v>303</v>
      </c>
      <c r="K21" s="3" t="s">
        <v>229</v>
      </c>
      <c r="L21" s="3" t="s">
        <v>302</v>
      </c>
      <c r="M21" s="3" t="s">
        <v>304</v>
      </c>
    </row>
    <row r="22" spans="1:13" customFormat="1" ht="58" hidden="1" x14ac:dyDescent="0.35">
      <c r="A22" s="3" t="s">
        <v>226</v>
      </c>
      <c r="B22" t="s">
        <v>204</v>
      </c>
      <c r="F22" s="3" t="s">
        <v>305</v>
      </c>
      <c r="G22" s="3" t="s">
        <v>306</v>
      </c>
      <c r="H22" s="3" t="s">
        <v>307</v>
      </c>
      <c r="I22" s="3"/>
      <c r="J22" s="3" t="s">
        <v>308</v>
      </c>
      <c r="K22" s="3" t="s">
        <v>229</v>
      </c>
      <c r="L22" s="3" t="s">
        <v>309</v>
      </c>
      <c r="M22" s="3" t="s">
        <v>310</v>
      </c>
    </row>
    <row r="23" spans="1:13" customFormat="1" ht="130.5" hidden="1" x14ac:dyDescent="0.35">
      <c r="A23" s="3" t="s">
        <v>226</v>
      </c>
      <c r="B23" t="s">
        <v>204</v>
      </c>
      <c r="F23" s="3" t="s">
        <v>311</v>
      </c>
      <c r="G23" s="3" t="s">
        <v>312</v>
      </c>
      <c r="H23" s="3"/>
      <c r="I23" s="3"/>
      <c r="J23" s="3" t="s">
        <v>313</v>
      </c>
      <c r="K23" s="3" t="s">
        <v>314</v>
      </c>
      <c r="L23" s="3" t="s">
        <v>235</v>
      </c>
      <c r="M23" s="3" t="s">
        <v>238</v>
      </c>
    </row>
    <row r="24" spans="1:13" customFormat="1" ht="130.5" hidden="1" x14ac:dyDescent="0.35">
      <c r="A24" s="3" t="s">
        <v>226</v>
      </c>
      <c r="B24" t="s">
        <v>204</v>
      </c>
      <c r="F24" s="3" t="s">
        <v>315</v>
      </c>
      <c r="G24" s="3" t="s">
        <v>239</v>
      </c>
      <c r="H24" s="3"/>
      <c r="I24" s="3"/>
      <c r="J24" s="3" t="s">
        <v>316</v>
      </c>
      <c r="K24" s="3" t="s">
        <v>314</v>
      </c>
      <c r="L24" s="3" t="s">
        <v>242</v>
      </c>
      <c r="M24" s="3" t="s">
        <v>243</v>
      </c>
    </row>
    <row r="25" spans="1:13" customFormat="1" ht="58" hidden="1" x14ac:dyDescent="0.35">
      <c r="A25" s="3" t="s">
        <v>226</v>
      </c>
      <c r="B25" t="s">
        <v>204</v>
      </c>
      <c r="F25" s="3" t="s">
        <v>317</v>
      </c>
      <c r="G25" s="3" t="s">
        <v>245</v>
      </c>
      <c r="H25" s="3" t="s">
        <v>246</v>
      </c>
      <c r="I25" s="3"/>
      <c r="J25" s="3" t="s">
        <v>318</v>
      </c>
      <c r="K25" s="3" t="s">
        <v>248</v>
      </c>
      <c r="L25" s="3" t="s">
        <v>249</v>
      </c>
      <c r="M25" s="3" t="s">
        <v>250</v>
      </c>
    </row>
    <row r="26" spans="1:13" customFormat="1" ht="116" hidden="1" x14ac:dyDescent="0.35">
      <c r="A26" s="3" t="s">
        <v>226</v>
      </c>
      <c r="B26" t="s">
        <v>204</v>
      </c>
      <c r="F26" s="3" t="s">
        <v>317</v>
      </c>
      <c r="G26" s="3" t="s">
        <v>245</v>
      </c>
      <c r="H26" s="3" t="s">
        <v>251</v>
      </c>
      <c r="I26" s="3"/>
      <c r="J26" s="3" t="s">
        <v>319</v>
      </c>
      <c r="K26" s="3" t="s">
        <v>253</v>
      </c>
      <c r="L26" s="3" t="s">
        <v>254</v>
      </c>
      <c r="M26" s="3" t="s">
        <v>320</v>
      </c>
    </row>
    <row r="27" spans="1:13" customFormat="1" ht="116" hidden="1" x14ac:dyDescent="0.35">
      <c r="A27" s="3" t="s">
        <v>226</v>
      </c>
      <c r="B27" t="s">
        <v>204</v>
      </c>
      <c r="F27" s="3" t="s">
        <v>317</v>
      </c>
      <c r="G27" s="3" t="s">
        <v>245</v>
      </c>
      <c r="H27" s="3" t="s">
        <v>256</v>
      </c>
      <c r="I27" s="3"/>
      <c r="J27" s="3" t="s">
        <v>321</v>
      </c>
      <c r="K27" s="3" t="s">
        <v>253</v>
      </c>
      <c r="L27" s="3" t="s">
        <v>258</v>
      </c>
      <c r="M27" s="3" t="s">
        <v>322</v>
      </c>
    </row>
    <row r="28" spans="1:13" customFormat="1" ht="116" hidden="1" x14ac:dyDescent="0.35">
      <c r="A28" s="3" t="s">
        <v>226</v>
      </c>
      <c r="B28" t="s">
        <v>204</v>
      </c>
      <c r="F28" s="3" t="s">
        <v>323</v>
      </c>
      <c r="G28" s="3" t="s">
        <v>270</v>
      </c>
      <c r="H28" s="3" t="s">
        <v>261</v>
      </c>
      <c r="I28" s="3"/>
      <c r="J28" s="3" t="s">
        <v>324</v>
      </c>
      <c r="K28" s="3" t="s">
        <v>263</v>
      </c>
      <c r="L28" s="3" t="s">
        <v>264</v>
      </c>
      <c r="M28" s="3" t="s">
        <v>265</v>
      </c>
    </row>
    <row r="29" spans="1:13" customFormat="1" ht="116" hidden="1" x14ac:dyDescent="0.35">
      <c r="A29" s="3" t="s">
        <v>226</v>
      </c>
      <c r="B29" t="s">
        <v>204</v>
      </c>
      <c r="F29" s="3" t="s">
        <v>323</v>
      </c>
      <c r="G29" s="3" t="s">
        <v>270</v>
      </c>
      <c r="H29" s="3" t="s">
        <v>266</v>
      </c>
      <c r="I29" s="3"/>
      <c r="J29" s="3" t="s">
        <v>325</v>
      </c>
      <c r="K29" s="3" t="s">
        <v>263</v>
      </c>
      <c r="L29" s="3" t="s">
        <v>268</v>
      </c>
      <c r="M29" s="3" t="s">
        <v>269</v>
      </c>
    </row>
    <row r="30" spans="1:13" customFormat="1" ht="116" hidden="1" x14ac:dyDescent="0.35">
      <c r="A30" s="3" t="s">
        <v>226</v>
      </c>
      <c r="B30" t="s">
        <v>204</v>
      </c>
      <c r="F30" s="3" t="s">
        <v>323</v>
      </c>
      <c r="G30" s="3" t="s">
        <v>270</v>
      </c>
      <c r="H30" s="3" t="s">
        <v>271</v>
      </c>
      <c r="I30" s="3"/>
      <c r="J30" s="3" t="s">
        <v>326</v>
      </c>
      <c r="K30" s="3" t="s">
        <v>263</v>
      </c>
      <c r="L30" s="3" t="s">
        <v>273</v>
      </c>
      <c r="M30" s="3" t="s">
        <v>274</v>
      </c>
    </row>
    <row r="31" spans="1:13" customFormat="1" ht="116" hidden="1" x14ac:dyDescent="0.35">
      <c r="A31" s="3" t="s">
        <v>327</v>
      </c>
      <c r="B31" t="s">
        <v>204</v>
      </c>
      <c r="F31" s="3" t="s">
        <v>323</v>
      </c>
      <c r="G31" s="3" t="s">
        <v>270</v>
      </c>
      <c r="H31" s="3" t="s">
        <v>275</v>
      </c>
      <c r="I31" s="3"/>
      <c r="J31" s="3" t="s">
        <v>328</v>
      </c>
      <c r="K31" s="3" t="s">
        <v>263</v>
      </c>
      <c r="L31" s="3" t="s">
        <v>277</v>
      </c>
      <c r="M31" s="3" t="s">
        <v>278</v>
      </c>
    </row>
    <row r="32" spans="1:13" customFormat="1" ht="116" hidden="1" x14ac:dyDescent="0.35">
      <c r="A32" s="3" t="s">
        <v>327</v>
      </c>
      <c r="B32" t="s">
        <v>204</v>
      </c>
      <c r="F32" s="3" t="s">
        <v>323</v>
      </c>
      <c r="G32" s="3" t="s">
        <v>270</v>
      </c>
      <c r="H32" s="3" t="s">
        <v>279</v>
      </c>
      <c r="I32" s="3"/>
      <c r="J32" s="3" t="s">
        <v>329</v>
      </c>
      <c r="K32" s="3" t="s">
        <v>263</v>
      </c>
      <c r="L32" s="3" t="s">
        <v>281</v>
      </c>
      <c r="M32" s="3" t="s">
        <v>282</v>
      </c>
    </row>
    <row r="33" spans="1:13" customFormat="1" ht="116" hidden="1" x14ac:dyDescent="0.35">
      <c r="A33" s="3" t="s">
        <v>327</v>
      </c>
      <c r="B33" t="s">
        <v>204</v>
      </c>
      <c r="F33" s="3" t="s">
        <v>323</v>
      </c>
      <c r="G33" s="3" t="s">
        <v>270</v>
      </c>
      <c r="H33" s="3" t="s">
        <v>283</v>
      </c>
      <c r="I33" s="3"/>
      <c r="J33" s="3" t="s">
        <v>330</v>
      </c>
      <c r="K33" s="3" t="s">
        <v>263</v>
      </c>
      <c r="L33" s="3" t="s">
        <v>285</v>
      </c>
      <c r="M33" s="3" t="s">
        <v>286</v>
      </c>
    </row>
    <row r="34" spans="1:13" customFormat="1" ht="87" hidden="1" x14ac:dyDescent="0.35">
      <c r="A34" s="3" t="s">
        <v>327</v>
      </c>
      <c r="B34" t="s">
        <v>204</v>
      </c>
      <c r="F34" s="3" t="s">
        <v>323</v>
      </c>
      <c r="G34" s="3" t="s">
        <v>270</v>
      </c>
      <c r="H34" s="3" t="s">
        <v>287</v>
      </c>
      <c r="I34" s="3"/>
      <c r="J34" s="3" t="s">
        <v>331</v>
      </c>
      <c r="K34" s="3" t="s">
        <v>241</v>
      </c>
      <c r="L34" s="3" t="s">
        <v>289</v>
      </c>
      <c r="M34" s="3" t="s">
        <v>290</v>
      </c>
    </row>
    <row r="35" spans="1:13" customFormat="1" ht="116" hidden="1" x14ac:dyDescent="0.35">
      <c r="A35" s="3" t="s">
        <v>327</v>
      </c>
      <c r="B35" t="s">
        <v>204</v>
      </c>
      <c r="F35" s="3" t="s">
        <v>323</v>
      </c>
      <c r="G35" s="3" t="s">
        <v>270</v>
      </c>
      <c r="H35" s="3" t="s">
        <v>291</v>
      </c>
      <c r="I35" s="3"/>
      <c r="J35" s="3" t="s">
        <v>332</v>
      </c>
      <c r="K35" s="3" t="s">
        <v>263</v>
      </c>
      <c r="L35" s="3" t="s">
        <v>293</v>
      </c>
      <c r="M35" s="3" t="s">
        <v>294</v>
      </c>
    </row>
    <row r="36" spans="1:13" customFormat="1" ht="87" hidden="1" x14ac:dyDescent="0.35">
      <c r="A36" s="3" t="s">
        <v>327</v>
      </c>
      <c r="B36" t="s">
        <v>204</v>
      </c>
      <c r="F36" s="3" t="s">
        <v>333</v>
      </c>
      <c r="G36" s="3" t="s">
        <v>334</v>
      </c>
      <c r="H36" s="3"/>
      <c r="I36" s="3"/>
      <c r="J36" s="3" t="s">
        <v>335</v>
      </c>
      <c r="K36" s="3" t="s">
        <v>241</v>
      </c>
      <c r="L36" s="3" t="s">
        <v>334</v>
      </c>
      <c r="M36" s="3" t="s">
        <v>336</v>
      </c>
    </row>
    <row r="37" spans="1:13" customFormat="1" ht="116" hidden="1" x14ac:dyDescent="0.35">
      <c r="A37" s="3" t="s">
        <v>327</v>
      </c>
      <c r="B37" t="s">
        <v>204</v>
      </c>
      <c r="F37" s="3" t="s">
        <v>337</v>
      </c>
      <c r="G37" s="3" t="s">
        <v>295</v>
      </c>
      <c r="H37" s="3" t="s">
        <v>251</v>
      </c>
      <c r="I37" s="3"/>
      <c r="J37" s="3" t="s">
        <v>338</v>
      </c>
      <c r="K37" s="3" t="s">
        <v>263</v>
      </c>
      <c r="L37" s="3" t="s">
        <v>295</v>
      </c>
      <c r="M37" s="3" t="s">
        <v>297</v>
      </c>
    </row>
    <row r="38" spans="1:13" customFormat="1" ht="116" hidden="1" x14ac:dyDescent="0.35">
      <c r="A38" s="3" t="s">
        <v>327</v>
      </c>
      <c r="B38" t="s">
        <v>204</v>
      </c>
      <c r="F38" s="3" t="s">
        <v>339</v>
      </c>
      <c r="G38" s="3" t="s">
        <v>298</v>
      </c>
      <c r="H38" s="3"/>
      <c r="I38" s="3"/>
      <c r="J38" s="3" t="s">
        <v>340</v>
      </c>
      <c r="K38" s="3" t="s">
        <v>263</v>
      </c>
      <c r="L38" s="3" t="s">
        <v>300</v>
      </c>
      <c r="M38" s="3" t="s">
        <v>341</v>
      </c>
    </row>
    <row r="39" spans="1:13" customFormat="1" ht="58" hidden="1" x14ac:dyDescent="0.35">
      <c r="A39" s="3" t="s">
        <v>327</v>
      </c>
      <c r="B39" t="s">
        <v>204</v>
      </c>
      <c r="F39" s="3" t="s">
        <v>342</v>
      </c>
      <c r="G39" s="3" t="s">
        <v>302</v>
      </c>
      <c r="H39" s="3"/>
      <c r="I39" s="3"/>
      <c r="J39" s="3" t="s">
        <v>343</v>
      </c>
      <c r="K39" s="3" t="s">
        <v>229</v>
      </c>
      <c r="L39" s="3" t="s">
        <v>302</v>
      </c>
      <c r="M39" s="3" t="s">
        <v>304</v>
      </c>
    </row>
    <row r="40" spans="1:13" customFormat="1" hidden="1" x14ac:dyDescent="0.35">
      <c r="A40" s="3" t="s">
        <v>327</v>
      </c>
      <c r="B40" t="s">
        <v>344</v>
      </c>
      <c r="F40" t="s">
        <v>345</v>
      </c>
      <c r="G40" t="s">
        <v>345</v>
      </c>
      <c r="H40" t="s">
        <v>346</v>
      </c>
      <c r="J40" t="s">
        <v>347</v>
      </c>
      <c r="K40" t="s">
        <v>229</v>
      </c>
      <c r="L40" t="s">
        <v>348</v>
      </c>
      <c r="M40" t="s">
        <v>349</v>
      </c>
    </row>
    <row r="41" spans="1:13" customFormat="1" ht="58" hidden="1" x14ac:dyDescent="0.35">
      <c r="A41" s="3" t="s">
        <v>327</v>
      </c>
      <c r="B41" t="s">
        <v>344</v>
      </c>
      <c r="F41" s="3" t="s">
        <v>345</v>
      </c>
      <c r="G41" s="3" t="s">
        <v>345</v>
      </c>
      <c r="H41" s="3" t="s">
        <v>350</v>
      </c>
      <c r="J41" s="3" t="s">
        <v>351</v>
      </c>
      <c r="K41" s="3" t="s">
        <v>229</v>
      </c>
      <c r="L41" s="3" t="s">
        <v>352</v>
      </c>
      <c r="M41" s="3" t="s">
        <v>353</v>
      </c>
    </row>
    <row r="42" spans="1:13" customFormat="1" ht="58" hidden="1" x14ac:dyDescent="0.35">
      <c r="A42" s="3" t="s">
        <v>327</v>
      </c>
      <c r="B42" t="s">
        <v>344</v>
      </c>
      <c r="F42" s="3" t="s">
        <v>345</v>
      </c>
      <c r="G42" s="3" t="s">
        <v>345</v>
      </c>
      <c r="H42" s="3" t="s">
        <v>354</v>
      </c>
      <c r="J42" s="3" t="s">
        <v>355</v>
      </c>
      <c r="K42" s="3" t="s">
        <v>229</v>
      </c>
      <c r="L42" s="3" t="s">
        <v>356</v>
      </c>
      <c r="M42" s="3" t="s">
        <v>357</v>
      </c>
    </row>
    <row r="43" spans="1:13" customFormat="1" ht="58" hidden="1" x14ac:dyDescent="0.35">
      <c r="A43" s="3" t="s">
        <v>327</v>
      </c>
      <c r="B43" t="s">
        <v>344</v>
      </c>
      <c r="F43" s="3" t="s">
        <v>345</v>
      </c>
      <c r="G43" s="3" t="s">
        <v>345</v>
      </c>
      <c r="H43" s="3" t="s">
        <v>358</v>
      </c>
      <c r="J43" s="3" t="s">
        <v>359</v>
      </c>
      <c r="K43" s="3" t="s">
        <v>229</v>
      </c>
      <c r="L43" s="3" t="s">
        <v>360</v>
      </c>
      <c r="M43" s="3" t="s">
        <v>361</v>
      </c>
    </row>
    <row r="44" spans="1:13" customFormat="1" ht="58" hidden="1" x14ac:dyDescent="0.35">
      <c r="A44" s="3" t="s">
        <v>327</v>
      </c>
      <c r="B44" t="s">
        <v>344</v>
      </c>
      <c r="F44" s="3" t="s">
        <v>345</v>
      </c>
      <c r="G44" s="3" t="s">
        <v>345</v>
      </c>
      <c r="H44" s="3" t="s">
        <v>362</v>
      </c>
      <c r="J44" s="3" t="s">
        <v>363</v>
      </c>
      <c r="K44" s="3" t="s">
        <v>229</v>
      </c>
      <c r="L44" s="3" t="s">
        <v>364</v>
      </c>
      <c r="M44" s="3" t="s">
        <v>365</v>
      </c>
    </row>
    <row r="45" spans="1:13" customFormat="1" ht="58" hidden="1" x14ac:dyDescent="0.35">
      <c r="A45" s="3" t="s">
        <v>327</v>
      </c>
      <c r="B45" t="s">
        <v>344</v>
      </c>
      <c r="F45" s="3" t="s">
        <v>345</v>
      </c>
      <c r="G45" s="3" t="s">
        <v>345</v>
      </c>
      <c r="H45" s="3" t="s">
        <v>366</v>
      </c>
      <c r="J45" s="3" t="s">
        <v>367</v>
      </c>
      <c r="K45" s="3" t="s">
        <v>229</v>
      </c>
      <c r="L45" s="3" t="s">
        <v>368</v>
      </c>
      <c r="M45" s="3" t="s">
        <v>369</v>
      </c>
    </row>
    <row r="46" spans="1:13" customFormat="1" ht="58" hidden="1" x14ac:dyDescent="0.35">
      <c r="A46" s="3" t="s">
        <v>327</v>
      </c>
      <c r="B46" t="s">
        <v>344</v>
      </c>
      <c r="F46" s="3" t="s">
        <v>345</v>
      </c>
      <c r="G46" s="3" t="s">
        <v>345</v>
      </c>
      <c r="H46" s="3" t="s">
        <v>370</v>
      </c>
      <c r="J46" s="3" t="s">
        <v>371</v>
      </c>
      <c r="K46" s="3" t="s">
        <v>229</v>
      </c>
      <c r="L46" s="3" t="s">
        <v>372</v>
      </c>
      <c r="M46" s="3" t="s">
        <v>373</v>
      </c>
    </row>
    <row r="47" spans="1:13" customFormat="1" ht="58" hidden="1" x14ac:dyDescent="0.35">
      <c r="A47" s="3" t="s">
        <v>327</v>
      </c>
      <c r="B47" t="s">
        <v>344</v>
      </c>
      <c r="F47" s="3" t="s">
        <v>345</v>
      </c>
      <c r="G47" s="3" t="s">
        <v>345</v>
      </c>
      <c r="H47" s="3" t="s">
        <v>374</v>
      </c>
      <c r="J47" s="3" t="s">
        <v>375</v>
      </c>
      <c r="K47" s="3" t="s">
        <v>229</v>
      </c>
      <c r="L47" s="3" t="s">
        <v>376</v>
      </c>
      <c r="M47" s="3" t="s">
        <v>377</v>
      </c>
    </row>
    <row r="48" spans="1:13" customFormat="1" ht="29" hidden="1" x14ac:dyDescent="0.35">
      <c r="A48" s="3" t="s">
        <v>327</v>
      </c>
      <c r="B48" t="s">
        <v>344</v>
      </c>
      <c r="F48" s="3" t="s">
        <v>378</v>
      </c>
      <c r="G48" s="3" t="s">
        <v>379</v>
      </c>
      <c r="H48" s="4" t="s">
        <v>13</v>
      </c>
      <c r="I48" s="4" t="s">
        <v>13</v>
      </c>
      <c r="J48" s="3"/>
      <c r="K48" s="3"/>
      <c r="L48" s="3"/>
      <c r="M48" s="3"/>
    </row>
    <row r="49" spans="1:13" customFormat="1" ht="43.5" hidden="1" x14ac:dyDescent="0.35">
      <c r="A49" t="s">
        <v>380</v>
      </c>
      <c r="B49" t="s">
        <v>344</v>
      </c>
      <c r="F49" s="3" t="s">
        <v>378</v>
      </c>
      <c r="G49" s="3" t="s">
        <v>379</v>
      </c>
      <c r="H49" s="3" t="s">
        <v>381</v>
      </c>
      <c r="I49" s="3" t="s">
        <v>382</v>
      </c>
      <c r="K49" s="3"/>
      <c r="L49" s="3"/>
      <c r="M49" s="3"/>
    </row>
    <row r="50" spans="1:13" customFormat="1" ht="58" hidden="1" x14ac:dyDescent="0.35">
      <c r="A50" s="3" t="s">
        <v>380</v>
      </c>
      <c r="B50" t="s">
        <v>344</v>
      </c>
      <c r="F50" s="3" t="s">
        <v>378</v>
      </c>
      <c r="G50" s="3" t="s">
        <v>379</v>
      </c>
      <c r="H50" s="3" t="s">
        <v>383</v>
      </c>
      <c r="I50" s="3"/>
      <c r="J50" s="3" t="s">
        <v>384</v>
      </c>
      <c r="K50" s="3" t="s">
        <v>229</v>
      </c>
      <c r="L50" s="3" t="s">
        <v>385</v>
      </c>
      <c r="M50" s="3" t="s">
        <v>386</v>
      </c>
    </row>
    <row r="51" spans="1:13" customFormat="1" ht="58" hidden="1" x14ac:dyDescent="0.35">
      <c r="A51" s="3" t="s">
        <v>380</v>
      </c>
      <c r="B51" t="s">
        <v>344</v>
      </c>
      <c r="F51" s="3" t="s">
        <v>378</v>
      </c>
      <c r="G51" s="3" t="s">
        <v>379</v>
      </c>
      <c r="H51" s="3" t="s">
        <v>387</v>
      </c>
      <c r="I51" s="3"/>
      <c r="J51" s="3" t="s">
        <v>388</v>
      </c>
      <c r="K51" s="3" t="s">
        <v>229</v>
      </c>
      <c r="L51" s="3" t="s">
        <v>389</v>
      </c>
      <c r="M51" s="3" t="s">
        <v>386</v>
      </c>
    </row>
    <row r="52" spans="1:13" customFormat="1" ht="58" hidden="1" x14ac:dyDescent="0.35">
      <c r="A52" s="3" t="s">
        <v>380</v>
      </c>
      <c r="B52" t="s">
        <v>344</v>
      </c>
      <c r="F52" s="3" t="s">
        <v>378</v>
      </c>
      <c r="G52" s="3" t="s">
        <v>379</v>
      </c>
      <c r="H52" s="3" t="s">
        <v>390</v>
      </c>
      <c r="I52" s="3"/>
      <c r="J52" s="3" t="s">
        <v>391</v>
      </c>
      <c r="K52" s="3" t="s">
        <v>229</v>
      </c>
      <c r="L52" s="3" t="s">
        <v>392</v>
      </c>
      <c r="M52" s="3" t="s">
        <v>386</v>
      </c>
    </row>
    <row r="53" spans="1:13" customFormat="1" ht="58" hidden="1" x14ac:dyDescent="0.35">
      <c r="A53" s="3" t="s">
        <v>380</v>
      </c>
      <c r="B53" t="s">
        <v>344</v>
      </c>
      <c r="F53" s="3" t="s">
        <v>378</v>
      </c>
      <c r="G53" s="3" t="s">
        <v>379</v>
      </c>
      <c r="H53" s="3" t="s">
        <v>393</v>
      </c>
      <c r="I53" s="3"/>
      <c r="J53" t="s">
        <v>394</v>
      </c>
      <c r="K53" s="3" t="s">
        <v>229</v>
      </c>
      <c r="L53" s="3" t="s">
        <v>395</v>
      </c>
      <c r="M53" s="3" t="s">
        <v>386</v>
      </c>
    </row>
    <row r="54" spans="1:13" customFormat="1" ht="58" hidden="1" x14ac:dyDescent="0.35">
      <c r="A54" s="3" t="s">
        <v>380</v>
      </c>
      <c r="B54" t="s">
        <v>344</v>
      </c>
      <c r="F54" s="3" t="s">
        <v>378</v>
      </c>
      <c r="G54" s="3" t="s">
        <v>379</v>
      </c>
      <c r="H54" s="3" t="s">
        <v>396</v>
      </c>
      <c r="I54" s="3"/>
      <c r="J54" s="3" t="s">
        <v>397</v>
      </c>
      <c r="K54" s="3" t="s">
        <v>229</v>
      </c>
      <c r="L54" s="3" t="s">
        <v>398</v>
      </c>
      <c r="M54" s="3" t="s">
        <v>386</v>
      </c>
    </row>
    <row r="55" spans="1:13" customFormat="1" ht="116" hidden="1" x14ac:dyDescent="0.35">
      <c r="A55" s="3" t="s">
        <v>380</v>
      </c>
      <c r="B55" t="s">
        <v>344</v>
      </c>
      <c r="F55" s="3" t="s">
        <v>378</v>
      </c>
      <c r="G55" s="3" t="s">
        <v>379</v>
      </c>
      <c r="H55" s="3" t="s">
        <v>399</v>
      </c>
      <c r="I55" s="3"/>
      <c r="J55" s="3" t="s">
        <v>400</v>
      </c>
      <c r="K55" s="3" t="s">
        <v>229</v>
      </c>
      <c r="L55" s="3" t="s">
        <v>401</v>
      </c>
      <c r="M55" s="3" t="s">
        <v>386</v>
      </c>
    </row>
    <row r="56" spans="1:13" customFormat="1" ht="58" hidden="1" x14ac:dyDescent="0.35">
      <c r="A56" s="3" t="s">
        <v>380</v>
      </c>
      <c r="B56" t="s">
        <v>344</v>
      </c>
      <c r="F56" s="3" t="s">
        <v>378</v>
      </c>
      <c r="G56" s="3" t="s">
        <v>379</v>
      </c>
      <c r="H56" s="3" t="s">
        <v>402</v>
      </c>
      <c r="I56" s="3"/>
      <c r="J56" s="3" t="s">
        <v>403</v>
      </c>
      <c r="K56" s="3" t="s">
        <v>229</v>
      </c>
      <c r="L56" s="3" t="s">
        <v>404</v>
      </c>
      <c r="M56" s="3" t="s">
        <v>386</v>
      </c>
    </row>
    <row r="57" spans="1:13" customFormat="1" ht="58" hidden="1" x14ac:dyDescent="0.35">
      <c r="A57" s="3" t="s">
        <v>380</v>
      </c>
      <c r="B57" t="s">
        <v>344</v>
      </c>
      <c r="F57" s="3" t="s">
        <v>378</v>
      </c>
      <c r="G57" s="3" t="s">
        <v>379</v>
      </c>
      <c r="H57" s="3" t="s">
        <v>405</v>
      </c>
      <c r="I57" s="3"/>
      <c r="J57" s="3" t="s">
        <v>406</v>
      </c>
      <c r="K57" s="3" t="s">
        <v>229</v>
      </c>
      <c r="L57" s="3" t="s">
        <v>407</v>
      </c>
      <c r="M57" s="3" t="s">
        <v>386</v>
      </c>
    </row>
    <row r="58" spans="1:13" customFormat="1" ht="58" hidden="1" x14ac:dyDescent="0.35">
      <c r="A58" s="3" t="s">
        <v>380</v>
      </c>
      <c r="B58" t="s">
        <v>344</v>
      </c>
      <c r="F58" s="3" t="s">
        <v>378</v>
      </c>
      <c r="G58" s="3" t="s">
        <v>379</v>
      </c>
      <c r="H58" s="3" t="s">
        <v>408</v>
      </c>
      <c r="I58" s="3"/>
      <c r="J58" s="3" t="s">
        <v>409</v>
      </c>
      <c r="K58" s="3" t="s">
        <v>229</v>
      </c>
      <c r="L58" s="3" t="s">
        <v>410</v>
      </c>
      <c r="M58" s="3" t="s">
        <v>386</v>
      </c>
    </row>
    <row r="59" spans="1:13" customFormat="1" ht="43.5" hidden="1" x14ac:dyDescent="0.35">
      <c r="A59" s="3" t="s">
        <v>380</v>
      </c>
      <c r="B59" t="s">
        <v>344</v>
      </c>
      <c r="F59" t="s">
        <v>378</v>
      </c>
      <c r="G59" t="s">
        <v>379</v>
      </c>
      <c r="H59" t="s">
        <v>411</v>
      </c>
      <c r="J59" s="5" t="s">
        <v>412</v>
      </c>
    </row>
    <row r="60" spans="1:13" customFormat="1" ht="29" hidden="1" x14ac:dyDescent="0.35">
      <c r="A60" s="3" t="s">
        <v>380</v>
      </c>
      <c r="B60" t="s">
        <v>344</v>
      </c>
      <c r="F60" s="3" t="s">
        <v>378</v>
      </c>
      <c r="G60" s="3" t="s">
        <v>379</v>
      </c>
      <c r="H60" s="3" t="s">
        <v>413</v>
      </c>
      <c r="I60" s="3" t="s">
        <v>414</v>
      </c>
      <c r="J60" s="3" t="s">
        <v>13</v>
      </c>
      <c r="K60" s="3"/>
      <c r="L60" s="3"/>
      <c r="M60" s="3" t="s">
        <v>415</v>
      </c>
    </row>
    <row r="61" spans="1:13" customFormat="1" ht="58" hidden="1" x14ac:dyDescent="0.35">
      <c r="A61" s="3" t="s">
        <v>380</v>
      </c>
      <c r="B61" t="s">
        <v>344</v>
      </c>
      <c r="F61" s="3" t="s">
        <v>378</v>
      </c>
      <c r="G61" s="3" t="s">
        <v>379</v>
      </c>
      <c r="H61" s="3" t="s">
        <v>416</v>
      </c>
      <c r="I61" s="3"/>
      <c r="J61" s="3" t="s">
        <v>417</v>
      </c>
      <c r="K61" s="3" t="s">
        <v>229</v>
      </c>
      <c r="L61" s="3" t="s">
        <v>418</v>
      </c>
      <c r="M61" s="3" t="s">
        <v>415</v>
      </c>
    </row>
    <row r="62" spans="1:13" customFormat="1" ht="145" hidden="1" x14ac:dyDescent="0.35">
      <c r="A62" s="3" t="s">
        <v>380</v>
      </c>
      <c r="B62" t="s">
        <v>344</v>
      </c>
      <c r="F62" s="3" t="s">
        <v>378</v>
      </c>
      <c r="G62" s="3" t="s">
        <v>379</v>
      </c>
      <c r="H62" s="3" t="s">
        <v>419</v>
      </c>
      <c r="I62" s="3"/>
      <c r="J62" s="3" t="s">
        <v>420</v>
      </c>
      <c r="K62" s="3" t="s">
        <v>421</v>
      </c>
      <c r="L62" s="3" t="s">
        <v>422</v>
      </c>
      <c r="M62" s="3" t="s">
        <v>415</v>
      </c>
    </row>
    <row r="63" spans="1:13" customFormat="1" ht="145" hidden="1" x14ac:dyDescent="0.35">
      <c r="A63" s="3" t="s">
        <v>380</v>
      </c>
      <c r="B63" t="s">
        <v>344</v>
      </c>
      <c r="F63" s="3" t="s">
        <v>378</v>
      </c>
      <c r="G63" s="3" t="s">
        <v>379</v>
      </c>
      <c r="H63" s="3" t="s">
        <v>423</v>
      </c>
      <c r="I63" s="3" t="s">
        <v>424</v>
      </c>
      <c r="J63" s="3"/>
      <c r="K63" s="3" t="s">
        <v>421</v>
      </c>
      <c r="L63" s="3" t="s">
        <v>425</v>
      </c>
      <c r="M63" s="3" t="s">
        <v>426</v>
      </c>
    </row>
    <row r="64" spans="1:13" customFormat="1" ht="145" hidden="1" x14ac:dyDescent="0.35">
      <c r="A64" s="3" t="s">
        <v>380</v>
      </c>
      <c r="B64" t="s">
        <v>344</v>
      </c>
      <c r="F64" s="3" t="s">
        <v>378</v>
      </c>
      <c r="G64" s="3" t="s">
        <v>379</v>
      </c>
      <c r="H64" s="3" t="s">
        <v>427</v>
      </c>
      <c r="I64" s="3" t="s">
        <v>424</v>
      </c>
      <c r="J64" s="3" t="s">
        <v>428</v>
      </c>
      <c r="K64" s="3" t="s">
        <v>421</v>
      </c>
      <c r="L64" s="3"/>
      <c r="M64" s="3"/>
    </row>
    <row r="65" spans="1:13" customFormat="1" ht="116" hidden="1" x14ac:dyDescent="0.35">
      <c r="A65" s="3" t="s">
        <v>380</v>
      </c>
      <c r="B65" t="s">
        <v>344</v>
      </c>
      <c r="F65" s="3" t="s">
        <v>378</v>
      </c>
      <c r="G65" s="3" t="s">
        <v>379</v>
      </c>
      <c r="H65" s="3" t="s">
        <v>429</v>
      </c>
      <c r="I65" s="3" t="s">
        <v>424</v>
      </c>
      <c r="J65" s="3" t="s">
        <v>430</v>
      </c>
      <c r="K65" s="3" t="s">
        <v>229</v>
      </c>
      <c r="L65" s="3"/>
      <c r="M65" s="3"/>
    </row>
    <row r="66" spans="1:13" customFormat="1" ht="72.5" hidden="1" x14ac:dyDescent="0.35">
      <c r="A66" s="3" t="s">
        <v>380</v>
      </c>
      <c r="B66" t="s">
        <v>344</v>
      </c>
      <c r="F66" s="3" t="s">
        <v>378</v>
      </c>
      <c r="G66" s="3" t="s">
        <v>379</v>
      </c>
      <c r="H66" s="3" t="s">
        <v>431</v>
      </c>
      <c r="I66" s="3" t="s">
        <v>424</v>
      </c>
      <c r="J66" s="3" t="s">
        <v>432</v>
      </c>
      <c r="K66" s="3" t="s">
        <v>229</v>
      </c>
      <c r="L66" s="3"/>
      <c r="M66" s="3"/>
    </row>
    <row r="67" spans="1:13" customFormat="1" ht="58" hidden="1" x14ac:dyDescent="0.35">
      <c r="A67" s="3" t="s">
        <v>380</v>
      </c>
      <c r="B67" t="s">
        <v>344</v>
      </c>
      <c r="F67" s="3" t="s">
        <v>378</v>
      </c>
      <c r="G67" s="3" t="s">
        <v>379</v>
      </c>
      <c r="H67" s="3" t="s">
        <v>433</v>
      </c>
      <c r="I67" s="3" t="s">
        <v>434</v>
      </c>
      <c r="J67" s="3" t="s">
        <v>13</v>
      </c>
      <c r="K67" s="3" t="s">
        <v>229</v>
      </c>
      <c r="L67" s="3" t="s">
        <v>435</v>
      </c>
      <c r="M67" s="3" t="s">
        <v>436</v>
      </c>
    </row>
    <row r="68" spans="1:13" customFormat="1" ht="58" hidden="1" x14ac:dyDescent="0.35">
      <c r="A68" t="s">
        <v>380</v>
      </c>
      <c r="B68" t="s">
        <v>344</v>
      </c>
      <c r="F68" s="3" t="s">
        <v>378</v>
      </c>
      <c r="G68" s="3" t="s">
        <v>379</v>
      </c>
      <c r="H68" s="3" t="s">
        <v>437</v>
      </c>
      <c r="I68" s="3" t="s">
        <v>434</v>
      </c>
      <c r="J68" s="3" t="s">
        <v>438</v>
      </c>
      <c r="K68" s="3" t="s">
        <v>229</v>
      </c>
      <c r="L68" s="3" t="s">
        <v>435</v>
      </c>
      <c r="M68" s="3"/>
    </row>
    <row r="69" spans="1:13" customFormat="1" ht="58" hidden="1" x14ac:dyDescent="0.35">
      <c r="A69" s="3" t="s">
        <v>380</v>
      </c>
      <c r="B69" t="s">
        <v>344</v>
      </c>
      <c r="F69" s="3" t="s">
        <v>378</v>
      </c>
      <c r="G69" s="3" t="s">
        <v>379</v>
      </c>
      <c r="H69" s="3" t="s">
        <v>439</v>
      </c>
      <c r="I69" s="3" t="s">
        <v>434</v>
      </c>
      <c r="J69" s="3" t="s">
        <v>440</v>
      </c>
      <c r="K69" s="3" t="s">
        <v>229</v>
      </c>
      <c r="L69" s="3" t="s">
        <v>435</v>
      </c>
      <c r="M69" s="3"/>
    </row>
    <row r="70" spans="1:13" customFormat="1" ht="58" hidden="1" x14ac:dyDescent="0.35">
      <c r="A70" s="3" t="s">
        <v>380</v>
      </c>
      <c r="B70" t="s">
        <v>344</v>
      </c>
      <c r="F70" s="3" t="s">
        <v>378</v>
      </c>
      <c r="G70" s="3" t="s">
        <v>379</v>
      </c>
      <c r="H70" s="3" t="s">
        <v>441</v>
      </c>
      <c r="I70" s="3" t="s">
        <v>434</v>
      </c>
      <c r="J70" s="3" t="s">
        <v>442</v>
      </c>
      <c r="K70" s="3" t="s">
        <v>229</v>
      </c>
      <c r="L70" s="3" t="s">
        <v>435</v>
      </c>
      <c r="M70" s="3"/>
    </row>
    <row r="71" spans="1:13" customFormat="1" ht="58" hidden="1" x14ac:dyDescent="0.35">
      <c r="A71" s="3" t="s">
        <v>380</v>
      </c>
      <c r="B71" t="s">
        <v>344</v>
      </c>
      <c r="F71" s="3" t="s">
        <v>378</v>
      </c>
      <c r="G71" s="3" t="s">
        <v>379</v>
      </c>
      <c r="H71" s="3" t="s">
        <v>443</v>
      </c>
      <c r="I71" s="3" t="s">
        <v>434</v>
      </c>
      <c r="J71" s="3" t="s">
        <v>444</v>
      </c>
      <c r="K71" s="3" t="s">
        <v>229</v>
      </c>
      <c r="L71" s="3" t="s">
        <v>435</v>
      </c>
      <c r="M71" s="3"/>
    </row>
    <row r="72" spans="1:13" customFormat="1" ht="58" hidden="1" x14ac:dyDescent="0.35">
      <c r="A72" s="3" t="s">
        <v>380</v>
      </c>
      <c r="B72" t="s">
        <v>344</v>
      </c>
      <c r="F72" s="3" t="s">
        <v>378</v>
      </c>
      <c r="G72" s="3" t="s">
        <v>379</v>
      </c>
      <c r="H72" s="3" t="s">
        <v>445</v>
      </c>
      <c r="I72" s="3" t="s">
        <v>434</v>
      </c>
      <c r="J72" s="3" t="s">
        <v>446</v>
      </c>
      <c r="K72" s="3" t="s">
        <v>229</v>
      </c>
      <c r="L72" s="3" t="s">
        <v>435</v>
      </c>
      <c r="M72" s="3"/>
    </row>
    <row r="73" spans="1:13" customFormat="1" ht="58" hidden="1" x14ac:dyDescent="0.35">
      <c r="A73" s="3" t="s">
        <v>380</v>
      </c>
      <c r="B73" t="s">
        <v>344</v>
      </c>
      <c r="F73" s="3" t="s">
        <v>378</v>
      </c>
      <c r="G73" s="3" t="s">
        <v>379</v>
      </c>
      <c r="H73" s="3" t="s">
        <v>447</v>
      </c>
      <c r="I73" s="3" t="s">
        <v>434</v>
      </c>
      <c r="J73" s="3" t="s">
        <v>448</v>
      </c>
      <c r="K73" s="3" t="s">
        <v>229</v>
      </c>
      <c r="L73" s="3" t="s">
        <v>435</v>
      </c>
      <c r="M73" s="3"/>
    </row>
    <row r="74" spans="1:13" customFormat="1" ht="58" hidden="1" x14ac:dyDescent="0.35">
      <c r="A74" s="3" t="s">
        <v>380</v>
      </c>
      <c r="B74" t="s">
        <v>344</v>
      </c>
      <c r="F74" s="3" t="s">
        <v>378</v>
      </c>
      <c r="G74" s="3" t="s">
        <v>379</v>
      </c>
      <c r="H74" s="3" t="s">
        <v>449</v>
      </c>
      <c r="I74" s="3" t="s">
        <v>434</v>
      </c>
      <c r="J74" s="3" t="s">
        <v>450</v>
      </c>
      <c r="K74" s="3" t="s">
        <v>229</v>
      </c>
      <c r="L74" s="3" t="s">
        <v>435</v>
      </c>
      <c r="M74" s="3"/>
    </row>
    <row r="75" spans="1:13" customFormat="1" ht="58" hidden="1" x14ac:dyDescent="0.35">
      <c r="A75" s="3" t="s">
        <v>380</v>
      </c>
      <c r="B75" t="s">
        <v>344</v>
      </c>
      <c r="F75" s="3" t="s">
        <v>378</v>
      </c>
      <c r="G75" s="3" t="s">
        <v>379</v>
      </c>
      <c r="H75" s="3" t="s">
        <v>451</v>
      </c>
      <c r="I75" s="3" t="s">
        <v>452</v>
      </c>
      <c r="J75" s="3" t="s">
        <v>453</v>
      </c>
      <c r="K75" s="3" t="s">
        <v>229</v>
      </c>
      <c r="L75" s="3" t="s">
        <v>454</v>
      </c>
      <c r="M75" s="3" t="s">
        <v>455</v>
      </c>
    </row>
    <row r="76" spans="1:13" customFormat="1" ht="58" hidden="1" x14ac:dyDescent="0.35">
      <c r="A76" s="3" t="s">
        <v>380</v>
      </c>
      <c r="B76" t="s">
        <v>344</v>
      </c>
      <c r="F76" s="3" t="s">
        <v>378</v>
      </c>
      <c r="G76" s="3" t="s">
        <v>379</v>
      </c>
      <c r="H76" s="3" t="s">
        <v>456</v>
      </c>
      <c r="I76" s="3" t="s">
        <v>452</v>
      </c>
      <c r="J76" s="3" t="s">
        <v>457</v>
      </c>
      <c r="K76" s="3" t="s">
        <v>229</v>
      </c>
      <c r="L76" s="3" t="s">
        <v>454</v>
      </c>
      <c r="M76" s="3"/>
    </row>
    <row r="77" spans="1:13" customFormat="1" ht="58" hidden="1" x14ac:dyDescent="0.35">
      <c r="A77" s="3" t="s">
        <v>380</v>
      </c>
      <c r="B77" t="s">
        <v>344</v>
      </c>
      <c r="F77" s="3" t="s">
        <v>378</v>
      </c>
      <c r="G77" s="3" t="s">
        <v>379</v>
      </c>
      <c r="H77" s="3" t="s">
        <v>458</v>
      </c>
      <c r="I77" s="3" t="s">
        <v>452</v>
      </c>
      <c r="J77" s="3" t="s">
        <v>459</v>
      </c>
      <c r="K77" s="3" t="s">
        <v>229</v>
      </c>
      <c r="L77" s="3" t="s">
        <v>454</v>
      </c>
      <c r="M77" s="3"/>
    </row>
    <row r="78" spans="1:13" customFormat="1" ht="58" hidden="1" x14ac:dyDescent="0.35">
      <c r="A78" s="3" t="s">
        <v>380</v>
      </c>
      <c r="B78" t="s">
        <v>344</v>
      </c>
      <c r="F78" s="3" t="s">
        <v>378</v>
      </c>
      <c r="G78" s="3" t="s">
        <v>379</v>
      </c>
      <c r="H78" s="3" t="s">
        <v>460</v>
      </c>
      <c r="I78" s="3" t="s">
        <v>452</v>
      </c>
      <c r="J78" s="3" t="s">
        <v>461</v>
      </c>
      <c r="K78" s="3" t="s">
        <v>229</v>
      </c>
      <c r="L78" s="3" t="s">
        <v>454</v>
      </c>
      <c r="M78" s="3"/>
    </row>
    <row r="79" spans="1:13" customFormat="1" ht="58" hidden="1" x14ac:dyDescent="0.35">
      <c r="A79" s="3" t="s">
        <v>380</v>
      </c>
      <c r="B79" t="s">
        <v>344</v>
      </c>
      <c r="F79" s="3" t="s">
        <v>378</v>
      </c>
      <c r="G79" s="3" t="s">
        <v>379</v>
      </c>
      <c r="H79" s="3" t="s">
        <v>462</v>
      </c>
      <c r="I79" s="3" t="s">
        <v>452</v>
      </c>
      <c r="J79" s="3" t="s">
        <v>463</v>
      </c>
      <c r="K79" s="3" t="s">
        <v>229</v>
      </c>
      <c r="L79" s="3" t="s">
        <v>454</v>
      </c>
      <c r="M79" s="3"/>
    </row>
    <row r="80" spans="1:13" customFormat="1" ht="58" hidden="1" x14ac:dyDescent="0.35">
      <c r="A80" s="3" t="s">
        <v>380</v>
      </c>
      <c r="B80" t="s">
        <v>344</v>
      </c>
      <c r="F80" s="3" t="s">
        <v>378</v>
      </c>
      <c r="G80" s="3" t="s">
        <v>379</v>
      </c>
      <c r="H80" s="3" t="s">
        <v>464</v>
      </c>
      <c r="I80" s="3" t="s">
        <v>452</v>
      </c>
      <c r="J80" s="3" t="s">
        <v>465</v>
      </c>
      <c r="K80" s="3" t="s">
        <v>229</v>
      </c>
      <c r="L80" s="3" t="s">
        <v>454</v>
      </c>
      <c r="M80" s="3"/>
    </row>
    <row r="81" spans="1:13" customFormat="1" ht="58" hidden="1" x14ac:dyDescent="0.35">
      <c r="A81" s="3" t="s">
        <v>380</v>
      </c>
      <c r="B81" t="s">
        <v>344</v>
      </c>
      <c r="F81" s="3" t="s">
        <v>378</v>
      </c>
      <c r="G81" s="3" t="s">
        <v>379</v>
      </c>
      <c r="H81" s="3" t="s">
        <v>466</v>
      </c>
      <c r="I81" s="3" t="s">
        <v>452</v>
      </c>
      <c r="J81" s="3" t="s">
        <v>467</v>
      </c>
      <c r="K81" s="3" t="s">
        <v>229</v>
      </c>
      <c r="L81" s="3" t="s">
        <v>454</v>
      </c>
      <c r="M81" s="3"/>
    </row>
    <row r="82" spans="1:13" customFormat="1" ht="58" hidden="1" x14ac:dyDescent="0.35">
      <c r="A82" s="3" t="s">
        <v>380</v>
      </c>
      <c r="B82" t="s">
        <v>344</v>
      </c>
      <c r="F82" s="3" t="s">
        <v>378</v>
      </c>
      <c r="G82" s="3" t="s">
        <v>379</v>
      </c>
      <c r="H82" s="3" t="s">
        <v>468</v>
      </c>
      <c r="I82" s="3" t="s">
        <v>469</v>
      </c>
      <c r="J82" s="3" t="s">
        <v>470</v>
      </c>
      <c r="K82" s="3" t="s">
        <v>229</v>
      </c>
      <c r="L82" s="3" t="s">
        <v>471</v>
      </c>
      <c r="M82" s="3" t="s">
        <v>472</v>
      </c>
    </row>
    <row r="83" spans="1:13" customFormat="1" ht="275.5" hidden="1" x14ac:dyDescent="0.35">
      <c r="A83" s="3" t="s">
        <v>380</v>
      </c>
      <c r="B83" t="s">
        <v>344</v>
      </c>
      <c r="F83" s="3" t="s">
        <v>378</v>
      </c>
      <c r="G83" s="3" t="s">
        <v>379</v>
      </c>
      <c r="H83" s="3" t="s">
        <v>473</v>
      </c>
      <c r="I83" s="3" t="s">
        <v>469</v>
      </c>
      <c r="J83" s="3" t="s">
        <v>474</v>
      </c>
      <c r="K83" s="3" t="s">
        <v>229</v>
      </c>
      <c r="L83" s="3"/>
      <c r="M83" s="3"/>
    </row>
    <row r="84" spans="1:13" customFormat="1" ht="58" hidden="1" x14ac:dyDescent="0.35">
      <c r="A84" s="3" t="s">
        <v>380</v>
      </c>
      <c r="B84" t="s">
        <v>344</v>
      </c>
      <c r="F84" s="3" t="s">
        <v>378</v>
      </c>
      <c r="G84" s="3" t="s">
        <v>379</v>
      </c>
      <c r="H84" s="3" t="s">
        <v>473</v>
      </c>
      <c r="I84" s="3" t="s">
        <v>469</v>
      </c>
      <c r="J84" s="3" t="s">
        <v>475</v>
      </c>
      <c r="K84" s="3" t="s">
        <v>229</v>
      </c>
      <c r="L84" s="3"/>
      <c r="M84" s="3"/>
    </row>
    <row r="85" spans="1:13" customFormat="1" ht="58" hidden="1" x14ac:dyDescent="0.35">
      <c r="A85" s="3" t="s">
        <v>380</v>
      </c>
      <c r="B85" t="s">
        <v>344</v>
      </c>
      <c r="F85" s="3" t="s">
        <v>378</v>
      </c>
      <c r="G85" s="3" t="s">
        <v>379</v>
      </c>
      <c r="H85" s="3" t="s">
        <v>476</v>
      </c>
      <c r="I85" s="3" t="s">
        <v>469</v>
      </c>
      <c r="J85" s="3" t="s">
        <v>477</v>
      </c>
      <c r="K85" s="3" t="s">
        <v>229</v>
      </c>
      <c r="L85" s="3"/>
      <c r="M85" s="3"/>
    </row>
    <row r="86" spans="1:13" customFormat="1" ht="58" hidden="1" x14ac:dyDescent="0.35">
      <c r="A86" s="3" t="s">
        <v>380</v>
      </c>
      <c r="B86" t="s">
        <v>344</v>
      </c>
      <c r="F86" s="3" t="s">
        <v>378</v>
      </c>
      <c r="G86" s="3" t="s">
        <v>379</v>
      </c>
      <c r="H86" s="3" t="s">
        <v>478</v>
      </c>
      <c r="I86" s="3" t="s">
        <v>469</v>
      </c>
      <c r="J86" s="3" t="s">
        <v>479</v>
      </c>
      <c r="K86" s="3" t="s">
        <v>229</v>
      </c>
      <c r="L86" s="3"/>
      <c r="M86" s="3"/>
    </row>
    <row r="87" spans="1:13" customFormat="1" ht="58" hidden="1" x14ac:dyDescent="0.35">
      <c r="A87" s="3" t="s">
        <v>380</v>
      </c>
      <c r="B87" t="s">
        <v>344</v>
      </c>
      <c r="F87" s="3" t="s">
        <v>378</v>
      </c>
      <c r="G87" s="3" t="s">
        <v>379</v>
      </c>
      <c r="H87" s="3" t="s">
        <v>480</v>
      </c>
      <c r="I87" s="3" t="s">
        <v>469</v>
      </c>
      <c r="J87" s="3" t="s">
        <v>481</v>
      </c>
      <c r="K87" s="3" t="s">
        <v>229</v>
      </c>
      <c r="L87" s="3"/>
      <c r="M87" s="3"/>
    </row>
    <row r="88" spans="1:13" customFormat="1" ht="72.5" hidden="1" x14ac:dyDescent="0.35">
      <c r="A88" s="3" t="s">
        <v>380</v>
      </c>
      <c r="B88" t="s">
        <v>344</v>
      </c>
      <c r="F88" s="3" t="s">
        <v>378</v>
      </c>
      <c r="G88" s="3" t="s">
        <v>379</v>
      </c>
      <c r="H88" s="3" t="s">
        <v>482</v>
      </c>
      <c r="I88" s="3" t="s">
        <v>469</v>
      </c>
      <c r="J88" s="3" t="s">
        <v>483</v>
      </c>
      <c r="K88" s="3" t="s">
        <v>229</v>
      </c>
      <c r="L88" s="3"/>
      <c r="M88" s="3"/>
    </row>
    <row r="89" spans="1:13" customFormat="1" ht="58" hidden="1" x14ac:dyDescent="0.35">
      <c r="A89" s="3" t="s">
        <v>380</v>
      </c>
      <c r="B89" t="s">
        <v>344</v>
      </c>
      <c r="F89" s="3" t="s">
        <v>378</v>
      </c>
      <c r="G89" s="3" t="s">
        <v>379</v>
      </c>
      <c r="H89" s="3" t="s">
        <v>484</v>
      </c>
      <c r="I89" s="3" t="s">
        <v>485</v>
      </c>
      <c r="J89" s="3" t="s">
        <v>13</v>
      </c>
      <c r="K89" s="3" t="s">
        <v>229</v>
      </c>
      <c r="L89" s="3" t="s">
        <v>486</v>
      </c>
      <c r="M89" s="3" t="s">
        <v>487</v>
      </c>
    </row>
    <row r="90" spans="1:13" customFormat="1" ht="29" hidden="1" x14ac:dyDescent="0.35">
      <c r="A90" s="3" t="s">
        <v>380</v>
      </c>
      <c r="B90" t="s">
        <v>344</v>
      </c>
      <c r="F90" s="3" t="s">
        <v>378</v>
      </c>
      <c r="G90" s="3" t="s">
        <v>379</v>
      </c>
      <c r="H90" s="3" t="s">
        <v>488</v>
      </c>
      <c r="I90" s="3" t="s">
        <v>485</v>
      </c>
      <c r="J90" s="3" t="s">
        <v>489</v>
      </c>
      <c r="K90" s="3"/>
      <c r="L90" s="3"/>
      <c r="M90" s="3"/>
    </row>
    <row r="91" spans="1:13" customFormat="1" ht="72.5" hidden="1" x14ac:dyDescent="0.35">
      <c r="A91" s="3" t="s">
        <v>380</v>
      </c>
      <c r="B91" t="s">
        <v>344</v>
      </c>
      <c r="F91" s="3" t="s">
        <v>378</v>
      </c>
      <c r="G91" s="3" t="s">
        <v>379</v>
      </c>
      <c r="H91" s="3" t="s">
        <v>490</v>
      </c>
      <c r="I91" s="3" t="s">
        <v>485</v>
      </c>
      <c r="J91" s="3" t="s">
        <v>491</v>
      </c>
      <c r="K91" s="3"/>
      <c r="L91" s="3"/>
      <c r="M91" s="3"/>
    </row>
    <row r="92" spans="1:13" customFormat="1" ht="409.5" hidden="1" x14ac:dyDescent="0.35">
      <c r="A92" s="3" t="s">
        <v>380</v>
      </c>
      <c r="B92" t="s">
        <v>344</v>
      </c>
      <c r="F92" s="3" t="s">
        <v>378</v>
      </c>
      <c r="G92" s="3" t="s">
        <v>379</v>
      </c>
      <c r="H92" s="3" t="s">
        <v>492</v>
      </c>
      <c r="I92" s="3" t="s">
        <v>485</v>
      </c>
      <c r="J92" s="3" t="s">
        <v>493</v>
      </c>
      <c r="K92" s="3"/>
      <c r="L92" s="3"/>
      <c r="M92" s="3"/>
    </row>
    <row r="93" spans="1:13" customFormat="1" ht="58" hidden="1" x14ac:dyDescent="0.35">
      <c r="A93" s="3" t="s">
        <v>380</v>
      </c>
      <c r="B93" t="s">
        <v>344</v>
      </c>
      <c r="F93" s="3" t="s">
        <v>378</v>
      </c>
      <c r="G93" s="3" t="s">
        <v>379</v>
      </c>
      <c r="H93" s="3" t="s">
        <v>494</v>
      </c>
      <c r="I93" s="3" t="s">
        <v>495</v>
      </c>
      <c r="K93" s="3" t="s">
        <v>229</v>
      </c>
      <c r="L93" s="3" t="s">
        <v>496</v>
      </c>
      <c r="M93" s="3" t="s">
        <v>497</v>
      </c>
    </row>
    <row r="94" spans="1:13" customFormat="1" ht="29" hidden="1" x14ac:dyDescent="0.35">
      <c r="A94" s="3" t="s">
        <v>380</v>
      </c>
      <c r="B94" t="s">
        <v>344</v>
      </c>
      <c r="F94" s="3" t="s">
        <v>378</v>
      </c>
      <c r="G94" s="3" t="s">
        <v>379</v>
      </c>
      <c r="H94" s="3" t="s">
        <v>498</v>
      </c>
      <c r="I94" s="3" t="s">
        <v>495</v>
      </c>
      <c r="J94" s="3" t="s">
        <v>499</v>
      </c>
      <c r="K94" s="3"/>
      <c r="L94" s="3"/>
      <c r="M94" s="3"/>
    </row>
    <row r="95" spans="1:13" customFormat="1" ht="409.5" hidden="1" x14ac:dyDescent="0.35">
      <c r="A95" s="3" t="s">
        <v>380</v>
      </c>
      <c r="B95" t="s">
        <v>344</v>
      </c>
      <c r="F95" s="3" t="s">
        <v>378</v>
      </c>
      <c r="G95" s="3" t="s">
        <v>379</v>
      </c>
      <c r="H95" s="3" t="s">
        <v>500</v>
      </c>
      <c r="I95" s="3" t="s">
        <v>495</v>
      </c>
      <c r="J95" s="3" t="s">
        <v>501</v>
      </c>
      <c r="K95" s="3"/>
      <c r="L95" s="3"/>
      <c r="M95" s="3"/>
    </row>
    <row r="96" spans="1:13" customFormat="1" ht="58" hidden="1" x14ac:dyDescent="0.35">
      <c r="A96" s="3" t="s">
        <v>380</v>
      </c>
      <c r="B96" t="s">
        <v>344</v>
      </c>
      <c r="F96" s="3" t="s">
        <v>378</v>
      </c>
      <c r="G96" s="3" t="s">
        <v>379</v>
      </c>
      <c r="H96" s="3" t="s">
        <v>502</v>
      </c>
      <c r="I96" s="3" t="s">
        <v>503</v>
      </c>
      <c r="J96" s="3" t="s">
        <v>504</v>
      </c>
      <c r="K96" s="3" t="s">
        <v>229</v>
      </c>
      <c r="L96" s="3" t="s">
        <v>505</v>
      </c>
      <c r="M96" s="3" t="s">
        <v>506</v>
      </c>
    </row>
    <row r="97" spans="1:13" customFormat="1" ht="58" hidden="1" x14ac:dyDescent="0.35">
      <c r="A97" s="3" t="s">
        <v>380</v>
      </c>
      <c r="B97" t="s">
        <v>344</v>
      </c>
      <c r="F97" s="3" t="s">
        <v>378</v>
      </c>
      <c r="G97" s="3" t="s">
        <v>379</v>
      </c>
      <c r="H97" s="3" t="s">
        <v>507</v>
      </c>
      <c r="I97" s="3" t="s">
        <v>503</v>
      </c>
      <c r="J97" s="3" t="s">
        <v>508</v>
      </c>
      <c r="K97" s="3"/>
      <c r="L97" s="3"/>
      <c r="M97" s="3"/>
    </row>
    <row r="98" spans="1:13" customFormat="1" ht="58" hidden="1" x14ac:dyDescent="0.35">
      <c r="A98" s="3" t="s">
        <v>380</v>
      </c>
      <c r="B98" t="s">
        <v>344</v>
      </c>
      <c r="F98" s="3" t="s">
        <v>378</v>
      </c>
      <c r="G98" s="3" t="s">
        <v>379</v>
      </c>
      <c r="H98" s="3" t="s">
        <v>509</v>
      </c>
      <c r="I98" s="3" t="s">
        <v>503</v>
      </c>
      <c r="J98" s="3" t="s">
        <v>510</v>
      </c>
      <c r="K98" s="3"/>
      <c r="L98" s="3"/>
      <c r="M98" s="3"/>
    </row>
    <row r="99" spans="1:13" customFormat="1" ht="58" hidden="1" x14ac:dyDescent="0.35">
      <c r="A99" s="3" t="s">
        <v>380</v>
      </c>
      <c r="B99" t="s">
        <v>344</v>
      </c>
      <c r="F99" s="3" t="s">
        <v>378</v>
      </c>
      <c r="G99" s="3" t="s">
        <v>379</v>
      </c>
      <c r="H99" s="3" t="s">
        <v>511</v>
      </c>
      <c r="I99" s="3" t="s">
        <v>503</v>
      </c>
      <c r="J99" s="3" t="s">
        <v>512</v>
      </c>
      <c r="K99" s="3"/>
      <c r="L99" s="3"/>
      <c r="M99" s="3"/>
    </row>
    <row r="100" spans="1:13" customFormat="1" ht="58" hidden="1" x14ac:dyDescent="0.35">
      <c r="A100" s="3" t="s">
        <v>380</v>
      </c>
      <c r="B100" t="s">
        <v>344</v>
      </c>
      <c r="F100" s="3" t="s">
        <v>378</v>
      </c>
      <c r="G100" s="3" t="s">
        <v>379</v>
      </c>
      <c r="H100" s="3" t="s">
        <v>513</v>
      </c>
      <c r="I100" s="3" t="s">
        <v>503</v>
      </c>
      <c r="J100" s="3" t="s">
        <v>514</v>
      </c>
      <c r="K100" s="3"/>
      <c r="L100" s="3"/>
      <c r="M100" s="3"/>
    </row>
    <row r="101" spans="1:13" customFormat="1" ht="58" hidden="1" x14ac:dyDescent="0.35">
      <c r="A101" s="3" t="s">
        <v>380</v>
      </c>
      <c r="B101" t="s">
        <v>344</v>
      </c>
      <c r="F101" s="3" t="s">
        <v>515</v>
      </c>
      <c r="G101" s="5" t="s">
        <v>516</v>
      </c>
      <c r="H101" s="3"/>
      <c r="I101" s="3" t="s">
        <v>503</v>
      </c>
      <c r="J101" s="3"/>
      <c r="K101" s="3"/>
      <c r="L101" s="3"/>
    </row>
    <row r="102" spans="1:13" customFormat="1" ht="58" hidden="1" x14ac:dyDescent="0.35">
      <c r="A102" s="3" t="s">
        <v>380</v>
      </c>
      <c r="B102" t="s">
        <v>344</v>
      </c>
      <c r="F102" s="3" t="s">
        <v>515</v>
      </c>
      <c r="G102" s="5" t="s">
        <v>516</v>
      </c>
      <c r="H102" s="3" t="s">
        <v>517</v>
      </c>
      <c r="I102" s="3" t="s">
        <v>518</v>
      </c>
      <c r="J102" s="3" t="s">
        <v>519</v>
      </c>
      <c r="K102" s="3" t="s">
        <v>229</v>
      </c>
      <c r="L102" s="3" t="s">
        <v>520</v>
      </c>
      <c r="M102" s="3" t="s">
        <v>521</v>
      </c>
    </row>
    <row r="103" spans="1:13" customFormat="1" ht="58" hidden="1" x14ac:dyDescent="0.35">
      <c r="A103" s="3" t="s">
        <v>380</v>
      </c>
      <c r="B103" t="s">
        <v>344</v>
      </c>
      <c r="F103" s="3" t="s">
        <v>515</v>
      </c>
      <c r="G103" s="5" t="s">
        <v>516</v>
      </c>
      <c r="H103" s="3" t="s">
        <v>522</v>
      </c>
      <c r="I103" s="3" t="s">
        <v>518</v>
      </c>
      <c r="J103" s="3" t="s">
        <v>523</v>
      </c>
      <c r="K103" s="3" t="s">
        <v>229</v>
      </c>
      <c r="L103" s="3"/>
      <c r="M103" s="3"/>
    </row>
    <row r="104" spans="1:13" customFormat="1" ht="58" hidden="1" x14ac:dyDescent="0.35">
      <c r="A104" s="3" t="s">
        <v>380</v>
      </c>
      <c r="B104" t="s">
        <v>344</v>
      </c>
      <c r="F104" s="3" t="s">
        <v>515</v>
      </c>
      <c r="G104" s="5" t="s">
        <v>516</v>
      </c>
      <c r="H104" s="3" t="s">
        <v>524</v>
      </c>
      <c r="I104" s="3" t="s">
        <v>518</v>
      </c>
      <c r="J104" s="3" t="s">
        <v>525</v>
      </c>
      <c r="K104" s="3" t="s">
        <v>229</v>
      </c>
      <c r="L104" s="3"/>
      <c r="M104" s="3"/>
    </row>
    <row r="105" spans="1:13" customFormat="1" ht="58" hidden="1" x14ac:dyDescent="0.35">
      <c r="A105" s="3" t="s">
        <v>380</v>
      </c>
      <c r="B105" t="s">
        <v>344</v>
      </c>
      <c r="F105" s="3" t="s">
        <v>515</v>
      </c>
      <c r="G105" s="5" t="s">
        <v>516</v>
      </c>
      <c r="H105" s="3" t="s">
        <v>526</v>
      </c>
      <c r="I105" s="3" t="s">
        <v>518</v>
      </c>
      <c r="J105" s="3" t="s">
        <v>527</v>
      </c>
      <c r="K105" s="3" t="s">
        <v>229</v>
      </c>
      <c r="L105" s="3"/>
      <c r="M105" s="3"/>
    </row>
    <row r="106" spans="1:13" customFormat="1" ht="58" hidden="1" x14ac:dyDescent="0.35">
      <c r="A106" s="3" t="s">
        <v>380</v>
      </c>
      <c r="B106" t="s">
        <v>344</v>
      </c>
      <c r="F106" s="3" t="s">
        <v>515</v>
      </c>
      <c r="G106" s="5" t="s">
        <v>516</v>
      </c>
      <c r="H106" s="3" t="s">
        <v>528</v>
      </c>
      <c r="I106" s="3" t="s">
        <v>518</v>
      </c>
      <c r="J106" s="3" t="s">
        <v>529</v>
      </c>
      <c r="K106" s="3" t="s">
        <v>248</v>
      </c>
      <c r="L106" s="3"/>
      <c r="M106" s="3"/>
    </row>
    <row r="107" spans="1:13" customFormat="1" ht="58" hidden="1" x14ac:dyDescent="0.35">
      <c r="A107" s="3" t="s">
        <v>380</v>
      </c>
      <c r="B107" t="s">
        <v>344</v>
      </c>
      <c r="F107" s="3" t="s">
        <v>515</v>
      </c>
      <c r="G107" s="5" t="s">
        <v>516</v>
      </c>
      <c r="H107" s="3" t="s">
        <v>530</v>
      </c>
      <c r="I107" s="3" t="s">
        <v>518</v>
      </c>
      <c r="J107" s="3" t="s">
        <v>531</v>
      </c>
      <c r="K107" s="3" t="s">
        <v>229</v>
      </c>
      <c r="L107" s="3"/>
      <c r="M107" s="3"/>
    </row>
    <row r="108" spans="1:13" customFormat="1" ht="58" hidden="1" x14ac:dyDescent="0.35">
      <c r="A108" s="3" t="s">
        <v>380</v>
      </c>
      <c r="B108" t="s">
        <v>344</v>
      </c>
      <c r="F108" s="3" t="s">
        <v>515</v>
      </c>
      <c r="G108" s="5" t="s">
        <v>516</v>
      </c>
      <c r="H108" s="3" t="s">
        <v>532</v>
      </c>
      <c r="I108" s="3" t="s">
        <v>533</v>
      </c>
      <c r="J108" s="3" t="s">
        <v>534</v>
      </c>
      <c r="K108" s="3" t="s">
        <v>229</v>
      </c>
      <c r="L108" s="3" t="s">
        <v>535</v>
      </c>
      <c r="M108" s="3" t="s">
        <v>536</v>
      </c>
    </row>
    <row r="109" spans="1:13" customFormat="1" ht="130.5" hidden="1" x14ac:dyDescent="0.35">
      <c r="A109" s="3" t="s">
        <v>380</v>
      </c>
      <c r="B109" t="s">
        <v>344</v>
      </c>
      <c r="F109" s="3" t="s">
        <v>515</v>
      </c>
      <c r="G109" s="5" t="s">
        <v>516</v>
      </c>
      <c r="H109" s="3" t="s">
        <v>537</v>
      </c>
      <c r="I109" s="3" t="s">
        <v>538</v>
      </c>
      <c r="J109" s="3" t="s">
        <v>539</v>
      </c>
      <c r="K109" s="3" t="s">
        <v>229</v>
      </c>
      <c r="L109" s="3" t="s">
        <v>540</v>
      </c>
      <c r="M109" s="3" t="s">
        <v>541</v>
      </c>
    </row>
    <row r="110" spans="1:13" customFormat="1" ht="188.5" hidden="1" x14ac:dyDescent="0.35">
      <c r="A110" s="3" t="s">
        <v>380</v>
      </c>
      <c r="B110" t="s">
        <v>344</v>
      </c>
      <c r="F110" s="3" t="s">
        <v>515</v>
      </c>
      <c r="G110" s="5" t="s">
        <v>516</v>
      </c>
      <c r="H110" s="3" t="s">
        <v>542</v>
      </c>
      <c r="I110" s="3" t="s">
        <v>543</v>
      </c>
      <c r="J110" s="3" t="s">
        <v>544</v>
      </c>
      <c r="K110" s="3" t="s">
        <v>229</v>
      </c>
      <c r="L110" s="3" t="s">
        <v>545</v>
      </c>
      <c r="M110" s="3" t="s">
        <v>546</v>
      </c>
    </row>
    <row r="111" spans="1:13" customFormat="1" ht="261" hidden="1" x14ac:dyDescent="0.35">
      <c r="A111" s="3" t="s">
        <v>380</v>
      </c>
      <c r="B111" t="s">
        <v>344</v>
      </c>
      <c r="F111" s="3" t="s">
        <v>515</v>
      </c>
      <c r="G111" s="5" t="s">
        <v>516</v>
      </c>
      <c r="H111" s="3" t="s">
        <v>547</v>
      </c>
      <c r="I111" s="3" t="s">
        <v>548</v>
      </c>
      <c r="J111" s="3" t="s">
        <v>549</v>
      </c>
      <c r="K111" s="3" t="s">
        <v>229</v>
      </c>
      <c r="L111" s="3" t="s">
        <v>548</v>
      </c>
      <c r="M111" s="3" t="s">
        <v>550</v>
      </c>
    </row>
    <row r="112" spans="1:13" customFormat="1" hidden="1" x14ac:dyDescent="0.35">
      <c r="A112" s="3" t="s">
        <v>380</v>
      </c>
      <c r="B112" t="s">
        <v>344</v>
      </c>
      <c r="F112" s="3" t="s">
        <v>551</v>
      </c>
      <c r="G112" t="s">
        <v>552</v>
      </c>
      <c r="H112" s="3"/>
      <c r="I112" s="3"/>
      <c r="J112" s="3"/>
      <c r="K112" s="3"/>
      <c r="L112" s="3"/>
      <c r="M112" s="3"/>
    </row>
    <row r="113" spans="1:13" customFormat="1" ht="130.5" hidden="1" x14ac:dyDescent="0.35">
      <c r="A113" s="3" t="s">
        <v>380</v>
      </c>
      <c r="B113" t="s">
        <v>344</v>
      </c>
      <c r="F113" s="3" t="s">
        <v>551</v>
      </c>
      <c r="G113" t="s">
        <v>552</v>
      </c>
      <c r="H113" s="3" t="s">
        <v>553</v>
      </c>
      <c r="I113" s="3" t="s">
        <v>554</v>
      </c>
      <c r="J113" s="3" t="s">
        <v>555</v>
      </c>
      <c r="K113" s="3" t="s">
        <v>229</v>
      </c>
      <c r="L113" s="3" t="s">
        <v>556</v>
      </c>
      <c r="M113" s="3" t="s">
        <v>557</v>
      </c>
    </row>
    <row r="114" spans="1:13" customFormat="1" ht="409.5" hidden="1" x14ac:dyDescent="0.35">
      <c r="A114" s="3" t="s">
        <v>380</v>
      </c>
      <c r="B114" t="s">
        <v>344</v>
      </c>
      <c r="F114" s="3" t="s">
        <v>551</v>
      </c>
      <c r="G114" t="s">
        <v>552</v>
      </c>
      <c r="H114" s="3" t="s">
        <v>558</v>
      </c>
      <c r="I114" s="3" t="s">
        <v>559</v>
      </c>
      <c r="J114" s="3" t="s">
        <v>560</v>
      </c>
      <c r="K114" s="3" t="s">
        <v>561</v>
      </c>
      <c r="L114" s="3" t="s">
        <v>562</v>
      </c>
      <c r="M114" s="3" t="s">
        <v>563</v>
      </c>
    </row>
    <row r="115" spans="1:13" customFormat="1" ht="58" hidden="1" x14ac:dyDescent="0.35">
      <c r="A115" s="3" t="s">
        <v>380</v>
      </c>
      <c r="B115" t="s">
        <v>344</v>
      </c>
      <c r="F115" s="3" t="s">
        <v>551</v>
      </c>
      <c r="G115" t="s">
        <v>552</v>
      </c>
      <c r="H115" s="3" t="s">
        <v>564</v>
      </c>
      <c r="I115" s="3" t="s">
        <v>565</v>
      </c>
      <c r="J115" s="3"/>
      <c r="K115" s="3" t="s">
        <v>229</v>
      </c>
      <c r="L115" s="3" t="s">
        <v>566</v>
      </c>
      <c r="M115" s="3" t="s">
        <v>567</v>
      </c>
    </row>
    <row r="116" spans="1:13" customFormat="1" ht="130.5" hidden="1" x14ac:dyDescent="0.35">
      <c r="A116" s="3" t="s">
        <v>380</v>
      </c>
      <c r="B116" t="s">
        <v>344</v>
      </c>
      <c r="F116" s="3" t="s">
        <v>551</v>
      </c>
      <c r="G116" t="s">
        <v>552</v>
      </c>
      <c r="H116" s="3" t="s">
        <v>568</v>
      </c>
      <c r="I116" s="3" t="s">
        <v>565</v>
      </c>
      <c r="J116" s="3" t="s">
        <v>569</v>
      </c>
      <c r="K116" s="3" t="s">
        <v>570</v>
      </c>
      <c r="L116" s="3" t="s">
        <v>566</v>
      </c>
      <c r="M116" s="3" t="s">
        <v>567</v>
      </c>
    </row>
    <row r="117" spans="1:13" customFormat="1" ht="130.5" hidden="1" x14ac:dyDescent="0.35">
      <c r="A117" s="3" t="s">
        <v>380</v>
      </c>
      <c r="B117" t="s">
        <v>344</v>
      </c>
      <c r="F117" s="3" t="s">
        <v>551</v>
      </c>
      <c r="G117" t="s">
        <v>552</v>
      </c>
      <c r="H117" s="3" t="s">
        <v>571</v>
      </c>
      <c r="I117" s="3" t="s">
        <v>565</v>
      </c>
      <c r="J117" s="3" t="s">
        <v>572</v>
      </c>
      <c r="K117" s="3" t="s">
        <v>570</v>
      </c>
      <c r="L117" s="3" t="s">
        <v>566</v>
      </c>
      <c r="M117" s="3" t="s">
        <v>567</v>
      </c>
    </row>
    <row r="118" spans="1:13" customFormat="1" ht="58" hidden="1" x14ac:dyDescent="0.35">
      <c r="A118" s="3" t="s">
        <v>380</v>
      </c>
      <c r="F118" s="3" t="s">
        <v>573</v>
      </c>
      <c r="G118" s="3" t="s">
        <v>345</v>
      </c>
      <c r="H118" s="3" t="s">
        <v>346</v>
      </c>
      <c r="I118" s="3" t="s">
        <v>574</v>
      </c>
      <c r="J118" s="3"/>
      <c r="K118" s="3" t="s">
        <v>229</v>
      </c>
      <c r="L118" s="3" t="s">
        <v>575</v>
      </c>
      <c r="M118" s="3" t="s">
        <v>576</v>
      </c>
    </row>
    <row r="119" spans="1:13" customFormat="1" ht="58" hidden="1" x14ac:dyDescent="0.35">
      <c r="A119" s="3" t="s">
        <v>380</v>
      </c>
      <c r="F119" s="3" t="s">
        <v>573</v>
      </c>
      <c r="G119" s="3" t="s">
        <v>345</v>
      </c>
      <c r="H119" s="3" t="s">
        <v>577</v>
      </c>
      <c r="I119" s="3" t="s">
        <v>578</v>
      </c>
      <c r="J119" s="3"/>
      <c r="K119" s="3" t="s">
        <v>229</v>
      </c>
      <c r="L119" s="3" t="s">
        <v>579</v>
      </c>
      <c r="M119" s="3" t="s">
        <v>580</v>
      </c>
    </row>
    <row r="120" spans="1:13" customFormat="1" ht="58" hidden="1" x14ac:dyDescent="0.35">
      <c r="A120" s="3" t="s">
        <v>380</v>
      </c>
      <c r="F120" s="3" t="s">
        <v>573</v>
      </c>
      <c r="G120" s="3" t="s">
        <v>345</v>
      </c>
      <c r="H120" s="3" t="s">
        <v>581</v>
      </c>
      <c r="I120" s="3" t="s">
        <v>582</v>
      </c>
      <c r="J120" s="3"/>
      <c r="K120" s="3" t="s">
        <v>229</v>
      </c>
      <c r="L120" s="3" t="s">
        <v>583</v>
      </c>
      <c r="M120" s="3" t="s">
        <v>584</v>
      </c>
    </row>
    <row r="121" spans="1:13" customFormat="1" ht="58" hidden="1" x14ac:dyDescent="0.35">
      <c r="A121" s="3" t="s">
        <v>380</v>
      </c>
      <c r="F121" s="3" t="s">
        <v>573</v>
      </c>
      <c r="G121" s="3" t="s">
        <v>345</v>
      </c>
      <c r="H121" s="3" t="s">
        <v>585</v>
      </c>
      <c r="I121" s="3" t="s">
        <v>586</v>
      </c>
      <c r="J121" s="3"/>
      <c r="K121" s="3" t="s">
        <v>229</v>
      </c>
      <c r="L121" s="3" t="s">
        <v>587</v>
      </c>
      <c r="M121" s="3" t="s">
        <v>588</v>
      </c>
    </row>
    <row r="122" spans="1:13" customFormat="1" ht="58" hidden="1" x14ac:dyDescent="0.35">
      <c r="A122" s="3" t="s">
        <v>380</v>
      </c>
      <c r="F122" s="3" t="s">
        <v>573</v>
      </c>
      <c r="G122" s="3" t="s">
        <v>345</v>
      </c>
      <c r="H122" s="3" t="s">
        <v>589</v>
      </c>
      <c r="I122" s="3" t="s">
        <v>590</v>
      </c>
      <c r="J122" s="3"/>
      <c r="K122" s="3" t="s">
        <v>229</v>
      </c>
      <c r="L122" s="3" t="s">
        <v>591</v>
      </c>
      <c r="M122" s="3" t="s">
        <v>592</v>
      </c>
    </row>
    <row r="123" spans="1:13" customFormat="1" ht="58" hidden="1" x14ac:dyDescent="0.35">
      <c r="A123" s="3" t="s">
        <v>380</v>
      </c>
      <c r="F123" s="3" t="s">
        <v>573</v>
      </c>
      <c r="G123" s="3" t="s">
        <v>345</v>
      </c>
      <c r="H123" s="3" t="s">
        <v>593</v>
      </c>
      <c r="I123" s="3" t="s">
        <v>594</v>
      </c>
      <c r="J123" s="3"/>
      <c r="K123" s="3" t="s">
        <v>229</v>
      </c>
      <c r="L123" s="3" t="s">
        <v>595</v>
      </c>
      <c r="M123" s="3" t="s">
        <v>596</v>
      </c>
    </row>
    <row r="124" spans="1:13" customFormat="1" ht="58" hidden="1" x14ac:dyDescent="0.35">
      <c r="A124" s="3" t="s">
        <v>380</v>
      </c>
      <c r="F124" s="3" t="s">
        <v>378</v>
      </c>
      <c r="G124" s="3" t="s">
        <v>597</v>
      </c>
      <c r="H124" s="3" t="s">
        <v>381</v>
      </c>
      <c r="I124" s="3" t="s">
        <v>598</v>
      </c>
      <c r="J124" s="3"/>
      <c r="K124" s="3" t="s">
        <v>229</v>
      </c>
      <c r="L124" s="3" t="s">
        <v>599</v>
      </c>
      <c r="M124" s="3" t="s">
        <v>600</v>
      </c>
    </row>
    <row r="125" spans="1:13" customFormat="1" ht="58" hidden="1" x14ac:dyDescent="0.35">
      <c r="A125" s="3" t="s">
        <v>380</v>
      </c>
      <c r="F125" s="3" t="s">
        <v>378</v>
      </c>
      <c r="G125" s="3" t="s">
        <v>597</v>
      </c>
      <c r="H125" s="3" t="s">
        <v>413</v>
      </c>
      <c r="I125" s="3" t="s">
        <v>601</v>
      </c>
      <c r="J125" s="3"/>
      <c r="K125" s="3" t="s">
        <v>229</v>
      </c>
      <c r="L125" s="3" t="s">
        <v>602</v>
      </c>
      <c r="M125" s="3" t="s">
        <v>603</v>
      </c>
    </row>
    <row r="126" spans="1:13" customFormat="1" ht="145" hidden="1" x14ac:dyDescent="0.35">
      <c r="A126" s="3" t="s">
        <v>380</v>
      </c>
      <c r="F126" s="3" t="s">
        <v>378</v>
      </c>
      <c r="G126" s="3" t="s">
        <v>597</v>
      </c>
      <c r="H126" s="3" t="s">
        <v>423</v>
      </c>
      <c r="I126" s="3" t="s">
        <v>604</v>
      </c>
      <c r="J126" s="3"/>
      <c r="K126" s="3" t="s">
        <v>605</v>
      </c>
      <c r="L126" s="3" t="s">
        <v>606</v>
      </c>
      <c r="M126" s="3" t="s">
        <v>607</v>
      </c>
    </row>
    <row r="127" spans="1:13" customFormat="1" ht="145" hidden="1" x14ac:dyDescent="0.35">
      <c r="A127" s="3" t="s">
        <v>608</v>
      </c>
      <c r="F127" s="3" t="s">
        <v>378</v>
      </c>
      <c r="G127" s="3" t="s">
        <v>597</v>
      </c>
      <c r="H127" s="3" t="s">
        <v>433</v>
      </c>
      <c r="I127" s="3" t="s">
        <v>609</v>
      </c>
      <c r="J127" s="3"/>
      <c r="K127" s="3" t="s">
        <v>421</v>
      </c>
      <c r="L127" s="3" t="s">
        <v>610</v>
      </c>
      <c r="M127" s="3" t="s">
        <v>611</v>
      </c>
    </row>
    <row r="128" spans="1:13" customFormat="1" ht="58" hidden="1" x14ac:dyDescent="0.35">
      <c r="A128" s="3" t="s">
        <v>608</v>
      </c>
      <c r="F128" s="3" t="s">
        <v>378</v>
      </c>
      <c r="G128" s="3" t="s">
        <v>597</v>
      </c>
      <c r="H128" s="3" t="s">
        <v>451</v>
      </c>
      <c r="I128" s="3" t="s">
        <v>612</v>
      </c>
      <c r="J128" s="3"/>
      <c r="K128" s="3" t="s">
        <v>229</v>
      </c>
      <c r="L128" s="3" t="s">
        <v>613</v>
      </c>
      <c r="M128" s="3" t="s">
        <v>614</v>
      </c>
    </row>
    <row r="129" spans="1:13" customFormat="1" ht="58" hidden="1" x14ac:dyDescent="0.35">
      <c r="A129" s="3" t="s">
        <v>608</v>
      </c>
      <c r="F129" s="3" t="s">
        <v>378</v>
      </c>
      <c r="G129" s="3" t="s">
        <v>597</v>
      </c>
      <c r="H129" s="3" t="s">
        <v>468</v>
      </c>
      <c r="I129" s="3" t="s">
        <v>615</v>
      </c>
      <c r="J129" s="3"/>
      <c r="K129" s="3" t="s">
        <v>229</v>
      </c>
      <c r="L129" s="3" t="s">
        <v>616</v>
      </c>
      <c r="M129" s="3" t="s">
        <v>617</v>
      </c>
    </row>
    <row r="130" spans="1:13" customFormat="1" ht="58" hidden="1" x14ac:dyDescent="0.35">
      <c r="A130" s="3" t="s">
        <v>608</v>
      </c>
      <c r="F130" s="3" t="s">
        <v>378</v>
      </c>
      <c r="G130" s="3" t="s">
        <v>597</v>
      </c>
      <c r="H130" s="3" t="s">
        <v>484</v>
      </c>
      <c r="I130" s="3" t="s">
        <v>618</v>
      </c>
      <c r="J130" s="3"/>
      <c r="K130" s="3" t="s">
        <v>229</v>
      </c>
      <c r="L130" s="3" t="s">
        <v>619</v>
      </c>
      <c r="M130" s="3" t="s">
        <v>620</v>
      </c>
    </row>
    <row r="131" spans="1:13" customFormat="1" ht="58" hidden="1" x14ac:dyDescent="0.35">
      <c r="A131" s="3" t="s">
        <v>608</v>
      </c>
      <c r="F131" s="3" t="s">
        <v>378</v>
      </c>
      <c r="G131" s="3" t="s">
        <v>597</v>
      </c>
      <c r="H131" s="3" t="s">
        <v>494</v>
      </c>
      <c r="I131" s="3" t="s">
        <v>621</v>
      </c>
      <c r="J131" s="3"/>
      <c r="K131" s="3" t="s">
        <v>229</v>
      </c>
      <c r="L131" s="3" t="s">
        <v>622</v>
      </c>
      <c r="M131" s="3" t="s">
        <v>623</v>
      </c>
    </row>
    <row r="132" spans="1:13" customFormat="1" ht="58" hidden="1" x14ac:dyDescent="0.35">
      <c r="A132" s="3" t="s">
        <v>608</v>
      </c>
      <c r="F132" s="3" t="s">
        <v>624</v>
      </c>
      <c r="G132" s="3" t="s">
        <v>516</v>
      </c>
      <c r="H132" s="3" t="s">
        <v>547</v>
      </c>
      <c r="I132" s="3" t="s">
        <v>625</v>
      </c>
      <c r="J132" s="3"/>
      <c r="K132" s="3" t="s">
        <v>229</v>
      </c>
      <c r="L132" s="3" t="s">
        <v>626</v>
      </c>
      <c r="M132" s="3" t="s">
        <v>627</v>
      </c>
    </row>
    <row r="133" spans="1:13" customFormat="1" ht="58" hidden="1" x14ac:dyDescent="0.35">
      <c r="A133" s="3" t="s">
        <v>608</v>
      </c>
      <c r="F133" s="3" t="s">
        <v>624</v>
      </c>
      <c r="G133" s="3" t="s">
        <v>516</v>
      </c>
      <c r="H133" s="3" t="s">
        <v>553</v>
      </c>
      <c r="I133" s="3" t="s">
        <v>628</v>
      </c>
      <c r="J133" s="3"/>
      <c r="K133" s="3" t="s">
        <v>229</v>
      </c>
      <c r="L133" s="3" t="s">
        <v>629</v>
      </c>
      <c r="M133" s="3" t="s">
        <v>630</v>
      </c>
    </row>
    <row r="134" spans="1:13" customFormat="1" ht="58" hidden="1" x14ac:dyDescent="0.35">
      <c r="A134" s="3" t="s">
        <v>608</v>
      </c>
      <c r="F134" s="3" t="s">
        <v>624</v>
      </c>
      <c r="G134" s="3" t="s">
        <v>516</v>
      </c>
      <c r="H134" s="3" t="s">
        <v>558</v>
      </c>
      <c r="I134" s="3" t="s">
        <v>631</v>
      </c>
      <c r="J134" s="3"/>
      <c r="K134" s="3" t="s">
        <v>229</v>
      </c>
      <c r="L134" s="3" t="s">
        <v>632</v>
      </c>
      <c r="M134" s="3" t="s">
        <v>633</v>
      </c>
    </row>
    <row r="135" spans="1:13" customFormat="1" ht="58" hidden="1" x14ac:dyDescent="0.35">
      <c r="A135" s="3" t="s">
        <v>608</v>
      </c>
      <c r="F135" s="3" t="s">
        <v>624</v>
      </c>
      <c r="G135" s="3" t="s">
        <v>516</v>
      </c>
      <c r="H135" s="3" t="s">
        <v>564</v>
      </c>
      <c r="I135" s="3" t="s">
        <v>634</v>
      </c>
      <c r="J135" s="3"/>
      <c r="K135" s="3" t="s">
        <v>229</v>
      </c>
      <c r="L135" s="3" t="s">
        <v>635</v>
      </c>
      <c r="M135" s="3" t="s">
        <v>636</v>
      </c>
    </row>
    <row r="136" spans="1:13" customFormat="1" ht="58" hidden="1" x14ac:dyDescent="0.35">
      <c r="A136" s="3" t="s">
        <v>608</v>
      </c>
      <c r="F136" s="3" t="s">
        <v>624</v>
      </c>
      <c r="G136" s="3" t="s">
        <v>516</v>
      </c>
      <c r="H136" s="3" t="s">
        <v>637</v>
      </c>
      <c r="I136" s="3" t="s">
        <v>638</v>
      </c>
      <c r="J136" s="3"/>
      <c r="K136" s="3" t="s">
        <v>229</v>
      </c>
      <c r="L136" s="3" t="s">
        <v>639</v>
      </c>
      <c r="M136" s="3" t="s">
        <v>640</v>
      </c>
    </row>
    <row r="137" spans="1:13" customFormat="1" ht="101.5" hidden="1" x14ac:dyDescent="0.35">
      <c r="A137" s="3" t="s">
        <v>608</v>
      </c>
      <c r="F137" s="3" t="s">
        <v>551</v>
      </c>
      <c r="G137" s="3" t="s">
        <v>552</v>
      </c>
      <c r="H137" s="3" t="s">
        <v>641</v>
      </c>
      <c r="I137" s="3" t="s">
        <v>559</v>
      </c>
      <c r="J137" s="3"/>
      <c r="K137" s="3" t="s">
        <v>642</v>
      </c>
      <c r="L137" s="3" t="s">
        <v>559</v>
      </c>
      <c r="M137" s="3" t="s">
        <v>643</v>
      </c>
    </row>
    <row r="138" spans="1:13" customFormat="1" ht="58" hidden="1" x14ac:dyDescent="0.35">
      <c r="A138" s="3" t="s">
        <v>608</v>
      </c>
      <c r="F138" t="s">
        <v>573</v>
      </c>
      <c r="G138" s="3" t="s">
        <v>345</v>
      </c>
      <c r="H138" s="3" t="s">
        <v>346</v>
      </c>
      <c r="I138" s="3" t="s">
        <v>644</v>
      </c>
      <c r="J138" s="3"/>
      <c r="K138" s="3" t="s">
        <v>229</v>
      </c>
      <c r="L138" s="3" t="s">
        <v>645</v>
      </c>
      <c r="M138" s="3" t="s">
        <v>646</v>
      </c>
    </row>
    <row r="139" spans="1:13" customFormat="1" ht="58" hidden="1" x14ac:dyDescent="0.35">
      <c r="A139" s="3" t="s">
        <v>608</v>
      </c>
      <c r="F139" t="s">
        <v>573</v>
      </c>
      <c r="G139" s="3" t="s">
        <v>345</v>
      </c>
      <c r="H139" s="3" t="s">
        <v>350</v>
      </c>
      <c r="I139" s="3" t="s">
        <v>647</v>
      </c>
      <c r="J139" s="3"/>
      <c r="K139" s="3" t="s">
        <v>229</v>
      </c>
      <c r="L139" s="3" t="s">
        <v>648</v>
      </c>
      <c r="M139" s="3" t="s">
        <v>649</v>
      </c>
    </row>
    <row r="140" spans="1:13" customFormat="1" ht="58" hidden="1" x14ac:dyDescent="0.35">
      <c r="A140" s="3" t="s">
        <v>608</v>
      </c>
      <c r="F140" t="s">
        <v>573</v>
      </c>
      <c r="G140" s="3" t="s">
        <v>345</v>
      </c>
      <c r="H140" s="3" t="s">
        <v>354</v>
      </c>
      <c r="I140" s="3" t="s">
        <v>650</v>
      </c>
      <c r="J140" s="3"/>
      <c r="K140" s="3" t="s">
        <v>229</v>
      </c>
      <c r="L140" s="3" t="s">
        <v>651</v>
      </c>
      <c r="M140" s="3" t="s">
        <v>652</v>
      </c>
    </row>
    <row r="141" spans="1:13" customFormat="1" ht="72.5" hidden="1" x14ac:dyDescent="0.35">
      <c r="A141" s="3" t="s">
        <v>608</v>
      </c>
      <c r="F141" t="s">
        <v>573</v>
      </c>
      <c r="G141" s="3" t="s">
        <v>345</v>
      </c>
      <c r="H141" s="3" t="s">
        <v>358</v>
      </c>
      <c r="I141" s="3" t="s">
        <v>653</v>
      </c>
      <c r="J141" s="3"/>
      <c r="K141" s="3" t="s">
        <v>229</v>
      </c>
      <c r="L141" s="3" t="s">
        <v>654</v>
      </c>
      <c r="M141" s="3" t="s">
        <v>655</v>
      </c>
    </row>
    <row r="142" spans="1:13" customFormat="1" ht="58" hidden="1" x14ac:dyDescent="0.35">
      <c r="A142" s="3" t="s">
        <v>608</v>
      </c>
      <c r="F142" t="s">
        <v>573</v>
      </c>
      <c r="G142" s="3" t="s">
        <v>345</v>
      </c>
      <c r="H142" s="3" t="s">
        <v>362</v>
      </c>
      <c r="I142" s="3" t="s">
        <v>656</v>
      </c>
      <c r="J142" s="3"/>
      <c r="K142" s="3" t="s">
        <v>229</v>
      </c>
      <c r="L142" s="3" t="s">
        <v>657</v>
      </c>
      <c r="M142" s="3" t="s">
        <v>658</v>
      </c>
    </row>
    <row r="143" spans="1:13" customFormat="1" ht="58" hidden="1" x14ac:dyDescent="0.35">
      <c r="A143" s="3" t="s">
        <v>608</v>
      </c>
      <c r="F143" t="s">
        <v>573</v>
      </c>
      <c r="G143" s="3" t="s">
        <v>345</v>
      </c>
      <c r="H143" s="3" t="s">
        <v>366</v>
      </c>
      <c r="I143" s="3" t="s">
        <v>659</v>
      </c>
      <c r="J143" s="3"/>
      <c r="K143" s="3" t="s">
        <v>229</v>
      </c>
      <c r="L143" s="3" t="s">
        <v>660</v>
      </c>
      <c r="M143" s="3" t="s">
        <v>661</v>
      </c>
    </row>
    <row r="144" spans="1:13" customFormat="1" ht="58" hidden="1" x14ac:dyDescent="0.35">
      <c r="A144" s="3" t="s">
        <v>608</v>
      </c>
      <c r="F144" t="s">
        <v>573</v>
      </c>
      <c r="G144" s="3" t="s">
        <v>345</v>
      </c>
      <c r="H144" s="3" t="s">
        <v>370</v>
      </c>
      <c r="I144" s="3" t="s">
        <v>662</v>
      </c>
      <c r="J144" s="3"/>
      <c r="K144" s="3" t="s">
        <v>229</v>
      </c>
      <c r="L144" s="3" t="s">
        <v>663</v>
      </c>
      <c r="M144" s="3" t="s">
        <v>664</v>
      </c>
    </row>
    <row r="145" spans="1:13" customFormat="1" ht="58" hidden="1" x14ac:dyDescent="0.35">
      <c r="A145" s="3" t="s">
        <v>608</v>
      </c>
      <c r="F145" t="s">
        <v>573</v>
      </c>
      <c r="G145" s="3" t="s">
        <v>345</v>
      </c>
      <c r="H145" s="3" t="s">
        <v>374</v>
      </c>
      <c r="I145" s="3" t="s">
        <v>665</v>
      </c>
      <c r="J145" s="3"/>
      <c r="K145" s="3" t="s">
        <v>229</v>
      </c>
      <c r="L145" s="3" t="s">
        <v>666</v>
      </c>
      <c r="M145" s="3" t="s">
        <v>667</v>
      </c>
    </row>
    <row r="146" spans="1:13" customFormat="1" ht="58" hidden="1" x14ac:dyDescent="0.35">
      <c r="A146" s="3" t="s">
        <v>608</v>
      </c>
      <c r="F146" t="s">
        <v>573</v>
      </c>
      <c r="G146" s="3" t="s">
        <v>345</v>
      </c>
      <c r="H146" s="3" t="s">
        <v>668</v>
      </c>
      <c r="I146" s="3" t="s">
        <v>669</v>
      </c>
      <c r="J146" s="3"/>
      <c r="K146" s="3" t="s">
        <v>229</v>
      </c>
      <c r="L146" s="3" t="s">
        <v>670</v>
      </c>
      <c r="M146" s="3" t="s">
        <v>671</v>
      </c>
    </row>
    <row r="147" spans="1:13" customFormat="1" ht="145" hidden="1" x14ac:dyDescent="0.35">
      <c r="A147" s="3" t="s">
        <v>672</v>
      </c>
      <c r="F147" t="s">
        <v>573</v>
      </c>
      <c r="G147" s="3" t="s">
        <v>378</v>
      </c>
      <c r="H147" s="3" t="s">
        <v>381</v>
      </c>
      <c r="I147" s="3" t="s">
        <v>673</v>
      </c>
      <c r="J147" s="3"/>
      <c r="K147" s="3" t="s">
        <v>421</v>
      </c>
      <c r="L147" s="3" t="s">
        <v>674</v>
      </c>
      <c r="M147" s="3" t="s">
        <v>675</v>
      </c>
    </row>
    <row r="148" spans="1:13" customFormat="1" ht="58" hidden="1" x14ac:dyDescent="0.35">
      <c r="A148" s="3" t="s">
        <v>672</v>
      </c>
      <c r="F148" t="s">
        <v>573</v>
      </c>
      <c r="G148" s="3" t="s">
        <v>378</v>
      </c>
      <c r="H148" s="3" t="s">
        <v>413</v>
      </c>
      <c r="I148" s="3" t="s">
        <v>676</v>
      </c>
      <c r="J148" s="3"/>
      <c r="K148" s="3" t="s">
        <v>229</v>
      </c>
      <c r="L148" s="3" t="s">
        <v>677</v>
      </c>
      <c r="M148" s="3" t="s">
        <v>678</v>
      </c>
    </row>
    <row r="149" spans="1:13" customFormat="1" ht="145" hidden="1" x14ac:dyDescent="0.35">
      <c r="A149" s="3" t="s">
        <v>672</v>
      </c>
      <c r="F149" t="s">
        <v>573</v>
      </c>
      <c r="G149" s="3" t="s">
        <v>378</v>
      </c>
      <c r="H149" s="3" t="s">
        <v>423</v>
      </c>
      <c r="I149" s="3" t="s">
        <v>679</v>
      </c>
      <c r="J149" s="3"/>
      <c r="K149" s="3" t="s">
        <v>421</v>
      </c>
      <c r="L149" s="3" t="s">
        <v>680</v>
      </c>
      <c r="M149" s="3" t="s">
        <v>681</v>
      </c>
    </row>
    <row r="150" spans="1:13" customFormat="1" ht="145" hidden="1" x14ac:dyDescent="0.35">
      <c r="A150" s="3" t="s">
        <v>672</v>
      </c>
      <c r="F150" t="s">
        <v>573</v>
      </c>
      <c r="G150" s="3" t="s">
        <v>378</v>
      </c>
      <c r="H150" s="3" t="s">
        <v>433</v>
      </c>
      <c r="I150" s="3" t="s">
        <v>682</v>
      </c>
      <c r="J150" s="3"/>
      <c r="K150" s="3" t="s">
        <v>421</v>
      </c>
      <c r="L150" s="3" t="s">
        <v>683</v>
      </c>
      <c r="M150" s="3" t="s">
        <v>684</v>
      </c>
    </row>
    <row r="151" spans="1:13" customFormat="1" ht="58" hidden="1" x14ac:dyDescent="0.35">
      <c r="A151" s="3" t="s">
        <v>672</v>
      </c>
      <c r="F151" t="s">
        <v>573</v>
      </c>
      <c r="G151" s="3" t="s">
        <v>378</v>
      </c>
      <c r="H151" s="3" t="s">
        <v>451</v>
      </c>
      <c r="I151" s="3" t="s">
        <v>685</v>
      </c>
      <c r="J151" s="3"/>
      <c r="K151" s="3" t="s">
        <v>229</v>
      </c>
      <c r="L151" s="3" t="s">
        <v>686</v>
      </c>
      <c r="M151" s="3" t="s">
        <v>687</v>
      </c>
    </row>
    <row r="152" spans="1:13" customFormat="1" ht="58" hidden="1" x14ac:dyDescent="0.35">
      <c r="A152" s="3" t="s">
        <v>672</v>
      </c>
      <c r="F152" t="s">
        <v>573</v>
      </c>
      <c r="G152" s="3" t="s">
        <v>378</v>
      </c>
      <c r="H152" s="3" t="s">
        <v>468</v>
      </c>
      <c r="I152" s="3" t="s">
        <v>688</v>
      </c>
      <c r="J152" s="3"/>
      <c r="K152" s="3" t="s">
        <v>229</v>
      </c>
      <c r="L152" s="3" t="s">
        <v>689</v>
      </c>
      <c r="M152" s="3" t="s">
        <v>690</v>
      </c>
    </row>
    <row r="153" spans="1:13" customFormat="1" ht="145" hidden="1" x14ac:dyDescent="0.35">
      <c r="A153" s="3" t="s">
        <v>672</v>
      </c>
      <c r="F153" t="s">
        <v>573</v>
      </c>
      <c r="G153" s="3" t="s">
        <v>378</v>
      </c>
      <c r="H153" s="3" t="s">
        <v>484</v>
      </c>
      <c r="I153" s="3" t="s">
        <v>691</v>
      </c>
      <c r="J153" s="3"/>
      <c r="K153" s="3" t="s">
        <v>421</v>
      </c>
      <c r="L153" s="3" t="s">
        <v>692</v>
      </c>
      <c r="M153" s="3" t="s">
        <v>693</v>
      </c>
    </row>
    <row r="154" spans="1:13" customFormat="1" ht="58" hidden="1" x14ac:dyDescent="0.35">
      <c r="A154" s="3" t="s">
        <v>672</v>
      </c>
      <c r="F154" t="s">
        <v>573</v>
      </c>
      <c r="G154" s="3" t="s">
        <v>378</v>
      </c>
      <c r="H154" s="3" t="s">
        <v>494</v>
      </c>
      <c r="I154" s="3" t="s">
        <v>694</v>
      </c>
      <c r="J154" s="3"/>
      <c r="K154" s="3" t="s">
        <v>229</v>
      </c>
      <c r="L154" s="3" t="s">
        <v>695</v>
      </c>
      <c r="M154" s="3" t="s">
        <v>696</v>
      </c>
    </row>
    <row r="155" spans="1:13" customFormat="1" ht="145" hidden="1" x14ac:dyDescent="0.35">
      <c r="A155" s="3" t="s">
        <v>672</v>
      </c>
      <c r="F155" t="s">
        <v>573</v>
      </c>
      <c r="G155" s="3" t="s">
        <v>378</v>
      </c>
      <c r="H155" s="3" t="s">
        <v>502</v>
      </c>
      <c r="I155" s="3" t="s">
        <v>697</v>
      </c>
      <c r="J155" s="3"/>
      <c r="K155" s="3" t="s">
        <v>421</v>
      </c>
      <c r="L155" s="3" t="s">
        <v>698</v>
      </c>
      <c r="M155" s="3" t="s">
        <v>699</v>
      </c>
    </row>
    <row r="156" spans="1:13" customFormat="1" ht="58" hidden="1" x14ac:dyDescent="0.35">
      <c r="A156" s="3" t="s">
        <v>672</v>
      </c>
      <c r="F156" t="s">
        <v>573</v>
      </c>
      <c r="G156" s="3" t="s">
        <v>378</v>
      </c>
      <c r="H156" s="3" t="s">
        <v>700</v>
      </c>
      <c r="I156" s="3" t="s">
        <v>701</v>
      </c>
      <c r="J156" s="3"/>
      <c r="K156" s="3" t="s">
        <v>229</v>
      </c>
      <c r="L156" s="3" t="s">
        <v>702</v>
      </c>
      <c r="M156" s="3" t="s">
        <v>703</v>
      </c>
    </row>
    <row r="157" spans="1:13" customFormat="1" ht="145" hidden="1" x14ac:dyDescent="0.35">
      <c r="A157" s="3" t="s">
        <v>672</v>
      </c>
      <c r="F157" t="s">
        <v>573</v>
      </c>
      <c r="G157" s="3" t="s">
        <v>378</v>
      </c>
      <c r="H157" s="3" t="s">
        <v>532</v>
      </c>
      <c r="I157" s="3" t="s">
        <v>704</v>
      </c>
      <c r="J157" s="3"/>
      <c r="K157" s="3" t="s">
        <v>421</v>
      </c>
      <c r="L157" s="3" t="s">
        <v>705</v>
      </c>
      <c r="M157" s="3" t="s">
        <v>706</v>
      </c>
    </row>
    <row r="158" spans="1:13" customFormat="1" ht="58" hidden="1" x14ac:dyDescent="0.35">
      <c r="A158" s="3" t="s">
        <v>672</v>
      </c>
      <c r="F158" t="s">
        <v>573</v>
      </c>
      <c r="G158" s="3" t="s">
        <v>378</v>
      </c>
      <c r="H158" s="3" t="s">
        <v>537</v>
      </c>
      <c r="I158" s="3" t="s">
        <v>707</v>
      </c>
      <c r="J158" s="3"/>
      <c r="K158" s="3" t="s">
        <v>229</v>
      </c>
      <c r="L158" s="3" t="s">
        <v>708</v>
      </c>
      <c r="M158" s="3" t="s">
        <v>709</v>
      </c>
    </row>
    <row r="159" spans="1:13" customFormat="1" ht="58" hidden="1" x14ac:dyDescent="0.35">
      <c r="A159" s="3" t="s">
        <v>672</v>
      </c>
      <c r="F159" t="s">
        <v>573</v>
      </c>
      <c r="G159" s="3" t="s">
        <v>515</v>
      </c>
      <c r="H159" s="3" t="s">
        <v>547</v>
      </c>
      <c r="I159" s="3" t="s">
        <v>710</v>
      </c>
      <c r="J159" s="3"/>
      <c r="K159" s="3" t="s">
        <v>229</v>
      </c>
      <c r="L159" s="3" t="s">
        <v>711</v>
      </c>
      <c r="M159" s="3" t="s">
        <v>712</v>
      </c>
    </row>
    <row r="160" spans="1:13" customFormat="1" ht="145" hidden="1" x14ac:dyDescent="0.35">
      <c r="A160" s="3" t="s">
        <v>672</v>
      </c>
      <c r="F160" t="s">
        <v>573</v>
      </c>
      <c r="G160" s="3" t="s">
        <v>515</v>
      </c>
      <c r="H160" s="3" t="s">
        <v>553</v>
      </c>
      <c r="I160" s="3" t="s">
        <v>713</v>
      </c>
      <c r="J160" s="3"/>
      <c r="K160" s="3" t="s">
        <v>421</v>
      </c>
      <c r="L160" s="3" t="s">
        <v>535</v>
      </c>
      <c r="M160" s="3" t="s">
        <v>714</v>
      </c>
    </row>
    <row r="161" spans="1:13" customFormat="1" ht="58" hidden="1" x14ac:dyDescent="0.35">
      <c r="A161" s="3" t="s">
        <v>672</v>
      </c>
      <c r="F161" t="s">
        <v>573</v>
      </c>
      <c r="G161" s="3" t="s">
        <v>515</v>
      </c>
      <c r="H161" s="3" t="s">
        <v>564</v>
      </c>
      <c r="I161" s="3" t="s">
        <v>715</v>
      </c>
      <c r="J161" s="3"/>
      <c r="K161" s="3" t="s">
        <v>229</v>
      </c>
      <c r="L161" s="3" t="s">
        <v>716</v>
      </c>
      <c r="M161" s="3" t="s">
        <v>717</v>
      </c>
    </row>
    <row r="162" spans="1:13" customFormat="1" ht="145" hidden="1" x14ac:dyDescent="0.35">
      <c r="A162" s="3" t="s">
        <v>672</v>
      </c>
      <c r="F162" t="s">
        <v>573</v>
      </c>
      <c r="G162" s="3" t="s">
        <v>515</v>
      </c>
      <c r="H162" s="3" t="s">
        <v>637</v>
      </c>
      <c r="I162" s="3" t="s">
        <v>718</v>
      </c>
      <c r="J162" s="3"/>
      <c r="K162" s="3" t="s">
        <v>421</v>
      </c>
      <c r="L162" s="3" t="s">
        <v>719</v>
      </c>
      <c r="M162" s="3" t="s">
        <v>720</v>
      </c>
    </row>
    <row r="163" spans="1:13" customFormat="1" ht="145" hidden="1" x14ac:dyDescent="0.35">
      <c r="A163" s="3" t="s">
        <v>672</v>
      </c>
      <c r="F163" t="s">
        <v>573</v>
      </c>
      <c r="G163" s="3" t="s">
        <v>515</v>
      </c>
      <c r="H163" s="3" t="s">
        <v>721</v>
      </c>
      <c r="I163" s="3" t="s">
        <v>722</v>
      </c>
      <c r="J163" s="3"/>
      <c r="K163" s="3" t="s">
        <v>421</v>
      </c>
      <c r="L163" s="3" t="s">
        <v>723</v>
      </c>
      <c r="M163" s="3" t="s">
        <v>724</v>
      </c>
    </row>
    <row r="164" spans="1:13" customFormat="1" ht="145" hidden="1" x14ac:dyDescent="0.35">
      <c r="A164" s="3" t="s">
        <v>672</v>
      </c>
      <c r="F164" t="s">
        <v>573</v>
      </c>
      <c r="G164" s="3" t="s">
        <v>515</v>
      </c>
      <c r="H164" s="3" t="s">
        <v>725</v>
      </c>
      <c r="I164" s="3" t="s">
        <v>726</v>
      </c>
      <c r="J164" s="3"/>
      <c r="K164" s="3" t="s">
        <v>421</v>
      </c>
      <c r="L164" s="3" t="s">
        <v>727</v>
      </c>
      <c r="M164" s="3" t="s">
        <v>728</v>
      </c>
    </row>
    <row r="165" spans="1:13" customFormat="1" ht="58" hidden="1" x14ac:dyDescent="0.35">
      <c r="A165" s="3" t="s">
        <v>672</v>
      </c>
      <c r="F165" t="s">
        <v>573</v>
      </c>
      <c r="G165" s="3" t="s">
        <v>515</v>
      </c>
      <c r="H165" s="3" t="s">
        <v>729</v>
      </c>
      <c r="I165" s="3" t="s">
        <v>730</v>
      </c>
      <c r="J165" s="3"/>
      <c r="K165" s="3" t="s">
        <v>229</v>
      </c>
      <c r="L165" s="3" t="s">
        <v>731</v>
      </c>
      <c r="M165" s="3" t="s">
        <v>732</v>
      </c>
    </row>
    <row r="166" spans="1:13" customFormat="1" ht="58" hidden="1" x14ac:dyDescent="0.35">
      <c r="A166" s="3" t="s">
        <v>672</v>
      </c>
      <c r="F166" t="s">
        <v>573</v>
      </c>
      <c r="G166" s="3" t="s">
        <v>515</v>
      </c>
      <c r="H166" s="3" t="s">
        <v>733</v>
      </c>
      <c r="I166" s="3" t="s">
        <v>734</v>
      </c>
      <c r="J166" s="3"/>
      <c r="K166" s="3" t="s">
        <v>229</v>
      </c>
      <c r="L166" s="3" t="s">
        <v>735</v>
      </c>
      <c r="M166" s="3" t="s">
        <v>736</v>
      </c>
    </row>
    <row r="167" spans="1:13" customFormat="1" ht="145" hidden="1" x14ac:dyDescent="0.35">
      <c r="A167" s="3" t="s">
        <v>672</v>
      </c>
      <c r="F167" t="s">
        <v>573</v>
      </c>
      <c r="G167" s="3" t="s">
        <v>515</v>
      </c>
      <c r="H167" s="3" t="s">
        <v>737</v>
      </c>
      <c r="I167" s="3" t="s">
        <v>738</v>
      </c>
      <c r="J167" s="3"/>
      <c r="K167" s="3" t="s">
        <v>421</v>
      </c>
      <c r="L167" s="3" t="s">
        <v>548</v>
      </c>
      <c r="M167" s="3" t="s">
        <v>739</v>
      </c>
    </row>
    <row r="168" spans="1:13" customFormat="1" ht="145" hidden="1" x14ac:dyDescent="0.35">
      <c r="A168" s="3" t="s">
        <v>672</v>
      </c>
      <c r="F168" t="s">
        <v>573</v>
      </c>
      <c r="G168" s="3" t="s">
        <v>551</v>
      </c>
      <c r="H168" s="3" t="s">
        <v>740</v>
      </c>
      <c r="I168" s="3" t="s">
        <v>741</v>
      </c>
      <c r="J168" s="3"/>
      <c r="K168" s="3" t="s">
        <v>421</v>
      </c>
      <c r="L168" s="3" t="s">
        <v>742</v>
      </c>
      <c r="M168" s="3" t="s">
        <v>743</v>
      </c>
    </row>
    <row r="169" spans="1:13" customFormat="1" ht="58" hidden="1" x14ac:dyDescent="0.35">
      <c r="A169" s="3" t="s">
        <v>672</v>
      </c>
      <c r="F169" t="s">
        <v>573</v>
      </c>
      <c r="G169" s="3" t="s">
        <v>551</v>
      </c>
      <c r="H169" s="3" t="s">
        <v>744</v>
      </c>
      <c r="I169" s="3" t="s">
        <v>745</v>
      </c>
      <c r="J169" s="3"/>
      <c r="K169" s="3" t="s">
        <v>229</v>
      </c>
      <c r="L169" s="3" t="s">
        <v>746</v>
      </c>
      <c r="M169" s="3" t="s">
        <v>747</v>
      </c>
    </row>
    <row r="170" spans="1:13" customFormat="1" ht="58" hidden="1" x14ac:dyDescent="0.35">
      <c r="A170" s="3" t="s">
        <v>672</v>
      </c>
      <c r="F170" t="s">
        <v>573</v>
      </c>
      <c r="G170" s="3" t="s">
        <v>551</v>
      </c>
      <c r="H170" s="3" t="s">
        <v>748</v>
      </c>
      <c r="I170" s="3" t="s">
        <v>749</v>
      </c>
      <c r="J170" s="3"/>
      <c r="K170" s="3" t="s">
        <v>229</v>
      </c>
      <c r="L170" s="3" t="s">
        <v>750</v>
      </c>
      <c r="M170" s="3" t="s">
        <v>751</v>
      </c>
    </row>
    <row r="171" spans="1:13" customFormat="1" ht="174" hidden="1" x14ac:dyDescent="0.35">
      <c r="A171" s="3" t="s">
        <v>672</v>
      </c>
      <c r="F171" t="s">
        <v>573</v>
      </c>
      <c r="G171" s="3" t="s">
        <v>551</v>
      </c>
      <c r="H171" s="3" t="s">
        <v>641</v>
      </c>
      <c r="I171" s="3" t="s">
        <v>752</v>
      </c>
      <c r="J171" s="3"/>
      <c r="K171" s="3" t="s">
        <v>753</v>
      </c>
      <c r="L171" s="3" t="s">
        <v>754</v>
      </c>
      <c r="M171" s="3" t="s">
        <v>755</v>
      </c>
    </row>
    <row r="172" spans="1:13" customFormat="1" ht="72.5" hidden="1" x14ac:dyDescent="0.35">
      <c r="A172" s="3" t="s">
        <v>672</v>
      </c>
      <c r="F172" t="s">
        <v>573</v>
      </c>
      <c r="G172" s="3" t="s">
        <v>551</v>
      </c>
      <c r="H172" s="3" t="s">
        <v>756</v>
      </c>
      <c r="I172" s="3" t="s">
        <v>757</v>
      </c>
      <c r="J172" s="3"/>
      <c r="K172" s="3" t="s">
        <v>758</v>
      </c>
      <c r="L172" s="3" t="s">
        <v>759</v>
      </c>
      <c r="M172" s="3" t="s">
        <v>760</v>
      </c>
    </row>
    <row r="173" spans="1:13" customFormat="1" ht="58" hidden="1" x14ac:dyDescent="0.35">
      <c r="A173" s="3" t="s">
        <v>672</v>
      </c>
      <c r="F173" t="s">
        <v>573</v>
      </c>
      <c r="G173" s="3" t="s">
        <v>551</v>
      </c>
      <c r="H173" s="3" t="s">
        <v>761</v>
      </c>
      <c r="I173" s="3" t="s">
        <v>762</v>
      </c>
      <c r="J173" s="3"/>
      <c r="K173" s="3" t="s">
        <v>229</v>
      </c>
      <c r="L173" s="3" t="s">
        <v>763</v>
      </c>
      <c r="M173" s="3" t="s">
        <v>764</v>
      </c>
    </row>
    <row r="174" spans="1:13" customFormat="1" ht="58" hidden="1" x14ac:dyDescent="0.35">
      <c r="A174" s="3" t="s">
        <v>672</v>
      </c>
      <c r="F174" t="s">
        <v>573</v>
      </c>
      <c r="G174" s="3" t="s">
        <v>551</v>
      </c>
      <c r="H174" s="3" t="s">
        <v>765</v>
      </c>
      <c r="I174" s="3" t="s">
        <v>766</v>
      </c>
      <c r="J174" s="3"/>
      <c r="K174" s="3" t="s">
        <v>229</v>
      </c>
      <c r="L174" s="3" t="s">
        <v>767</v>
      </c>
      <c r="M174" s="3" t="s">
        <v>768</v>
      </c>
    </row>
    <row r="175" spans="1:13" customFormat="1" ht="58" hidden="1" x14ac:dyDescent="0.35">
      <c r="A175" s="3" t="s">
        <v>672</v>
      </c>
      <c r="F175" t="s">
        <v>573</v>
      </c>
      <c r="G175" s="3" t="s">
        <v>551</v>
      </c>
      <c r="H175" s="3" t="s">
        <v>769</v>
      </c>
      <c r="I175" s="3" t="s">
        <v>770</v>
      </c>
      <c r="J175" s="3"/>
      <c r="K175" s="3" t="s">
        <v>229</v>
      </c>
      <c r="L175" s="3" t="s">
        <v>771</v>
      </c>
      <c r="M175" s="3" t="s">
        <v>772</v>
      </c>
    </row>
    <row r="176" spans="1:13" customFormat="1" ht="58" hidden="1" x14ac:dyDescent="0.35">
      <c r="A176" s="3" t="s">
        <v>672</v>
      </c>
      <c r="F176" t="s">
        <v>573</v>
      </c>
      <c r="G176" s="3" t="s">
        <v>551</v>
      </c>
      <c r="H176" s="3" t="s">
        <v>773</v>
      </c>
      <c r="I176" s="3" t="s">
        <v>774</v>
      </c>
      <c r="J176" s="3"/>
      <c r="K176" s="3" t="s">
        <v>229</v>
      </c>
      <c r="L176" s="3" t="s">
        <v>775</v>
      </c>
      <c r="M176" s="3" t="s">
        <v>776</v>
      </c>
    </row>
    <row r="177" spans="1:13" customFormat="1" ht="58" hidden="1" x14ac:dyDescent="0.35">
      <c r="A177" s="3" t="s">
        <v>672</v>
      </c>
      <c r="F177" t="s">
        <v>573</v>
      </c>
      <c r="G177" s="3" t="s">
        <v>551</v>
      </c>
      <c r="H177" s="3" t="s">
        <v>777</v>
      </c>
      <c r="I177" s="3" t="s">
        <v>778</v>
      </c>
      <c r="J177" s="3"/>
      <c r="K177" s="3" t="s">
        <v>229</v>
      </c>
      <c r="L177" s="3" t="s">
        <v>779</v>
      </c>
      <c r="M177" s="3" t="s">
        <v>780</v>
      </c>
    </row>
    <row r="178" spans="1:13" customFormat="1" ht="409.5" hidden="1" x14ac:dyDescent="0.35">
      <c r="A178" s="3" t="s">
        <v>672</v>
      </c>
      <c r="F178" s="3" t="s">
        <v>781</v>
      </c>
      <c r="G178" s="3"/>
      <c r="H178" s="3" t="s">
        <v>782</v>
      </c>
      <c r="I178" s="3"/>
      <c r="J178" s="3" t="s">
        <v>783</v>
      </c>
      <c r="K178" s="3" t="s">
        <v>784</v>
      </c>
      <c r="L178" s="3" t="s">
        <v>785</v>
      </c>
    </row>
    <row r="179" spans="1:13" customFormat="1" ht="333.5" hidden="1" x14ac:dyDescent="0.35">
      <c r="A179" s="3" t="s">
        <v>672</v>
      </c>
      <c r="F179" s="3" t="s">
        <v>781</v>
      </c>
      <c r="G179" s="3"/>
      <c r="H179" s="3" t="s">
        <v>786</v>
      </c>
      <c r="I179" s="3"/>
      <c r="J179" s="3" t="s">
        <v>229</v>
      </c>
      <c r="K179" s="3" t="s">
        <v>787</v>
      </c>
      <c r="L179" s="3" t="s">
        <v>788</v>
      </c>
    </row>
    <row r="180" spans="1:13" customFormat="1" ht="101.5" hidden="1" x14ac:dyDescent="0.35">
      <c r="A180" s="3" t="s">
        <v>672</v>
      </c>
      <c r="F180" s="3" t="s">
        <v>781</v>
      </c>
      <c r="G180" s="3"/>
      <c r="H180" s="3" t="s">
        <v>789</v>
      </c>
      <c r="I180" s="3"/>
      <c r="J180" s="3" t="s">
        <v>229</v>
      </c>
      <c r="K180" s="3" t="s">
        <v>790</v>
      </c>
      <c r="L180" s="3" t="s">
        <v>791</v>
      </c>
    </row>
    <row r="181" spans="1:13" customFormat="1" ht="232" hidden="1" x14ac:dyDescent="0.35">
      <c r="A181" s="3" t="s">
        <v>672</v>
      </c>
      <c r="F181" s="3" t="s">
        <v>781</v>
      </c>
      <c r="G181" s="3"/>
      <c r="H181" s="3" t="s">
        <v>792</v>
      </c>
      <c r="I181" s="3"/>
      <c r="J181" s="3" t="s">
        <v>248</v>
      </c>
      <c r="K181" s="3" t="s">
        <v>793</v>
      </c>
      <c r="L181" s="3" t="s">
        <v>794</v>
      </c>
    </row>
    <row r="182" spans="1:13" customFormat="1" ht="333.5" hidden="1" x14ac:dyDescent="0.35">
      <c r="A182" s="3" t="s">
        <v>672</v>
      </c>
      <c r="F182" s="3" t="s">
        <v>781</v>
      </c>
      <c r="G182" s="3"/>
      <c r="H182" s="3" t="s">
        <v>795</v>
      </c>
      <c r="I182" s="3"/>
      <c r="J182" s="3" t="s">
        <v>253</v>
      </c>
      <c r="K182" s="3" t="s">
        <v>796</v>
      </c>
      <c r="L182" s="3" t="s">
        <v>797</v>
      </c>
    </row>
    <row r="183" spans="1:13" customFormat="1" ht="406" hidden="1" x14ac:dyDescent="0.35">
      <c r="A183" s="3" t="s">
        <v>672</v>
      </c>
      <c r="F183" s="3" t="s">
        <v>781</v>
      </c>
      <c r="G183" s="3"/>
      <c r="H183" s="3" t="s">
        <v>798</v>
      </c>
      <c r="I183" s="3"/>
      <c r="J183" s="3" t="s">
        <v>253</v>
      </c>
      <c r="K183" s="3" t="s">
        <v>799</v>
      </c>
      <c r="L183" s="3" t="s">
        <v>800</v>
      </c>
    </row>
    <row r="184" spans="1:13" customFormat="1" ht="348" hidden="1" x14ac:dyDescent="0.35">
      <c r="A184" s="3" t="s">
        <v>672</v>
      </c>
      <c r="F184" s="3" t="s">
        <v>781</v>
      </c>
      <c r="G184" s="3"/>
      <c r="H184" s="3" t="s">
        <v>801</v>
      </c>
      <c r="I184" s="3"/>
      <c r="J184" s="3" t="s">
        <v>253</v>
      </c>
      <c r="K184" s="3" t="s">
        <v>802</v>
      </c>
      <c r="L184" s="3" t="s">
        <v>803</v>
      </c>
    </row>
    <row r="185" spans="1:13" customFormat="1" ht="188.5" hidden="1" x14ac:dyDescent="0.35">
      <c r="A185" s="3" t="s">
        <v>672</v>
      </c>
      <c r="F185" s="3" t="s">
        <v>570</v>
      </c>
      <c r="G185" s="3"/>
      <c r="H185" s="3" t="s">
        <v>804</v>
      </c>
      <c r="I185" s="3"/>
      <c r="J185" s="3" t="s">
        <v>229</v>
      </c>
      <c r="K185" s="3" t="s">
        <v>805</v>
      </c>
      <c r="L185" s="3" t="s">
        <v>806</v>
      </c>
    </row>
    <row r="186" spans="1:13" customFormat="1" ht="232" hidden="1" x14ac:dyDescent="0.35">
      <c r="A186" s="3" t="s">
        <v>672</v>
      </c>
      <c r="F186" s="3" t="s">
        <v>570</v>
      </c>
      <c r="G186" s="3"/>
      <c r="H186" s="3" t="s">
        <v>807</v>
      </c>
      <c r="I186" s="3"/>
      <c r="J186" s="3" t="s">
        <v>229</v>
      </c>
      <c r="K186" s="3" t="s">
        <v>808</v>
      </c>
      <c r="L186" s="3" t="s">
        <v>809</v>
      </c>
    </row>
    <row r="187" spans="1:13" customFormat="1" ht="203" hidden="1" x14ac:dyDescent="0.35">
      <c r="A187" s="3" t="s">
        <v>810</v>
      </c>
      <c r="F187" s="3" t="s">
        <v>811</v>
      </c>
      <c r="G187" s="3">
        <v>1</v>
      </c>
      <c r="H187" s="3" t="s">
        <v>812</v>
      </c>
      <c r="I187" s="3"/>
      <c r="J187" s="3" t="s">
        <v>229</v>
      </c>
      <c r="K187" s="3" t="s">
        <v>813</v>
      </c>
      <c r="L187" s="3" t="s">
        <v>814</v>
      </c>
    </row>
    <row r="188" spans="1:13" customFormat="1" ht="159.5" hidden="1" x14ac:dyDescent="0.35">
      <c r="A188" s="3" t="s">
        <v>810</v>
      </c>
      <c r="F188" s="3" t="s">
        <v>811</v>
      </c>
      <c r="G188" s="3">
        <v>1</v>
      </c>
      <c r="H188" s="3" t="s">
        <v>815</v>
      </c>
      <c r="I188" s="3"/>
      <c r="J188" s="3" t="s">
        <v>229</v>
      </c>
      <c r="K188" s="3" t="s">
        <v>816</v>
      </c>
      <c r="L188" s="3" t="s">
        <v>817</v>
      </c>
    </row>
    <row r="189" spans="1:13" customFormat="1" ht="261" hidden="1" x14ac:dyDescent="0.35">
      <c r="A189" s="3" t="s">
        <v>810</v>
      </c>
      <c r="F189" s="3" t="s">
        <v>811</v>
      </c>
      <c r="G189" s="3">
        <v>2</v>
      </c>
      <c r="H189" s="3" t="s">
        <v>818</v>
      </c>
      <c r="I189" s="3"/>
      <c r="J189" s="3" t="s">
        <v>229</v>
      </c>
      <c r="K189" s="3" t="s">
        <v>819</v>
      </c>
      <c r="L189" s="3" t="s">
        <v>820</v>
      </c>
    </row>
    <row r="190" spans="1:13" customFormat="1" ht="232" hidden="1" x14ac:dyDescent="0.35">
      <c r="A190" s="3" t="s">
        <v>810</v>
      </c>
      <c r="F190" s="3" t="s">
        <v>821</v>
      </c>
      <c r="G190" s="3"/>
      <c r="H190" s="3" t="s">
        <v>822</v>
      </c>
      <c r="I190" s="3"/>
      <c r="J190" s="3" t="s">
        <v>823</v>
      </c>
      <c r="K190" s="3" t="s">
        <v>824</v>
      </c>
      <c r="L190" s="3" t="s">
        <v>825</v>
      </c>
    </row>
    <row r="191" spans="1:13" customFormat="1" ht="406" hidden="1" x14ac:dyDescent="0.35">
      <c r="A191" s="3" t="s">
        <v>810</v>
      </c>
      <c r="F191" s="3" t="s">
        <v>821</v>
      </c>
      <c r="G191" s="3"/>
      <c r="H191" s="3" t="s">
        <v>826</v>
      </c>
      <c r="I191" s="3"/>
      <c r="J191" s="3" t="s">
        <v>229</v>
      </c>
      <c r="K191" s="3" t="s">
        <v>827</v>
      </c>
      <c r="L191" s="3" t="s">
        <v>828</v>
      </c>
    </row>
    <row r="192" spans="1:13" customFormat="1" ht="362.5" hidden="1" x14ac:dyDescent="0.35">
      <c r="A192" s="3" t="s">
        <v>810</v>
      </c>
      <c r="F192" s="3" t="s">
        <v>821</v>
      </c>
      <c r="G192" s="3"/>
      <c r="H192" s="3" t="s">
        <v>829</v>
      </c>
      <c r="I192" s="3"/>
      <c r="J192" s="3" t="s">
        <v>229</v>
      </c>
      <c r="K192" s="3" t="s">
        <v>830</v>
      </c>
      <c r="L192" s="3" t="s">
        <v>831</v>
      </c>
    </row>
    <row r="193" spans="1:12" customFormat="1" ht="217.5" hidden="1" x14ac:dyDescent="0.35">
      <c r="A193" s="3" t="s">
        <v>810</v>
      </c>
      <c r="B193" t="s">
        <v>344</v>
      </c>
      <c r="F193" s="3" t="s">
        <v>832</v>
      </c>
      <c r="G193" s="3" t="s">
        <v>833</v>
      </c>
      <c r="H193" s="3" t="s">
        <v>834</v>
      </c>
      <c r="I193" s="3"/>
      <c r="J193" s="3" t="s">
        <v>229</v>
      </c>
      <c r="K193" s="3" t="s">
        <v>835</v>
      </c>
      <c r="L193" s="3" t="s">
        <v>836</v>
      </c>
    </row>
    <row r="194" spans="1:12" customFormat="1" ht="409.5" hidden="1" x14ac:dyDescent="0.35">
      <c r="A194" s="3" t="s">
        <v>810</v>
      </c>
      <c r="B194" t="s">
        <v>344</v>
      </c>
      <c r="F194" s="3" t="s">
        <v>832</v>
      </c>
      <c r="G194" s="3" t="s">
        <v>837</v>
      </c>
      <c r="H194" s="3" t="s">
        <v>838</v>
      </c>
      <c r="I194" s="3"/>
      <c r="J194" s="3" t="s">
        <v>839</v>
      </c>
      <c r="K194" s="3" t="s">
        <v>840</v>
      </c>
      <c r="L194" s="3" t="s">
        <v>841</v>
      </c>
    </row>
    <row r="195" spans="1:12" customFormat="1" ht="409.5" hidden="1" x14ac:dyDescent="0.35">
      <c r="A195" s="3" t="s">
        <v>810</v>
      </c>
      <c r="B195" t="s">
        <v>344</v>
      </c>
      <c r="F195" s="3" t="s">
        <v>842</v>
      </c>
      <c r="G195" s="3" t="s">
        <v>843</v>
      </c>
      <c r="H195" s="3" t="s">
        <v>844</v>
      </c>
      <c r="I195" s="3"/>
      <c r="J195" s="3" t="s">
        <v>229</v>
      </c>
      <c r="K195" s="3" t="s">
        <v>845</v>
      </c>
      <c r="L195" s="3" t="s">
        <v>846</v>
      </c>
    </row>
    <row r="196" spans="1:12" customFormat="1" ht="409.5" hidden="1" x14ac:dyDescent="0.35">
      <c r="A196" s="3" t="s">
        <v>810</v>
      </c>
      <c r="B196" t="s">
        <v>344</v>
      </c>
      <c r="F196" s="3" t="s">
        <v>842</v>
      </c>
      <c r="G196" s="3" t="s">
        <v>847</v>
      </c>
      <c r="H196" s="3" t="s">
        <v>848</v>
      </c>
      <c r="I196" s="3"/>
      <c r="J196" s="3" t="s">
        <v>758</v>
      </c>
      <c r="K196" s="3" t="s">
        <v>849</v>
      </c>
      <c r="L196" s="3" t="s">
        <v>850</v>
      </c>
    </row>
    <row r="197" spans="1:12" customFormat="1" ht="409.5" hidden="1" x14ac:dyDescent="0.35">
      <c r="A197" s="3" t="s">
        <v>810</v>
      </c>
      <c r="B197" t="s">
        <v>344</v>
      </c>
      <c r="F197" s="3" t="s">
        <v>842</v>
      </c>
      <c r="G197" s="3" t="s">
        <v>851</v>
      </c>
      <c r="H197" s="3" t="s">
        <v>852</v>
      </c>
      <c r="I197" s="3"/>
      <c r="J197" s="3" t="s">
        <v>853</v>
      </c>
      <c r="K197" s="3" t="s">
        <v>854</v>
      </c>
      <c r="L197" s="3" t="s">
        <v>855</v>
      </c>
    </row>
    <row r="198" spans="1:12" customFormat="1" ht="409.5" hidden="1" x14ac:dyDescent="0.35">
      <c r="A198" s="3" t="s">
        <v>810</v>
      </c>
      <c r="B198" t="s">
        <v>344</v>
      </c>
      <c r="F198" s="3" t="s">
        <v>842</v>
      </c>
      <c r="G198" s="3" t="s">
        <v>856</v>
      </c>
      <c r="H198" s="3" t="s">
        <v>857</v>
      </c>
      <c r="I198" s="3"/>
      <c r="J198" s="3" t="s">
        <v>758</v>
      </c>
      <c r="K198" s="3" t="s">
        <v>858</v>
      </c>
      <c r="L198" s="3" t="s">
        <v>859</v>
      </c>
    </row>
    <row r="199" spans="1:12" customFormat="1" ht="409.5" hidden="1" x14ac:dyDescent="0.35">
      <c r="A199" s="3" t="s">
        <v>810</v>
      </c>
      <c r="B199" t="s">
        <v>344</v>
      </c>
      <c r="F199" s="3" t="s">
        <v>842</v>
      </c>
      <c r="G199" s="3" t="s">
        <v>860</v>
      </c>
      <c r="H199" s="3" t="s">
        <v>861</v>
      </c>
      <c r="I199" s="3"/>
      <c r="J199" s="3" t="s">
        <v>862</v>
      </c>
      <c r="K199" s="3" t="s">
        <v>863</v>
      </c>
      <c r="L199" s="3" t="s">
        <v>864</v>
      </c>
    </row>
    <row r="200" spans="1:12" customFormat="1" ht="409.5" hidden="1" x14ac:dyDescent="0.35">
      <c r="A200" s="3" t="s">
        <v>810</v>
      </c>
      <c r="B200" t="s">
        <v>344</v>
      </c>
      <c r="F200" s="3" t="s">
        <v>842</v>
      </c>
      <c r="G200" s="3" t="s">
        <v>865</v>
      </c>
      <c r="H200" s="3" t="s">
        <v>866</v>
      </c>
      <c r="I200" s="3"/>
      <c r="J200" s="3" t="s">
        <v>867</v>
      </c>
      <c r="K200" s="3" t="s">
        <v>868</v>
      </c>
      <c r="L200" s="3" t="s">
        <v>869</v>
      </c>
    </row>
    <row r="201" spans="1:12" customFormat="1" ht="409.5" hidden="1" x14ac:dyDescent="0.35">
      <c r="A201" s="3" t="s">
        <v>810</v>
      </c>
      <c r="B201" t="s">
        <v>344</v>
      </c>
      <c r="F201" s="3" t="s">
        <v>842</v>
      </c>
      <c r="G201" s="3" t="s">
        <v>870</v>
      </c>
      <c r="H201" s="3" t="s">
        <v>871</v>
      </c>
      <c r="I201" s="3"/>
      <c r="J201" s="3" t="s">
        <v>872</v>
      </c>
      <c r="K201" s="3" t="s">
        <v>873</v>
      </c>
      <c r="L201" s="3" t="s">
        <v>874</v>
      </c>
    </row>
    <row r="202" spans="1:12" customFormat="1" ht="409.5" hidden="1" x14ac:dyDescent="0.35">
      <c r="A202" s="3" t="s">
        <v>875</v>
      </c>
      <c r="B202" t="s">
        <v>344</v>
      </c>
      <c r="F202" s="3" t="s">
        <v>842</v>
      </c>
      <c r="G202" s="3" t="s">
        <v>876</v>
      </c>
      <c r="H202" s="3" t="s">
        <v>877</v>
      </c>
      <c r="I202" s="3"/>
      <c r="J202" s="3" t="s">
        <v>872</v>
      </c>
      <c r="K202" s="3" t="s">
        <v>878</v>
      </c>
      <c r="L202" s="3" t="s">
        <v>879</v>
      </c>
    </row>
    <row r="203" spans="1:12" customFormat="1" ht="409.5" hidden="1" x14ac:dyDescent="0.35">
      <c r="A203" s="3" t="s">
        <v>875</v>
      </c>
      <c r="B203" t="s">
        <v>344</v>
      </c>
      <c r="F203" s="3" t="s">
        <v>842</v>
      </c>
      <c r="G203" s="3" t="s">
        <v>880</v>
      </c>
      <c r="H203" s="3" t="s">
        <v>881</v>
      </c>
      <c r="I203" s="3"/>
      <c r="J203" s="3" t="s">
        <v>862</v>
      </c>
      <c r="K203" s="3" t="s">
        <v>882</v>
      </c>
      <c r="L203" s="3" t="s">
        <v>883</v>
      </c>
    </row>
    <row r="204" spans="1:12" customFormat="1" ht="409.5" hidden="1" x14ac:dyDescent="0.35">
      <c r="A204" s="3" t="s">
        <v>875</v>
      </c>
      <c r="B204" t="s">
        <v>344</v>
      </c>
      <c r="F204" s="3" t="s">
        <v>842</v>
      </c>
      <c r="G204" s="3" t="s">
        <v>884</v>
      </c>
      <c r="H204" s="3" t="s">
        <v>885</v>
      </c>
      <c r="I204" s="3"/>
      <c r="J204" s="3" t="s">
        <v>853</v>
      </c>
      <c r="K204" s="3" t="s">
        <v>886</v>
      </c>
      <c r="L204" s="3" t="s">
        <v>887</v>
      </c>
    </row>
    <row r="205" spans="1:12" customFormat="1" ht="409.5" hidden="1" x14ac:dyDescent="0.35">
      <c r="A205" s="3" t="s">
        <v>875</v>
      </c>
      <c r="B205" t="s">
        <v>344</v>
      </c>
      <c r="F205" s="3" t="s">
        <v>842</v>
      </c>
      <c r="G205" s="3" t="s">
        <v>888</v>
      </c>
      <c r="H205" s="3" t="s">
        <v>889</v>
      </c>
      <c r="I205" s="3"/>
      <c r="J205" s="3" t="s">
        <v>758</v>
      </c>
      <c r="K205" s="3" t="s">
        <v>890</v>
      </c>
      <c r="L205" s="3" t="s">
        <v>891</v>
      </c>
    </row>
    <row r="206" spans="1:12" customFormat="1" ht="409.5" hidden="1" x14ac:dyDescent="0.35">
      <c r="A206" s="3" t="s">
        <v>875</v>
      </c>
      <c r="B206" t="s">
        <v>344</v>
      </c>
      <c r="F206" s="3" t="s">
        <v>842</v>
      </c>
      <c r="G206" s="3" t="s">
        <v>892</v>
      </c>
      <c r="H206" s="3" t="s">
        <v>893</v>
      </c>
      <c r="I206" s="3"/>
      <c r="J206" s="3" t="s">
        <v>894</v>
      </c>
      <c r="K206" s="3" t="s">
        <v>895</v>
      </c>
      <c r="L206" s="3" t="s">
        <v>896</v>
      </c>
    </row>
    <row r="207" spans="1:12" customFormat="1" ht="409.5" hidden="1" x14ac:dyDescent="0.35">
      <c r="A207" s="3" t="s">
        <v>875</v>
      </c>
      <c r="B207" t="s">
        <v>344</v>
      </c>
      <c r="F207" s="3" t="s">
        <v>842</v>
      </c>
      <c r="G207" s="3" t="s">
        <v>897</v>
      </c>
      <c r="H207" s="3" t="s">
        <v>898</v>
      </c>
      <c r="I207" s="3"/>
      <c r="J207" s="3" t="s">
        <v>853</v>
      </c>
      <c r="K207" s="3" t="s">
        <v>899</v>
      </c>
      <c r="L207" s="3" t="s">
        <v>900</v>
      </c>
    </row>
    <row r="208" spans="1:12" customFormat="1" ht="409.5" hidden="1" x14ac:dyDescent="0.35">
      <c r="A208" s="3" t="s">
        <v>875</v>
      </c>
      <c r="B208" t="s">
        <v>344</v>
      </c>
      <c r="F208" s="3" t="s">
        <v>842</v>
      </c>
      <c r="G208" s="3" t="s">
        <v>901</v>
      </c>
      <c r="H208" s="3" t="s">
        <v>902</v>
      </c>
      <c r="I208" s="3"/>
      <c r="J208" s="3" t="s">
        <v>867</v>
      </c>
      <c r="K208" s="3" t="s">
        <v>903</v>
      </c>
      <c r="L208" s="3" t="s">
        <v>904</v>
      </c>
    </row>
    <row r="209" spans="1:12" customFormat="1" ht="409.5" hidden="1" x14ac:dyDescent="0.35">
      <c r="A209" s="3" t="s">
        <v>875</v>
      </c>
      <c r="B209" t="s">
        <v>344</v>
      </c>
      <c r="F209" s="3" t="s">
        <v>842</v>
      </c>
      <c r="G209" s="3" t="s">
        <v>905</v>
      </c>
      <c r="H209" s="3" t="s">
        <v>906</v>
      </c>
      <c r="I209" s="3"/>
      <c r="J209" s="3" t="s">
        <v>853</v>
      </c>
      <c r="K209" s="3" t="s">
        <v>907</v>
      </c>
      <c r="L209" s="3" t="s">
        <v>908</v>
      </c>
    </row>
    <row r="210" spans="1:12" customFormat="1" ht="409.5" hidden="1" x14ac:dyDescent="0.35">
      <c r="A210" s="3" t="s">
        <v>875</v>
      </c>
      <c r="B210" t="s">
        <v>344</v>
      </c>
      <c r="F210" s="3" t="s">
        <v>842</v>
      </c>
      <c r="G210" s="3" t="s">
        <v>909</v>
      </c>
      <c r="H210" s="3" t="s">
        <v>910</v>
      </c>
      <c r="I210" s="3"/>
      <c r="J210" s="3" t="s">
        <v>853</v>
      </c>
      <c r="K210" s="3" t="s">
        <v>911</v>
      </c>
      <c r="L210" s="3" t="s">
        <v>912</v>
      </c>
    </row>
    <row r="211" spans="1:12" customFormat="1" ht="409.5" hidden="1" x14ac:dyDescent="0.35">
      <c r="A211" s="3" t="s">
        <v>875</v>
      </c>
      <c r="B211" t="s">
        <v>344</v>
      </c>
      <c r="F211" s="3" t="s">
        <v>842</v>
      </c>
      <c r="G211" s="3" t="s">
        <v>913</v>
      </c>
      <c r="H211" s="3" t="s">
        <v>914</v>
      </c>
      <c r="I211" s="3"/>
      <c r="J211" s="3" t="s">
        <v>853</v>
      </c>
      <c r="K211" s="3" t="s">
        <v>915</v>
      </c>
      <c r="L211" s="3" t="s">
        <v>916</v>
      </c>
    </row>
    <row r="212" spans="1:12" customFormat="1" ht="409.5" hidden="1" x14ac:dyDescent="0.35">
      <c r="A212" s="3" t="s">
        <v>875</v>
      </c>
      <c r="B212" t="s">
        <v>344</v>
      </c>
      <c r="F212" s="3" t="s">
        <v>842</v>
      </c>
      <c r="G212" s="3" t="s">
        <v>917</v>
      </c>
      <c r="H212" s="3" t="s">
        <v>918</v>
      </c>
      <c r="I212" s="3"/>
      <c r="J212" s="3" t="s">
        <v>421</v>
      </c>
      <c r="K212" s="3" t="s">
        <v>919</v>
      </c>
      <c r="L212" s="3" t="s">
        <v>920</v>
      </c>
    </row>
    <row r="213" spans="1:12" customFormat="1" ht="409.5" hidden="1" x14ac:dyDescent="0.35">
      <c r="A213" s="3" t="s">
        <v>875</v>
      </c>
      <c r="B213" t="s">
        <v>344</v>
      </c>
      <c r="F213" s="3" t="s">
        <v>842</v>
      </c>
      <c r="G213" s="3" t="s">
        <v>921</v>
      </c>
      <c r="H213" s="3" t="s">
        <v>922</v>
      </c>
      <c r="I213" s="3"/>
      <c r="J213" s="3" t="s">
        <v>229</v>
      </c>
      <c r="K213" s="3" t="s">
        <v>923</v>
      </c>
      <c r="L213" s="3" t="s">
        <v>924</v>
      </c>
    </row>
    <row r="214" spans="1:12" customFormat="1" ht="409.5" hidden="1" x14ac:dyDescent="0.35">
      <c r="A214" s="3" t="s">
        <v>875</v>
      </c>
      <c r="B214" t="s">
        <v>344</v>
      </c>
      <c r="F214" s="3" t="s">
        <v>925</v>
      </c>
      <c r="G214" s="3" t="s">
        <v>926</v>
      </c>
      <c r="H214" s="3" t="s">
        <v>927</v>
      </c>
      <c r="I214" s="3"/>
      <c r="J214" s="3" t="s">
        <v>928</v>
      </c>
      <c r="K214" s="3" t="s">
        <v>929</v>
      </c>
      <c r="L214" s="3" t="s">
        <v>930</v>
      </c>
    </row>
    <row r="215" spans="1:12" customFormat="1" ht="409.5" hidden="1" x14ac:dyDescent="0.35">
      <c r="A215" s="3" t="s">
        <v>875</v>
      </c>
      <c r="B215" t="s">
        <v>344</v>
      </c>
      <c r="F215" s="3" t="s">
        <v>925</v>
      </c>
      <c r="G215" s="3" t="s">
        <v>931</v>
      </c>
      <c r="H215" s="3" t="s">
        <v>932</v>
      </c>
      <c r="I215" s="3"/>
      <c r="J215" s="3" t="s">
        <v>229</v>
      </c>
      <c r="K215" s="3" t="s">
        <v>933</v>
      </c>
      <c r="L215" s="3" t="s">
        <v>934</v>
      </c>
    </row>
    <row r="216" spans="1:12" customFormat="1" ht="409.5" hidden="1" x14ac:dyDescent="0.35">
      <c r="A216" s="3" t="s">
        <v>875</v>
      </c>
      <c r="B216" t="s">
        <v>344</v>
      </c>
      <c r="F216" s="3" t="s">
        <v>925</v>
      </c>
      <c r="G216" s="3" t="s">
        <v>935</v>
      </c>
      <c r="H216" s="3" t="s">
        <v>936</v>
      </c>
      <c r="I216" s="3"/>
      <c r="J216" s="3" t="s">
        <v>853</v>
      </c>
      <c r="K216" s="3" t="s">
        <v>937</v>
      </c>
      <c r="L216" s="3" t="s">
        <v>938</v>
      </c>
    </row>
    <row r="217" spans="1:12" customFormat="1" ht="409.5" hidden="1" x14ac:dyDescent="0.35">
      <c r="A217" s="3" t="s">
        <v>875</v>
      </c>
      <c r="B217" t="s">
        <v>344</v>
      </c>
      <c r="F217" s="3" t="s">
        <v>925</v>
      </c>
      <c r="G217" s="3" t="s">
        <v>939</v>
      </c>
      <c r="H217" s="3" t="s">
        <v>871</v>
      </c>
      <c r="I217" s="3"/>
      <c r="J217" s="3" t="s">
        <v>940</v>
      </c>
      <c r="K217" s="3" t="s">
        <v>941</v>
      </c>
      <c r="L217" s="3" t="s">
        <v>942</v>
      </c>
    </row>
    <row r="218" spans="1:12" customFormat="1" ht="409.5" hidden="1" x14ac:dyDescent="0.35">
      <c r="A218" s="3" t="s">
        <v>875</v>
      </c>
      <c r="B218" t="s">
        <v>344</v>
      </c>
      <c r="F218" s="3" t="s">
        <v>925</v>
      </c>
      <c r="G218" s="3" t="s">
        <v>943</v>
      </c>
      <c r="H218" s="3" t="s">
        <v>944</v>
      </c>
      <c r="I218" s="3"/>
      <c r="J218" s="3" t="s">
        <v>867</v>
      </c>
      <c r="K218" s="3" t="s">
        <v>945</v>
      </c>
      <c r="L218" s="3" t="s">
        <v>946</v>
      </c>
    </row>
    <row r="219" spans="1:12" customFormat="1" ht="409.5" hidden="1" x14ac:dyDescent="0.35">
      <c r="A219" s="3" t="s">
        <v>875</v>
      </c>
      <c r="B219" t="s">
        <v>344</v>
      </c>
      <c r="F219" s="3" t="s">
        <v>925</v>
      </c>
      <c r="G219" s="3" t="s">
        <v>947</v>
      </c>
      <c r="H219" s="3" t="s">
        <v>948</v>
      </c>
      <c r="I219" s="3"/>
      <c r="J219" s="3" t="s">
        <v>949</v>
      </c>
      <c r="K219" s="3" t="s">
        <v>950</v>
      </c>
      <c r="L219" s="3" t="s">
        <v>951</v>
      </c>
    </row>
    <row r="220" spans="1:12" customFormat="1" ht="409.5" hidden="1" x14ac:dyDescent="0.35">
      <c r="A220" s="3" t="s">
        <v>875</v>
      </c>
      <c r="B220" t="s">
        <v>344</v>
      </c>
      <c r="F220" s="3" t="s">
        <v>925</v>
      </c>
      <c r="G220" s="3" t="s">
        <v>952</v>
      </c>
      <c r="H220" s="3" t="s">
        <v>953</v>
      </c>
      <c r="I220" s="3"/>
      <c r="J220" s="3" t="s">
        <v>867</v>
      </c>
      <c r="K220" s="3" t="s">
        <v>954</v>
      </c>
      <c r="L220" s="3" t="s">
        <v>955</v>
      </c>
    </row>
    <row r="221" spans="1:12" customFormat="1" ht="409.5" hidden="1" x14ac:dyDescent="0.35">
      <c r="A221" s="3" t="s">
        <v>875</v>
      </c>
      <c r="B221" t="s">
        <v>344</v>
      </c>
      <c r="F221" s="3" t="s">
        <v>925</v>
      </c>
      <c r="G221" s="3" t="s">
        <v>956</v>
      </c>
      <c r="H221" s="3" t="s">
        <v>957</v>
      </c>
      <c r="I221" s="3"/>
      <c r="J221" s="3" t="s">
        <v>853</v>
      </c>
      <c r="K221" s="3" t="s">
        <v>958</v>
      </c>
      <c r="L221" s="3" t="s">
        <v>959</v>
      </c>
    </row>
    <row r="222" spans="1:12" customFormat="1" ht="409.5" hidden="1" x14ac:dyDescent="0.35">
      <c r="A222" s="3" t="s">
        <v>875</v>
      </c>
      <c r="B222" t="s">
        <v>344</v>
      </c>
      <c r="F222" s="3" t="s">
        <v>925</v>
      </c>
      <c r="G222" s="3" t="s">
        <v>960</v>
      </c>
      <c r="H222" s="3" t="s">
        <v>961</v>
      </c>
      <c r="I222" s="3"/>
      <c r="J222" s="3" t="s">
        <v>867</v>
      </c>
      <c r="K222" s="3" t="s">
        <v>962</v>
      </c>
      <c r="L222" s="3" t="s">
        <v>963</v>
      </c>
    </row>
    <row r="223" spans="1:12" customFormat="1" ht="409.5" hidden="1" x14ac:dyDescent="0.35">
      <c r="A223" s="3" t="s">
        <v>875</v>
      </c>
      <c r="B223" t="s">
        <v>344</v>
      </c>
      <c r="F223" s="3" t="s">
        <v>925</v>
      </c>
      <c r="G223" s="3" t="s">
        <v>964</v>
      </c>
      <c r="H223" s="3" t="s">
        <v>965</v>
      </c>
      <c r="I223" s="3"/>
      <c r="J223" s="3" t="s">
        <v>867</v>
      </c>
      <c r="K223" s="3" t="s">
        <v>966</v>
      </c>
      <c r="L223" s="3" t="s">
        <v>967</v>
      </c>
    </row>
    <row r="224" spans="1:12" customFormat="1" ht="409.5" hidden="1" x14ac:dyDescent="0.35">
      <c r="A224" s="3" t="s">
        <v>875</v>
      </c>
      <c r="B224" t="s">
        <v>344</v>
      </c>
      <c r="F224" s="3" t="s">
        <v>925</v>
      </c>
      <c r="G224" s="3" t="s">
        <v>968</v>
      </c>
      <c r="H224" s="3" t="s">
        <v>969</v>
      </c>
      <c r="I224" s="3"/>
      <c r="J224" s="3" t="s">
        <v>853</v>
      </c>
      <c r="K224" s="3" t="s">
        <v>970</v>
      </c>
      <c r="L224" s="3" t="s">
        <v>971</v>
      </c>
    </row>
    <row r="225" spans="1:12" customFormat="1" ht="409.5" hidden="1" x14ac:dyDescent="0.35">
      <c r="A225" s="3" t="s">
        <v>875</v>
      </c>
      <c r="B225" t="s">
        <v>344</v>
      </c>
      <c r="F225" s="3" t="s">
        <v>972</v>
      </c>
      <c r="G225" s="3" t="s">
        <v>973</v>
      </c>
      <c r="H225" s="3" t="s">
        <v>974</v>
      </c>
      <c r="I225" s="3"/>
      <c r="J225" s="3" t="s">
        <v>975</v>
      </c>
      <c r="K225" s="3" t="s">
        <v>976</v>
      </c>
      <c r="L225" s="3" t="s">
        <v>977</v>
      </c>
    </row>
    <row r="226" spans="1:12" customFormat="1" ht="362.5" hidden="1" x14ac:dyDescent="0.35">
      <c r="A226" s="3" t="s">
        <v>875</v>
      </c>
      <c r="B226" t="s">
        <v>344</v>
      </c>
      <c r="F226" s="3" t="s">
        <v>972</v>
      </c>
      <c r="G226" s="3" t="s">
        <v>978</v>
      </c>
      <c r="H226" s="3" t="s">
        <v>979</v>
      </c>
      <c r="I226" s="3"/>
      <c r="J226" s="3" t="s">
        <v>758</v>
      </c>
      <c r="K226" s="3" t="s">
        <v>980</v>
      </c>
      <c r="L226" s="3" t="s">
        <v>981</v>
      </c>
    </row>
    <row r="227" spans="1:12" customFormat="1" ht="409.5" hidden="1" x14ac:dyDescent="0.35">
      <c r="A227" s="3" t="s">
        <v>875</v>
      </c>
      <c r="B227" t="s">
        <v>344</v>
      </c>
      <c r="F227" s="3" t="s">
        <v>972</v>
      </c>
      <c r="G227" s="3" t="s">
        <v>982</v>
      </c>
      <c r="H227" s="3" t="s">
        <v>983</v>
      </c>
      <c r="I227" s="3"/>
      <c r="J227" s="3" t="s">
        <v>984</v>
      </c>
      <c r="K227" s="3" t="s">
        <v>985</v>
      </c>
      <c r="L227" s="3" t="s">
        <v>986</v>
      </c>
    </row>
    <row r="228" spans="1:12" customFormat="1" ht="409.5" hidden="1" x14ac:dyDescent="0.35">
      <c r="A228" s="3" t="s">
        <v>875</v>
      </c>
      <c r="B228" t="s">
        <v>344</v>
      </c>
      <c r="F228" s="3" t="s">
        <v>972</v>
      </c>
      <c r="G228" s="3" t="s">
        <v>987</v>
      </c>
      <c r="H228" s="3" t="s">
        <v>988</v>
      </c>
      <c r="I228" s="3"/>
      <c r="J228" s="3" t="s">
        <v>853</v>
      </c>
      <c r="K228" s="3" t="s">
        <v>989</v>
      </c>
      <c r="L228" s="3" t="s">
        <v>990</v>
      </c>
    </row>
    <row r="229" spans="1:12" customFormat="1" ht="409.5" hidden="1" x14ac:dyDescent="0.35">
      <c r="A229" s="3" t="s">
        <v>875</v>
      </c>
      <c r="B229" t="s">
        <v>344</v>
      </c>
      <c r="F229" s="3" t="s">
        <v>972</v>
      </c>
      <c r="G229" s="3" t="s">
        <v>991</v>
      </c>
      <c r="H229" s="3" t="s">
        <v>992</v>
      </c>
      <c r="I229" s="3"/>
      <c r="J229" s="3" t="s">
        <v>853</v>
      </c>
      <c r="K229" s="3" t="s">
        <v>993</v>
      </c>
      <c r="L229" s="3" t="s">
        <v>994</v>
      </c>
    </row>
    <row r="230" spans="1:12" customFormat="1" ht="409.5" hidden="1" x14ac:dyDescent="0.35">
      <c r="A230" s="3" t="s">
        <v>875</v>
      </c>
      <c r="B230" t="s">
        <v>344</v>
      </c>
      <c r="F230" s="3" t="s">
        <v>972</v>
      </c>
      <c r="G230" s="3" t="s">
        <v>995</v>
      </c>
      <c r="H230" s="3" t="s">
        <v>996</v>
      </c>
      <c r="I230" s="3"/>
      <c r="J230" s="3" t="s">
        <v>872</v>
      </c>
      <c r="K230" s="3" t="s">
        <v>997</v>
      </c>
      <c r="L230" s="3" t="s">
        <v>998</v>
      </c>
    </row>
    <row r="231" spans="1:12" customFormat="1" ht="409.5" hidden="1" x14ac:dyDescent="0.35">
      <c r="A231" s="3" t="s">
        <v>875</v>
      </c>
      <c r="B231" t="s">
        <v>344</v>
      </c>
      <c r="F231" s="3" t="s">
        <v>972</v>
      </c>
      <c r="G231" s="3" t="s">
        <v>999</v>
      </c>
      <c r="H231" s="3" t="s">
        <v>1000</v>
      </c>
      <c r="I231" s="3"/>
      <c r="J231" s="3" t="s">
        <v>229</v>
      </c>
      <c r="K231" s="3" t="s">
        <v>1001</v>
      </c>
      <c r="L231" s="3" t="s">
        <v>1002</v>
      </c>
    </row>
    <row r="232" spans="1:12" customFormat="1" ht="409.5" hidden="1" x14ac:dyDescent="0.35">
      <c r="A232" s="3" t="s">
        <v>875</v>
      </c>
      <c r="B232" t="s">
        <v>344</v>
      </c>
      <c r="F232" s="3" t="s">
        <v>972</v>
      </c>
      <c r="G232" s="3" t="s">
        <v>1003</v>
      </c>
      <c r="H232" s="3" t="s">
        <v>1004</v>
      </c>
      <c r="I232" s="3"/>
      <c r="J232" s="3" t="s">
        <v>853</v>
      </c>
      <c r="K232" s="3" t="s">
        <v>1005</v>
      </c>
      <c r="L232" s="3" t="s">
        <v>1006</v>
      </c>
    </row>
    <row r="233" spans="1:12" customFormat="1" ht="409.5" hidden="1" x14ac:dyDescent="0.35">
      <c r="A233" s="3" t="s">
        <v>875</v>
      </c>
      <c r="B233" t="s">
        <v>344</v>
      </c>
      <c r="F233" s="3" t="s">
        <v>972</v>
      </c>
      <c r="G233" s="3" t="s">
        <v>1007</v>
      </c>
      <c r="H233" s="3" t="s">
        <v>1008</v>
      </c>
      <c r="I233" s="3"/>
      <c r="J233" s="3" t="s">
        <v>1009</v>
      </c>
      <c r="K233" s="3" t="s">
        <v>1010</v>
      </c>
      <c r="L233" s="3" t="s">
        <v>1011</v>
      </c>
    </row>
    <row r="234" spans="1:12" customFormat="1" ht="409.5" hidden="1" x14ac:dyDescent="0.35">
      <c r="A234" s="3" t="s">
        <v>875</v>
      </c>
      <c r="B234" s="3" t="s">
        <v>102</v>
      </c>
      <c r="C234" s="3"/>
      <c r="D234" s="3"/>
      <c r="E234" s="3"/>
      <c r="F234" s="3" t="s">
        <v>1012</v>
      </c>
      <c r="G234" s="3" t="s">
        <v>1013</v>
      </c>
      <c r="H234" s="3" t="s">
        <v>1014</v>
      </c>
      <c r="I234" s="3" t="s">
        <v>229</v>
      </c>
      <c r="J234" s="3" t="s">
        <v>1015</v>
      </c>
      <c r="K234" s="3" t="s">
        <v>1016</v>
      </c>
    </row>
    <row r="235" spans="1:12" customFormat="1" ht="409.5" hidden="1" x14ac:dyDescent="0.35">
      <c r="A235" s="3" t="s">
        <v>875</v>
      </c>
      <c r="B235" s="3" t="s">
        <v>102</v>
      </c>
      <c r="C235" s="3"/>
      <c r="D235" s="3"/>
      <c r="E235" s="3"/>
      <c r="F235" s="3" t="s">
        <v>1012</v>
      </c>
      <c r="G235" s="3" t="s">
        <v>1017</v>
      </c>
      <c r="H235" s="3" t="s">
        <v>1018</v>
      </c>
      <c r="I235" s="3" t="s">
        <v>229</v>
      </c>
      <c r="J235" s="3" t="s">
        <v>1019</v>
      </c>
      <c r="K235" s="3" t="s">
        <v>1020</v>
      </c>
    </row>
    <row r="236" spans="1:12" customFormat="1" ht="409.5" hidden="1" x14ac:dyDescent="0.35">
      <c r="A236" s="3" t="s">
        <v>875</v>
      </c>
      <c r="B236" s="3" t="s">
        <v>102</v>
      </c>
      <c r="C236" s="3"/>
      <c r="D236" s="3"/>
      <c r="E236" s="3"/>
      <c r="F236" s="3" t="s">
        <v>1012</v>
      </c>
      <c r="G236" s="3" t="s">
        <v>1021</v>
      </c>
      <c r="H236" s="3" t="s">
        <v>1022</v>
      </c>
      <c r="I236" s="3" t="s">
        <v>229</v>
      </c>
      <c r="J236" s="3" t="s">
        <v>1023</v>
      </c>
      <c r="K236" s="3" t="s">
        <v>1024</v>
      </c>
    </row>
    <row r="237" spans="1:12" customFormat="1" ht="409.5" hidden="1" x14ac:dyDescent="0.35">
      <c r="A237" s="3" t="s">
        <v>875</v>
      </c>
      <c r="B237" s="3" t="s">
        <v>102</v>
      </c>
      <c r="C237" s="3"/>
      <c r="D237" s="3"/>
      <c r="E237" s="3"/>
      <c r="F237" s="3" t="s">
        <v>1012</v>
      </c>
      <c r="G237" s="3" t="s">
        <v>1025</v>
      </c>
      <c r="H237" s="3" t="s">
        <v>1026</v>
      </c>
      <c r="I237" s="3" t="s">
        <v>1027</v>
      </c>
      <c r="J237" s="3" t="s">
        <v>1028</v>
      </c>
      <c r="K237" s="3" t="s">
        <v>1029</v>
      </c>
    </row>
    <row r="238" spans="1:12" customFormat="1" ht="409.5" hidden="1" x14ac:dyDescent="0.35">
      <c r="A238" s="3" t="s">
        <v>875</v>
      </c>
      <c r="B238" s="3" t="s">
        <v>102</v>
      </c>
      <c r="C238" s="3"/>
      <c r="D238" s="3"/>
      <c r="E238" s="3"/>
      <c r="F238" s="3" t="s">
        <v>1012</v>
      </c>
      <c r="G238" s="3" t="s">
        <v>1030</v>
      </c>
      <c r="H238" s="3" t="s">
        <v>1031</v>
      </c>
      <c r="I238" s="3" t="s">
        <v>248</v>
      </c>
      <c r="J238" s="3" t="s">
        <v>249</v>
      </c>
      <c r="K238" s="3" t="s">
        <v>1032</v>
      </c>
    </row>
    <row r="239" spans="1:12" customFormat="1" ht="409.5" hidden="1" x14ac:dyDescent="0.35">
      <c r="A239" s="3" t="s">
        <v>875</v>
      </c>
      <c r="B239" s="3" t="s">
        <v>102</v>
      </c>
      <c r="C239" s="3"/>
      <c r="D239" s="3"/>
      <c r="E239" s="3"/>
      <c r="F239" s="3" t="s">
        <v>1012</v>
      </c>
      <c r="G239" s="3" t="s">
        <v>1033</v>
      </c>
      <c r="H239" s="3" t="s">
        <v>1034</v>
      </c>
      <c r="I239" s="3" t="s">
        <v>248</v>
      </c>
      <c r="J239" s="3" t="s">
        <v>1035</v>
      </c>
      <c r="K239" s="3" t="s">
        <v>1036</v>
      </c>
    </row>
    <row r="240" spans="1:12" customFormat="1" ht="409.5" hidden="1" x14ac:dyDescent="0.35">
      <c r="A240" s="3" t="s">
        <v>875</v>
      </c>
      <c r="B240" s="3" t="s">
        <v>102</v>
      </c>
      <c r="C240" s="3"/>
      <c r="D240" s="3"/>
      <c r="E240" s="3"/>
      <c r="F240" s="3" t="s">
        <v>345</v>
      </c>
      <c r="G240" s="3" t="s">
        <v>1037</v>
      </c>
      <c r="H240" s="3" t="s">
        <v>1038</v>
      </c>
      <c r="I240" s="3" t="s">
        <v>229</v>
      </c>
      <c r="J240" s="3" t="s">
        <v>811</v>
      </c>
      <c r="K240" s="3" t="s">
        <v>1039</v>
      </c>
    </row>
    <row r="241" spans="1:15" customFormat="1" ht="145" hidden="1" x14ac:dyDescent="0.35">
      <c r="A241" s="3" t="s">
        <v>875</v>
      </c>
      <c r="B241" s="3" t="s">
        <v>102</v>
      </c>
      <c r="C241" s="3"/>
      <c r="D241" s="3"/>
      <c r="E241" s="3"/>
      <c r="F241" s="3" t="s">
        <v>1040</v>
      </c>
      <c r="G241" s="3"/>
      <c r="H241" s="3" t="s">
        <v>381</v>
      </c>
      <c r="I241" s="3"/>
      <c r="J241" s="3" t="s">
        <v>1041</v>
      </c>
      <c r="K241" s="3" t="s">
        <v>1042</v>
      </c>
      <c r="L241" s="3" t="s">
        <v>1043</v>
      </c>
      <c r="M241" s="3" t="s">
        <v>1044</v>
      </c>
      <c r="O241" t="s">
        <v>1045</v>
      </c>
    </row>
    <row r="242" spans="1:15" customFormat="1" ht="43.5" hidden="1" x14ac:dyDescent="0.35">
      <c r="A242" s="3" t="s">
        <v>875</v>
      </c>
      <c r="B242" s="3" t="s">
        <v>102</v>
      </c>
      <c r="C242" s="3"/>
      <c r="D242" s="3"/>
      <c r="E242" s="3"/>
      <c r="F242" s="3" t="s">
        <v>1046</v>
      </c>
      <c r="G242" s="3"/>
      <c r="H242" s="3" t="s">
        <v>413</v>
      </c>
      <c r="I242" s="3"/>
      <c r="J242" s="3" t="s">
        <v>1047</v>
      </c>
      <c r="K242" s="3" t="s">
        <v>1048</v>
      </c>
      <c r="L242" s="3" t="s">
        <v>1049</v>
      </c>
      <c r="M242" s="3" t="s">
        <v>1050</v>
      </c>
      <c r="O242" t="s">
        <v>1051</v>
      </c>
    </row>
    <row r="243" spans="1:15" customFormat="1" ht="58" hidden="1" x14ac:dyDescent="0.35">
      <c r="A243" s="3" t="s">
        <v>1052</v>
      </c>
      <c r="B243" s="3" t="s">
        <v>102</v>
      </c>
      <c r="C243" s="3"/>
      <c r="D243" s="3"/>
      <c r="E243" s="3"/>
      <c r="F243" s="3" t="s">
        <v>1046</v>
      </c>
      <c r="G243" s="3"/>
      <c r="H243" s="3" t="s">
        <v>413</v>
      </c>
      <c r="I243" s="3"/>
      <c r="J243" s="3" t="s">
        <v>1053</v>
      </c>
      <c r="K243" s="3" t="s">
        <v>229</v>
      </c>
      <c r="L243" s="3" t="s">
        <v>1054</v>
      </c>
      <c r="M243" s="3" t="s">
        <v>1055</v>
      </c>
      <c r="O243" t="s">
        <v>1056</v>
      </c>
    </row>
    <row r="244" spans="1:15" customFormat="1" ht="58" hidden="1" x14ac:dyDescent="0.35">
      <c r="A244" s="3" t="s">
        <v>1052</v>
      </c>
      <c r="B244" s="3" t="s">
        <v>102</v>
      </c>
      <c r="C244" s="3"/>
      <c r="D244" s="3"/>
      <c r="E244" s="3"/>
      <c r="F244" s="3" t="s">
        <v>1046</v>
      </c>
      <c r="G244" s="3"/>
      <c r="H244" s="3" t="s">
        <v>413</v>
      </c>
      <c r="I244" s="3"/>
      <c r="J244" s="3" t="s">
        <v>1057</v>
      </c>
      <c r="K244" s="3" t="s">
        <v>229</v>
      </c>
      <c r="L244" s="3" t="s">
        <v>1058</v>
      </c>
      <c r="M244" s="3" t="s">
        <v>1059</v>
      </c>
      <c r="O244" t="s">
        <v>1060</v>
      </c>
    </row>
    <row r="245" spans="1:15" customFormat="1" ht="58" hidden="1" x14ac:dyDescent="0.35">
      <c r="A245" s="3" t="s">
        <v>1052</v>
      </c>
      <c r="B245" s="3" t="s">
        <v>102</v>
      </c>
      <c r="C245" s="3"/>
      <c r="D245" s="3"/>
      <c r="E245" s="3"/>
      <c r="F245" s="3" t="s">
        <v>1046</v>
      </c>
      <c r="G245" s="3"/>
      <c r="H245" s="3" t="s">
        <v>413</v>
      </c>
      <c r="I245" s="3"/>
      <c r="J245" s="3" t="s">
        <v>1061</v>
      </c>
      <c r="K245" s="3" t="s">
        <v>229</v>
      </c>
      <c r="L245" s="3" t="s">
        <v>1062</v>
      </c>
      <c r="M245" s="3" t="s">
        <v>1063</v>
      </c>
      <c r="O245" t="s">
        <v>1064</v>
      </c>
    </row>
    <row r="246" spans="1:15" customFormat="1" ht="43.5" hidden="1" x14ac:dyDescent="0.35">
      <c r="A246" s="3" t="s">
        <v>1052</v>
      </c>
      <c r="B246" s="3" t="s">
        <v>102</v>
      </c>
      <c r="C246" s="3"/>
      <c r="D246" s="3"/>
      <c r="E246" s="3"/>
      <c r="F246" s="3" t="s">
        <v>1065</v>
      </c>
      <c r="G246" s="3"/>
      <c r="H246" s="3" t="s">
        <v>423</v>
      </c>
      <c r="I246" s="3"/>
      <c r="J246" s="3" t="s">
        <v>1066</v>
      </c>
      <c r="K246" s="3" t="s">
        <v>1048</v>
      </c>
      <c r="L246" s="3" t="s">
        <v>1065</v>
      </c>
      <c r="M246" s="3" t="s">
        <v>1067</v>
      </c>
      <c r="O246" t="s">
        <v>1068</v>
      </c>
    </row>
    <row r="247" spans="1:15" customFormat="1" ht="58" hidden="1" x14ac:dyDescent="0.35">
      <c r="A247" s="3" t="s">
        <v>1052</v>
      </c>
      <c r="B247" s="3" t="s">
        <v>102</v>
      </c>
      <c r="C247" s="3"/>
      <c r="D247" s="3"/>
      <c r="E247" s="3"/>
      <c r="F247" s="3" t="s">
        <v>1065</v>
      </c>
      <c r="G247" s="3"/>
      <c r="H247" s="3" t="s">
        <v>423</v>
      </c>
      <c r="I247" s="3"/>
      <c r="J247" s="3" t="s">
        <v>1069</v>
      </c>
      <c r="K247" s="3" t="s">
        <v>229</v>
      </c>
      <c r="L247" s="3" t="s">
        <v>1070</v>
      </c>
      <c r="M247" s="3" t="s">
        <v>1071</v>
      </c>
    </row>
    <row r="248" spans="1:15" customFormat="1" ht="159.5" hidden="1" x14ac:dyDescent="0.35">
      <c r="A248" s="3" t="s">
        <v>1052</v>
      </c>
      <c r="B248" s="3" t="s">
        <v>102</v>
      </c>
      <c r="C248" s="3"/>
      <c r="D248" s="3"/>
      <c r="E248" s="3"/>
      <c r="F248" s="3" t="s">
        <v>1072</v>
      </c>
      <c r="G248" s="3"/>
      <c r="H248" s="3" t="s">
        <v>433</v>
      </c>
      <c r="I248" s="3"/>
      <c r="J248" s="3" t="s">
        <v>1073</v>
      </c>
      <c r="K248" s="3" t="s">
        <v>1074</v>
      </c>
      <c r="L248" s="3" t="s">
        <v>1075</v>
      </c>
      <c r="M248" s="3" t="s">
        <v>1076</v>
      </c>
    </row>
    <row r="249" spans="1:15" customFormat="1" ht="58" hidden="1" x14ac:dyDescent="0.35">
      <c r="A249" s="3" t="s">
        <v>1052</v>
      </c>
      <c r="B249" s="3" t="s">
        <v>102</v>
      </c>
      <c r="C249" s="3"/>
      <c r="D249" s="3"/>
      <c r="E249" s="3"/>
      <c r="F249" s="3" t="s">
        <v>1072</v>
      </c>
      <c r="G249" s="3"/>
      <c r="H249" s="3" t="s">
        <v>433</v>
      </c>
      <c r="I249" s="3"/>
      <c r="J249" s="3" t="s">
        <v>1077</v>
      </c>
      <c r="K249" s="3" t="s">
        <v>229</v>
      </c>
      <c r="L249" s="3" t="s">
        <v>1078</v>
      </c>
      <c r="M249" s="3" t="s">
        <v>1079</v>
      </c>
    </row>
    <row r="250" spans="1:15" customFormat="1" ht="87" hidden="1" x14ac:dyDescent="0.35">
      <c r="A250" s="3" t="s">
        <v>1052</v>
      </c>
      <c r="B250" s="3" t="s">
        <v>102</v>
      </c>
      <c r="C250" s="3"/>
      <c r="D250" s="3"/>
      <c r="E250" s="3"/>
      <c r="F250" s="3" t="s">
        <v>1072</v>
      </c>
      <c r="G250" s="3"/>
      <c r="H250" s="3" t="s">
        <v>433</v>
      </c>
      <c r="I250" s="3"/>
      <c r="J250" s="3" t="s">
        <v>1080</v>
      </c>
      <c r="K250" s="3" t="s">
        <v>241</v>
      </c>
      <c r="L250" s="3" t="s">
        <v>1081</v>
      </c>
      <c r="M250" s="3" t="s">
        <v>1082</v>
      </c>
    </row>
    <row r="251" spans="1:15" customFormat="1" ht="87" hidden="1" x14ac:dyDescent="0.35">
      <c r="A251" s="3" t="s">
        <v>1052</v>
      </c>
      <c r="B251" s="3" t="s">
        <v>102</v>
      </c>
      <c r="C251" s="3"/>
      <c r="D251" s="3"/>
      <c r="E251" s="3"/>
      <c r="F251" s="3" t="s">
        <v>1072</v>
      </c>
      <c r="G251" s="3"/>
      <c r="H251" s="3" t="s">
        <v>433</v>
      </c>
      <c r="I251" s="3"/>
      <c r="J251" s="3" t="s">
        <v>1083</v>
      </c>
      <c r="K251" s="3" t="s">
        <v>241</v>
      </c>
      <c r="L251" s="3" t="s">
        <v>1084</v>
      </c>
      <c r="M251" s="3" t="s">
        <v>1085</v>
      </c>
    </row>
    <row r="252" spans="1:15" customFormat="1" ht="43.5" hidden="1" x14ac:dyDescent="0.35">
      <c r="A252" s="3" t="s">
        <v>1052</v>
      </c>
      <c r="B252" s="3" t="s">
        <v>102</v>
      </c>
      <c r="C252" s="3"/>
      <c r="D252" s="3"/>
      <c r="E252" s="3"/>
      <c r="F252" s="3" t="s">
        <v>1072</v>
      </c>
      <c r="G252" s="3"/>
      <c r="H252" s="3" t="s">
        <v>433</v>
      </c>
      <c r="I252" s="3"/>
      <c r="J252" s="3" t="s">
        <v>1086</v>
      </c>
      <c r="K252" s="3" t="s">
        <v>1048</v>
      </c>
      <c r="L252" s="3" t="s">
        <v>1087</v>
      </c>
      <c r="M252" s="3" t="s">
        <v>1088</v>
      </c>
    </row>
    <row r="253" spans="1:15" customFormat="1" ht="43.5" hidden="1" x14ac:dyDescent="0.35">
      <c r="A253" s="3" t="s">
        <v>1052</v>
      </c>
      <c r="B253" s="3" t="s">
        <v>102</v>
      </c>
      <c r="C253" s="3"/>
      <c r="D253" s="3"/>
      <c r="E253" s="3"/>
      <c r="F253" s="3" t="s">
        <v>1072</v>
      </c>
      <c r="G253" s="3"/>
      <c r="H253" s="3" t="s">
        <v>433</v>
      </c>
      <c r="I253" s="3"/>
      <c r="J253" s="3" t="s">
        <v>1089</v>
      </c>
      <c r="K253" s="3" t="s">
        <v>1048</v>
      </c>
      <c r="L253" s="3" t="s">
        <v>1090</v>
      </c>
      <c r="M253" s="3" t="s">
        <v>1091</v>
      </c>
    </row>
    <row r="254" spans="1:15" customFormat="1" ht="43.5" hidden="1" x14ac:dyDescent="0.35">
      <c r="A254" s="3" t="s">
        <v>1052</v>
      </c>
      <c r="B254" s="3" t="s">
        <v>102</v>
      </c>
      <c r="C254" s="3"/>
      <c r="D254" s="3"/>
      <c r="E254" s="3"/>
      <c r="F254" s="3" t="s">
        <v>1092</v>
      </c>
      <c r="G254" s="3"/>
      <c r="H254" s="3" t="s">
        <v>451</v>
      </c>
      <c r="I254" s="3"/>
      <c r="J254" s="3" t="s">
        <v>1093</v>
      </c>
      <c r="K254" s="3" t="s">
        <v>1048</v>
      </c>
      <c r="L254" s="3" t="s">
        <v>1094</v>
      </c>
      <c r="M254" s="3" t="s">
        <v>1095</v>
      </c>
    </row>
    <row r="255" spans="1:15" customFormat="1" ht="145" hidden="1" x14ac:dyDescent="0.35">
      <c r="A255" s="3" t="s">
        <v>1052</v>
      </c>
      <c r="B255" s="3" t="s">
        <v>102</v>
      </c>
      <c r="C255" s="3"/>
      <c r="D255" s="3"/>
      <c r="E255" s="3"/>
      <c r="F255" s="3" t="s">
        <v>1096</v>
      </c>
      <c r="G255" s="3"/>
      <c r="H255" s="3" t="s">
        <v>468</v>
      </c>
      <c r="I255" s="3"/>
      <c r="J255" s="3" t="s">
        <v>1097</v>
      </c>
      <c r="K255" s="3" t="s">
        <v>1042</v>
      </c>
      <c r="L255" s="3" t="s">
        <v>1098</v>
      </c>
      <c r="M255" s="3" t="s">
        <v>1099</v>
      </c>
    </row>
    <row r="256" spans="1:15" customFormat="1" ht="145" hidden="1" x14ac:dyDescent="0.35">
      <c r="A256" s="3" t="s">
        <v>1052</v>
      </c>
      <c r="B256" s="3" t="s">
        <v>102</v>
      </c>
      <c r="C256" s="3"/>
      <c r="D256" s="3"/>
      <c r="E256" s="3"/>
      <c r="F256" s="3" t="s">
        <v>548</v>
      </c>
      <c r="G256" s="3"/>
      <c r="H256" s="3" t="s">
        <v>484</v>
      </c>
      <c r="I256" s="3"/>
      <c r="J256" s="3" t="s">
        <v>1100</v>
      </c>
      <c r="K256" s="3" t="s">
        <v>1042</v>
      </c>
      <c r="L256" s="3" t="s">
        <v>548</v>
      </c>
      <c r="M256" s="3" t="s">
        <v>1101</v>
      </c>
    </row>
    <row r="257" spans="1:13" customFormat="1" ht="58" hidden="1" x14ac:dyDescent="0.35">
      <c r="A257" s="3" t="s">
        <v>1052</v>
      </c>
      <c r="B257" s="3" t="s">
        <v>102</v>
      </c>
      <c r="C257" s="3"/>
      <c r="D257" s="3"/>
      <c r="E257" s="3"/>
      <c r="F257" s="3" t="s">
        <v>1102</v>
      </c>
      <c r="G257" s="3"/>
      <c r="H257" s="3" t="s">
        <v>494</v>
      </c>
      <c r="I257" s="3"/>
      <c r="J257" s="3" t="s">
        <v>1103</v>
      </c>
      <c r="K257" s="3" t="s">
        <v>229</v>
      </c>
      <c r="L257" s="3" t="s">
        <v>1104</v>
      </c>
      <c r="M257" s="3" t="s">
        <v>1105</v>
      </c>
    </row>
    <row r="258" spans="1:13" customFormat="1" ht="58" hidden="1" x14ac:dyDescent="0.35">
      <c r="A258" s="3" t="s">
        <v>1052</v>
      </c>
      <c r="B258" s="3" t="s">
        <v>102</v>
      </c>
      <c r="C258" s="3"/>
      <c r="D258" s="3"/>
      <c r="E258" s="3"/>
      <c r="F258" s="3" t="s">
        <v>1106</v>
      </c>
      <c r="G258" s="3"/>
      <c r="H258" s="3" t="s">
        <v>502</v>
      </c>
      <c r="I258" s="3"/>
      <c r="J258" s="3" t="s">
        <v>1107</v>
      </c>
      <c r="K258" s="3" t="s">
        <v>229</v>
      </c>
      <c r="L258" s="3" t="s">
        <v>1108</v>
      </c>
      <c r="M258" s="3" t="s">
        <v>1109</v>
      </c>
    </row>
    <row r="259" spans="1:13" customFormat="1" ht="159.5" hidden="1" x14ac:dyDescent="0.35">
      <c r="A259" s="3" t="s">
        <v>1052</v>
      </c>
      <c r="B259" s="3" t="s">
        <v>102</v>
      </c>
      <c r="C259" s="3"/>
      <c r="D259" s="3"/>
      <c r="E259" s="3"/>
      <c r="F259" s="3" t="s">
        <v>1110</v>
      </c>
      <c r="G259" s="3"/>
      <c r="H259" s="3" t="s">
        <v>700</v>
      </c>
      <c r="I259" s="3"/>
      <c r="J259" s="3" t="s">
        <v>1111</v>
      </c>
      <c r="K259" s="3" t="s">
        <v>1027</v>
      </c>
      <c r="L259" s="3" t="s">
        <v>1112</v>
      </c>
      <c r="M259" s="3" t="s">
        <v>1113</v>
      </c>
    </row>
    <row r="260" spans="1:13" customFormat="1" ht="58" hidden="1" x14ac:dyDescent="0.35">
      <c r="A260" s="3" t="s">
        <v>1052</v>
      </c>
      <c r="B260" s="3" t="s">
        <v>102</v>
      </c>
      <c r="C260" s="3"/>
      <c r="D260" s="3"/>
      <c r="E260" s="3"/>
      <c r="F260" s="3" t="s">
        <v>1114</v>
      </c>
      <c r="G260" s="3"/>
      <c r="H260" s="3" t="s">
        <v>532</v>
      </c>
      <c r="I260" s="3"/>
      <c r="J260" s="3" t="s">
        <v>1115</v>
      </c>
      <c r="K260" s="3" t="s">
        <v>229</v>
      </c>
      <c r="L260" s="3" t="s">
        <v>1116</v>
      </c>
      <c r="M260" s="3" t="s">
        <v>1117</v>
      </c>
    </row>
    <row r="261" spans="1:13" customFormat="1" ht="58" hidden="1" x14ac:dyDescent="0.35">
      <c r="A261" s="3" t="s">
        <v>1052</v>
      </c>
      <c r="B261" s="3" t="s">
        <v>102</v>
      </c>
      <c r="C261" s="3"/>
      <c r="D261" s="3"/>
      <c r="E261" s="3"/>
      <c r="F261" s="3" t="s">
        <v>1118</v>
      </c>
      <c r="G261" s="3"/>
      <c r="H261" s="3" t="s">
        <v>537</v>
      </c>
      <c r="I261" s="3"/>
      <c r="J261" s="3" t="s">
        <v>1119</v>
      </c>
      <c r="K261" s="3" t="s">
        <v>229</v>
      </c>
      <c r="L261" s="3" t="s">
        <v>1120</v>
      </c>
      <c r="M261" s="3" t="s">
        <v>1121</v>
      </c>
    </row>
    <row r="262" spans="1:13" customFormat="1" ht="159.5" hidden="1" x14ac:dyDescent="0.35">
      <c r="A262" s="3" t="s">
        <v>1052</v>
      </c>
      <c r="B262" s="3" t="s">
        <v>102</v>
      </c>
      <c r="C262" s="3"/>
      <c r="D262" s="3"/>
      <c r="E262" s="3"/>
      <c r="F262" s="3" t="s">
        <v>1122</v>
      </c>
      <c r="G262" s="3"/>
      <c r="H262" s="3" t="s">
        <v>542</v>
      </c>
      <c r="I262" s="3"/>
      <c r="J262" s="3" t="s">
        <v>1123</v>
      </c>
      <c r="K262" s="3" t="s">
        <v>1027</v>
      </c>
      <c r="L262" s="3" t="s">
        <v>1124</v>
      </c>
      <c r="M262" s="3" t="s">
        <v>1125</v>
      </c>
    </row>
    <row r="263" spans="1:13" customFormat="1" ht="72.5" hidden="1" x14ac:dyDescent="0.35">
      <c r="A263" s="3" t="s">
        <v>1052</v>
      </c>
      <c r="B263" s="3" t="s">
        <v>102</v>
      </c>
      <c r="C263" s="3"/>
      <c r="D263" s="3"/>
      <c r="E263" s="3"/>
      <c r="F263" s="3" t="s">
        <v>1126</v>
      </c>
      <c r="G263" s="3"/>
      <c r="H263" s="3" t="s">
        <v>547</v>
      </c>
      <c r="I263" s="3"/>
      <c r="J263" s="3" t="s">
        <v>1127</v>
      </c>
      <c r="K263" s="3" t="s">
        <v>758</v>
      </c>
      <c r="L263" s="3" t="s">
        <v>1128</v>
      </c>
      <c r="M263" s="3" t="s">
        <v>1129</v>
      </c>
    </row>
    <row r="264" spans="1:13" customFormat="1" ht="58" hidden="1" x14ac:dyDescent="0.35">
      <c r="A264" s="3" t="s">
        <v>1052</v>
      </c>
      <c r="B264" s="3" t="s">
        <v>102</v>
      </c>
      <c r="C264" s="3"/>
      <c r="D264" s="3"/>
      <c r="E264" s="3"/>
      <c r="F264" s="3" t="s">
        <v>1130</v>
      </c>
      <c r="G264" s="3"/>
      <c r="H264" s="3" t="s">
        <v>553</v>
      </c>
      <c r="I264" s="3"/>
      <c r="J264" s="3" t="s">
        <v>1131</v>
      </c>
      <c r="K264" s="3" t="s">
        <v>229</v>
      </c>
      <c r="L264" s="3" t="s">
        <v>1132</v>
      </c>
      <c r="M264" s="3" t="s">
        <v>1133</v>
      </c>
    </row>
    <row r="265" spans="1:13" customFormat="1" ht="58" hidden="1" x14ac:dyDescent="0.35">
      <c r="A265" s="3" t="s">
        <v>1052</v>
      </c>
      <c r="B265" s="3" t="s">
        <v>102</v>
      </c>
      <c r="C265" s="3"/>
      <c r="D265" s="3"/>
      <c r="E265" s="3"/>
      <c r="F265" s="3" t="s">
        <v>1134</v>
      </c>
      <c r="G265" s="3"/>
      <c r="H265" s="3" t="s">
        <v>558</v>
      </c>
      <c r="I265" s="3"/>
      <c r="J265" s="3" t="s">
        <v>1135</v>
      </c>
      <c r="K265" s="3" t="s">
        <v>229</v>
      </c>
      <c r="L265" s="3" t="s">
        <v>1134</v>
      </c>
      <c r="M265" s="3" t="s">
        <v>1136</v>
      </c>
    </row>
    <row r="266" spans="1:13" customFormat="1" ht="159.5" hidden="1" x14ac:dyDescent="0.35">
      <c r="A266" s="3" t="s">
        <v>1052</v>
      </c>
      <c r="B266" s="3" t="s">
        <v>102</v>
      </c>
      <c r="C266" s="3"/>
      <c r="D266" s="3"/>
      <c r="E266" s="3"/>
      <c r="F266" s="3" t="s">
        <v>1137</v>
      </c>
      <c r="G266" s="3"/>
      <c r="H266" s="3" t="s">
        <v>564</v>
      </c>
      <c r="I266" s="3"/>
      <c r="J266" s="3" t="s">
        <v>1138</v>
      </c>
      <c r="K266" s="3" t="s">
        <v>1027</v>
      </c>
      <c r="L266" s="3" t="s">
        <v>1139</v>
      </c>
      <c r="M266" s="3" t="s">
        <v>1140</v>
      </c>
    </row>
    <row r="267" spans="1:13" customFormat="1" ht="159.5" hidden="1" x14ac:dyDescent="0.35">
      <c r="A267" s="3" t="s">
        <v>1052</v>
      </c>
      <c r="B267" s="3" t="s">
        <v>102</v>
      </c>
      <c r="C267" s="3"/>
      <c r="D267" s="3"/>
      <c r="E267" s="3"/>
      <c r="F267" s="3" t="s">
        <v>1141</v>
      </c>
      <c r="G267" s="3"/>
      <c r="H267" s="3" t="s">
        <v>637</v>
      </c>
      <c r="I267" s="3"/>
      <c r="J267" s="3" t="s">
        <v>1142</v>
      </c>
      <c r="K267" s="3" t="s">
        <v>1027</v>
      </c>
      <c r="L267" s="3" t="s">
        <v>1143</v>
      </c>
      <c r="M267" s="3" t="s">
        <v>1144</v>
      </c>
    </row>
    <row r="268" spans="1:13" customFormat="1" ht="145" hidden="1" x14ac:dyDescent="0.35">
      <c r="A268" s="3" t="s">
        <v>1052</v>
      </c>
      <c r="B268" s="3" t="s">
        <v>102</v>
      </c>
      <c r="C268" s="3"/>
      <c r="D268" s="3"/>
      <c r="E268" s="3"/>
      <c r="F268" s="3" t="s">
        <v>559</v>
      </c>
      <c r="G268" s="3"/>
      <c r="H268" s="3" t="s">
        <v>1145</v>
      </c>
      <c r="I268" s="3"/>
      <c r="J268" s="3" t="s">
        <v>1146</v>
      </c>
      <c r="K268" s="3" t="s">
        <v>1042</v>
      </c>
      <c r="L268" s="3" t="s">
        <v>562</v>
      </c>
      <c r="M268" s="3" t="s">
        <v>1147</v>
      </c>
    </row>
    <row r="269" spans="1:13" customFormat="1" ht="58" hidden="1" x14ac:dyDescent="0.35">
      <c r="A269" s="3" t="s">
        <v>1052</v>
      </c>
      <c r="B269" s="3" t="s">
        <v>344</v>
      </c>
      <c r="C269" s="3"/>
      <c r="D269" s="3"/>
      <c r="E269" s="3"/>
      <c r="F269" s="3">
        <v>1</v>
      </c>
      <c r="G269" s="3"/>
      <c r="H269" s="3" t="s">
        <v>1148</v>
      </c>
      <c r="I269" s="3"/>
      <c r="J269" s="3" t="s">
        <v>1149</v>
      </c>
      <c r="K269" s="3" t="s">
        <v>229</v>
      </c>
      <c r="L269" s="3" t="s">
        <v>1150</v>
      </c>
      <c r="M269" s="3" t="s">
        <v>1151</v>
      </c>
    </row>
    <row r="270" spans="1:13" customFormat="1" ht="58" hidden="1" x14ac:dyDescent="0.35">
      <c r="A270" s="3" t="s">
        <v>1052</v>
      </c>
      <c r="B270" s="3" t="s">
        <v>344</v>
      </c>
      <c r="C270" s="3"/>
      <c r="D270" s="3"/>
      <c r="E270" s="3"/>
      <c r="F270" s="3">
        <v>1</v>
      </c>
      <c r="G270" s="3"/>
      <c r="H270" s="3" t="s">
        <v>1152</v>
      </c>
      <c r="I270" s="3"/>
      <c r="J270" s="3" t="s">
        <v>1153</v>
      </c>
      <c r="K270" s="3" t="s">
        <v>229</v>
      </c>
      <c r="L270" s="3" t="s">
        <v>1154</v>
      </c>
      <c r="M270" s="3" t="s">
        <v>1155</v>
      </c>
    </row>
    <row r="271" spans="1:13" customFormat="1" ht="58" hidden="1" x14ac:dyDescent="0.35">
      <c r="A271" s="3" t="s">
        <v>1052</v>
      </c>
      <c r="B271" s="3" t="s">
        <v>344</v>
      </c>
      <c r="C271" s="3"/>
      <c r="D271" s="3"/>
      <c r="E271" s="3"/>
      <c r="F271" s="3">
        <v>1</v>
      </c>
      <c r="G271" s="3"/>
      <c r="H271" s="3" t="s">
        <v>1156</v>
      </c>
      <c r="I271" s="3"/>
      <c r="J271" s="3" t="s">
        <v>1157</v>
      </c>
      <c r="K271" s="3" t="s">
        <v>229</v>
      </c>
      <c r="L271" s="3" t="s">
        <v>1158</v>
      </c>
      <c r="M271" s="3" t="s">
        <v>1159</v>
      </c>
    </row>
    <row r="272" spans="1:13" customFormat="1" ht="130.5" hidden="1" x14ac:dyDescent="0.35">
      <c r="A272" s="3" t="s">
        <v>1052</v>
      </c>
      <c r="B272" s="3" t="s">
        <v>344</v>
      </c>
      <c r="C272" s="3"/>
      <c r="D272" s="3"/>
      <c r="E272" s="3"/>
      <c r="F272" s="3">
        <v>1</v>
      </c>
      <c r="G272" s="3"/>
      <c r="H272" s="3" t="s">
        <v>1160</v>
      </c>
      <c r="I272" s="3"/>
      <c r="J272" s="3" t="s">
        <v>1161</v>
      </c>
      <c r="K272" s="3" t="s">
        <v>570</v>
      </c>
      <c r="L272" s="3" t="s">
        <v>1162</v>
      </c>
      <c r="M272" s="3" t="s">
        <v>1163</v>
      </c>
    </row>
    <row r="273" spans="1:13" customFormat="1" ht="101.5" hidden="1" x14ac:dyDescent="0.35">
      <c r="A273" s="3" t="s">
        <v>1052</v>
      </c>
      <c r="B273" s="3" t="s">
        <v>344</v>
      </c>
      <c r="C273" s="3"/>
      <c r="D273" s="3"/>
      <c r="E273" s="3"/>
      <c r="F273" s="3">
        <v>1</v>
      </c>
      <c r="G273" s="3"/>
      <c r="H273" s="3" t="s">
        <v>1164</v>
      </c>
      <c r="I273" s="3"/>
      <c r="J273" s="3" t="s">
        <v>1165</v>
      </c>
      <c r="K273" s="3" t="s">
        <v>783</v>
      </c>
      <c r="L273" s="3" t="s">
        <v>1166</v>
      </c>
      <c r="M273" s="3" t="s">
        <v>1167</v>
      </c>
    </row>
    <row r="274" spans="1:13" customFormat="1" ht="159.5" hidden="1" x14ac:dyDescent="0.35">
      <c r="A274" s="3" t="s">
        <v>1052</v>
      </c>
      <c r="B274" s="3" t="s">
        <v>344</v>
      </c>
      <c r="C274" s="3"/>
      <c r="D274" s="3"/>
      <c r="E274" s="3"/>
      <c r="F274" s="3">
        <v>1</v>
      </c>
      <c r="G274" s="3"/>
      <c r="H274" s="3" t="s">
        <v>1168</v>
      </c>
      <c r="I274" s="3"/>
      <c r="J274" s="3" t="s">
        <v>1169</v>
      </c>
      <c r="K274" s="3" t="s">
        <v>1170</v>
      </c>
      <c r="L274" s="3" t="s">
        <v>1171</v>
      </c>
      <c r="M274" s="3" t="s">
        <v>1172</v>
      </c>
    </row>
    <row r="275" spans="1:13" customFormat="1" ht="58" hidden="1" x14ac:dyDescent="0.35">
      <c r="A275" s="3" t="s">
        <v>1052</v>
      </c>
      <c r="B275" s="3" t="s">
        <v>344</v>
      </c>
      <c r="C275" s="3"/>
      <c r="D275" s="3"/>
      <c r="E275" s="3"/>
      <c r="F275" s="3">
        <v>1</v>
      </c>
      <c r="G275" s="3"/>
      <c r="H275" s="3" t="s">
        <v>1173</v>
      </c>
      <c r="I275" s="3"/>
      <c r="J275" s="3" t="s">
        <v>1174</v>
      </c>
      <c r="K275" s="3" t="s">
        <v>229</v>
      </c>
      <c r="L275" s="3" t="s">
        <v>1175</v>
      </c>
      <c r="M275" s="3" t="s">
        <v>1174</v>
      </c>
    </row>
    <row r="276" spans="1:13" customFormat="1" ht="101.5" hidden="1" x14ac:dyDescent="0.35">
      <c r="A276" s="3" t="s">
        <v>1052</v>
      </c>
      <c r="B276" s="3" t="s">
        <v>344</v>
      </c>
      <c r="C276" s="3"/>
      <c r="D276" s="3"/>
      <c r="E276" s="3"/>
      <c r="F276" s="3">
        <v>1</v>
      </c>
      <c r="G276" s="3"/>
      <c r="H276" s="3" t="s">
        <v>1176</v>
      </c>
      <c r="I276" s="3"/>
      <c r="J276" s="3" t="s">
        <v>1177</v>
      </c>
      <c r="K276" s="3" t="s">
        <v>783</v>
      </c>
      <c r="L276" s="3" t="s">
        <v>1178</v>
      </c>
      <c r="M276" s="3" t="s">
        <v>1177</v>
      </c>
    </row>
    <row r="277" spans="1:13" customFormat="1" ht="203" hidden="1" x14ac:dyDescent="0.35">
      <c r="A277" s="3" t="s">
        <v>1052</v>
      </c>
      <c r="B277" s="3" t="s">
        <v>344</v>
      </c>
      <c r="C277" s="3"/>
      <c r="D277" s="3"/>
      <c r="E277" s="3"/>
      <c r="F277" s="3">
        <v>1</v>
      </c>
      <c r="G277" s="3"/>
      <c r="H277" s="3" t="s">
        <v>1179</v>
      </c>
      <c r="I277" s="3"/>
      <c r="J277" s="3" t="s">
        <v>1180</v>
      </c>
      <c r="K277" s="3" t="s">
        <v>1181</v>
      </c>
      <c r="L277" s="3" t="s">
        <v>1182</v>
      </c>
      <c r="M277" s="3" t="s">
        <v>1183</v>
      </c>
    </row>
    <row r="278" spans="1:13" customFormat="1" ht="87" hidden="1" x14ac:dyDescent="0.35">
      <c r="A278" s="3" t="s">
        <v>1184</v>
      </c>
      <c r="B278" s="3" t="s">
        <v>344</v>
      </c>
      <c r="C278" s="3"/>
      <c r="D278" s="3"/>
      <c r="E278" s="3"/>
      <c r="F278" s="3">
        <v>1</v>
      </c>
      <c r="G278" s="3"/>
      <c r="H278" s="3" t="s">
        <v>1185</v>
      </c>
      <c r="I278" s="3"/>
      <c r="J278" s="3" t="s">
        <v>1186</v>
      </c>
      <c r="K278" s="3" t="s">
        <v>1187</v>
      </c>
      <c r="L278" s="3" t="s">
        <v>1188</v>
      </c>
      <c r="M278" s="3" t="s">
        <v>1189</v>
      </c>
    </row>
    <row r="279" spans="1:13" customFormat="1" ht="101.5" hidden="1" x14ac:dyDescent="0.35">
      <c r="A279" s="3" t="s">
        <v>1184</v>
      </c>
      <c r="B279" s="3" t="s">
        <v>344</v>
      </c>
      <c r="C279" s="3"/>
      <c r="D279" s="3"/>
      <c r="E279" s="3"/>
      <c r="F279" s="3">
        <v>1</v>
      </c>
      <c r="G279" s="3"/>
      <c r="H279" s="3" t="s">
        <v>1190</v>
      </c>
      <c r="I279" s="3"/>
      <c r="J279" s="3" t="s">
        <v>1191</v>
      </c>
      <c r="K279" s="3" t="s">
        <v>783</v>
      </c>
      <c r="L279" s="3" t="s">
        <v>1192</v>
      </c>
      <c r="M279" s="3" t="s">
        <v>1191</v>
      </c>
    </row>
    <row r="280" spans="1:13" customFormat="1" ht="101.5" hidden="1" x14ac:dyDescent="0.35">
      <c r="A280" s="3" t="s">
        <v>1184</v>
      </c>
      <c r="B280" s="3" t="s">
        <v>344</v>
      </c>
      <c r="C280" s="3"/>
      <c r="D280" s="3"/>
      <c r="E280" s="3"/>
      <c r="F280" s="3">
        <v>1</v>
      </c>
      <c r="G280" s="3"/>
      <c r="H280" s="3" t="s">
        <v>1193</v>
      </c>
      <c r="I280" s="3"/>
      <c r="J280" s="3" t="s">
        <v>1194</v>
      </c>
      <c r="K280" s="3" t="s">
        <v>783</v>
      </c>
      <c r="L280" s="3" t="s">
        <v>1195</v>
      </c>
      <c r="M280" s="3" t="s">
        <v>1194</v>
      </c>
    </row>
    <row r="281" spans="1:13" customFormat="1" ht="145" hidden="1" x14ac:dyDescent="0.35">
      <c r="A281" s="3" t="s">
        <v>1184</v>
      </c>
      <c r="B281" s="3" t="s">
        <v>344</v>
      </c>
      <c r="C281" s="3"/>
      <c r="D281" s="3"/>
      <c r="E281" s="3"/>
      <c r="F281" s="3">
        <v>1</v>
      </c>
      <c r="G281" s="3"/>
      <c r="H281" s="3" t="s">
        <v>1196</v>
      </c>
      <c r="I281" s="3"/>
      <c r="J281" s="3" t="s">
        <v>1197</v>
      </c>
      <c r="K281" s="3" t="s">
        <v>1198</v>
      </c>
      <c r="L281" s="3" t="s">
        <v>1199</v>
      </c>
      <c r="M281" s="3" t="s">
        <v>1200</v>
      </c>
    </row>
    <row r="282" spans="1:13" customFormat="1" ht="145" hidden="1" x14ac:dyDescent="0.35">
      <c r="A282" s="3" t="s">
        <v>1184</v>
      </c>
      <c r="B282" s="3" t="s">
        <v>344</v>
      </c>
      <c r="C282" s="3"/>
      <c r="D282" s="3"/>
      <c r="E282" s="3"/>
      <c r="F282" s="3">
        <v>1</v>
      </c>
      <c r="G282" s="3"/>
      <c r="H282" s="3" t="s">
        <v>1201</v>
      </c>
      <c r="I282" s="3"/>
      <c r="J282" s="3" t="s">
        <v>1202</v>
      </c>
      <c r="K282" s="3" t="s">
        <v>1198</v>
      </c>
      <c r="L282" s="3" t="s">
        <v>1203</v>
      </c>
      <c r="M282" s="3" t="s">
        <v>1204</v>
      </c>
    </row>
    <row r="283" spans="1:13" customFormat="1" ht="58" hidden="1" x14ac:dyDescent="0.35">
      <c r="A283" s="3" t="s">
        <v>1184</v>
      </c>
      <c r="B283" s="3" t="s">
        <v>344</v>
      </c>
      <c r="C283" s="3"/>
      <c r="D283" s="3"/>
      <c r="E283" s="3"/>
      <c r="F283" s="3">
        <v>1</v>
      </c>
      <c r="G283" s="3"/>
      <c r="H283" s="3" t="s">
        <v>1205</v>
      </c>
      <c r="I283" s="3"/>
      <c r="J283" s="3" t="s">
        <v>1174</v>
      </c>
      <c r="K283" s="3" t="s">
        <v>229</v>
      </c>
      <c r="L283" s="3" t="s">
        <v>1206</v>
      </c>
      <c r="M283" s="3" t="s">
        <v>1207</v>
      </c>
    </row>
    <row r="284" spans="1:13" customFormat="1" ht="101.5" hidden="1" x14ac:dyDescent="0.35">
      <c r="A284" s="3" t="s">
        <v>1184</v>
      </c>
      <c r="B284" s="3" t="s">
        <v>344</v>
      </c>
      <c r="C284" s="3"/>
      <c r="D284" s="3"/>
      <c r="E284" s="3"/>
      <c r="F284" s="3">
        <v>1</v>
      </c>
      <c r="G284" s="3"/>
      <c r="H284" s="3" t="s">
        <v>1208</v>
      </c>
      <c r="I284" s="3"/>
      <c r="J284" s="3" t="s">
        <v>1177</v>
      </c>
      <c r="K284" s="3" t="s">
        <v>783</v>
      </c>
      <c r="L284" s="3" t="s">
        <v>1178</v>
      </c>
      <c r="M284" s="3" t="s">
        <v>1209</v>
      </c>
    </row>
    <row r="285" spans="1:13" customFormat="1" ht="391.5" hidden="1" x14ac:dyDescent="0.35">
      <c r="A285" s="3" t="s">
        <v>1184</v>
      </c>
      <c r="B285" s="3" t="s">
        <v>344</v>
      </c>
      <c r="C285" s="3"/>
      <c r="D285" s="3"/>
      <c r="E285" s="3"/>
      <c r="F285" s="3">
        <v>1</v>
      </c>
      <c r="G285" s="3"/>
      <c r="H285" s="3" t="s">
        <v>1210</v>
      </c>
      <c r="I285" s="3"/>
      <c r="J285" s="3" t="s">
        <v>1211</v>
      </c>
      <c r="K285" s="3" t="s">
        <v>1212</v>
      </c>
      <c r="L285" s="3" t="s">
        <v>1213</v>
      </c>
      <c r="M285" s="3" t="s">
        <v>1214</v>
      </c>
    </row>
    <row r="286" spans="1:13" customFormat="1" ht="174" hidden="1" x14ac:dyDescent="0.35">
      <c r="A286" s="3" t="s">
        <v>1184</v>
      </c>
      <c r="B286" s="3" t="s">
        <v>344</v>
      </c>
      <c r="C286" s="3"/>
      <c r="D286" s="3"/>
      <c r="E286" s="3"/>
      <c r="F286" s="3">
        <v>1</v>
      </c>
      <c r="G286" s="3"/>
      <c r="H286" s="3" t="s">
        <v>1215</v>
      </c>
      <c r="I286" s="3"/>
      <c r="J286" s="3" t="s">
        <v>1216</v>
      </c>
      <c r="K286" s="3" t="s">
        <v>1217</v>
      </c>
      <c r="L286" s="3" t="s">
        <v>1218</v>
      </c>
      <c r="M286" s="3" t="s">
        <v>1219</v>
      </c>
    </row>
    <row r="287" spans="1:13" customFormat="1" ht="174" hidden="1" x14ac:dyDescent="0.35">
      <c r="A287" s="3" t="s">
        <v>1184</v>
      </c>
      <c r="B287" s="3" t="s">
        <v>344</v>
      </c>
      <c r="C287" s="3"/>
      <c r="D287" s="3"/>
      <c r="E287" s="3"/>
      <c r="F287" s="3">
        <v>1</v>
      </c>
      <c r="G287" s="3"/>
      <c r="H287" s="3" t="s">
        <v>1220</v>
      </c>
      <c r="I287" s="3"/>
      <c r="J287" s="3" t="s">
        <v>1221</v>
      </c>
      <c r="K287" s="3" t="s">
        <v>1217</v>
      </c>
      <c r="L287" s="3" t="s">
        <v>1222</v>
      </c>
      <c r="M287" s="3" t="s">
        <v>1223</v>
      </c>
    </row>
    <row r="288" spans="1:13" customFormat="1" ht="145" hidden="1" x14ac:dyDescent="0.35">
      <c r="A288" s="3" t="s">
        <v>1184</v>
      </c>
      <c r="B288" s="3" t="s">
        <v>344</v>
      </c>
      <c r="C288" s="3"/>
      <c r="D288" s="3"/>
      <c r="E288" s="3"/>
      <c r="F288" s="3">
        <v>1</v>
      </c>
      <c r="G288" s="3"/>
      <c r="H288" s="3" t="s">
        <v>1224</v>
      </c>
      <c r="I288" s="3"/>
      <c r="J288" s="3" t="s">
        <v>1225</v>
      </c>
      <c r="K288" s="3" t="s">
        <v>1198</v>
      </c>
      <c r="L288" s="3" t="s">
        <v>1226</v>
      </c>
      <c r="M288" s="3" t="s">
        <v>1227</v>
      </c>
    </row>
    <row r="289" spans="1:13" customFormat="1" ht="101.5" hidden="1" x14ac:dyDescent="0.35">
      <c r="A289" s="3" t="s">
        <v>1184</v>
      </c>
      <c r="B289" s="3" t="s">
        <v>344</v>
      </c>
      <c r="C289" s="3"/>
      <c r="D289" s="3"/>
      <c r="E289" s="3"/>
      <c r="F289" s="3">
        <v>1</v>
      </c>
      <c r="G289" s="3"/>
      <c r="H289" s="3" t="s">
        <v>1228</v>
      </c>
      <c r="I289" s="3"/>
      <c r="J289" s="3" t="s">
        <v>1229</v>
      </c>
      <c r="K289" s="3" t="s">
        <v>783</v>
      </c>
      <c r="L289" s="3" t="s">
        <v>1230</v>
      </c>
      <c r="M289" s="3" t="s">
        <v>1231</v>
      </c>
    </row>
    <row r="290" spans="1:13" customFormat="1" ht="58" hidden="1" x14ac:dyDescent="0.35">
      <c r="A290" s="3" t="s">
        <v>1184</v>
      </c>
      <c r="B290" s="3" t="s">
        <v>344</v>
      </c>
      <c r="C290" s="3"/>
      <c r="D290" s="3"/>
      <c r="E290" s="3"/>
      <c r="F290" s="3">
        <v>2</v>
      </c>
      <c r="G290" s="3"/>
      <c r="H290" s="3" t="s">
        <v>1232</v>
      </c>
      <c r="I290" s="3"/>
      <c r="J290" s="3" t="s">
        <v>1174</v>
      </c>
      <c r="K290" s="3" t="s">
        <v>229</v>
      </c>
      <c r="L290" s="3" t="s">
        <v>1175</v>
      </c>
      <c r="M290" s="3" t="s">
        <v>1233</v>
      </c>
    </row>
    <row r="291" spans="1:13" customFormat="1" ht="101.5" hidden="1" x14ac:dyDescent="0.35">
      <c r="A291" s="3" t="s">
        <v>1184</v>
      </c>
      <c r="B291" s="3" t="s">
        <v>344</v>
      </c>
      <c r="C291" s="3"/>
      <c r="D291" s="3"/>
      <c r="E291" s="3"/>
      <c r="F291" s="3">
        <v>2</v>
      </c>
      <c r="G291" s="3"/>
      <c r="H291" s="3" t="s">
        <v>1234</v>
      </c>
      <c r="I291" s="3"/>
      <c r="J291" s="3" t="s">
        <v>1177</v>
      </c>
      <c r="K291" s="3" t="s">
        <v>783</v>
      </c>
      <c r="L291" s="3" t="s">
        <v>1178</v>
      </c>
      <c r="M291" s="3" t="s">
        <v>1235</v>
      </c>
    </row>
    <row r="292" spans="1:13" customFormat="1" ht="174" hidden="1" x14ac:dyDescent="0.35">
      <c r="A292" s="3" t="s">
        <v>1184</v>
      </c>
      <c r="B292" s="3" t="s">
        <v>344</v>
      </c>
      <c r="C292" s="3"/>
      <c r="D292" s="3"/>
      <c r="E292" s="3"/>
      <c r="F292" s="3">
        <v>2</v>
      </c>
      <c r="G292" s="3"/>
      <c r="H292" s="3" t="s">
        <v>1220</v>
      </c>
      <c r="I292" s="3"/>
      <c r="J292" s="3" t="s">
        <v>1221</v>
      </c>
      <c r="K292" s="3" t="s">
        <v>1217</v>
      </c>
      <c r="L292" s="3" t="s">
        <v>1222</v>
      </c>
      <c r="M292" s="3" t="s">
        <v>1236</v>
      </c>
    </row>
    <row r="293" spans="1:13" customFormat="1" ht="101.5" hidden="1" x14ac:dyDescent="0.35">
      <c r="A293" s="3" t="s">
        <v>1184</v>
      </c>
      <c r="B293" s="3" t="s">
        <v>344</v>
      </c>
      <c r="C293" s="3"/>
      <c r="D293" s="3"/>
      <c r="E293" s="3"/>
      <c r="F293" s="3">
        <v>2</v>
      </c>
      <c r="G293" s="3"/>
      <c r="H293" s="3" t="s">
        <v>1237</v>
      </c>
      <c r="I293" s="3"/>
      <c r="J293" s="3" t="s">
        <v>1238</v>
      </c>
      <c r="K293" s="3" t="s">
        <v>783</v>
      </c>
      <c r="L293" s="3" t="s">
        <v>1239</v>
      </c>
      <c r="M293" s="3" t="s">
        <v>1240</v>
      </c>
    </row>
    <row r="294" spans="1:13" customFormat="1" ht="101.5" hidden="1" x14ac:dyDescent="0.35">
      <c r="A294" s="3" t="s">
        <v>1184</v>
      </c>
      <c r="B294" s="3" t="s">
        <v>344</v>
      </c>
      <c r="C294" s="3"/>
      <c r="D294" s="3"/>
      <c r="E294" s="3"/>
      <c r="F294" s="3">
        <v>2</v>
      </c>
      <c r="G294" s="3"/>
      <c r="H294" s="3" t="s">
        <v>1241</v>
      </c>
      <c r="I294" s="3"/>
      <c r="J294" s="3" t="s">
        <v>1242</v>
      </c>
      <c r="K294" s="3" t="s">
        <v>783</v>
      </c>
      <c r="L294" s="3" t="s">
        <v>1243</v>
      </c>
      <c r="M294" s="3" t="s">
        <v>1244</v>
      </c>
    </row>
    <row r="295" spans="1:13" customFormat="1" ht="174" hidden="1" x14ac:dyDescent="0.35">
      <c r="A295" s="3" t="s">
        <v>1184</v>
      </c>
      <c r="B295" s="3" t="s">
        <v>344</v>
      </c>
      <c r="C295" s="3"/>
      <c r="D295" s="3"/>
      <c r="E295" s="3"/>
      <c r="F295" s="3">
        <v>2</v>
      </c>
      <c r="G295" s="3"/>
      <c r="H295" s="3" t="s">
        <v>1245</v>
      </c>
      <c r="I295" s="3"/>
      <c r="J295" s="3" t="s">
        <v>1216</v>
      </c>
      <c r="K295" s="3" t="s">
        <v>1217</v>
      </c>
      <c r="L295" s="3" t="s">
        <v>1218</v>
      </c>
      <c r="M295" s="3" t="s">
        <v>1246</v>
      </c>
    </row>
    <row r="296" spans="1:13" customFormat="1" ht="58" hidden="1" x14ac:dyDescent="0.35">
      <c r="A296" s="3" t="s">
        <v>1184</v>
      </c>
      <c r="B296" s="3" t="s">
        <v>344</v>
      </c>
      <c r="C296" s="3"/>
      <c r="D296" s="3"/>
      <c r="E296" s="3"/>
      <c r="F296" s="3">
        <v>3</v>
      </c>
      <c r="G296" s="3"/>
      <c r="H296" s="3" t="s">
        <v>1247</v>
      </c>
      <c r="I296" s="3"/>
      <c r="J296" s="3" t="s">
        <v>1174</v>
      </c>
      <c r="K296" s="3" t="s">
        <v>229</v>
      </c>
      <c r="L296" s="3" t="s">
        <v>1248</v>
      </c>
      <c r="M296" s="3" t="s">
        <v>1249</v>
      </c>
    </row>
    <row r="297" spans="1:13" customFormat="1" ht="87" hidden="1" x14ac:dyDescent="0.35">
      <c r="A297" s="3" t="s">
        <v>1184</v>
      </c>
      <c r="B297" s="3" t="s">
        <v>344</v>
      </c>
      <c r="C297" s="3"/>
      <c r="D297" s="3"/>
      <c r="E297" s="3"/>
      <c r="F297" s="3">
        <v>3</v>
      </c>
      <c r="G297" s="3"/>
      <c r="H297" s="3" t="s">
        <v>1250</v>
      </c>
      <c r="I297" s="3"/>
      <c r="J297" s="3" t="s">
        <v>1251</v>
      </c>
      <c r="K297" s="3" t="s">
        <v>1187</v>
      </c>
      <c r="L297" s="3" t="s">
        <v>1252</v>
      </c>
      <c r="M297" s="3" t="s">
        <v>1253</v>
      </c>
    </row>
    <row r="298" spans="1:13" customFormat="1" ht="101.5" hidden="1" x14ac:dyDescent="0.35">
      <c r="A298" s="3" t="s">
        <v>1184</v>
      </c>
      <c r="B298" s="3" t="s">
        <v>344</v>
      </c>
      <c r="C298" s="3"/>
      <c r="D298" s="3"/>
      <c r="E298" s="3"/>
      <c r="F298" s="3">
        <v>3</v>
      </c>
      <c r="G298" s="3"/>
      <c r="H298" s="3" t="s">
        <v>1254</v>
      </c>
      <c r="I298" s="3"/>
      <c r="J298" s="3" t="s">
        <v>1255</v>
      </c>
      <c r="K298" s="3" t="s">
        <v>783</v>
      </c>
      <c r="L298" s="3" t="s">
        <v>1195</v>
      </c>
      <c r="M298" s="3" t="s">
        <v>1256</v>
      </c>
    </row>
    <row r="299" spans="1:13" customFormat="1" ht="87" hidden="1" x14ac:dyDescent="0.35">
      <c r="A299" s="3" t="s">
        <v>1184</v>
      </c>
      <c r="B299" s="3" t="s">
        <v>344</v>
      </c>
      <c r="C299" s="3"/>
      <c r="D299" s="3"/>
      <c r="E299" s="3"/>
      <c r="F299" s="3">
        <v>3</v>
      </c>
      <c r="G299" s="3"/>
      <c r="H299" s="3" t="s">
        <v>1257</v>
      </c>
      <c r="I299" s="3"/>
      <c r="J299" s="3" t="s">
        <v>1258</v>
      </c>
      <c r="K299" s="3" t="s">
        <v>1187</v>
      </c>
      <c r="L299" s="3" t="s">
        <v>1259</v>
      </c>
      <c r="M299" s="3" t="s">
        <v>1260</v>
      </c>
    </row>
    <row r="300" spans="1:13" customFormat="1" ht="58" hidden="1" x14ac:dyDescent="0.35">
      <c r="A300" s="3" t="s">
        <v>1184</v>
      </c>
      <c r="B300" s="3" t="s">
        <v>344</v>
      </c>
      <c r="C300" s="3"/>
      <c r="D300" s="3"/>
      <c r="E300" s="3"/>
      <c r="F300" s="3">
        <v>4</v>
      </c>
      <c r="G300" s="3"/>
      <c r="H300" s="3" t="s">
        <v>1261</v>
      </c>
      <c r="I300" s="3"/>
      <c r="J300" s="3" t="s">
        <v>1174</v>
      </c>
      <c r="K300" s="3" t="s">
        <v>229</v>
      </c>
      <c r="L300" s="3" t="s">
        <v>1262</v>
      </c>
      <c r="M300" s="3" t="s">
        <v>1263</v>
      </c>
    </row>
    <row r="301" spans="1:13" customFormat="1" ht="145" hidden="1" x14ac:dyDescent="0.35">
      <c r="A301" s="3" t="s">
        <v>1184</v>
      </c>
      <c r="B301" s="3" t="s">
        <v>344</v>
      </c>
      <c r="C301" s="3"/>
      <c r="D301" s="3"/>
      <c r="E301" s="3"/>
      <c r="F301" s="3">
        <v>4</v>
      </c>
      <c r="G301" s="3"/>
      <c r="H301" s="3" t="s">
        <v>1264</v>
      </c>
      <c r="I301" s="3"/>
      <c r="J301" s="3" t="s">
        <v>1265</v>
      </c>
      <c r="K301" s="3" t="s">
        <v>1198</v>
      </c>
      <c r="L301" s="3" t="s">
        <v>1213</v>
      </c>
      <c r="M301" s="3" t="s">
        <v>1266</v>
      </c>
    </row>
    <row r="302" spans="1:13" customFormat="1" ht="101.5" hidden="1" x14ac:dyDescent="0.35">
      <c r="A302" s="3" t="s">
        <v>1184</v>
      </c>
      <c r="B302" s="3" t="s">
        <v>344</v>
      </c>
      <c r="C302" s="3"/>
      <c r="D302" s="3"/>
      <c r="E302" s="3"/>
      <c r="F302" s="3">
        <v>4</v>
      </c>
      <c r="G302" s="3"/>
      <c r="H302" s="3" t="s">
        <v>1267</v>
      </c>
      <c r="I302" s="3"/>
      <c r="J302" s="3" t="s">
        <v>1268</v>
      </c>
      <c r="K302" s="3" t="s">
        <v>783</v>
      </c>
      <c r="L302" s="3" t="s">
        <v>1269</v>
      </c>
      <c r="M302" s="3" t="s">
        <v>1270</v>
      </c>
    </row>
    <row r="303" spans="1:13" customFormat="1" ht="58" hidden="1" x14ac:dyDescent="0.35">
      <c r="A303" s="3" t="s">
        <v>1184</v>
      </c>
      <c r="B303" s="3" t="s">
        <v>344</v>
      </c>
      <c r="C303" s="3"/>
      <c r="D303" s="3"/>
      <c r="E303" s="3"/>
      <c r="F303" s="3">
        <v>5</v>
      </c>
      <c r="G303" s="3"/>
      <c r="H303" s="3" t="s">
        <v>1271</v>
      </c>
      <c r="I303" s="3"/>
      <c r="J303" s="3" t="s">
        <v>1149</v>
      </c>
      <c r="K303" s="3" t="s">
        <v>229</v>
      </c>
      <c r="L303" s="3" t="s">
        <v>1272</v>
      </c>
      <c r="M303" s="3" t="s">
        <v>1273</v>
      </c>
    </row>
    <row r="304" spans="1:13" customFormat="1" ht="58" hidden="1" x14ac:dyDescent="0.35">
      <c r="A304" s="3" t="s">
        <v>1184</v>
      </c>
      <c r="B304" s="3" t="s">
        <v>344</v>
      </c>
      <c r="C304" s="3"/>
      <c r="D304" s="3"/>
      <c r="E304" s="3"/>
      <c r="F304" s="3">
        <v>5</v>
      </c>
      <c r="G304" s="3"/>
      <c r="H304" s="3" t="s">
        <v>1274</v>
      </c>
      <c r="I304" s="3"/>
      <c r="J304" s="3" t="s">
        <v>1275</v>
      </c>
      <c r="K304" s="3" t="s">
        <v>248</v>
      </c>
      <c r="L304" s="3" t="s">
        <v>1276</v>
      </c>
      <c r="M304" s="3" t="s">
        <v>1275</v>
      </c>
    </row>
    <row r="305" spans="1:16" ht="58" hidden="1" x14ac:dyDescent="0.35">
      <c r="A305" s="3" t="s">
        <v>1184</v>
      </c>
      <c r="B305" s="3" t="s">
        <v>344</v>
      </c>
      <c r="C305" s="3"/>
      <c r="D305" s="3"/>
      <c r="E305" s="3"/>
      <c r="F305" s="3">
        <v>5</v>
      </c>
      <c r="G305" s="3"/>
      <c r="H305" s="3" t="s">
        <v>1277</v>
      </c>
      <c r="I305" s="3"/>
      <c r="J305" s="3" t="s">
        <v>1278</v>
      </c>
      <c r="K305" s="3" t="s">
        <v>248</v>
      </c>
      <c r="L305" s="3" t="s">
        <v>1279</v>
      </c>
      <c r="M305" s="3" t="s">
        <v>1278</v>
      </c>
      <c r="P305"/>
    </row>
    <row r="306" spans="1:16" ht="58" hidden="1" x14ac:dyDescent="0.35">
      <c r="A306" s="3" t="s">
        <v>1184</v>
      </c>
      <c r="B306" s="3" t="s">
        <v>344</v>
      </c>
      <c r="C306" s="3"/>
      <c r="D306" s="3"/>
      <c r="E306" s="3"/>
      <c r="F306" s="3">
        <v>5</v>
      </c>
      <c r="G306" s="3"/>
      <c r="H306" s="3" t="s">
        <v>1280</v>
      </c>
      <c r="I306" s="3"/>
      <c r="J306" s="3" t="s">
        <v>1281</v>
      </c>
      <c r="K306" s="3" t="s">
        <v>248</v>
      </c>
      <c r="L306" s="3" t="s">
        <v>1282</v>
      </c>
      <c r="M306" s="3" t="s">
        <v>1283</v>
      </c>
      <c r="P306"/>
    </row>
    <row r="307" spans="1:16" ht="58" hidden="1" x14ac:dyDescent="0.35">
      <c r="A307" s="3" t="s">
        <v>1184</v>
      </c>
      <c r="B307" s="3" t="s">
        <v>344</v>
      </c>
      <c r="C307" s="3"/>
      <c r="D307" s="3"/>
      <c r="E307" s="3"/>
      <c r="F307" s="3">
        <v>5</v>
      </c>
      <c r="G307" s="3"/>
      <c r="H307" s="3" t="s">
        <v>1284</v>
      </c>
      <c r="I307" s="3"/>
      <c r="J307" s="3" t="s">
        <v>1285</v>
      </c>
      <c r="K307" s="3" t="s">
        <v>248</v>
      </c>
      <c r="L307" s="3" t="s">
        <v>1286</v>
      </c>
      <c r="M307" s="3" t="s">
        <v>1287</v>
      </c>
      <c r="P307"/>
    </row>
    <row r="308" spans="1:16" ht="58" hidden="1" x14ac:dyDescent="0.35">
      <c r="A308" s="3" t="s">
        <v>1184</v>
      </c>
      <c r="B308" s="3" t="s">
        <v>344</v>
      </c>
      <c r="C308" s="3"/>
      <c r="D308" s="3"/>
      <c r="E308" s="3"/>
      <c r="F308" s="3">
        <v>6</v>
      </c>
      <c r="G308" s="3"/>
      <c r="H308" s="3" t="s">
        <v>1288</v>
      </c>
      <c r="I308" s="3"/>
      <c r="J308" s="3" t="s">
        <v>1289</v>
      </c>
      <c r="K308" s="3" t="s">
        <v>229</v>
      </c>
      <c r="L308" s="3" t="s">
        <v>1272</v>
      </c>
      <c r="M308" s="3" t="s">
        <v>1290</v>
      </c>
      <c r="P308"/>
    </row>
    <row r="309" spans="1:16" ht="58" hidden="1" x14ac:dyDescent="0.35">
      <c r="A309" s="3" t="s">
        <v>1184</v>
      </c>
      <c r="B309" s="3" t="s">
        <v>344</v>
      </c>
      <c r="C309" s="3"/>
      <c r="D309" s="3"/>
      <c r="E309" s="3"/>
      <c r="F309" s="3">
        <v>6</v>
      </c>
      <c r="G309" s="3"/>
      <c r="H309" s="3" t="s">
        <v>1291</v>
      </c>
      <c r="I309" s="3"/>
      <c r="J309" s="3" t="s">
        <v>1292</v>
      </c>
      <c r="K309" s="3" t="s">
        <v>248</v>
      </c>
      <c r="L309" s="3" t="s">
        <v>1293</v>
      </c>
      <c r="M309" s="3" t="s">
        <v>1294</v>
      </c>
      <c r="P309"/>
    </row>
    <row r="310" spans="1:16" ht="203" hidden="1" x14ac:dyDescent="0.35">
      <c r="A310" s="3" t="s">
        <v>1184</v>
      </c>
      <c r="B310" s="3" t="s">
        <v>344</v>
      </c>
      <c r="C310" s="3"/>
      <c r="D310" s="3"/>
      <c r="E310" s="3"/>
      <c r="F310" s="3">
        <v>7</v>
      </c>
      <c r="G310" s="3"/>
      <c r="H310" s="3" t="s">
        <v>1295</v>
      </c>
      <c r="I310" s="3"/>
      <c r="J310" s="3" t="s">
        <v>1296</v>
      </c>
      <c r="K310" s="3" t="s">
        <v>1181</v>
      </c>
      <c r="L310" s="3" t="s">
        <v>1297</v>
      </c>
      <c r="M310" s="3" t="s">
        <v>1298</v>
      </c>
      <c r="P310"/>
    </row>
    <row r="311" spans="1:16" ht="159.5" hidden="1" x14ac:dyDescent="0.35">
      <c r="A311" s="3" t="s">
        <v>1184</v>
      </c>
      <c r="B311" s="3" t="s">
        <v>344</v>
      </c>
      <c r="C311" s="3"/>
      <c r="D311" s="3"/>
      <c r="E311" s="3"/>
      <c r="F311" s="3">
        <v>7</v>
      </c>
      <c r="G311" s="3"/>
      <c r="H311" s="3" t="s">
        <v>1299</v>
      </c>
      <c r="I311" s="3"/>
      <c r="J311" s="3" t="s">
        <v>1300</v>
      </c>
      <c r="K311" s="3" t="s">
        <v>1170</v>
      </c>
      <c r="L311" s="3" t="s">
        <v>1301</v>
      </c>
      <c r="M311" s="3" t="s">
        <v>1302</v>
      </c>
      <c r="P311"/>
    </row>
    <row r="312" spans="1:16" hidden="1" x14ac:dyDescent="0.35">
      <c r="A312" s="3" t="s">
        <v>1184</v>
      </c>
      <c r="B312" s="3" t="s">
        <v>102</v>
      </c>
      <c r="C312" s="3"/>
      <c r="D312" s="3"/>
      <c r="E312" s="3"/>
      <c r="F312" t="s">
        <v>378</v>
      </c>
      <c r="H312" t="s">
        <v>1303</v>
      </c>
      <c r="J312" t="s">
        <v>1304</v>
      </c>
      <c r="K312" t="s">
        <v>229</v>
      </c>
      <c r="L312" t="s">
        <v>1015</v>
      </c>
      <c r="M312" t="s">
        <v>1305</v>
      </c>
      <c r="P312"/>
    </row>
    <row r="313" spans="1:16" hidden="1" x14ac:dyDescent="0.35">
      <c r="A313" s="3" t="s">
        <v>1184</v>
      </c>
      <c r="B313" s="3" t="s">
        <v>102</v>
      </c>
      <c r="C313" s="3"/>
      <c r="D313" s="3"/>
      <c r="E313" s="3"/>
      <c r="F313" t="s">
        <v>378</v>
      </c>
      <c r="H313" t="s">
        <v>1303</v>
      </c>
      <c r="J313" t="s">
        <v>1306</v>
      </c>
      <c r="K313" t="s">
        <v>241</v>
      </c>
      <c r="L313" t="s">
        <v>1307</v>
      </c>
      <c r="M313" t="s">
        <v>1308</v>
      </c>
      <c r="P313"/>
    </row>
    <row r="314" spans="1:16" hidden="1" x14ac:dyDescent="0.35">
      <c r="A314" s="3" t="s">
        <v>1184</v>
      </c>
      <c r="B314" s="3" t="s">
        <v>102</v>
      </c>
      <c r="C314" s="3"/>
      <c r="D314" s="3"/>
      <c r="E314" s="3"/>
      <c r="F314" t="s">
        <v>378</v>
      </c>
      <c r="H314" t="s">
        <v>1303</v>
      </c>
      <c r="J314" t="s">
        <v>1309</v>
      </c>
      <c r="K314" t="s">
        <v>241</v>
      </c>
      <c r="L314" t="s">
        <v>1310</v>
      </c>
      <c r="M314" t="s">
        <v>1311</v>
      </c>
      <c r="P314" s="14"/>
    </row>
    <row r="315" spans="1:16" hidden="1" x14ac:dyDescent="0.35">
      <c r="A315" s="3" t="s">
        <v>1184</v>
      </c>
      <c r="B315" s="3" t="s">
        <v>102</v>
      </c>
      <c r="C315" s="3"/>
      <c r="D315" s="3"/>
      <c r="E315" s="3"/>
      <c r="F315" t="s">
        <v>378</v>
      </c>
      <c r="H315" t="s">
        <v>1303</v>
      </c>
      <c r="J315" t="s">
        <v>1312</v>
      </c>
      <c r="K315" t="s">
        <v>1313</v>
      </c>
      <c r="L315" t="s">
        <v>1314</v>
      </c>
      <c r="M315" t="s">
        <v>1315</v>
      </c>
      <c r="P315"/>
    </row>
    <row r="316" spans="1:16" hidden="1" x14ac:dyDescent="0.35">
      <c r="A316" s="3" t="s">
        <v>1184</v>
      </c>
      <c r="B316" s="3" t="s">
        <v>102</v>
      </c>
      <c r="C316" s="3"/>
      <c r="D316" s="3"/>
      <c r="E316" s="3"/>
      <c r="F316" t="s">
        <v>378</v>
      </c>
      <c r="H316" t="s">
        <v>1303</v>
      </c>
      <c r="J316" t="s">
        <v>1316</v>
      </c>
      <c r="K316" t="s">
        <v>229</v>
      </c>
      <c r="L316" t="s">
        <v>1317</v>
      </c>
      <c r="M316" t="s">
        <v>1318</v>
      </c>
      <c r="P316"/>
    </row>
    <row r="317" spans="1:16" hidden="1" x14ac:dyDescent="0.35">
      <c r="A317" s="3" t="s">
        <v>1184</v>
      </c>
      <c r="B317" s="3" t="s">
        <v>102</v>
      </c>
      <c r="C317" s="3"/>
      <c r="D317" s="3"/>
      <c r="E317" s="3"/>
      <c r="F317" t="s">
        <v>378</v>
      </c>
      <c r="H317" t="s">
        <v>1319</v>
      </c>
      <c r="J317" t="s">
        <v>1320</v>
      </c>
      <c r="K317" t="s">
        <v>229</v>
      </c>
      <c r="L317" t="s">
        <v>1321</v>
      </c>
      <c r="M317" t="s">
        <v>1322</v>
      </c>
      <c r="P317"/>
    </row>
    <row r="318" spans="1:16" hidden="1" x14ac:dyDescent="0.35">
      <c r="A318" s="3" t="s">
        <v>1184</v>
      </c>
      <c r="B318" s="3" t="s">
        <v>102</v>
      </c>
      <c r="C318" s="3"/>
      <c r="D318" s="3"/>
      <c r="E318" s="3"/>
      <c r="F318" t="s">
        <v>378</v>
      </c>
      <c r="H318" t="s">
        <v>1319</v>
      </c>
      <c r="J318" t="s">
        <v>1323</v>
      </c>
      <c r="K318" t="s">
        <v>241</v>
      </c>
      <c r="L318" t="s">
        <v>1324</v>
      </c>
      <c r="M318" t="s">
        <v>1325</v>
      </c>
      <c r="P318"/>
    </row>
    <row r="319" spans="1:16" hidden="1" x14ac:dyDescent="0.35">
      <c r="A319" s="3" t="s">
        <v>1184</v>
      </c>
      <c r="B319" s="3" t="s">
        <v>102</v>
      </c>
      <c r="C319" s="3"/>
      <c r="D319" s="3"/>
      <c r="E319" s="3"/>
      <c r="F319" t="s">
        <v>378</v>
      </c>
      <c r="H319" t="s">
        <v>1319</v>
      </c>
      <c r="J319" t="s">
        <v>1326</v>
      </c>
      <c r="K319" t="s">
        <v>1313</v>
      </c>
      <c r="L319" t="s">
        <v>1327</v>
      </c>
      <c r="M319" t="s">
        <v>1328</v>
      </c>
      <c r="P319"/>
    </row>
    <row r="320" spans="1:16" hidden="1" x14ac:dyDescent="0.35">
      <c r="A320" s="3" t="s">
        <v>1184</v>
      </c>
      <c r="B320" s="3" t="s">
        <v>102</v>
      </c>
      <c r="C320" s="3"/>
      <c r="D320" s="3"/>
      <c r="E320" s="3"/>
      <c r="F320" t="s">
        <v>378</v>
      </c>
      <c r="H320" t="s">
        <v>1329</v>
      </c>
      <c r="J320" t="s">
        <v>1330</v>
      </c>
      <c r="K320" t="s">
        <v>1331</v>
      </c>
      <c r="L320" t="s">
        <v>1332</v>
      </c>
      <c r="M320" t="s">
        <v>1333</v>
      </c>
      <c r="P320" s="13"/>
    </row>
    <row r="321" spans="1:16" hidden="1" x14ac:dyDescent="0.35">
      <c r="A321" t="s">
        <v>1334</v>
      </c>
      <c r="B321" s="3" t="s">
        <v>102</v>
      </c>
      <c r="C321" s="3"/>
      <c r="D321" s="3"/>
      <c r="E321" s="3"/>
      <c r="F321" t="s">
        <v>378</v>
      </c>
      <c r="H321" t="s">
        <v>1329</v>
      </c>
      <c r="J321" t="s">
        <v>1335</v>
      </c>
      <c r="K321" t="s">
        <v>1331</v>
      </c>
      <c r="L321" t="s">
        <v>1336</v>
      </c>
      <c r="M321" t="s">
        <v>1337</v>
      </c>
      <c r="P321" s="17">
        <v>45747</v>
      </c>
    </row>
    <row r="322" spans="1:16" hidden="1" x14ac:dyDescent="0.35">
      <c r="A322" t="s">
        <v>1334</v>
      </c>
      <c r="B322" s="3" t="s">
        <v>102</v>
      </c>
      <c r="C322" s="3"/>
      <c r="D322" s="3"/>
      <c r="E322" s="3"/>
      <c r="F322" t="s">
        <v>378</v>
      </c>
      <c r="H322" t="s">
        <v>1338</v>
      </c>
      <c r="J322" t="s">
        <v>1339</v>
      </c>
      <c r="K322" t="s">
        <v>1187</v>
      </c>
      <c r="L322" t="s">
        <v>258</v>
      </c>
      <c r="M322" t="s">
        <v>1340</v>
      </c>
      <c r="P322" s="18" t="s">
        <v>1341</v>
      </c>
    </row>
    <row r="323" spans="1:16" hidden="1" x14ac:dyDescent="0.35">
      <c r="A323" t="s">
        <v>1334</v>
      </c>
      <c r="B323" s="3" t="s">
        <v>102</v>
      </c>
      <c r="C323" s="3"/>
      <c r="D323" s="3"/>
      <c r="E323" s="3"/>
      <c r="F323" t="s">
        <v>515</v>
      </c>
      <c r="H323" t="s">
        <v>577</v>
      </c>
      <c r="J323" t="s">
        <v>1342</v>
      </c>
      <c r="K323" t="s">
        <v>783</v>
      </c>
      <c r="L323" t="s">
        <v>1343</v>
      </c>
      <c r="M323" t="s">
        <v>1344</v>
      </c>
      <c r="P323" s="19">
        <v>251009104300.94</v>
      </c>
    </row>
    <row r="324" spans="1:16" hidden="1" x14ac:dyDescent="0.35">
      <c r="A324" t="s">
        <v>1334</v>
      </c>
      <c r="B324" s="3" t="s">
        <v>102</v>
      </c>
      <c r="C324" s="3"/>
      <c r="D324" s="3"/>
      <c r="E324" s="3"/>
      <c r="F324" t="s">
        <v>515</v>
      </c>
      <c r="H324" t="s">
        <v>577</v>
      </c>
      <c r="J324" t="s">
        <v>1345</v>
      </c>
      <c r="K324" t="s">
        <v>783</v>
      </c>
      <c r="L324" t="s">
        <v>1346</v>
      </c>
      <c r="M324" t="s">
        <v>1347</v>
      </c>
      <c r="P324" s="18">
        <v>17471645870.639999</v>
      </c>
    </row>
    <row r="325" spans="1:16" hidden="1" x14ac:dyDescent="0.35">
      <c r="A325" t="s">
        <v>1334</v>
      </c>
      <c r="B325" s="3" t="s">
        <v>102</v>
      </c>
      <c r="C325" s="3"/>
      <c r="D325" s="3"/>
      <c r="E325" s="3"/>
      <c r="F325" t="s">
        <v>515</v>
      </c>
      <c r="H325" t="s">
        <v>577</v>
      </c>
      <c r="J325" t="s">
        <v>1348</v>
      </c>
      <c r="K325" t="s">
        <v>783</v>
      </c>
      <c r="L325" t="s">
        <v>1349</v>
      </c>
      <c r="M325" t="s">
        <v>1350</v>
      </c>
      <c r="P325" s="19">
        <v>233537458430.29999</v>
      </c>
    </row>
    <row r="326" spans="1:16" hidden="1" x14ac:dyDescent="0.35">
      <c r="A326" t="s">
        <v>1334</v>
      </c>
      <c r="B326" s="3" t="s">
        <v>102</v>
      </c>
      <c r="C326" s="3"/>
      <c r="D326" s="3"/>
      <c r="E326" s="3"/>
      <c r="F326" t="s">
        <v>515</v>
      </c>
      <c r="H326" t="s">
        <v>581</v>
      </c>
      <c r="J326" t="s">
        <v>1351</v>
      </c>
      <c r="K326" t="s">
        <v>783</v>
      </c>
      <c r="L326" t="s">
        <v>1352</v>
      </c>
      <c r="M326" t="s">
        <v>1353</v>
      </c>
      <c r="P326" s="18">
        <v>0</v>
      </c>
    </row>
    <row r="327" spans="1:16" hidden="1" x14ac:dyDescent="0.35">
      <c r="A327" t="s">
        <v>1334</v>
      </c>
      <c r="B327" s="3" t="s">
        <v>102</v>
      </c>
      <c r="C327" s="3"/>
      <c r="D327" s="3"/>
      <c r="E327" s="3"/>
      <c r="F327" t="s">
        <v>515</v>
      </c>
      <c r="H327" t="s">
        <v>581</v>
      </c>
      <c r="J327" t="s">
        <v>1354</v>
      </c>
      <c r="K327" t="s">
        <v>783</v>
      </c>
      <c r="L327" t="s">
        <v>1355</v>
      </c>
      <c r="M327" t="s">
        <v>1356</v>
      </c>
      <c r="P327" s="18">
        <v>0</v>
      </c>
    </row>
    <row r="328" spans="1:16" hidden="1" x14ac:dyDescent="0.35">
      <c r="A328" t="s">
        <v>1334</v>
      </c>
      <c r="B328" s="3" t="s">
        <v>102</v>
      </c>
      <c r="C328" s="3"/>
      <c r="D328" s="3"/>
      <c r="E328" s="3"/>
      <c r="F328" t="s">
        <v>515</v>
      </c>
      <c r="H328" t="s">
        <v>581</v>
      </c>
      <c r="J328" t="s">
        <v>1357</v>
      </c>
      <c r="K328" t="s">
        <v>783</v>
      </c>
      <c r="L328" t="s">
        <v>1358</v>
      </c>
      <c r="M328" t="s">
        <v>1359</v>
      </c>
      <c r="P328" s="18">
        <v>0</v>
      </c>
    </row>
    <row r="329" spans="1:16" hidden="1" x14ac:dyDescent="0.35">
      <c r="A329" t="s">
        <v>1334</v>
      </c>
      <c r="B329" s="3" t="s">
        <v>102</v>
      </c>
      <c r="C329" s="3"/>
      <c r="D329" s="3"/>
      <c r="E329" s="3"/>
      <c r="F329" t="s">
        <v>515</v>
      </c>
      <c r="H329" t="s">
        <v>581</v>
      </c>
      <c r="J329" t="s">
        <v>1360</v>
      </c>
      <c r="K329" t="s">
        <v>783</v>
      </c>
      <c r="L329" t="s">
        <v>1361</v>
      </c>
      <c r="M329" t="s">
        <v>1362</v>
      </c>
      <c r="P329" s="18">
        <v>0</v>
      </c>
    </row>
    <row r="330" spans="1:16" hidden="1" x14ac:dyDescent="0.35">
      <c r="A330" t="s">
        <v>1334</v>
      </c>
      <c r="B330" s="3" t="s">
        <v>102</v>
      </c>
      <c r="C330" s="3"/>
      <c r="D330" s="3"/>
      <c r="E330" s="3"/>
      <c r="F330" t="s">
        <v>515</v>
      </c>
      <c r="H330" t="s">
        <v>581</v>
      </c>
      <c r="J330" t="s">
        <v>1363</v>
      </c>
      <c r="K330" t="s">
        <v>783</v>
      </c>
      <c r="L330" t="s">
        <v>1364</v>
      </c>
      <c r="M330" t="s">
        <v>1365</v>
      </c>
      <c r="P330" s="18">
        <v>0</v>
      </c>
    </row>
    <row r="331" spans="1:16" hidden="1" x14ac:dyDescent="0.35">
      <c r="A331" t="s">
        <v>1334</v>
      </c>
      <c r="B331" s="3" t="s">
        <v>102</v>
      </c>
      <c r="C331" s="3"/>
      <c r="D331" s="3"/>
      <c r="E331" s="3"/>
      <c r="F331" t="s">
        <v>515</v>
      </c>
      <c r="H331" t="s">
        <v>581</v>
      </c>
      <c r="J331" t="s">
        <v>1366</v>
      </c>
      <c r="K331" t="s">
        <v>783</v>
      </c>
      <c r="L331" t="s">
        <v>1367</v>
      </c>
      <c r="M331" t="s">
        <v>1368</v>
      </c>
      <c r="P331" s="18">
        <v>0</v>
      </c>
    </row>
    <row r="332" spans="1:16" hidden="1" x14ac:dyDescent="0.35">
      <c r="A332" t="s">
        <v>1334</v>
      </c>
      <c r="B332" s="3" t="s">
        <v>102</v>
      </c>
      <c r="C332" s="3"/>
      <c r="D332" s="3"/>
      <c r="E332" s="3"/>
      <c r="F332" t="s">
        <v>515</v>
      </c>
      <c r="H332" t="s">
        <v>1369</v>
      </c>
      <c r="J332" t="s">
        <v>1370</v>
      </c>
      <c r="K332" t="s">
        <v>783</v>
      </c>
      <c r="L332" t="s">
        <v>1371</v>
      </c>
      <c r="M332" t="s">
        <v>1372</v>
      </c>
      <c r="P332" s="18" t="s">
        <v>1373</v>
      </c>
    </row>
    <row r="333" spans="1:16" hidden="1" x14ac:dyDescent="0.35">
      <c r="A333" t="s">
        <v>1334</v>
      </c>
      <c r="B333" s="3" t="s">
        <v>102</v>
      </c>
      <c r="C333" s="3"/>
      <c r="D333" s="3"/>
      <c r="E333" s="3"/>
      <c r="F333" t="s">
        <v>515</v>
      </c>
      <c r="H333" t="s">
        <v>1374</v>
      </c>
      <c r="J333" t="s">
        <v>1375</v>
      </c>
      <c r="K333" t="s">
        <v>783</v>
      </c>
      <c r="L333" t="s">
        <v>1376</v>
      </c>
      <c r="M333" t="s">
        <v>1377</v>
      </c>
      <c r="P333" s="18" t="s">
        <v>1378</v>
      </c>
    </row>
    <row r="334" spans="1:16" hidden="1" x14ac:dyDescent="0.35">
      <c r="A334" t="s">
        <v>1334</v>
      </c>
      <c r="B334" s="3" t="s">
        <v>102</v>
      </c>
      <c r="C334" s="3"/>
      <c r="D334" s="3"/>
      <c r="E334" s="3"/>
      <c r="F334" t="s">
        <v>515</v>
      </c>
      <c r="H334" t="s">
        <v>1379</v>
      </c>
      <c r="J334" t="s">
        <v>1380</v>
      </c>
      <c r="K334" t="s">
        <v>783</v>
      </c>
      <c r="L334" t="s">
        <v>1381</v>
      </c>
      <c r="M334" t="s">
        <v>1382</v>
      </c>
      <c r="P334" s="18" t="s">
        <v>1383</v>
      </c>
    </row>
    <row r="335" spans="1:16" hidden="1" x14ac:dyDescent="0.35">
      <c r="A335" t="s">
        <v>1334</v>
      </c>
      <c r="B335" s="3" t="s">
        <v>102</v>
      </c>
      <c r="C335" s="3"/>
      <c r="D335" s="3"/>
      <c r="E335" s="3"/>
      <c r="F335" t="s">
        <v>515</v>
      </c>
      <c r="H335" t="s">
        <v>1384</v>
      </c>
      <c r="J335" t="s">
        <v>1385</v>
      </c>
      <c r="K335" t="s">
        <v>229</v>
      </c>
      <c r="L335" t="s">
        <v>1386</v>
      </c>
      <c r="M335" t="s">
        <v>1387</v>
      </c>
      <c r="P335" s="18" t="s">
        <v>1388</v>
      </c>
    </row>
    <row r="336" spans="1:16" hidden="1" x14ac:dyDescent="0.35">
      <c r="A336" t="s">
        <v>1334</v>
      </c>
      <c r="B336" s="3" t="s">
        <v>102</v>
      </c>
      <c r="C336" s="3"/>
      <c r="D336" s="3"/>
      <c r="E336" s="3"/>
      <c r="F336" t="s">
        <v>515</v>
      </c>
      <c r="H336" t="s">
        <v>1384</v>
      </c>
      <c r="J336" t="s">
        <v>1389</v>
      </c>
      <c r="K336" t="s">
        <v>1313</v>
      </c>
      <c r="L336" t="s">
        <v>1390</v>
      </c>
      <c r="M336" t="s">
        <v>1391</v>
      </c>
      <c r="P336" s="18" t="s">
        <v>1392</v>
      </c>
    </row>
    <row r="337" spans="1:16" hidden="1" x14ac:dyDescent="0.35">
      <c r="A337" t="s">
        <v>1334</v>
      </c>
      <c r="B337" s="3" t="s">
        <v>102</v>
      </c>
      <c r="C337" s="3"/>
      <c r="D337" s="3"/>
      <c r="E337" s="3"/>
      <c r="F337" t="s">
        <v>515</v>
      </c>
      <c r="H337" t="s">
        <v>1384</v>
      </c>
      <c r="J337" t="s">
        <v>1393</v>
      </c>
      <c r="K337" t="s">
        <v>783</v>
      </c>
      <c r="L337" t="s">
        <v>1394</v>
      </c>
      <c r="M337" t="s">
        <v>1395</v>
      </c>
      <c r="P337" s="18">
        <v>132694963</v>
      </c>
    </row>
    <row r="338" spans="1:16" hidden="1" x14ac:dyDescent="0.35">
      <c r="A338" t="s">
        <v>1334</v>
      </c>
      <c r="B338" s="3" t="s">
        <v>102</v>
      </c>
      <c r="C338" s="3"/>
      <c r="D338" s="3"/>
      <c r="E338" s="3"/>
      <c r="F338" t="s">
        <v>515</v>
      </c>
      <c r="H338" t="s">
        <v>1384</v>
      </c>
      <c r="J338" t="s">
        <v>1385</v>
      </c>
      <c r="K338" t="s">
        <v>229</v>
      </c>
      <c r="L338" t="s">
        <v>1386</v>
      </c>
      <c r="M338" t="s">
        <v>1387</v>
      </c>
      <c r="P338" s="18" t="s">
        <v>1396</v>
      </c>
    </row>
    <row r="339" spans="1:16" hidden="1" x14ac:dyDescent="0.35">
      <c r="A339" t="s">
        <v>1334</v>
      </c>
      <c r="B339" s="3" t="s">
        <v>102</v>
      </c>
      <c r="C339" s="3"/>
      <c r="D339" s="3"/>
      <c r="E339" s="3"/>
      <c r="F339" t="s">
        <v>515</v>
      </c>
      <c r="H339" t="s">
        <v>1384</v>
      </c>
      <c r="J339" t="s">
        <v>1389</v>
      </c>
      <c r="K339" t="s">
        <v>1313</v>
      </c>
      <c r="L339" t="s">
        <v>1390</v>
      </c>
      <c r="M339" t="s">
        <v>1391</v>
      </c>
      <c r="P339" s="18" t="s">
        <v>1397</v>
      </c>
    </row>
    <row r="340" spans="1:16" hidden="1" x14ac:dyDescent="0.35">
      <c r="A340" t="s">
        <v>1334</v>
      </c>
      <c r="B340" s="3" t="s">
        <v>102</v>
      </c>
      <c r="C340" s="3"/>
      <c r="D340" s="3"/>
      <c r="E340" s="3"/>
      <c r="F340" t="s">
        <v>515</v>
      </c>
      <c r="H340" t="s">
        <v>1384</v>
      </c>
      <c r="J340" t="s">
        <v>1393</v>
      </c>
      <c r="K340" t="s">
        <v>783</v>
      </c>
      <c r="L340" t="s">
        <v>1394</v>
      </c>
      <c r="M340" t="s">
        <v>1395</v>
      </c>
      <c r="P340" s="18">
        <v>9886808</v>
      </c>
    </row>
    <row r="341" spans="1:16" hidden="1" x14ac:dyDescent="0.35">
      <c r="A341" t="s">
        <v>1334</v>
      </c>
      <c r="B341" s="3" t="s">
        <v>102</v>
      </c>
      <c r="C341" s="3"/>
      <c r="D341" s="3"/>
      <c r="E341" s="3"/>
      <c r="F341" t="s">
        <v>515</v>
      </c>
      <c r="H341" t="s">
        <v>1384</v>
      </c>
      <c r="J341" t="s">
        <v>1385</v>
      </c>
      <c r="K341" t="s">
        <v>229</v>
      </c>
      <c r="L341" t="s">
        <v>1386</v>
      </c>
      <c r="M341" t="s">
        <v>1387</v>
      </c>
      <c r="P341" s="18" t="s">
        <v>1398</v>
      </c>
    </row>
    <row r="342" spans="1:16" hidden="1" x14ac:dyDescent="0.35">
      <c r="A342" t="s">
        <v>1334</v>
      </c>
      <c r="B342" s="3" t="s">
        <v>102</v>
      </c>
      <c r="C342" s="3"/>
      <c r="D342" s="3"/>
      <c r="E342" s="3"/>
      <c r="F342" t="s">
        <v>515</v>
      </c>
      <c r="H342" t="s">
        <v>1384</v>
      </c>
      <c r="J342" t="s">
        <v>1389</v>
      </c>
      <c r="K342" t="s">
        <v>1313</v>
      </c>
      <c r="L342" t="s">
        <v>1390</v>
      </c>
      <c r="M342" t="s">
        <v>1391</v>
      </c>
      <c r="P342" s="18" t="s">
        <v>1399</v>
      </c>
    </row>
    <row r="343" spans="1:16" hidden="1" x14ac:dyDescent="0.35">
      <c r="A343" t="s">
        <v>1334</v>
      </c>
      <c r="B343" s="3" t="s">
        <v>102</v>
      </c>
      <c r="C343" s="3"/>
      <c r="D343" s="3"/>
      <c r="E343" s="3"/>
      <c r="F343" t="s">
        <v>515</v>
      </c>
      <c r="H343" t="s">
        <v>1384</v>
      </c>
      <c r="J343" t="s">
        <v>1393</v>
      </c>
      <c r="K343" t="s">
        <v>783</v>
      </c>
      <c r="L343" t="s">
        <v>1394</v>
      </c>
      <c r="M343" t="s">
        <v>1395</v>
      </c>
      <c r="P343" s="18">
        <v>23258361.280000001</v>
      </c>
    </row>
    <row r="344" spans="1:16" hidden="1" x14ac:dyDescent="0.35">
      <c r="A344" t="s">
        <v>1334</v>
      </c>
      <c r="B344" s="3" t="s">
        <v>102</v>
      </c>
      <c r="C344" s="3"/>
      <c r="D344" s="3"/>
      <c r="E344" s="3"/>
      <c r="F344" t="s">
        <v>515</v>
      </c>
      <c r="H344" t="s">
        <v>1384</v>
      </c>
      <c r="J344" t="s">
        <v>1385</v>
      </c>
      <c r="K344" t="s">
        <v>229</v>
      </c>
      <c r="L344" t="s">
        <v>1386</v>
      </c>
      <c r="M344" t="s">
        <v>1387</v>
      </c>
      <c r="P344" s="18" t="s">
        <v>1400</v>
      </c>
    </row>
    <row r="345" spans="1:16" hidden="1" x14ac:dyDescent="0.35">
      <c r="A345" t="s">
        <v>1334</v>
      </c>
      <c r="B345" s="3" t="s">
        <v>102</v>
      </c>
      <c r="C345" s="3"/>
      <c r="D345" s="3"/>
      <c r="E345" s="3"/>
      <c r="F345" t="s">
        <v>515</v>
      </c>
      <c r="H345" t="s">
        <v>1384</v>
      </c>
      <c r="J345" t="s">
        <v>1389</v>
      </c>
      <c r="K345" t="s">
        <v>1313</v>
      </c>
      <c r="L345" t="s">
        <v>1390</v>
      </c>
      <c r="M345" t="s">
        <v>1391</v>
      </c>
      <c r="P345" s="18" t="s">
        <v>1401</v>
      </c>
    </row>
    <row r="346" spans="1:16" hidden="1" x14ac:dyDescent="0.35">
      <c r="A346" t="s">
        <v>1334</v>
      </c>
      <c r="B346" s="3" t="s">
        <v>102</v>
      </c>
      <c r="C346" s="3"/>
      <c r="D346" s="3"/>
      <c r="E346" s="3"/>
      <c r="F346" t="s">
        <v>515</v>
      </c>
      <c r="H346" t="s">
        <v>1384</v>
      </c>
      <c r="J346" t="s">
        <v>1393</v>
      </c>
      <c r="K346" t="s">
        <v>783</v>
      </c>
      <c r="L346" t="s">
        <v>1394</v>
      </c>
      <c r="M346" t="s">
        <v>1395</v>
      </c>
      <c r="P346" s="18">
        <v>57007596</v>
      </c>
    </row>
    <row r="347" spans="1:16" hidden="1" x14ac:dyDescent="0.35">
      <c r="A347" t="s">
        <v>1334</v>
      </c>
      <c r="B347" s="3" t="s">
        <v>102</v>
      </c>
      <c r="C347" s="3"/>
      <c r="D347" s="3"/>
      <c r="E347" s="3"/>
      <c r="F347" t="s">
        <v>515</v>
      </c>
      <c r="H347" t="s">
        <v>1384</v>
      </c>
      <c r="J347" t="s">
        <v>1385</v>
      </c>
      <c r="K347" t="s">
        <v>229</v>
      </c>
      <c r="L347" t="s">
        <v>1386</v>
      </c>
      <c r="M347" t="s">
        <v>1387</v>
      </c>
      <c r="P347" s="18" t="s">
        <v>1402</v>
      </c>
    </row>
    <row r="348" spans="1:16" hidden="1" x14ac:dyDescent="0.35">
      <c r="A348" t="s">
        <v>1334</v>
      </c>
      <c r="B348" s="3" t="s">
        <v>102</v>
      </c>
      <c r="C348" s="3"/>
      <c r="D348" s="3"/>
      <c r="E348" s="3"/>
      <c r="F348" t="s">
        <v>515</v>
      </c>
      <c r="H348" t="s">
        <v>1384</v>
      </c>
      <c r="J348" t="s">
        <v>1389</v>
      </c>
      <c r="K348" t="s">
        <v>1313</v>
      </c>
      <c r="L348" t="s">
        <v>1390</v>
      </c>
      <c r="M348" t="s">
        <v>1391</v>
      </c>
      <c r="P348" s="18" t="s">
        <v>1403</v>
      </c>
    </row>
    <row r="349" spans="1:16" hidden="1" x14ac:dyDescent="0.35">
      <c r="A349" t="s">
        <v>1334</v>
      </c>
      <c r="B349" s="3" t="s">
        <v>102</v>
      </c>
      <c r="C349" s="3"/>
      <c r="D349" s="3"/>
      <c r="E349" s="3"/>
      <c r="F349" t="s">
        <v>515</v>
      </c>
      <c r="H349" t="s">
        <v>1384</v>
      </c>
      <c r="J349" t="s">
        <v>1393</v>
      </c>
      <c r="K349" t="s">
        <v>783</v>
      </c>
      <c r="L349" t="s">
        <v>1394</v>
      </c>
      <c r="M349" t="s">
        <v>1395</v>
      </c>
      <c r="P349" s="18">
        <v>61935130.499009997</v>
      </c>
    </row>
    <row r="350" spans="1:16" hidden="1" x14ac:dyDescent="0.35">
      <c r="A350" t="s">
        <v>1334</v>
      </c>
      <c r="B350" s="3" t="s">
        <v>102</v>
      </c>
      <c r="C350" s="3"/>
      <c r="D350" s="3"/>
      <c r="E350" s="3"/>
      <c r="F350" t="s">
        <v>515</v>
      </c>
      <c r="H350" t="s">
        <v>1384</v>
      </c>
      <c r="J350" t="s">
        <v>1385</v>
      </c>
      <c r="K350" t="s">
        <v>229</v>
      </c>
      <c r="L350" t="s">
        <v>1386</v>
      </c>
      <c r="M350" t="s">
        <v>1387</v>
      </c>
      <c r="P350" s="18" t="s">
        <v>1404</v>
      </c>
    </row>
    <row r="351" spans="1:16" hidden="1" x14ac:dyDescent="0.35">
      <c r="A351" t="s">
        <v>1334</v>
      </c>
      <c r="B351" s="3" t="s">
        <v>102</v>
      </c>
      <c r="C351" s="3"/>
      <c r="D351" s="3"/>
      <c r="E351" s="3"/>
      <c r="F351" t="s">
        <v>515</v>
      </c>
      <c r="H351" t="s">
        <v>1384</v>
      </c>
      <c r="J351" t="s">
        <v>1389</v>
      </c>
      <c r="K351" t="s">
        <v>1313</v>
      </c>
      <c r="L351" t="s">
        <v>1390</v>
      </c>
      <c r="M351" t="s">
        <v>1391</v>
      </c>
      <c r="P351" s="18" t="s">
        <v>1405</v>
      </c>
    </row>
    <row r="352" spans="1:16" hidden="1" x14ac:dyDescent="0.35">
      <c r="A352" t="s">
        <v>1334</v>
      </c>
      <c r="B352" s="3" t="s">
        <v>102</v>
      </c>
      <c r="C352" s="3"/>
      <c r="D352" s="3"/>
      <c r="E352" s="3"/>
      <c r="F352" t="s">
        <v>515</v>
      </c>
      <c r="H352" t="s">
        <v>1384</v>
      </c>
      <c r="J352" t="s">
        <v>1393</v>
      </c>
      <c r="K352" t="s">
        <v>783</v>
      </c>
      <c r="L352" t="s">
        <v>1394</v>
      </c>
      <c r="M352" t="s">
        <v>1395</v>
      </c>
      <c r="P352" s="18">
        <v>30301397.259477999</v>
      </c>
    </row>
    <row r="353" spans="1:16" hidden="1" x14ac:dyDescent="0.35">
      <c r="A353" t="s">
        <v>1334</v>
      </c>
      <c r="B353" s="3" t="s">
        <v>102</v>
      </c>
      <c r="C353" s="3"/>
      <c r="D353" s="3"/>
      <c r="E353" s="3"/>
      <c r="F353" t="s">
        <v>515</v>
      </c>
      <c r="H353" t="s">
        <v>1384</v>
      </c>
      <c r="J353" t="s">
        <v>1385</v>
      </c>
      <c r="K353" t="s">
        <v>229</v>
      </c>
      <c r="L353" t="s">
        <v>1386</v>
      </c>
      <c r="M353" t="s">
        <v>1387</v>
      </c>
      <c r="P353" s="18" t="s">
        <v>1406</v>
      </c>
    </row>
    <row r="354" spans="1:16" hidden="1" x14ac:dyDescent="0.35">
      <c r="A354" t="s">
        <v>1334</v>
      </c>
      <c r="B354" s="3" t="s">
        <v>102</v>
      </c>
      <c r="C354" s="3"/>
      <c r="D354" s="3"/>
      <c r="E354" s="3"/>
      <c r="F354" t="s">
        <v>515</v>
      </c>
      <c r="H354" t="s">
        <v>1384</v>
      </c>
      <c r="J354" t="s">
        <v>1389</v>
      </c>
      <c r="K354" t="s">
        <v>1313</v>
      </c>
      <c r="L354" t="s">
        <v>1390</v>
      </c>
      <c r="M354" t="s">
        <v>1391</v>
      </c>
      <c r="P354" s="18" t="s">
        <v>1407</v>
      </c>
    </row>
    <row r="355" spans="1:16" hidden="1" x14ac:dyDescent="0.35">
      <c r="A355" t="s">
        <v>1334</v>
      </c>
      <c r="B355" s="3" t="s">
        <v>102</v>
      </c>
      <c r="C355" s="3"/>
      <c r="D355" s="3"/>
      <c r="E355" s="3"/>
      <c r="F355" t="s">
        <v>515</v>
      </c>
      <c r="H355" t="s">
        <v>1384</v>
      </c>
      <c r="J355" t="s">
        <v>1393</v>
      </c>
      <c r="K355" t="s">
        <v>783</v>
      </c>
      <c r="L355" t="s">
        <v>1394</v>
      </c>
      <c r="M355" t="s">
        <v>1395</v>
      </c>
      <c r="P355" s="18">
        <v>471716988.36000001</v>
      </c>
    </row>
    <row r="356" spans="1:16" hidden="1" x14ac:dyDescent="0.35">
      <c r="A356" t="s">
        <v>1334</v>
      </c>
      <c r="B356" s="3" t="s">
        <v>102</v>
      </c>
      <c r="C356" s="3"/>
      <c r="D356" s="3"/>
      <c r="E356" s="3"/>
      <c r="F356" t="s">
        <v>515</v>
      </c>
      <c r="H356" t="s">
        <v>1408</v>
      </c>
      <c r="J356" t="s">
        <v>1409</v>
      </c>
      <c r="K356" t="s">
        <v>1187</v>
      </c>
      <c r="L356" t="s">
        <v>1410</v>
      </c>
      <c r="M356" t="s">
        <v>1411</v>
      </c>
      <c r="P356" s="18" t="s">
        <v>27</v>
      </c>
    </row>
    <row r="357" spans="1:16" hidden="1" x14ac:dyDescent="0.35">
      <c r="A357" t="s">
        <v>1334</v>
      </c>
      <c r="B357" s="3" t="s">
        <v>102</v>
      </c>
      <c r="C357" s="3"/>
      <c r="D357" s="3"/>
      <c r="E357" s="3"/>
      <c r="F357" t="s">
        <v>515</v>
      </c>
      <c r="H357" t="s">
        <v>1412</v>
      </c>
      <c r="J357" t="s">
        <v>1413</v>
      </c>
      <c r="K357" t="s">
        <v>783</v>
      </c>
      <c r="L357" t="s">
        <v>1414</v>
      </c>
      <c r="M357" t="s">
        <v>1415</v>
      </c>
      <c r="P357" s="18">
        <v>502585179.20569998</v>
      </c>
    </row>
    <row r="358" spans="1:16" hidden="1" x14ac:dyDescent="0.35">
      <c r="A358" t="s">
        <v>1334</v>
      </c>
      <c r="B358" s="3" t="s">
        <v>102</v>
      </c>
      <c r="C358" s="3"/>
      <c r="D358" s="3"/>
      <c r="E358" s="3"/>
      <c r="F358" t="s">
        <v>515</v>
      </c>
      <c r="H358" t="s">
        <v>1416</v>
      </c>
      <c r="J358" t="s">
        <v>1417</v>
      </c>
      <c r="K358" t="s">
        <v>783</v>
      </c>
      <c r="L358" t="s">
        <v>1418</v>
      </c>
      <c r="M358" t="s">
        <v>1419</v>
      </c>
      <c r="P358" s="18">
        <v>508803415.12779999</v>
      </c>
    </row>
    <row r="359" spans="1:16" hidden="1" x14ac:dyDescent="0.35">
      <c r="A359" t="s">
        <v>1334</v>
      </c>
      <c r="B359" s="3" t="s">
        <v>102</v>
      </c>
      <c r="C359" s="3"/>
      <c r="D359" s="3"/>
      <c r="E359" s="3"/>
      <c r="F359" t="s">
        <v>515</v>
      </c>
      <c r="H359" t="s">
        <v>1420</v>
      </c>
      <c r="J359" t="s">
        <v>1421</v>
      </c>
      <c r="K359" t="s">
        <v>229</v>
      </c>
      <c r="L359" t="s">
        <v>1422</v>
      </c>
      <c r="M359" t="s">
        <v>1423</v>
      </c>
      <c r="P359" s="18" t="s">
        <v>1424</v>
      </c>
    </row>
    <row r="360" spans="1:16" hidden="1" x14ac:dyDescent="0.35">
      <c r="A360" t="s">
        <v>1334</v>
      </c>
      <c r="B360" s="3" t="s">
        <v>102</v>
      </c>
      <c r="C360" s="3"/>
      <c r="D360" s="3"/>
      <c r="E360" s="3"/>
      <c r="F360" t="s">
        <v>515</v>
      </c>
      <c r="H360" t="s">
        <v>1425</v>
      </c>
      <c r="J360" t="s">
        <v>1426</v>
      </c>
      <c r="K360" t="s">
        <v>1198</v>
      </c>
      <c r="L360" t="s">
        <v>1427</v>
      </c>
      <c r="M360" t="s">
        <v>1428</v>
      </c>
      <c r="P360" s="18">
        <v>-2.805685</v>
      </c>
    </row>
    <row r="361" spans="1:16" hidden="1" x14ac:dyDescent="0.35">
      <c r="A361" t="s">
        <v>1334</v>
      </c>
      <c r="B361" s="3" t="s">
        <v>102</v>
      </c>
      <c r="C361" s="3"/>
      <c r="D361" s="3"/>
      <c r="E361" s="3"/>
      <c r="F361" t="s">
        <v>515</v>
      </c>
      <c r="H361" t="s">
        <v>1429</v>
      </c>
      <c r="J361" t="s">
        <v>1430</v>
      </c>
      <c r="K361" t="s">
        <v>241</v>
      </c>
      <c r="L361" t="s">
        <v>1431</v>
      </c>
      <c r="M361" t="s">
        <v>1432</v>
      </c>
      <c r="P361" s="18" t="s">
        <v>1433</v>
      </c>
    </row>
    <row r="362" spans="1:16" hidden="1" x14ac:dyDescent="0.35">
      <c r="A362" t="s">
        <v>1334</v>
      </c>
      <c r="B362" s="3" t="s">
        <v>102</v>
      </c>
      <c r="C362" s="3"/>
      <c r="D362" s="3"/>
      <c r="E362" s="3"/>
      <c r="F362" t="s">
        <v>515</v>
      </c>
      <c r="H362" t="s">
        <v>1434</v>
      </c>
      <c r="J362" t="s">
        <v>1435</v>
      </c>
      <c r="K362" t="s">
        <v>783</v>
      </c>
      <c r="L362" t="s">
        <v>1436</v>
      </c>
      <c r="M362" t="s">
        <v>1437</v>
      </c>
      <c r="P362" s="18" t="s">
        <v>1438</v>
      </c>
    </row>
    <row r="363" spans="1:16" hidden="1" x14ac:dyDescent="0.35">
      <c r="A363" t="s">
        <v>1334</v>
      </c>
      <c r="B363" s="3" t="s">
        <v>102</v>
      </c>
      <c r="C363" s="3"/>
      <c r="D363" s="3"/>
      <c r="E363" s="3"/>
      <c r="F363" t="s">
        <v>515</v>
      </c>
      <c r="H363" t="s">
        <v>1439</v>
      </c>
      <c r="J363" t="s">
        <v>1440</v>
      </c>
      <c r="K363" t="s">
        <v>783</v>
      </c>
      <c r="L363" t="s">
        <v>1436</v>
      </c>
      <c r="M363" t="s">
        <v>1441</v>
      </c>
      <c r="P363" s="18" t="s">
        <v>1442</v>
      </c>
    </row>
    <row r="364" spans="1:16" hidden="1" x14ac:dyDescent="0.35">
      <c r="A364" t="s">
        <v>1334</v>
      </c>
      <c r="B364" s="3" t="s">
        <v>102</v>
      </c>
      <c r="C364" s="3"/>
      <c r="D364" s="3"/>
      <c r="E364" s="3"/>
      <c r="F364" t="s">
        <v>515</v>
      </c>
      <c r="H364" t="s">
        <v>1443</v>
      </c>
      <c r="J364" t="s">
        <v>1444</v>
      </c>
      <c r="K364" t="s">
        <v>783</v>
      </c>
      <c r="L364" t="s">
        <v>1445</v>
      </c>
      <c r="M364" t="s">
        <v>1446</v>
      </c>
      <c r="P364" s="18">
        <f xml:space="preserve"> 2681041308.38
 + 2388750811.12 + 2146153301.55</f>
        <v>7215945421.0500002</v>
      </c>
    </row>
    <row r="365" spans="1:16" hidden="1" x14ac:dyDescent="0.35">
      <c r="A365" t="s">
        <v>1334</v>
      </c>
      <c r="B365" s="3" t="s">
        <v>102</v>
      </c>
      <c r="C365" s="3"/>
      <c r="D365" s="3"/>
      <c r="E365" s="3"/>
      <c r="F365" t="s">
        <v>515</v>
      </c>
      <c r="H365" t="s">
        <v>1447</v>
      </c>
      <c r="J365" t="s">
        <v>1448</v>
      </c>
      <c r="K365" t="s">
        <v>783</v>
      </c>
      <c r="L365" t="s">
        <v>1449</v>
      </c>
      <c r="M365" t="s">
        <v>1450</v>
      </c>
      <c r="P365" s="18">
        <f xml:space="preserve"> 205557.31  + 8331.98 + 787920787.95</f>
        <v>788134677.24000001</v>
      </c>
    </row>
    <row r="366" spans="1:16" hidden="1" x14ac:dyDescent="0.35">
      <c r="A366" t="s">
        <v>1334</v>
      </c>
      <c r="B366" s="3" t="s">
        <v>102</v>
      </c>
      <c r="C366" s="3"/>
      <c r="D366" s="3"/>
      <c r="E366" s="3"/>
      <c r="F366" t="s">
        <v>515</v>
      </c>
      <c r="H366" t="s">
        <v>1451</v>
      </c>
      <c r="J366" t="s">
        <v>1452</v>
      </c>
      <c r="K366" t="s">
        <v>783</v>
      </c>
      <c r="L366" t="s">
        <v>1453</v>
      </c>
      <c r="M366" t="s">
        <v>1454</v>
      </c>
      <c r="P366" s="18">
        <f xml:space="preserve"> 3476553484.15 + 2546674418.55 + 3386317311.39</f>
        <v>9409545214.0900002</v>
      </c>
    </row>
    <row r="367" spans="1:16" hidden="1" x14ac:dyDescent="0.35">
      <c r="A367" t="s">
        <v>1334</v>
      </c>
      <c r="B367" s="3" t="s">
        <v>102</v>
      </c>
      <c r="C367" s="3"/>
      <c r="D367" s="3"/>
      <c r="E367" s="3"/>
      <c r="F367" t="s">
        <v>515</v>
      </c>
      <c r="H367" t="s">
        <v>1455</v>
      </c>
      <c r="J367" t="s">
        <v>1456</v>
      </c>
      <c r="K367" t="s">
        <v>783</v>
      </c>
      <c r="L367" t="s">
        <v>1457</v>
      </c>
      <c r="M367" t="s">
        <v>1458</v>
      </c>
    </row>
    <row r="368" spans="1:16" hidden="1" x14ac:dyDescent="0.35">
      <c r="A368" t="s">
        <v>1334</v>
      </c>
      <c r="B368" s="3" t="s">
        <v>102</v>
      </c>
      <c r="C368" s="3"/>
      <c r="D368" s="3"/>
      <c r="E368" s="3"/>
      <c r="F368" t="s">
        <v>515</v>
      </c>
      <c r="H368" t="s">
        <v>1459</v>
      </c>
      <c r="J368" t="s">
        <v>1460</v>
      </c>
      <c r="K368" t="s">
        <v>783</v>
      </c>
      <c r="L368" t="s">
        <v>1461</v>
      </c>
      <c r="M368" t="s">
        <v>1462</v>
      </c>
    </row>
    <row r="369" spans="1:16" hidden="1" x14ac:dyDescent="0.35">
      <c r="A369" t="s">
        <v>1334</v>
      </c>
      <c r="B369" s="3" t="s">
        <v>102</v>
      </c>
      <c r="C369" s="3"/>
      <c r="D369" s="3"/>
      <c r="E369" s="3"/>
      <c r="F369" t="s">
        <v>515</v>
      </c>
      <c r="H369" t="s">
        <v>1463</v>
      </c>
      <c r="J369" t="s">
        <v>1464</v>
      </c>
      <c r="K369" t="s">
        <v>1187</v>
      </c>
      <c r="L369" t="s">
        <v>1465</v>
      </c>
      <c r="M369" t="s">
        <v>1466</v>
      </c>
    </row>
    <row r="370" spans="1:16" hidden="1" x14ac:dyDescent="0.35">
      <c r="A370" t="s">
        <v>1334</v>
      </c>
      <c r="B370" s="3" t="s">
        <v>102</v>
      </c>
      <c r="C370" s="3"/>
      <c r="D370" s="3"/>
      <c r="E370" s="3"/>
      <c r="F370" t="s">
        <v>515</v>
      </c>
      <c r="H370" t="s">
        <v>1467</v>
      </c>
      <c r="J370" t="s">
        <v>1468</v>
      </c>
      <c r="K370" t="s">
        <v>783</v>
      </c>
      <c r="L370" t="s">
        <v>1469</v>
      </c>
      <c r="M370" t="s">
        <v>1470</v>
      </c>
    </row>
    <row r="371" spans="1:16" hidden="1" x14ac:dyDescent="0.35">
      <c r="A371" t="s">
        <v>1334</v>
      </c>
      <c r="B371" s="3" t="s">
        <v>102</v>
      </c>
      <c r="C371" s="3"/>
      <c r="D371" s="3"/>
      <c r="E371" s="3"/>
      <c r="F371" t="s">
        <v>515</v>
      </c>
      <c r="H371" t="s">
        <v>1471</v>
      </c>
      <c r="J371" t="s">
        <v>1472</v>
      </c>
      <c r="K371" t="s">
        <v>1198</v>
      </c>
      <c r="L371" t="s">
        <v>1473</v>
      </c>
      <c r="M371" t="s">
        <v>1474</v>
      </c>
    </row>
    <row r="372" spans="1:16" hidden="1" x14ac:dyDescent="0.35">
      <c r="A372" t="s">
        <v>1334</v>
      </c>
      <c r="B372" s="3" t="s">
        <v>102</v>
      </c>
      <c r="C372" s="3"/>
      <c r="D372" s="3"/>
      <c r="E372" s="3"/>
      <c r="F372" t="s">
        <v>515</v>
      </c>
      <c r="H372" t="s">
        <v>1475</v>
      </c>
      <c r="J372" t="s">
        <v>1476</v>
      </c>
      <c r="K372" t="s">
        <v>1198</v>
      </c>
      <c r="L372" t="s">
        <v>1477</v>
      </c>
      <c r="M372" t="s">
        <v>1478</v>
      </c>
    </row>
    <row r="373" spans="1:16" hidden="1" x14ac:dyDescent="0.35">
      <c r="A373" t="s">
        <v>1334</v>
      </c>
      <c r="B373" s="3" t="s">
        <v>102</v>
      </c>
      <c r="C373" s="3"/>
      <c r="D373" s="3"/>
      <c r="E373" s="3"/>
      <c r="F373" t="s">
        <v>515</v>
      </c>
      <c r="H373" t="s">
        <v>1479</v>
      </c>
      <c r="J373" t="s">
        <v>1480</v>
      </c>
      <c r="K373" t="s">
        <v>1198</v>
      </c>
      <c r="L373" t="s">
        <v>1481</v>
      </c>
      <c r="M373" t="s">
        <v>1482</v>
      </c>
    </row>
    <row r="374" spans="1:16" hidden="1" x14ac:dyDescent="0.35">
      <c r="A374" t="s">
        <v>1334</v>
      </c>
      <c r="B374" s="3" t="s">
        <v>102</v>
      </c>
      <c r="C374" s="3"/>
      <c r="D374" s="3"/>
      <c r="E374" s="3"/>
      <c r="F374" t="s">
        <v>515</v>
      </c>
      <c r="H374" t="s">
        <v>1483</v>
      </c>
      <c r="J374" t="s">
        <v>1484</v>
      </c>
      <c r="K374" t="s">
        <v>1198</v>
      </c>
      <c r="L374" t="s">
        <v>1485</v>
      </c>
      <c r="M374" t="s">
        <v>1486</v>
      </c>
    </row>
    <row r="375" spans="1:16" hidden="1" x14ac:dyDescent="0.35">
      <c r="A375" t="s">
        <v>1334</v>
      </c>
      <c r="B375" s="3" t="s">
        <v>102</v>
      </c>
      <c r="C375" s="3"/>
      <c r="D375" s="3"/>
      <c r="E375" s="3"/>
      <c r="F375" t="s">
        <v>515</v>
      </c>
      <c r="H375" t="s">
        <v>1487</v>
      </c>
      <c r="J375" t="s">
        <v>1488</v>
      </c>
      <c r="K375" t="s">
        <v>783</v>
      </c>
      <c r="L375" t="s">
        <v>1489</v>
      </c>
      <c r="M375" t="s">
        <v>1490</v>
      </c>
    </row>
    <row r="376" spans="1:16" hidden="1" x14ac:dyDescent="0.35">
      <c r="A376" t="s">
        <v>1334</v>
      </c>
      <c r="B376" s="3" t="s">
        <v>102</v>
      </c>
      <c r="C376" s="3"/>
      <c r="D376" s="3"/>
      <c r="E376" s="3"/>
      <c r="F376" t="s">
        <v>515</v>
      </c>
      <c r="H376" t="s">
        <v>1491</v>
      </c>
      <c r="J376" t="s">
        <v>1492</v>
      </c>
      <c r="K376" t="s">
        <v>1198</v>
      </c>
      <c r="L376" t="s">
        <v>1493</v>
      </c>
      <c r="M376" t="s">
        <v>1494</v>
      </c>
    </row>
    <row r="377" spans="1:16" hidden="1" x14ac:dyDescent="0.35">
      <c r="A377" t="s">
        <v>1334</v>
      </c>
      <c r="B377" s="3" t="s">
        <v>102</v>
      </c>
      <c r="C377" s="3"/>
      <c r="D377" s="3"/>
      <c r="E377" s="3"/>
      <c r="F377" t="s">
        <v>515</v>
      </c>
      <c r="H377" t="s">
        <v>1495</v>
      </c>
      <c r="J377" t="s">
        <v>1496</v>
      </c>
      <c r="K377" t="s">
        <v>229</v>
      </c>
      <c r="L377" t="s">
        <v>1497</v>
      </c>
      <c r="M377" t="s">
        <v>1498</v>
      </c>
      <c r="P377" s="18" t="s">
        <v>1499</v>
      </c>
    </row>
    <row r="378" spans="1:16" hidden="1" x14ac:dyDescent="0.35">
      <c r="A378" t="s">
        <v>1334</v>
      </c>
      <c r="B378" s="3" t="s">
        <v>102</v>
      </c>
      <c r="C378" s="3"/>
      <c r="D378" s="3"/>
      <c r="E378" s="3"/>
      <c r="F378" t="s">
        <v>515</v>
      </c>
      <c r="H378" t="s">
        <v>1500</v>
      </c>
      <c r="J378" t="s">
        <v>1501</v>
      </c>
      <c r="K378" t="s">
        <v>1502</v>
      </c>
      <c r="L378" t="s">
        <v>1503</v>
      </c>
      <c r="M378" t="s">
        <v>1504</v>
      </c>
      <c r="P378" s="18" t="s">
        <v>1505</v>
      </c>
    </row>
    <row r="379" spans="1:16" hidden="1" x14ac:dyDescent="0.35">
      <c r="A379" t="s">
        <v>1334</v>
      </c>
      <c r="B379" s="3" t="s">
        <v>102</v>
      </c>
      <c r="C379" s="3"/>
      <c r="D379" s="3"/>
      <c r="E379" s="3"/>
      <c r="F379" t="s">
        <v>515</v>
      </c>
      <c r="H379" t="s">
        <v>1506</v>
      </c>
      <c r="J379" t="s">
        <v>1507</v>
      </c>
      <c r="K379" t="s">
        <v>1198</v>
      </c>
      <c r="L379" t="s">
        <v>1508</v>
      </c>
      <c r="M379" t="s">
        <v>1509</v>
      </c>
    </row>
    <row r="380" spans="1:16" hidden="1" x14ac:dyDescent="0.35">
      <c r="A380" t="s">
        <v>1334</v>
      </c>
      <c r="B380" s="3" t="s">
        <v>102</v>
      </c>
      <c r="C380" s="3"/>
      <c r="D380" s="3"/>
      <c r="E380" s="3"/>
      <c r="F380" t="s">
        <v>515</v>
      </c>
      <c r="H380" t="s">
        <v>1510</v>
      </c>
      <c r="J380" t="s">
        <v>1511</v>
      </c>
      <c r="K380" t="s">
        <v>783</v>
      </c>
      <c r="L380" t="s">
        <v>1512</v>
      </c>
      <c r="M380" t="s">
        <v>1513</v>
      </c>
    </row>
    <row r="381" spans="1:16" hidden="1" x14ac:dyDescent="0.35">
      <c r="A381" t="s">
        <v>1334</v>
      </c>
      <c r="B381" s="3" t="s">
        <v>102</v>
      </c>
      <c r="C381" s="3"/>
      <c r="D381" s="3"/>
      <c r="E381" s="3"/>
      <c r="F381" t="s">
        <v>515</v>
      </c>
      <c r="H381" t="s">
        <v>1514</v>
      </c>
      <c r="J381" t="s">
        <v>1515</v>
      </c>
      <c r="K381" t="s">
        <v>229</v>
      </c>
      <c r="L381" t="s">
        <v>1516</v>
      </c>
      <c r="M381" t="s">
        <v>1517</v>
      </c>
    </row>
    <row r="382" spans="1:16" hidden="1" x14ac:dyDescent="0.35">
      <c r="A382" t="s">
        <v>1334</v>
      </c>
      <c r="B382" s="3" t="s">
        <v>102</v>
      </c>
      <c r="C382" s="3"/>
      <c r="D382" s="3"/>
      <c r="E382" s="3"/>
      <c r="F382" t="s">
        <v>515</v>
      </c>
      <c r="H382" t="s">
        <v>1518</v>
      </c>
      <c r="J382" t="s">
        <v>1519</v>
      </c>
      <c r="K382" t="s">
        <v>1198</v>
      </c>
      <c r="L382" t="s">
        <v>1520</v>
      </c>
      <c r="M382" t="s">
        <v>1521</v>
      </c>
    </row>
    <row r="383" spans="1:16" hidden="1" x14ac:dyDescent="0.35">
      <c r="A383" t="s">
        <v>1334</v>
      </c>
      <c r="B383" s="3" t="s">
        <v>102</v>
      </c>
      <c r="C383" s="3"/>
      <c r="D383" s="3"/>
      <c r="E383" s="3"/>
      <c r="F383" t="s">
        <v>551</v>
      </c>
      <c r="H383" t="s">
        <v>593</v>
      </c>
      <c r="J383" t="s">
        <v>1522</v>
      </c>
      <c r="K383" t="s">
        <v>229</v>
      </c>
      <c r="L383" t="s">
        <v>1523</v>
      </c>
      <c r="M383" t="s">
        <v>1524</v>
      </c>
      <c r="P383" s="18" t="s">
        <v>1525</v>
      </c>
    </row>
    <row r="384" spans="1:16" hidden="1" x14ac:dyDescent="0.35">
      <c r="A384" t="s">
        <v>1334</v>
      </c>
      <c r="B384" s="3" t="s">
        <v>102</v>
      </c>
      <c r="C384" s="3"/>
      <c r="D384" s="3"/>
      <c r="E384" s="3"/>
      <c r="F384" t="s">
        <v>551</v>
      </c>
      <c r="H384" t="s">
        <v>593</v>
      </c>
      <c r="J384" t="s">
        <v>1526</v>
      </c>
      <c r="K384" t="s">
        <v>1313</v>
      </c>
      <c r="L384" t="s">
        <v>1527</v>
      </c>
      <c r="M384" t="s">
        <v>1528</v>
      </c>
      <c r="P384" s="18" t="s">
        <v>1529</v>
      </c>
    </row>
    <row r="385" spans="1:16" hidden="1" x14ac:dyDescent="0.35">
      <c r="A385" t="s">
        <v>1334</v>
      </c>
      <c r="B385" s="3" t="s">
        <v>102</v>
      </c>
      <c r="C385" s="3"/>
      <c r="D385" s="3"/>
      <c r="E385" s="3"/>
      <c r="F385" t="s">
        <v>551</v>
      </c>
      <c r="H385" t="s">
        <v>593</v>
      </c>
      <c r="J385" t="s">
        <v>1530</v>
      </c>
      <c r="K385" t="s">
        <v>229</v>
      </c>
      <c r="L385" t="s">
        <v>1531</v>
      </c>
      <c r="M385" t="s">
        <v>1532</v>
      </c>
      <c r="P385" s="18" t="s">
        <v>1533</v>
      </c>
    </row>
    <row r="386" spans="1:16" hidden="1" x14ac:dyDescent="0.35">
      <c r="A386" t="s">
        <v>1334</v>
      </c>
      <c r="B386" s="3" t="s">
        <v>102</v>
      </c>
      <c r="C386" s="3"/>
      <c r="D386" s="3"/>
      <c r="E386" s="3"/>
      <c r="F386" t="s">
        <v>551</v>
      </c>
      <c r="H386" t="s">
        <v>593</v>
      </c>
      <c r="J386" t="s">
        <v>1534</v>
      </c>
      <c r="K386" t="s">
        <v>1313</v>
      </c>
      <c r="L386" t="s">
        <v>1535</v>
      </c>
      <c r="M386" t="s">
        <v>1536</v>
      </c>
      <c r="P386" s="18" t="s">
        <v>1537</v>
      </c>
    </row>
    <row r="387" spans="1:16" hidden="1" x14ac:dyDescent="0.35">
      <c r="A387" t="s">
        <v>1334</v>
      </c>
      <c r="B387" s="3" t="s">
        <v>102</v>
      </c>
      <c r="C387" s="3"/>
      <c r="D387" s="3"/>
      <c r="E387" s="3"/>
      <c r="F387" t="s">
        <v>551</v>
      </c>
      <c r="H387" t="s">
        <v>593</v>
      </c>
      <c r="J387" t="s">
        <v>1538</v>
      </c>
      <c r="K387" t="s">
        <v>1313</v>
      </c>
      <c r="L387" t="s">
        <v>1539</v>
      </c>
      <c r="M387" t="s">
        <v>1540</v>
      </c>
      <c r="P387" s="18" t="s">
        <v>1541</v>
      </c>
    </row>
    <row r="388" spans="1:16" hidden="1" x14ac:dyDescent="0.35">
      <c r="A388" t="s">
        <v>1334</v>
      </c>
      <c r="B388" s="3" t="s">
        <v>102</v>
      </c>
      <c r="C388" s="3"/>
      <c r="D388" s="3"/>
      <c r="E388" s="3"/>
      <c r="F388" t="s">
        <v>551</v>
      </c>
      <c r="H388" t="s">
        <v>1542</v>
      </c>
      <c r="J388" t="s">
        <v>1543</v>
      </c>
      <c r="K388" t="s">
        <v>783</v>
      </c>
      <c r="L388" t="s">
        <v>1544</v>
      </c>
      <c r="M388" t="s">
        <v>1545</v>
      </c>
      <c r="P388" s="18">
        <v>7555000</v>
      </c>
    </row>
    <row r="389" spans="1:16" hidden="1" x14ac:dyDescent="0.35">
      <c r="A389" t="s">
        <v>1334</v>
      </c>
      <c r="B389" s="3" t="s">
        <v>102</v>
      </c>
      <c r="C389" s="3"/>
      <c r="D389" s="3"/>
      <c r="E389" s="3"/>
      <c r="F389" t="s">
        <v>551</v>
      </c>
      <c r="H389" t="s">
        <v>1542</v>
      </c>
      <c r="J389" t="s">
        <v>1546</v>
      </c>
      <c r="K389" t="s">
        <v>1502</v>
      </c>
      <c r="L389" t="s">
        <v>1547</v>
      </c>
      <c r="M389" t="s">
        <v>1548</v>
      </c>
      <c r="P389" s="18" t="s">
        <v>1549</v>
      </c>
    </row>
    <row r="390" spans="1:16" hidden="1" x14ac:dyDescent="0.35">
      <c r="A390" t="s">
        <v>1334</v>
      </c>
      <c r="B390" s="3" t="s">
        <v>102</v>
      </c>
      <c r="C390" s="3"/>
      <c r="D390" s="3"/>
      <c r="E390" s="3"/>
      <c r="F390" t="s">
        <v>551</v>
      </c>
      <c r="H390" t="s">
        <v>1542</v>
      </c>
      <c r="J390" t="s">
        <v>1550</v>
      </c>
      <c r="K390" t="s">
        <v>783</v>
      </c>
      <c r="L390" t="s">
        <v>1551</v>
      </c>
      <c r="M390" t="s">
        <v>1552</v>
      </c>
      <c r="P390" s="18">
        <v>6531811.2400000002</v>
      </c>
    </row>
    <row r="391" spans="1:16" hidden="1" x14ac:dyDescent="0.35">
      <c r="A391" t="s">
        <v>1334</v>
      </c>
      <c r="B391" s="3" t="s">
        <v>102</v>
      </c>
      <c r="C391" s="3"/>
      <c r="D391" s="3"/>
      <c r="E391" s="3"/>
      <c r="F391" t="s">
        <v>551</v>
      </c>
      <c r="H391" t="s">
        <v>1542</v>
      </c>
      <c r="J391" t="s">
        <v>1553</v>
      </c>
      <c r="K391" t="s">
        <v>1198</v>
      </c>
      <c r="L391" t="s">
        <v>1554</v>
      </c>
      <c r="M391" t="s">
        <v>1555</v>
      </c>
      <c r="P391" s="18">
        <v>2.7969009E-3</v>
      </c>
    </row>
    <row r="392" spans="1:16" hidden="1" x14ac:dyDescent="0.35">
      <c r="A392" t="s">
        <v>1334</v>
      </c>
      <c r="B392" s="3" t="s">
        <v>102</v>
      </c>
      <c r="C392" s="3"/>
      <c r="D392" s="3"/>
      <c r="E392" s="3"/>
      <c r="F392" t="s">
        <v>551</v>
      </c>
      <c r="H392" t="s">
        <v>1542</v>
      </c>
      <c r="J392" t="s">
        <v>1556</v>
      </c>
      <c r="K392" t="s">
        <v>1187</v>
      </c>
      <c r="L392" t="s">
        <v>1557</v>
      </c>
      <c r="M392" t="s">
        <v>1558</v>
      </c>
    </row>
    <row r="393" spans="1:16" hidden="1" x14ac:dyDescent="0.35">
      <c r="A393" t="s">
        <v>1334</v>
      </c>
      <c r="B393" s="3" t="s">
        <v>102</v>
      </c>
      <c r="C393" s="3"/>
      <c r="D393" s="3"/>
      <c r="E393" s="3"/>
      <c r="F393" t="s">
        <v>551</v>
      </c>
      <c r="H393" t="s">
        <v>1559</v>
      </c>
      <c r="J393" t="s">
        <v>1560</v>
      </c>
      <c r="K393" t="s">
        <v>229</v>
      </c>
      <c r="L393" t="s">
        <v>1561</v>
      </c>
      <c r="M393" t="s">
        <v>1562</v>
      </c>
      <c r="P393" s="18" t="s">
        <v>1563</v>
      </c>
    </row>
    <row r="394" spans="1:16" hidden="1" x14ac:dyDescent="0.35">
      <c r="A394" t="s">
        <v>1334</v>
      </c>
      <c r="B394" s="3" t="s">
        <v>102</v>
      </c>
      <c r="C394" s="3"/>
      <c r="D394" s="3"/>
      <c r="E394" s="3"/>
      <c r="F394" t="s">
        <v>551</v>
      </c>
      <c r="H394" t="s">
        <v>1564</v>
      </c>
      <c r="J394" t="s">
        <v>1565</v>
      </c>
      <c r="K394" t="s">
        <v>1566</v>
      </c>
      <c r="L394" t="s">
        <v>1567</v>
      </c>
      <c r="M394" t="s">
        <v>1568</v>
      </c>
      <c r="P394" s="18" t="s">
        <v>1569</v>
      </c>
    </row>
    <row r="395" spans="1:16" hidden="1" x14ac:dyDescent="0.35">
      <c r="A395" t="s">
        <v>1334</v>
      </c>
      <c r="B395" s="3" t="s">
        <v>102</v>
      </c>
      <c r="C395" s="3"/>
      <c r="D395" s="3"/>
      <c r="E395" s="3"/>
      <c r="F395" t="s">
        <v>551</v>
      </c>
      <c r="H395" t="s">
        <v>1564</v>
      </c>
      <c r="J395" t="s">
        <v>1570</v>
      </c>
      <c r="K395" t="s">
        <v>1566</v>
      </c>
      <c r="L395" t="s">
        <v>1571</v>
      </c>
      <c r="M395" t="s">
        <v>1572</v>
      </c>
      <c r="P395" s="18" t="s">
        <v>1573</v>
      </c>
    </row>
    <row r="396" spans="1:16" hidden="1" x14ac:dyDescent="0.35">
      <c r="A396" t="s">
        <v>1334</v>
      </c>
      <c r="B396" s="3" t="s">
        <v>102</v>
      </c>
      <c r="C396" s="3"/>
      <c r="D396" s="3"/>
      <c r="E396" s="3"/>
      <c r="F396" t="s">
        <v>551</v>
      </c>
      <c r="H396" t="s">
        <v>1574</v>
      </c>
      <c r="J396" t="s">
        <v>1575</v>
      </c>
      <c r="K396" t="s">
        <v>1502</v>
      </c>
      <c r="L396" t="s">
        <v>1576</v>
      </c>
      <c r="M396" t="s">
        <v>1577</v>
      </c>
      <c r="P396" s="18" t="s">
        <v>1578</v>
      </c>
    </row>
    <row r="397" spans="1:16" hidden="1" x14ac:dyDescent="0.35">
      <c r="A397" t="s">
        <v>1334</v>
      </c>
      <c r="B397" s="3" t="s">
        <v>102</v>
      </c>
      <c r="C397" s="3"/>
      <c r="D397" s="3"/>
      <c r="E397" s="3"/>
      <c r="F397" t="s">
        <v>551</v>
      </c>
      <c r="H397" t="s">
        <v>1574</v>
      </c>
      <c r="J397" t="s">
        <v>1579</v>
      </c>
      <c r="K397" t="s">
        <v>1502</v>
      </c>
      <c r="L397" t="s">
        <v>1580</v>
      </c>
      <c r="M397" t="s">
        <v>1581</v>
      </c>
    </row>
    <row r="398" spans="1:16" hidden="1" x14ac:dyDescent="0.35">
      <c r="A398" t="s">
        <v>1334</v>
      </c>
      <c r="B398" s="3" t="s">
        <v>102</v>
      </c>
      <c r="C398" s="3"/>
      <c r="D398" s="3"/>
      <c r="E398" s="3"/>
      <c r="F398" t="s">
        <v>551</v>
      </c>
      <c r="H398" t="s">
        <v>1582</v>
      </c>
      <c r="J398" t="s">
        <v>1583</v>
      </c>
      <c r="K398" t="s">
        <v>1187</v>
      </c>
      <c r="L398" t="s">
        <v>1584</v>
      </c>
      <c r="M398" t="s">
        <v>1585</v>
      </c>
      <c r="P398" s="18" t="s">
        <v>1341</v>
      </c>
    </row>
    <row r="399" spans="1:16" hidden="1" x14ac:dyDescent="0.35">
      <c r="A399" t="s">
        <v>1334</v>
      </c>
      <c r="B399" s="3" t="s">
        <v>102</v>
      </c>
      <c r="C399" s="3"/>
      <c r="D399" s="3"/>
      <c r="E399" s="3"/>
      <c r="F399" t="s">
        <v>551</v>
      </c>
      <c r="H399" t="s">
        <v>1586</v>
      </c>
      <c r="J399" t="s">
        <v>1587</v>
      </c>
      <c r="K399" t="s">
        <v>1566</v>
      </c>
      <c r="L399" t="s">
        <v>1588</v>
      </c>
      <c r="M399" t="s">
        <v>1589</v>
      </c>
      <c r="P399" s="18" t="s">
        <v>1590</v>
      </c>
    </row>
    <row r="400" spans="1:16" hidden="1" x14ac:dyDescent="0.35">
      <c r="A400" t="s">
        <v>1334</v>
      </c>
      <c r="B400" s="3" t="s">
        <v>102</v>
      </c>
      <c r="C400" s="3"/>
      <c r="D400" s="3"/>
      <c r="E400" s="3"/>
      <c r="F400" t="s">
        <v>551</v>
      </c>
      <c r="H400" t="s">
        <v>1591</v>
      </c>
      <c r="J400" t="s">
        <v>1592</v>
      </c>
      <c r="K400" t="s">
        <v>241</v>
      </c>
      <c r="L400" t="s">
        <v>1593</v>
      </c>
      <c r="M400" t="s">
        <v>1594</v>
      </c>
      <c r="P400" s="18">
        <v>2</v>
      </c>
    </row>
    <row r="401" spans="1:16" hidden="1" x14ac:dyDescent="0.35">
      <c r="A401" t="s">
        <v>1334</v>
      </c>
      <c r="B401" s="3" t="s">
        <v>102</v>
      </c>
      <c r="C401" s="3"/>
      <c r="D401" s="3"/>
      <c r="E401" s="3"/>
      <c r="F401" t="s">
        <v>551</v>
      </c>
      <c r="H401" t="s">
        <v>1595</v>
      </c>
      <c r="J401" t="s">
        <v>1596</v>
      </c>
      <c r="K401" t="s">
        <v>1331</v>
      </c>
      <c r="L401" t="s">
        <v>1597</v>
      </c>
      <c r="M401" t="s">
        <v>1598</v>
      </c>
      <c r="P401" s="17">
        <v>48508</v>
      </c>
    </row>
    <row r="402" spans="1:16" hidden="1" x14ac:dyDescent="0.35">
      <c r="A402" t="s">
        <v>1334</v>
      </c>
      <c r="B402" s="3" t="s">
        <v>102</v>
      </c>
      <c r="C402" s="3"/>
      <c r="D402" s="3"/>
      <c r="E402" s="3"/>
      <c r="F402" t="s">
        <v>551</v>
      </c>
      <c r="H402" t="s">
        <v>1595</v>
      </c>
      <c r="J402" t="s">
        <v>1599</v>
      </c>
      <c r="K402" t="s">
        <v>1600</v>
      </c>
      <c r="L402" t="s">
        <v>1601</v>
      </c>
      <c r="M402" t="s">
        <v>1602</v>
      </c>
      <c r="P402" s="18" t="s">
        <v>1603</v>
      </c>
    </row>
    <row r="403" spans="1:16" hidden="1" x14ac:dyDescent="0.35">
      <c r="A403" t="s">
        <v>1334</v>
      </c>
      <c r="B403" s="3" t="s">
        <v>102</v>
      </c>
      <c r="C403" s="3"/>
      <c r="D403" s="3"/>
      <c r="E403" s="3"/>
      <c r="F403" t="s">
        <v>551</v>
      </c>
      <c r="H403" t="s">
        <v>1595</v>
      </c>
      <c r="J403" t="s">
        <v>1604</v>
      </c>
      <c r="K403" t="s">
        <v>1187</v>
      </c>
      <c r="L403" t="s">
        <v>1605</v>
      </c>
      <c r="M403" t="s">
        <v>1606</v>
      </c>
      <c r="P403" s="18" t="s">
        <v>1341</v>
      </c>
    </row>
    <row r="404" spans="1:16" hidden="1" x14ac:dyDescent="0.35">
      <c r="A404" t="s">
        <v>1334</v>
      </c>
      <c r="B404" s="3" t="s">
        <v>102</v>
      </c>
      <c r="C404" s="3"/>
      <c r="D404" s="3"/>
      <c r="E404" s="3"/>
      <c r="F404" t="s">
        <v>551</v>
      </c>
      <c r="H404" t="s">
        <v>1595</v>
      </c>
      <c r="J404" t="s">
        <v>1607</v>
      </c>
      <c r="K404" t="s">
        <v>1187</v>
      </c>
      <c r="L404" t="s">
        <v>1608</v>
      </c>
      <c r="M404" t="s">
        <v>1609</v>
      </c>
      <c r="P404" s="18" t="s">
        <v>1341</v>
      </c>
    </row>
    <row r="405" spans="1:16" hidden="1" x14ac:dyDescent="0.35">
      <c r="A405" t="s">
        <v>1334</v>
      </c>
      <c r="B405" s="3" t="s">
        <v>102</v>
      </c>
      <c r="C405" s="3"/>
      <c r="D405" s="3"/>
      <c r="E405" s="3"/>
      <c r="F405" t="s">
        <v>551</v>
      </c>
      <c r="H405" t="s">
        <v>1595</v>
      </c>
      <c r="J405" t="s">
        <v>1610</v>
      </c>
      <c r="K405" t="s">
        <v>1187</v>
      </c>
      <c r="L405" t="s">
        <v>1611</v>
      </c>
      <c r="M405" t="s">
        <v>1612</v>
      </c>
      <c r="P405" s="18" t="s">
        <v>1341</v>
      </c>
    </row>
    <row r="406" spans="1:16" hidden="1" x14ac:dyDescent="0.35">
      <c r="A406" t="s">
        <v>1334</v>
      </c>
      <c r="B406" s="3" t="s">
        <v>102</v>
      </c>
      <c r="C406" s="3"/>
      <c r="D406" s="3"/>
      <c r="E406" s="3"/>
      <c r="F406" t="s">
        <v>551</v>
      </c>
      <c r="H406" t="s">
        <v>1595</v>
      </c>
      <c r="J406" t="s">
        <v>1613</v>
      </c>
      <c r="K406" t="s">
        <v>1187</v>
      </c>
      <c r="L406" t="s">
        <v>1614</v>
      </c>
      <c r="M406" t="s">
        <v>1615</v>
      </c>
    </row>
    <row r="407" spans="1:16" hidden="1" x14ac:dyDescent="0.35">
      <c r="A407" t="s">
        <v>1334</v>
      </c>
      <c r="B407" s="3" t="s">
        <v>102</v>
      </c>
      <c r="C407" s="3"/>
      <c r="D407" s="3"/>
      <c r="E407" s="3"/>
      <c r="F407" t="s">
        <v>551</v>
      </c>
      <c r="H407" t="s">
        <v>1595</v>
      </c>
      <c r="J407" t="s">
        <v>1616</v>
      </c>
      <c r="K407" t="s">
        <v>1187</v>
      </c>
      <c r="L407" t="s">
        <v>1617</v>
      </c>
      <c r="M407" t="s">
        <v>1618</v>
      </c>
    </row>
    <row r="408" spans="1:16" hidden="1" x14ac:dyDescent="0.35">
      <c r="A408" t="s">
        <v>1334</v>
      </c>
      <c r="B408" s="3" t="s">
        <v>102</v>
      </c>
      <c r="C408" s="3"/>
      <c r="D408" s="3"/>
      <c r="E408" s="3"/>
      <c r="F408" t="s">
        <v>551</v>
      </c>
      <c r="H408" t="s">
        <v>1595</v>
      </c>
      <c r="J408" t="s">
        <v>1619</v>
      </c>
      <c r="K408" t="s">
        <v>1502</v>
      </c>
      <c r="L408" t="s">
        <v>1620</v>
      </c>
      <c r="M408" t="s">
        <v>1621</v>
      </c>
    </row>
    <row r="409" spans="1:16" hidden="1" x14ac:dyDescent="0.35">
      <c r="A409" t="s">
        <v>1334</v>
      </c>
      <c r="B409" s="3" t="s">
        <v>102</v>
      </c>
      <c r="C409" s="3"/>
      <c r="D409" s="3"/>
      <c r="E409" s="3"/>
      <c r="F409" t="s">
        <v>551</v>
      </c>
      <c r="H409" t="s">
        <v>1595</v>
      </c>
      <c r="J409" t="s">
        <v>1622</v>
      </c>
      <c r="K409" t="s">
        <v>783</v>
      </c>
      <c r="L409" t="s">
        <v>1623</v>
      </c>
      <c r="M409" t="s">
        <v>1624</v>
      </c>
    </row>
    <row r="410" spans="1:16" hidden="1" x14ac:dyDescent="0.35">
      <c r="A410" t="s">
        <v>1334</v>
      </c>
      <c r="B410" s="3" t="s">
        <v>102</v>
      </c>
      <c r="C410" s="3"/>
      <c r="D410" s="3"/>
      <c r="E410" s="3"/>
      <c r="F410" t="s">
        <v>551</v>
      </c>
      <c r="H410" t="s">
        <v>1595</v>
      </c>
      <c r="J410" t="s">
        <v>1625</v>
      </c>
      <c r="K410" t="s">
        <v>783</v>
      </c>
      <c r="L410" t="s">
        <v>1626</v>
      </c>
      <c r="M410" t="s">
        <v>1627</v>
      </c>
    </row>
    <row r="411" spans="1:16" hidden="1" x14ac:dyDescent="0.35">
      <c r="A411" t="s">
        <v>1334</v>
      </c>
      <c r="B411" s="3" t="s">
        <v>102</v>
      </c>
      <c r="C411" s="3"/>
      <c r="D411" s="3"/>
      <c r="E411" s="3"/>
      <c r="F411" t="s">
        <v>551</v>
      </c>
      <c r="H411" t="s">
        <v>1628</v>
      </c>
      <c r="J411" t="s">
        <v>1629</v>
      </c>
      <c r="K411" t="s">
        <v>1566</v>
      </c>
      <c r="L411" t="s">
        <v>1630</v>
      </c>
      <c r="M411" t="s">
        <v>1631</v>
      </c>
    </row>
    <row r="412" spans="1:16" hidden="1" x14ac:dyDescent="0.35">
      <c r="A412" t="s">
        <v>1334</v>
      </c>
      <c r="B412" s="3" t="s">
        <v>102</v>
      </c>
      <c r="C412" s="3"/>
      <c r="D412" s="3"/>
      <c r="E412" s="3"/>
      <c r="F412" t="s">
        <v>551</v>
      </c>
      <c r="H412" t="s">
        <v>1628</v>
      </c>
      <c r="J412" t="s">
        <v>1632</v>
      </c>
      <c r="K412" t="s">
        <v>1502</v>
      </c>
      <c r="L412" t="s">
        <v>1633</v>
      </c>
      <c r="M412" t="s">
        <v>1634</v>
      </c>
    </row>
    <row r="413" spans="1:16" hidden="1" x14ac:dyDescent="0.35">
      <c r="A413" t="s">
        <v>1334</v>
      </c>
      <c r="B413" s="3" t="s">
        <v>102</v>
      </c>
      <c r="C413" s="3"/>
      <c r="D413" s="3"/>
      <c r="E413" s="3"/>
      <c r="F413" t="s">
        <v>551</v>
      </c>
      <c r="H413" t="s">
        <v>1628</v>
      </c>
      <c r="J413" t="s">
        <v>1635</v>
      </c>
      <c r="K413" t="s">
        <v>1187</v>
      </c>
      <c r="L413" t="s">
        <v>1636</v>
      </c>
      <c r="M413" t="s">
        <v>1637</v>
      </c>
    </row>
    <row r="414" spans="1:16" hidden="1" x14ac:dyDescent="0.35">
      <c r="A414" t="s">
        <v>1334</v>
      </c>
      <c r="B414" s="3" t="s">
        <v>102</v>
      </c>
      <c r="C414" s="3"/>
      <c r="D414" s="3"/>
      <c r="E414" s="3"/>
      <c r="F414" t="s">
        <v>551</v>
      </c>
      <c r="H414" t="s">
        <v>1628</v>
      </c>
      <c r="J414" t="s">
        <v>1638</v>
      </c>
      <c r="K414" t="s">
        <v>1502</v>
      </c>
      <c r="L414" t="s">
        <v>1639</v>
      </c>
      <c r="M414" t="s">
        <v>1640</v>
      </c>
    </row>
    <row r="415" spans="1:16" hidden="1" x14ac:dyDescent="0.35">
      <c r="A415" t="s">
        <v>1334</v>
      </c>
      <c r="B415" s="3" t="s">
        <v>102</v>
      </c>
      <c r="C415" s="3"/>
      <c r="D415" s="3"/>
      <c r="E415" s="3"/>
      <c r="F415" t="s">
        <v>551</v>
      </c>
      <c r="H415" t="s">
        <v>1628</v>
      </c>
      <c r="J415" t="s">
        <v>1641</v>
      </c>
      <c r="K415" t="s">
        <v>1187</v>
      </c>
      <c r="L415" t="s">
        <v>1642</v>
      </c>
      <c r="M415" t="s">
        <v>1643</v>
      </c>
    </row>
    <row r="416" spans="1:16" hidden="1" x14ac:dyDescent="0.35">
      <c r="A416" t="s">
        <v>1334</v>
      </c>
      <c r="B416" s="3" t="s">
        <v>102</v>
      </c>
      <c r="C416" s="3"/>
      <c r="D416" s="3"/>
      <c r="E416" s="3"/>
      <c r="F416" t="s">
        <v>551</v>
      </c>
      <c r="H416" t="s">
        <v>1628</v>
      </c>
      <c r="J416" t="s">
        <v>1644</v>
      </c>
      <c r="K416" t="s">
        <v>1198</v>
      </c>
      <c r="L416" t="s">
        <v>1645</v>
      </c>
      <c r="M416" t="s">
        <v>1646</v>
      </c>
    </row>
    <row r="417" spans="1:13" hidden="1" x14ac:dyDescent="0.35">
      <c r="A417" t="s">
        <v>1334</v>
      </c>
      <c r="B417" s="3" t="s">
        <v>102</v>
      </c>
      <c r="C417" s="3"/>
      <c r="D417" s="3"/>
      <c r="E417" s="3"/>
      <c r="F417" t="s">
        <v>551</v>
      </c>
      <c r="H417" t="s">
        <v>1628</v>
      </c>
      <c r="J417" t="s">
        <v>1647</v>
      </c>
      <c r="K417" t="s">
        <v>1331</v>
      </c>
      <c r="L417" t="s">
        <v>1648</v>
      </c>
      <c r="M417" t="s">
        <v>1649</v>
      </c>
    </row>
    <row r="418" spans="1:13" hidden="1" x14ac:dyDescent="0.35">
      <c r="A418" t="s">
        <v>1334</v>
      </c>
      <c r="B418" s="3" t="s">
        <v>102</v>
      </c>
      <c r="C418" s="3"/>
      <c r="D418" s="3"/>
      <c r="E418" s="3"/>
      <c r="F418" t="s">
        <v>551</v>
      </c>
      <c r="H418" t="s">
        <v>1628</v>
      </c>
      <c r="J418" t="s">
        <v>1650</v>
      </c>
      <c r="K418" t="s">
        <v>783</v>
      </c>
      <c r="L418" t="s">
        <v>1651</v>
      </c>
      <c r="M418" t="s">
        <v>1652</v>
      </c>
    </row>
    <row r="419" spans="1:13" hidden="1" x14ac:dyDescent="0.35">
      <c r="A419" t="s">
        <v>1334</v>
      </c>
      <c r="B419" s="3" t="s">
        <v>102</v>
      </c>
      <c r="C419" s="3"/>
      <c r="D419" s="3"/>
      <c r="E419" s="3"/>
      <c r="F419" t="s">
        <v>551</v>
      </c>
      <c r="H419" t="s">
        <v>1628</v>
      </c>
      <c r="J419" t="s">
        <v>1653</v>
      </c>
      <c r="K419" t="s">
        <v>783</v>
      </c>
      <c r="L419" t="s">
        <v>1654</v>
      </c>
      <c r="M419" t="s">
        <v>1655</v>
      </c>
    </row>
    <row r="420" spans="1:13" hidden="1" x14ac:dyDescent="0.35">
      <c r="A420" t="s">
        <v>1334</v>
      </c>
      <c r="B420" s="3" t="s">
        <v>102</v>
      </c>
      <c r="C420" s="3"/>
      <c r="D420" s="3"/>
      <c r="E420" s="3"/>
      <c r="F420" t="s">
        <v>551</v>
      </c>
      <c r="H420" t="s">
        <v>1628</v>
      </c>
      <c r="J420" t="s">
        <v>1656</v>
      </c>
      <c r="K420" t="s">
        <v>1566</v>
      </c>
      <c r="L420" t="s">
        <v>1657</v>
      </c>
      <c r="M420" t="s">
        <v>1658</v>
      </c>
    </row>
    <row r="421" spans="1:13" hidden="1" x14ac:dyDescent="0.35">
      <c r="A421" t="s">
        <v>1334</v>
      </c>
      <c r="B421" s="3" t="s">
        <v>102</v>
      </c>
      <c r="C421" s="3"/>
      <c r="D421" s="3"/>
      <c r="E421" s="3"/>
      <c r="F421" t="s">
        <v>551</v>
      </c>
      <c r="H421" t="s">
        <v>1659</v>
      </c>
      <c r="J421" t="s">
        <v>1660</v>
      </c>
      <c r="K421" t="s">
        <v>1566</v>
      </c>
      <c r="L421" t="s">
        <v>1661</v>
      </c>
      <c r="M421" t="s">
        <v>1662</v>
      </c>
    </row>
    <row r="422" spans="1:13" hidden="1" x14ac:dyDescent="0.35">
      <c r="A422" t="s">
        <v>1334</v>
      </c>
      <c r="B422" s="3" t="s">
        <v>102</v>
      </c>
      <c r="C422" s="3"/>
      <c r="D422" s="3"/>
      <c r="E422" s="3"/>
      <c r="F422" t="s">
        <v>551</v>
      </c>
      <c r="H422" t="s">
        <v>1659</v>
      </c>
      <c r="J422" t="s">
        <v>1663</v>
      </c>
      <c r="K422" t="s">
        <v>1502</v>
      </c>
      <c r="L422" t="s">
        <v>1664</v>
      </c>
      <c r="M422" t="s">
        <v>1665</v>
      </c>
    </row>
    <row r="423" spans="1:13" hidden="1" x14ac:dyDescent="0.35">
      <c r="A423" t="s">
        <v>1334</v>
      </c>
      <c r="B423" s="3" t="s">
        <v>102</v>
      </c>
      <c r="C423" s="3"/>
      <c r="D423" s="3"/>
      <c r="E423" s="3"/>
      <c r="F423" t="s">
        <v>551</v>
      </c>
      <c r="H423" t="s">
        <v>1659</v>
      </c>
      <c r="J423" t="s">
        <v>1666</v>
      </c>
      <c r="K423" t="s">
        <v>1566</v>
      </c>
      <c r="L423" t="s">
        <v>1667</v>
      </c>
      <c r="M423" t="s">
        <v>1668</v>
      </c>
    </row>
    <row r="424" spans="1:13" hidden="1" x14ac:dyDescent="0.35">
      <c r="A424" t="s">
        <v>1334</v>
      </c>
      <c r="B424" s="3" t="s">
        <v>102</v>
      </c>
      <c r="C424" s="3"/>
      <c r="D424" s="3"/>
      <c r="E424" s="3"/>
      <c r="F424" t="s">
        <v>551</v>
      </c>
      <c r="H424" t="s">
        <v>1659</v>
      </c>
      <c r="J424" t="s">
        <v>1669</v>
      </c>
      <c r="K424" t="s">
        <v>1566</v>
      </c>
      <c r="L424" t="s">
        <v>1670</v>
      </c>
      <c r="M424" t="s">
        <v>1671</v>
      </c>
    </row>
    <row r="425" spans="1:13" hidden="1" x14ac:dyDescent="0.35">
      <c r="A425" t="s">
        <v>1334</v>
      </c>
      <c r="B425" s="3" t="s">
        <v>102</v>
      </c>
      <c r="C425" s="3"/>
      <c r="D425" s="3"/>
      <c r="E425" s="3"/>
      <c r="F425" t="s">
        <v>551</v>
      </c>
      <c r="H425" t="s">
        <v>1659</v>
      </c>
      <c r="J425" t="s">
        <v>1672</v>
      </c>
      <c r="K425" t="s">
        <v>1502</v>
      </c>
      <c r="L425" t="s">
        <v>1673</v>
      </c>
      <c r="M425" t="s">
        <v>1674</v>
      </c>
    </row>
    <row r="426" spans="1:13" hidden="1" x14ac:dyDescent="0.35">
      <c r="A426" t="s">
        <v>1334</v>
      </c>
      <c r="B426" s="3" t="s">
        <v>102</v>
      </c>
      <c r="C426" s="3"/>
      <c r="D426" s="3"/>
      <c r="E426" s="3"/>
      <c r="F426" t="s">
        <v>551</v>
      </c>
      <c r="H426" t="s">
        <v>1659</v>
      </c>
      <c r="J426" t="s">
        <v>1675</v>
      </c>
      <c r="K426" t="s">
        <v>783</v>
      </c>
      <c r="L426" t="s">
        <v>1676</v>
      </c>
      <c r="M426" t="s">
        <v>1677</v>
      </c>
    </row>
    <row r="427" spans="1:13" hidden="1" x14ac:dyDescent="0.35">
      <c r="A427" t="s">
        <v>1334</v>
      </c>
      <c r="B427" s="3" t="s">
        <v>102</v>
      </c>
      <c r="C427" s="3"/>
      <c r="D427" s="3"/>
      <c r="E427" s="3"/>
      <c r="F427" t="s">
        <v>551</v>
      </c>
      <c r="H427" t="s">
        <v>1659</v>
      </c>
      <c r="J427" t="s">
        <v>1678</v>
      </c>
      <c r="K427" t="s">
        <v>783</v>
      </c>
      <c r="L427" t="s">
        <v>1679</v>
      </c>
      <c r="M427" t="s">
        <v>1680</v>
      </c>
    </row>
    <row r="428" spans="1:13" hidden="1" x14ac:dyDescent="0.35">
      <c r="A428" t="s">
        <v>1334</v>
      </c>
      <c r="B428" s="3" t="s">
        <v>102</v>
      </c>
      <c r="C428" s="3"/>
      <c r="D428" s="3"/>
      <c r="E428" s="3"/>
      <c r="F428" t="s">
        <v>551</v>
      </c>
      <c r="H428" t="s">
        <v>1659</v>
      </c>
      <c r="J428" t="s">
        <v>1681</v>
      </c>
      <c r="K428" t="s">
        <v>1331</v>
      </c>
      <c r="L428" t="s">
        <v>1682</v>
      </c>
      <c r="M428" t="s">
        <v>1683</v>
      </c>
    </row>
    <row r="429" spans="1:13" hidden="1" x14ac:dyDescent="0.35">
      <c r="A429" t="s">
        <v>1334</v>
      </c>
      <c r="B429" s="3" t="s">
        <v>102</v>
      </c>
      <c r="C429" s="3"/>
      <c r="D429" s="3"/>
      <c r="E429" s="3"/>
      <c r="F429" t="s">
        <v>551</v>
      </c>
      <c r="H429" t="s">
        <v>1659</v>
      </c>
      <c r="J429" t="s">
        <v>1684</v>
      </c>
      <c r="K429" t="s">
        <v>783</v>
      </c>
      <c r="L429" t="s">
        <v>1685</v>
      </c>
      <c r="M429" t="s">
        <v>1686</v>
      </c>
    </row>
    <row r="430" spans="1:13" hidden="1" x14ac:dyDescent="0.35">
      <c r="A430" t="s">
        <v>1334</v>
      </c>
      <c r="B430" s="3" t="s">
        <v>102</v>
      </c>
      <c r="C430" s="3"/>
      <c r="D430" s="3"/>
      <c r="E430" s="3"/>
      <c r="F430" t="s">
        <v>551</v>
      </c>
      <c r="H430" t="s">
        <v>1659</v>
      </c>
      <c r="J430" t="s">
        <v>1687</v>
      </c>
      <c r="K430" t="s">
        <v>783</v>
      </c>
      <c r="L430" t="s">
        <v>1688</v>
      </c>
      <c r="M430" t="s">
        <v>1689</v>
      </c>
    </row>
    <row r="431" spans="1:13" hidden="1" x14ac:dyDescent="0.35">
      <c r="A431" t="s">
        <v>1334</v>
      </c>
      <c r="B431" s="3" t="s">
        <v>102</v>
      </c>
      <c r="C431" s="3"/>
      <c r="D431" s="3"/>
      <c r="E431" s="3"/>
      <c r="F431" t="s">
        <v>551</v>
      </c>
      <c r="H431" t="s">
        <v>1659</v>
      </c>
      <c r="J431" t="s">
        <v>1690</v>
      </c>
      <c r="K431" t="s">
        <v>1566</v>
      </c>
      <c r="L431" t="s">
        <v>1691</v>
      </c>
      <c r="M431" t="s">
        <v>1692</v>
      </c>
    </row>
    <row r="432" spans="1:13" hidden="1" x14ac:dyDescent="0.35">
      <c r="A432" t="s">
        <v>1334</v>
      </c>
      <c r="B432" s="3" t="s">
        <v>102</v>
      </c>
      <c r="C432" s="3"/>
      <c r="D432" s="3"/>
      <c r="E432" s="3"/>
      <c r="F432" t="s">
        <v>551</v>
      </c>
      <c r="H432" t="s">
        <v>1659</v>
      </c>
      <c r="J432" t="s">
        <v>1693</v>
      </c>
      <c r="K432" t="s">
        <v>1502</v>
      </c>
      <c r="L432" t="s">
        <v>1694</v>
      </c>
      <c r="M432" t="s">
        <v>1695</v>
      </c>
    </row>
    <row r="433" spans="1:13" hidden="1" x14ac:dyDescent="0.35">
      <c r="A433" t="s">
        <v>1334</v>
      </c>
      <c r="B433" s="3" t="s">
        <v>102</v>
      </c>
      <c r="C433" s="3"/>
      <c r="D433" s="3"/>
      <c r="E433" s="3"/>
      <c r="F433" t="s">
        <v>551</v>
      </c>
      <c r="H433" t="s">
        <v>1659</v>
      </c>
      <c r="J433" t="s">
        <v>1696</v>
      </c>
      <c r="K433" t="s">
        <v>1331</v>
      </c>
      <c r="L433" t="s">
        <v>1697</v>
      </c>
      <c r="M433" t="s">
        <v>1698</v>
      </c>
    </row>
    <row r="434" spans="1:13" hidden="1" x14ac:dyDescent="0.35">
      <c r="A434" t="s">
        <v>1334</v>
      </c>
      <c r="B434" s="3" t="s">
        <v>102</v>
      </c>
      <c r="C434" s="3"/>
      <c r="D434" s="3"/>
      <c r="E434" s="3"/>
      <c r="F434" t="s">
        <v>551</v>
      </c>
      <c r="H434" t="s">
        <v>1659</v>
      </c>
      <c r="J434" t="s">
        <v>1699</v>
      </c>
      <c r="K434" t="s">
        <v>783</v>
      </c>
      <c r="L434" t="s">
        <v>1700</v>
      </c>
      <c r="M434" t="s">
        <v>1701</v>
      </c>
    </row>
    <row r="435" spans="1:13" hidden="1" x14ac:dyDescent="0.35">
      <c r="A435" t="s">
        <v>1334</v>
      </c>
      <c r="B435" s="3" t="s">
        <v>102</v>
      </c>
      <c r="C435" s="3"/>
      <c r="D435" s="3"/>
      <c r="E435" s="3"/>
      <c r="F435" t="s">
        <v>551</v>
      </c>
      <c r="H435" t="s">
        <v>1659</v>
      </c>
      <c r="J435" t="s">
        <v>1702</v>
      </c>
      <c r="K435" t="s">
        <v>783</v>
      </c>
      <c r="L435" t="s">
        <v>1688</v>
      </c>
      <c r="M435" t="s">
        <v>1703</v>
      </c>
    </row>
    <row r="436" spans="1:13" hidden="1" x14ac:dyDescent="0.35">
      <c r="A436" t="s">
        <v>1334</v>
      </c>
      <c r="B436" s="3" t="s">
        <v>102</v>
      </c>
      <c r="C436" s="3"/>
      <c r="D436" s="3"/>
      <c r="E436" s="3"/>
      <c r="F436" t="s">
        <v>551</v>
      </c>
      <c r="H436" t="s">
        <v>1659</v>
      </c>
      <c r="J436" t="s">
        <v>1704</v>
      </c>
      <c r="K436" t="s">
        <v>229</v>
      </c>
      <c r="L436" t="s">
        <v>1705</v>
      </c>
      <c r="M436" t="s">
        <v>1706</v>
      </c>
    </row>
    <row r="437" spans="1:13" hidden="1" x14ac:dyDescent="0.35">
      <c r="A437" t="s">
        <v>1334</v>
      </c>
      <c r="B437" s="3" t="s">
        <v>102</v>
      </c>
      <c r="C437" s="3"/>
      <c r="D437" s="3"/>
      <c r="E437" s="3"/>
      <c r="F437" t="s">
        <v>551</v>
      </c>
      <c r="H437" t="s">
        <v>1659</v>
      </c>
      <c r="J437" t="s">
        <v>1707</v>
      </c>
      <c r="K437" t="s">
        <v>229</v>
      </c>
      <c r="L437" t="s">
        <v>1708</v>
      </c>
      <c r="M437" t="s">
        <v>1709</v>
      </c>
    </row>
    <row r="438" spans="1:13" hidden="1" x14ac:dyDescent="0.35">
      <c r="A438" t="s">
        <v>1334</v>
      </c>
      <c r="B438" s="3" t="s">
        <v>102</v>
      </c>
      <c r="C438" s="3"/>
      <c r="D438" s="3"/>
      <c r="E438" s="3"/>
      <c r="F438" t="s">
        <v>551</v>
      </c>
      <c r="H438" t="s">
        <v>1659</v>
      </c>
      <c r="J438" t="s">
        <v>1710</v>
      </c>
      <c r="K438" t="s">
        <v>1331</v>
      </c>
      <c r="L438" t="s">
        <v>1711</v>
      </c>
      <c r="M438" t="s">
        <v>1712</v>
      </c>
    </row>
    <row r="439" spans="1:13" hidden="1" x14ac:dyDescent="0.35">
      <c r="A439" t="s">
        <v>1334</v>
      </c>
      <c r="B439" s="3" t="s">
        <v>102</v>
      </c>
      <c r="C439" s="3"/>
      <c r="D439" s="3"/>
      <c r="E439" s="3"/>
      <c r="F439" t="s">
        <v>551</v>
      </c>
      <c r="H439" t="s">
        <v>1659</v>
      </c>
      <c r="J439" t="s">
        <v>1713</v>
      </c>
      <c r="K439" t="s">
        <v>783</v>
      </c>
      <c r="L439" t="s">
        <v>1688</v>
      </c>
      <c r="M439" t="s">
        <v>1714</v>
      </c>
    </row>
    <row r="440" spans="1:13" hidden="1" x14ac:dyDescent="0.35">
      <c r="A440" t="s">
        <v>1334</v>
      </c>
      <c r="B440" s="3" t="s">
        <v>102</v>
      </c>
      <c r="C440" s="3"/>
      <c r="D440" s="3"/>
      <c r="E440" s="3"/>
      <c r="F440" t="s">
        <v>551</v>
      </c>
      <c r="H440" t="s">
        <v>1659</v>
      </c>
      <c r="J440" t="s">
        <v>1715</v>
      </c>
      <c r="K440" t="s">
        <v>229</v>
      </c>
      <c r="L440" t="s">
        <v>1716</v>
      </c>
      <c r="M440" t="s">
        <v>1717</v>
      </c>
    </row>
    <row r="441" spans="1:13" hidden="1" x14ac:dyDescent="0.35">
      <c r="A441" t="s">
        <v>1334</v>
      </c>
      <c r="B441" s="3" t="s">
        <v>102</v>
      </c>
      <c r="C441" s="3"/>
      <c r="D441" s="3"/>
      <c r="E441" s="3"/>
      <c r="F441" t="s">
        <v>551</v>
      </c>
      <c r="H441" t="s">
        <v>1659</v>
      </c>
      <c r="J441" t="s">
        <v>1718</v>
      </c>
      <c r="K441" t="s">
        <v>1331</v>
      </c>
      <c r="L441" t="s">
        <v>1719</v>
      </c>
      <c r="M441" t="s">
        <v>1720</v>
      </c>
    </row>
    <row r="442" spans="1:13" hidden="1" x14ac:dyDescent="0.35">
      <c r="A442" t="s">
        <v>1334</v>
      </c>
      <c r="B442" s="3" t="s">
        <v>102</v>
      </c>
      <c r="C442" s="3"/>
      <c r="D442" s="3"/>
      <c r="E442" s="3"/>
      <c r="F442" t="s">
        <v>551</v>
      </c>
      <c r="H442" t="s">
        <v>1659</v>
      </c>
      <c r="J442" t="s">
        <v>1721</v>
      </c>
      <c r="K442" t="s">
        <v>783</v>
      </c>
      <c r="L442" t="s">
        <v>1722</v>
      </c>
      <c r="M442" t="s">
        <v>1723</v>
      </c>
    </row>
    <row r="443" spans="1:13" hidden="1" x14ac:dyDescent="0.35">
      <c r="A443" t="s">
        <v>1334</v>
      </c>
      <c r="B443" s="3" t="s">
        <v>102</v>
      </c>
      <c r="C443" s="3"/>
      <c r="D443" s="3"/>
      <c r="E443" s="3"/>
      <c r="F443" t="s">
        <v>551</v>
      </c>
      <c r="H443" t="s">
        <v>1659</v>
      </c>
      <c r="J443" t="s">
        <v>1724</v>
      </c>
      <c r="K443" t="s">
        <v>783</v>
      </c>
      <c r="L443" t="s">
        <v>1725</v>
      </c>
      <c r="M443" t="s">
        <v>1726</v>
      </c>
    </row>
    <row r="444" spans="1:13" hidden="1" x14ac:dyDescent="0.35">
      <c r="A444" t="s">
        <v>1334</v>
      </c>
      <c r="B444" s="3" t="s">
        <v>102</v>
      </c>
      <c r="C444" s="3"/>
      <c r="D444" s="3"/>
      <c r="E444" s="3"/>
      <c r="F444" t="s">
        <v>551</v>
      </c>
      <c r="H444" t="s">
        <v>1659</v>
      </c>
      <c r="J444" t="s">
        <v>1727</v>
      </c>
      <c r="K444" t="s">
        <v>783</v>
      </c>
      <c r="L444" t="s">
        <v>1688</v>
      </c>
      <c r="M444" t="s">
        <v>1728</v>
      </c>
    </row>
    <row r="445" spans="1:13" hidden="1" x14ac:dyDescent="0.35">
      <c r="A445" t="s">
        <v>1334</v>
      </c>
      <c r="B445" s="3" t="s">
        <v>102</v>
      </c>
      <c r="C445" s="3"/>
      <c r="D445" s="3"/>
      <c r="E445" s="3"/>
      <c r="F445" t="s">
        <v>551</v>
      </c>
      <c r="H445" t="s">
        <v>1729</v>
      </c>
      <c r="J445" t="s">
        <v>1730</v>
      </c>
      <c r="K445" t="s">
        <v>1187</v>
      </c>
      <c r="L445" t="s">
        <v>1731</v>
      </c>
      <c r="M445" t="s">
        <v>1732</v>
      </c>
    </row>
    <row r="446" spans="1:13" hidden="1" x14ac:dyDescent="0.35">
      <c r="A446" t="s">
        <v>1334</v>
      </c>
      <c r="B446" s="3" t="s">
        <v>102</v>
      </c>
      <c r="C446" s="3"/>
      <c r="D446" s="3"/>
      <c r="E446" s="3"/>
      <c r="F446" t="s">
        <v>551</v>
      </c>
      <c r="H446" t="s">
        <v>1729</v>
      </c>
      <c r="J446" t="s">
        <v>1733</v>
      </c>
      <c r="K446" t="s">
        <v>783</v>
      </c>
      <c r="L446" t="s">
        <v>1734</v>
      </c>
      <c r="M446" t="s">
        <v>1735</v>
      </c>
    </row>
    <row r="447" spans="1:13" hidden="1" x14ac:dyDescent="0.35">
      <c r="A447" t="s">
        <v>1334</v>
      </c>
      <c r="B447" s="3" t="s">
        <v>102</v>
      </c>
      <c r="C447" s="3"/>
      <c r="D447" s="3"/>
      <c r="E447" s="3"/>
      <c r="F447" t="s">
        <v>551</v>
      </c>
      <c r="H447" t="s">
        <v>1729</v>
      </c>
      <c r="J447" t="s">
        <v>1736</v>
      </c>
      <c r="K447" t="s">
        <v>1187</v>
      </c>
      <c r="L447" t="s">
        <v>1737</v>
      </c>
      <c r="M447" t="s">
        <v>1738</v>
      </c>
    </row>
    <row r="448" spans="1:13" hidden="1" x14ac:dyDescent="0.35">
      <c r="A448" t="s">
        <v>1334</v>
      </c>
      <c r="B448" s="3" t="s">
        <v>102</v>
      </c>
      <c r="C448" s="3"/>
      <c r="D448" s="3"/>
      <c r="E448" s="3"/>
      <c r="F448" t="s">
        <v>551</v>
      </c>
      <c r="H448" t="s">
        <v>1729</v>
      </c>
      <c r="J448" t="s">
        <v>1739</v>
      </c>
      <c r="K448" t="s">
        <v>783</v>
      </c>
      <c r="L448" t="s">
        <v>1740</v>
      </c>
      <c r="M448" t="s">
        <v>1741</v>
      </c>
    </row>
    <row r="449" spans="1:16" hidden="1" x14ac:dyDescent="0.35">
      <c r="A449" t="s">
        <v>1334</v>
      </c>
      <c r="B449" s="3" t="s">
        <v>102</v>
      </c>
      <c r="C449" s="3"/>
      <c r="D449" s="3"/>
      <c r="E449" s="3"/>
      <c r="F449" t="s">
        <v>551</v>
      </c>
      <c r="H449" t="s">
        <v>1729</v>
      </c>
      <c r="J449" t="s">
        <v>1742</v>
      </c>
      <c r="K449" t="s">
        <v>1187</v>
      </c>
      <c r="L449" t="s">
        <v>1743</v>
      </c>
      <c r="M449" t="s">
        <v>1744</v>
      </c>
    </row>
    <row r="450" spans="1:16" hidden="1" x14ac:dyDescent="0.35">
      <c r="A450" t="s">
        <v>1334</v>
      </c>
      <c r="B450" s="3" t="s">
        <v>102</v>
      </c>
      <c r="C450" s="3"/>
      <c r="D450" s="3"/>
      <c r="E450" s="3"/>
      <c r="F450" t="s">
        <v>551</v>
      </c>
      <c r="H450" t="s">
        <v>1729</v>
      </c>
      <c r="J450" t="s">
        <v>1745</v>
      </c>
      <c r="K450" t="s">
        <v>783</v>
      </c>
      <c r="L450" t="s">
        <v>1746</v>
      </c>
      <c r="M450" t="s">
        <v>1747</v>
      </c>
    </row>
    <row r="451" spans="1:16" hidden="1" x14ac:dyDescent="0.35">
      <c r="A451" t="s">
        <v>1334</v>
      </c>
      <c r="B451" s="3" t="s">
        <v>102</v>
      </c>
      <c r="C451" s="3"/>
      <c r="D451" s="3"/>
      <c r="E451" s="3"/>
      <c r="F451" t="s">
        <v>378</v>
      </c>
      <c r="H451" t="s">
        <v>9211</v>
      </c>
      <c r="J451" t="s">
        <v>1749</v>
      </c>
      <c r="K451" t="s">
        <v>241</v>
      </c>
      <c r="L451" t="s">
        <v>1750</v>
      </c>
      <c r="M451" t="s">
        <v>1751</v>
      </c>
    </row>
    <row r="452" spans="1:16" hidden="1" x14ac:dyDescent="0.35">
      <c r="A452" t="s">
        <v>1334</v>
      </c>
      <c r="B452" s="3" t="s">
        <v>102</v>
      </c>
      <c r="C452" s="3"/>
      <c r="D452" s="3"/>
      <c r="E452" s="3"/>
      <c r="F452" t="s">
        <v>378</v>
      </c>
      <c r="H452" t="s">
        <v>6847</v>
      </c>
      <c r="J452" t="s">
        <v>9213</v>
      </c>
      <c r="K452" t="s">
        <v>1753</v>
      </c>
      <c r="L452" t="s">
        <v>1754</v>
      </c>
      <c r="M452" t="s">
        <v>1755</v>
      </c>
    </row>
    <row r="453" spans="1:16" hidden="1" x14ac:dyDescent="0.35">
      <c r="A453" t="s">
        <v>1334</v>
      </c>
      <c r="B453" s="3" t="s">
        <v>102</v>
      </c>
      <c r="C453" s="3"/>
      <c r="D453" s="3"/>
      <c r="E453" s="3"/>
      <c r="F453" t="s">
        <v>378</v>
      </c>
      <c r="H453" t="s">
        <v>1756</v>
      </c>
      <c r="J453" t="s">
        <v>1757</v>
      </c>
      <c r="K453" t="s">
        <v>241</v>
      </c>
      <c r="L453" t="s">
        <v>1758</v>
      </c>
      <c r="M453" t="s">
        <v>1759</v>
      </c>
    </row>
    <row r="454" spans="1:16" hidden="1" x14ac:dyDescent="0.35">
      <c r="A454" t="s">
        <v>1334</v>
      </c>
      <c r="B454" s="3" t="s">
        <v>102</v>
      </c>
      <c r="C454" s="3"/>
      <c r="D454" s="3"/>
      <c r="E454" s="3"/>
      <c r="F454" t="s">
        <v>378</v>
      </c>
      <c r="H454" t="s">
        <v>6851</v>
      </c>
      <c r="J454" t="s">
        <v>9214</v>
      </c>
      <c r="K454" t="s">
        <v>1753</v>
      </c>
      <c r="L454" t="s">
        <v>1761</v>
      </c>
      <c r="M454" t="s">
        <v>1762</v>
      </c>
    </row>
    <row r="455" spans="1:16" hidden="1" x14ac:dyDescent="0.35">
      <c r="A455" t="s">
        <v>1334</v>
      </c>
      <c r="B455" s="3" t="s">
        <v>102</v>
      </c>
      <c r="C455" s="3"/>
      <c r="D455" s="3"/>
      <c r="E455" s="3"/>
      <c r="F455" t="s">
        <v>378</v>
      </c>
      <c r="H455" t="s">
        <v>1763</v>
      </c>
      <c r="J455" t="s">
        <v>1764</v>
      </c>
      <c r="K455" t="s">
        <v>241</v>
      </c>
      <c r="L455" t="s">
        <v>1765</v>
      </c>
      <c r="M455" t="s">
        <v>1766</v>
      </c>
    </row>
    <row r="456" spans="1:16" hidden="1" x14ac:dyDescent="0.35">
      <c r="A456" t="s">
        <v>1334</v>
      </c>
      <c r="B456" s="3" t="s">
        <v>102</v>
      </c>
      <c r="C456" s="3"/>
      <c r="D456" s="3"/>
      <c r="E456" s="3"/>
      <c r="F456" t="s">
        <v>378</v>
      </c>
      <c r="H456" t="s">
        <v>6856</v>
      </c>
      <c r="J456" t="s">
        <v>9215</v>
      </c>
      <c r="K456" t="s">
        <v>1753</v>
      </c>
      <c r="L456" t="s">
        <v>1768</v>
      </c>
      <c r="M456" t="s">
        <v>1769</v>
      </c>
    </row>
    <row r="457" spans="1:16" hidden="1" x14ac:dyDescent="0.35">
      <c r="A457" t="s">
        <v>1334</v>
      </c>
      <c r="B457" s="3" t="s">
        <v>102</v>
      </c>
      <c r="C457" s="3"/>
      <c r="D457" s="3"/>
      <c r="E457" s="3"/>
      <c r="F457" t="s">
        <v>378</v>
      </c>
      <c r="H457" t="s">
        <v>1770</v>
      </c>
      <c r="J457" t="s">
        <v>1771</v>
      </c>
      <c r="K457" t="s">
        <v>229</v>
      </c>
      <c r="L457" t="s">
        <v>1772</v>
      </c>
      <c r="M457" t="s">
        <v>1773</v>
      </c>
    </row>
    <row r="458" spans="1:16" hidden="1" x14ac:dyDescent="0.35">
      <c r="A458" t="s">
        <v>1334</v>
      </c>
      <c r="B458" s="3" t="s">
        <v>102</v>
      </c>
      <c r="C458" s="3"/>
      <c r="D458" s="3"/>
      <c r="E458" s="3"/>
      <c r="F458" t="s">
        <v>378</v>
      </c>
      <c r="H458" t="s">
        <v>6860</v>
      </c>
      <c r="J458" t="s">
        <v>9216</v>
      </c>
      <c r="K458" t="s">
        <v>1753</v>
      </c>
      <c r="L458" t="s">
        <v>1775</v>
      </c>
      <c r="M458" t="s">
        <v>1776</v>
      </c>
    </row>
    <row r="459" spans="1:16" hidden="1" x14ac:dyDescent="0.35">
      <c r="A459" t="s">
        <v>1334</v>
      </c>
      <c r="B459" s="3" t="s">
        <v>102</v>
      </c>
      <c r="C459" s="3"/>
      <c r="D459" s="3"/>
      <c r="E459" s="3"/>
      <c r="F459" t="s">
        <v>378</v>
      </c>
      <c r="H459" t="s">
        <v>6865</v>
      </c>
      <c r="J459" t="s">
        <v>9212</v>
      </c>
      <c r="K459" t="s">
        <v>1753</v>
      </c>
      <c r="L459" t="s">
        <v>1778</v>
      </c>
      <c r="M459" t="s">
        <v>1779</v>
      </c>
    </row>
    <row r="460" spans="1:16" hidden="1" x14ac:dyDescent="0.35">
      <c r="A460" t="s">
        <v>1780</v>
      </c>
      <c r="B460" s="3" t="s">
        <v>102</v>
      </c>
      <c r="C460" s="3"/>
      <c r="D460" s="3"/>
      <c r="E460" s="3"/>
      <c r="F460" t="s">
        <v>378</v>
      </c>
      <c r="H460" t="s">
        <v>1781</v>
      </c>
      <c r="J460" t="s">
        <v>1782</v>
      </c>
      <c r="K460" t="s">
        <v>241</v>
      </c>
      <c r="L460" t="s">
        <v>1783</v>
      </c>
      <c r="M460" t="s">
        <v>1784</v>
      </c>
      <c r="P460"/>
    </row>
    <row r="461" spans="1:16" hidden="1" x14ac:dyDescent="0.35">
      <c r="A461" t="s">
        <v>1780</v>
      </c>
      <c r="B461" s="3" t="s">
        <v>102</v>
      </c>
      <c r="C461" s="3"/>
      <c r="D461" s="3"/>
      <c r="E461" s="3"/>
      <c r="F461" t="s">
        <v>378</v>
      </c>
      <c r="H461" t="s">
        <v>1785</v>
      </c>
      <c r="J461" t="s">
        <v>1786</v>
      </c>
      <c r="K461" t="s">
        <v>241</v>
      </c>
      <c r="L461" t="s">
        <v>1787</v>
      </c>
      <c r="M461" t="s">
        <v>1788</v>
      </c>
      <c r="P461"/>
    </row>
    <row r="462" spans="1:16" hidden="1" x14ac:dyDescent="0.35">
      <c r="A462" t="s">
        <v>1780</v>
      </c>
      <c r="B462" s="3" t="s">
        <v>102</v>
      </c>
      <c r="C462" s="3"/>
      <c r="D462" s="3"/>
      <c r="E462" s="3"/>
      <c r="F462" t="s">
        <v>378</v>
      </c>
      <c r="J462" t="s">
        <v>1789</v>
      </c>
      <c r="K462" t="s">
        <v>1187</v>
      </c>
      <c r="L462" t="s">
        <v>1790</v>
      </c>
      <c r="M462" t="s">
        <v>1791</v>
      </c>
      <c r="P462"/>
    </row>
    <row r="463" spans="1:16" hidden="1" x14ac:dyDescent="0.35">
      <c r="A463" t="s">
        <v>1780</v>
      </c>
      <c r="B463" s="3" t="s">
        <v>102</v>
      </c>
      <c r="C463" s="3"/>
      <c r="D463" s="3"/>
      <c r="E463" s="3"/>
      <c r="F463" t="s">
        <v>378</v>
      </c>
      <c r="H463" t="s">
        <v>1792</v>
      </c>
      <c r="J463" t="s">
        <v>1793</v>
      </c>
      <c r="K463" t="s">
        <v>229</v>
      </c>
      <c r="L463" t="s">
        <v>1794</v>
      </c>
      <c r="M463" t="s">
        <v>1795</v>
      </c>
      <c r="P463"/>
    </row>
    <row r="464" spans="1:16" hidden="1" x14ac:dyDescent="0.35">
      <c r="A464" t="s">
        <v>1780</v>
      </c>
      <c r="B464" s="3" t="s">
        <v>102</v>
      </c>
      <c r="C464" s="3"/>
      <c r="D464" s="3"/>
      <c r="E464" s="3"/>
      <c r="F464" t="s">
        <v>378</v>
      </c>
      <c r="H464" t="s">
        <v>1796</v>
      </c>
      <c r="J464" t="s">
        <v>1797</v>
      </c>
      <c r="K464" t="s">
        <v>241</v>
      </c>
      <c r="L464" t="s">
        <v>1798</v>
      </c>
      <c r="M464" t="s">
        <v>1799</v>
      </c>
      <c r="P464"/>
    </row>
    <row r="465" spans="1:13" customFormat="1" hidden="1" x14ac:dyDescent="0.35">
      <c r="A465" t="s">
        <v>1780</v>
      </c>
      <c r="B465" s="3" t="s">
        <v>102</v>
      </c>
      <c r="C465" s="3"/>
      <c r="D465" s="3"/>
      <c r="E465" s="3"/>
      <c r="F465" t="s">
        <v>378</v>
      </c>
      <c r="H465" t="s">
        <v>1800</v>
      </c>
      <c r="J465" t="s">
        <v>1801</v>
      </c>
      <c r="K465" t="s">
        <v>1802</v>
      </c>
      <c r="L465" t="s">
        <v>1803</v>
      </c>
      <c r="M465" t="s">
        <v>1804</v>
      </c>
    </row>
    <row r="466" spans="1:13" customFormat="1" hidden="1" x14ac:dyDescent="0.35">
      <c r="A466" t="s">
        <v>1780</v>
      </c>
      <c r="B466" s="3" t="s">
        <v>102</v>
      </c>
      <c r="C466" s="3"/>
      <c r="D466" s="3"/>
      <c r="E466" s="3"/>
      <c r="F466" t="s">
        <v>378</v>
      </c>
      <c r="J466" t="s">
        <v>1805</v>
      </c>
      <c r="K466" t="s">
        <v>1187</v>
      </c>
      <c r="L466" t="s">
        <v>1806</v>
      </c>
      <c r="M466" t="s">
        <v>1807</v>
      </c>
    </row>
    <row r="467" spans="1:13" customFormat="1" hidden="1" x14ac:dyDescent="0.35">
      <c r="A467" t="s">
        <v>1780</v>
      </c>
      <c r="B467" s="3" t="s">
        <v>102</v>
      </c>
      <c r="C467" s="3"/>
      <c r="D467" s="3"/>
      <c r="E467" s="3"/>
      <c r="F467" t="s">
        <v>378</v>
      </c>
      <c r="H467" t="s">
        <v>1808</v>
      </c>
      <c r="J467" t="s">
        <v>1809</v>
      </c>
      <c r="K467" t="s">
        <v>229</v>
      </c>
      <c r="L467" t="s">
        <v>1810</v>
      </c>
      <c r="M467" t="s">
        <v>1811</v>
      </c>
    </row>
    <row r="468" spans="1:13" customFormat="1" hidden="1" x14ac:dyDescent="0.35">
      <c r="A468" t="s">
        <v>1780</v>
      </c>
      <c r="B468" s="3" t="s">
        <v>102</v>
      </c>
      <c r="C468" s="3"/>
      <c r="D468" s="3"/>
      <c r="E468" s="3"/>
      <c r="F468" t="s">
        <v>378</v>
      </c>
      <c r="H468" t="s">
        <v>1812</v>
      </c>
      <c r="J468" t="s">
        <v>1813</v>
      </c>
      <c r="K468" t="s">
        <v>241</v>
      </c>
      <c r="L468" t="s">
        <v>1814</v>
      </c>
      <c r="M468" t="s">
        <v>1815</v>
      </c>
    </row>
    <row r="469" spans="1:13" customFormat="1" hidden="1" x14ac:dyDescent="0.35">
      <c r="A469" t="s">
        <v>1780</v>
      </c>
      <c r="B469" s="3" t="s">
        <v>102</v>
      </c>
      <c r="C469" s="3"/>
      <c r="D469" s="3"/>
      <c r="E469" s="3"/>
      <c r="F469" t="s">
        <v>378</v>
      </c>
      <c r="H469" t="s">
        <v>1816</v>
      </c>
      <c r="J469" t="s">
        <v>1817</v>
      </c>
      <c r="K469" t="s">
        <v>1802</v>
      </c>
      <c r="L469" t="s">
        <v>1818</v>
      </c>
      <c r="M469" t="s">
        <v>1819</v>
      </c>
    </row>
    <row r="470" spans="1:13" customFormat="1" hidden="1" x14ac:dyDescent="0.35">
      <c r="A470" t="s">
        <v>1780</v>
      </c>
      <c r="B470" s="3" t="s">
        <v>102</v>
      </c>
      <c r="C470" s="3"/>
      <c r="D470" s="3"/>
      <c r="E470" s="3"/>
      <c r="F470" t="s">
        <v>378</v>
      </c>
      <c r="J470" t="s">
        <v>1820</v>
      </c>
      <c r="K470" t="s">
        <v>1187</v>
      </c>
      <c r="L470" t="s">
        <v>1821</v>
      </c>
      <c r="M470" t="s">
        <v>1822</v>
      </c>
    </row>
    <row r="471" spans="1:13" customFormat="1" hidden="1" x14ac:dyDescent="0.35">
      <c r="A471" t="s">
        <v>1780</v>
      </c>
      <c r="B471" s="3" t="s">
        <v>102</v>
      </c>
      <c r="C471" s="3"/>
      <c r="D471" s="3"/>
      <c r="E471" s="3"/>
      <c r="F471" t="s">
        <v>378</v>
      </c>
      <c r="J471" t="s">
        <v>1823</v>
      </c>
      <c r="K471" t="s">
        <v>253</v>
      </c>
      <c r="L471" t="s">
        <v>1824</v>
      </c>
      <c r="M471" t="s">
        <v>1825</v>
      </c>
    </row>
    <row r="472" spans="1:13" customFormat="1" hidden="1" x14ac:dyDescent="0.35">
      <c r="A472" t="s">
        <v>1780</v>
      </c>
      <c r="B472" s="3" t="s">
        <v>102</v>
      </c>
      <c r="C472" s="3"/>
      <c r="D472" s="3"/>
      <c r="E472" s="3"/>
      <c r="F472" t="s">
        <v>378</v>
      </c>
      <c r="H472" t="s">
        <v>1826</v>
      </c>
      <c r="J472" t="s">
        <v>1827</v>
      </c>
      <c r="K472" t="s">
        <v>1187</v>
      </c>
      <c r="L472" t="s">
        <v>1828</v>
      </c>
      <c r="M472" t="s">
        <v>1829</v>
      </c>
    </row>
    <row r="473" spans="1:13" customFormat="1" hidden="1" x14ac:dyDescent="0.35">
      <c r="A473" t="s">
        <v>1780</v>
      </c>
      <c r="B473" s="3" t="s">
        <v>102</v>
      </c>
      <c r="C473" s="3"/>
      <c r="D473" s="3"/>
      <c r="E473" s="3"/>
      <c r="F473" t="s">
        <v>378</v>
      </c>
      <c r="H473" t="s">
        <v>1830</v>
      </c>
      <c r="J473" t="s">
        <v>1831</v>
      </c>
      <c r="K473" t="s">
        <v>1187</v>
      </c>
      <c r="L473" t="s">
        <v>1832</v>
      </c>
      <c r="M473" t="s">
        <v>1833</v>
      </c>
    </row>
    <row r="474" spans="1:13" customFormat="1" hidden="1" x14ac:dyDescent="0.35">
      <c r="A474" t="s">
        <v>1780</v>
      </c>
      <c r="B474" s="3" t="s">
        <v>102</v>
      </c>
      <c r="C474" s="3"/>
      <c r="D474" s="3"/>
      <c r="E474" s="3"/>
      <c r="F474" t="s">
        <v>378</v>
      </c>
      <c r="J474" t="s">
        <v>1834</v>
      </c>
      <c r="K474" t="s">
        <v>241</v>
      </c>
      <c r="L474" t="s">
        <v>1835</v>
      </c>
      <c r="M474" t="s">
        <v>1836</v>
      </c>
    </row>
    <row r="475" spans="1:13" customFormat="1" hidden="1" x14ac:dyDescent="0.35">
      <c r="A475" t="s">
        <v>1780</v>
      </c>
      <c r="B475" s="3" t="s">
        <v>102</v>
      </c>
      <c r="C475" s="3"/>
      <c r="D475" s="3"/>
      <c r="E475" s="3"/>
      <c r="F475" t="s">
        <v>378</v>
      </c>
      <c r="J475" t="s">
        <v>1837</v>
      </c>
      <c r="K475" t="s">
        <v>241</v>
      </c>
      <c r="L475" t="s">
        <v>1838</v>
      </c>
      <c r="M475" t="s">
        <v>1839</v>
      </c>
    </row>
    <row r="476" spans="1:13" customFormat="1" hidden="1" x14ac:dyDescent="0.35">
      <c r="A476" t="s">
        <v>1780</v>
      </c>
      <c r="B476" s="3" t="s">
        <v>102</v>
      </c>
      <c r="C476" s="3"/>
      <c r="D476" s="3"/>
      <c r="E476" s="3"/>
      <c r="F476" t="s">
        <v>378</v>
      </c>
      <c r="H476" t="s">
        <v>1840</v>
      </c>
      <c r="J476" t="s">
        <v>1841</v>
      </c>
    </row>
    <row r="477" spans="1:13" customFormat="1" hidden="1" x14ac:dyDescent="0.35">
      <c r="A477" t="s">
        <v>1780</v>
      </c>
      <c r="B477" s="3" t="s">
        <v>102</v>
      </c>
      <c r="C477" s="3"/>
      <c r="D477" s="3"/>
      <c r="E477" s="3"/>
      <c r="F477" t="s">
        <v>378</v>
      </c>
      <c r="H477" t="s">
        <v>1842</v>
      </c>
      <c r="J477" t="s">
        <v>1843</v>
      </c>
      <c r="K477" t="s">
        <v>241</v>
      </c>
      <c r="L477" t="s">
        <v>1844</v>
      </c>
      <c r="M477" t="s">
        <v>1845</v>
      </c>
    </row>
    <row r="478" spans="1:13" customFormat="1" hidden="1" x14ac:dyDescent="0.35">
      <c r="A478" t="s">
        <v>1780</v>
      </c>
      <c r="B478" s="3" t="s">
        <v>102</v>
      </c>
      <c r="C478" s="3"/>
      <c r="D478" s="3"/>
      <c r="E478" s="3"/>
      <c r="F478" t="s">
        <v>378</v>
      </c>
      <c r="H478" t="s">
        <v>1846</v>
      </c>
      <c r="J478" t="s">
        <v>1847</v>
      </c>
      <c r="K478" t="s">
        <v>241</v>
      </c>
      <c r="L478" t="s">
        <v>1848</v>
      </c>
      <c r="M478" t="s">
        <v>1849</v>
      </c>
    </row>
    <row r="479" spans="1:13" customFormat="1" hidden="1" x14ac:dyDescent="0.35">
      <c r="A479" t="s">
        <v>1780</v>
      </c>
      <c r="B479" s="3" t="s">
        <v>102</v>
      </c>
      <c r="C479" s="3"/>
      <c r="D479" s="3"/>
      <c r="E479" s="3"/>
      <c r="F479" t="s">
        <v>378</v>
      </c>
      <c r="H479" t="s">
        <v>1850</v>
      </c>
      <c r="J479" t="s">
        <v>1851</v>
      </c>
      <c r="K479" t="s">
        <v>1198</v>
      </c>
      <c r="L479" t="s">
        <v>1852</v>
      </c>
      <c r="M479" t="s">
        <v>1853</v>
      </c>
    </row>
    <row r="480" spans="1:13" customFormat="1" hidden="1" x14ac:dyDescent="0.35">
      <c r="A480" t="s">
        <v>1780</v>
      </c>
      <c r="B480" s="3" t="s">
        <v>102</v>
      </c>
      <c r="C480" s="3"/>
      <c r="D480" s="3"/>
      <c r="E480" s="3"/>
      <c r="F480" t="s">
        <v>378</v>
      </c>
      <c r="H480" t="s">
        <v>1854</v>
      </c>
      <c r="J480" t="s">
        <v>1855</v>
      </c>
      <c r="K480" t="s">
        <v>1198</v>
      </c>
      <c r="L480" t="s">
        <v>1856</v>
      </c>
      <c r="M480" t="s">
        <v>1857</v>
      </c>
    </row>
    <row r="481" spans="1:13" customFormat="1" hidden="1" x14ac:dyDescent="0.35">
      <c r="A481" t="s">
        <v>1780</v>
      </c>
      <c r="B481" s="3" t="s">
        <v>102</v>
      </c>
      <c r="C481" s="3"/>
      <c r="D481" s="3"/>
      <c r="E481" s="3"/>
      <c r="F481" t="s">
        <v>378</v>
      </c>
      <c r="H481" t="s">
        <v>1858</v>
      </c>
      <c r="J481" t="s">
        <v>1859</v>
      </c>
      <c r="K481" t="s">
        <v>248</v>
      </c>
      <c r="L481" t="s">
        <v>1860</v>
      </c>
      <c r="M481" t="s">
        <v>1861</v>
      </c>
    </row>
    <row r="482" spans="1:13" customFormat="1" hidden="1" x14ac:dyDescent="0.35">
      <c r="A482" t="s">
        <v>1780</v>
      </c>
      <c r="B482" s="3" t="s">
        <v>102</v>
      </c>
      <c r="C482" s="3"/>
      <c r="D482" s="3"/>
      <c r="E482" s="3"/>
      <c r="F482" t="s">
        <v>378</v>
      </c>
      <c r="H482" t="s">
        <v>1862</v>
      </c>
      <c r="J482" t="s">
        <v>1863</v>
      </c>
    </row>
    <row r="483" spans="1:13" customFormat="1" hidden="1" x14ac:dyDescent="0.35">
      <c r="A483" t="s">
        <v>1780</v>
      </c>
      <c r="B483" s="3" t="s">
        <v>102</v>
      </c>
      <c r="C483" s="3"/>
      <c r="D483" s="3"/>
      <c r="E483" s="3"/>
      <c r="F483" t="s">
        <v>378</v>
      </c>
      <c r="H483" t="s">
        <v>1864</v>
      </c>
      <c r="J483" t="s">
        <v>1865</v>
      </c>
      <c r="K483" t="s">
        <v>241</v>
      </c>
      <c r="L483" t="s">
        <v>1866</v>
      </c>
      <c r="M483" t="s">
        <v>1867</v>
      </c>
    </row>
    <row r="484" spans="1:13" customFormat="1" hidden="1" x14ac:dyDescent="0.35">
      <c r="A484" t="s">
        <v>1780</v>
      </c>
      <c r="B484" s="3" t="s">
        <v>102</v>
      </c>
      <c r="C484" s="3"/>
      <c r="D484" s="3"/>
      <c r="E484" s="3"/>
      <c r="F484" t="s">
        <v>378</v>
      </c>
      <c r="H484" t="s">
        <v>1868</v>
      </c>
      <c r="J484" t="s">
        <v>1869</v>
      </c>
      <c r="K484" t="s">
        <v>241</v>
      </c>
      <c r="L484" t="s">
        <v>1870</v>
      </c>
      <c r="M484" t="s">
        <v>1871</v>
      </c>
    </row>
    <row r="485" spans="1:13" customFormat="1" hidden="1" x14ac:dyDescent="0.35">
      <c r="A485" t="s">
        <v>1780</v>
      </c>
      <c r="B485" s="3" t="s">
        <v>102</v>
      </c>
      <c r="C485" s="3"/>
      <c r="D485" s="3"/>
      <c r="E485" s="3"/>
      <c r="F485" t="s">
        <v>378</v>
      </c>
      <c r="H485" t="s">
        <v>1872</v>
      </c>
      <c r="J485" t="s">
        <v>1873</v>
      </c>
      <c r="K485" t="s">
        <v>241</v>
      </c>
      <c r="L485" t="s">
        <v>1874</v>
      </c>
      <c r="M485" t="s">
        <v>1875</v>
      </c>
    </row>
    <row r="486" spans="1:13" customFormat="1" hidden="1" x14ac:dyDescent="0.35">
      <c r="A486" t="s">
        <v>1780</v>
      </c>
      <c r="B486" s="3" t="s">
        <v>102</v>
      </c>
      <c r="C486" s="3"/>
      <c r="D486" s="3"/>
      <c r="E486" s="3"/>
      <c r="F486" t="s">
        <v>378</v>
      </c>
      <c r="H486" t="s">
        <v>1876</v>
      </c>
      <c r="J486" t="s">
        <v>1877</v>
      </c>
      <c r="K486" t="s">
        <v>241</v>
      </c>
      <c r="L486" t="s">
        <v>1878</v>
      </c>
      <c r="M486" t="s">
        <v>1879</v>
      </c>
    </row>
    <row r="487" spans="1:13" customFormat="1" hidden="1" x14ac:dyDescent="0.35">
      <c r="A487" t="s">
        <v>1780</v>
      </c>
      <c r="B487" s="3" t="s">
        <v>102</v>
      </c>
      <c r="C487" s="3"/>
      <c r="D487" s="3"/>
      <c r="E487" s="3"/>
      <c r="F487" t="s">
        <v>378</v>
      </c>
      <c r="H487" t="s">
        <v>1880</v>
      </c>
      <c r="J487" t="s">
        <v>1881</v>
      </c>
      <c r="K487" t="s">
        <v>241</v>
      </c>
      <c r="L487" t="s">
        <v>1882</v>
      </c>
      <c r="M487" t="s">
        <v>1883</v>
      </c>
    </row>
    <row r="488" spans="1:13" customFormat="1" hidden="1" x14ac:dyDescent="0.35">
      <c r="A488" t="s">
        <v>1780</v>
      </c>
      <c r="B488" s="3" t="s">
        <v>102</v>
      </c>
      <c r="C488" s="3"/>
      <c r="D488" s="3"/>
      <c r="E488" s="3"/>
      <c r="F488" t="s">
        <v>378</v>
      </c>
      <c r="H488" t="s">
        <v>1884</v>
      </c>
      <c r="J488" t="s">
        <v>1885</v>
      </c>
      <c r="K488" t="s">
        <v>241</v>
      </c>
      <c r="L488" t="s">
        <v>1886</v>
      </c>
      <c r="M488" t="s">
        <v>1887</v>
      </c>
    </row>
    <row r="489" spans="1:13" customFormat="1" hidden="1" x14ac:dyDescent="0.35">
      <c r="A489" t="s">
        <v>1780</v>
      </c>
      <c r="B489" s="3" t="s">
        <v>102</v>
      </c>
      <c r="C489" s="3"/>
      <c r="D489" s="3"/>
      <c r="E489" s="3"/>
      <c r="F489" t="s">
        <v>378</v>
      </c>
      <c r="H489" t="s">
        <v>1888</v>
      </c>
      <c r="J489" t="s">
        <v>1889</v>
      </c>
      <c r="K489" t="s">
        <v>241</v>
      </c>
      <c r="L489" t="s">
        <v>1890</v>
      </c>
      <c r="M489" t="s">
        <v>1891</v>
      </c>
    </row>
    <row r="490" spans="1:13" customFormat="1" hidden="1" x14ac:dyDescent="0.35">
      <c r="A490" t="s">
        <v>1780</v>
      </c>
      <c r="B490" s="3" t="s">
        <v>102</v>
      </c>
      <c r="C490" s="3"/>
      <c r="D490" s="3"/>
      <c r="E490" s="3"/>
      <c r="F490" t="s">
        <v>378</v>
      </c>
      <c r="H490" t="s">
        <v>1892</v>
      </c>
      <c r="J490" t="s">
        <v>1893</v>
      </c>
      <c r="K490" t="s">
        <v>1187</v>
      </c>
      <c r="L490" t="s">
        <v>1894</v>
      </c>
      <c r="M490" t="s">
        <v>1895</v>
      </c>
    </row>
    <row r="491" spans="1:13" customFormat="1" hidden="1" x14ac:dyDescent="0.35">
      <c r="A491" t="s">
        <v>1780</v>
      </c>
      <c r="B491" s="3" t="s">
        <v>102</v>
      </c>
      <c r="C491" s="3"/>
      <c r="D491" s="3"/>
      <c r="E491" s="3"/>
      <c r="F491" t="s">
        <v>378</v>
      </c>
      <c r="H491" t="s">
        <v>1896</v>
      </c>
      <c r="J491" t="s">
        <v>1897</v>
      </c>
      <c r="K491" t="s">
        <v>241</v>
      </c>
      <c r="L491" t="s">
        <v>1898</v>
      </c>
      <c r="M491" t="s">
        <v>1899</v>
      </c>
    </row>
    <row r="492" spans="1:13" customFormat="1" hidden="1" x14ac:dyDescent="0.35">
      <c r="A492" t="s">
        <v>1780</v>
      </c>
      <c r="B492" s="3" t="s">
        <v>102</v>
      </c>
      <c r="C492" s="3"/>
      <c r="D492" s="3"/>
      <c r="E492" s="3"/>
      <c r="F492" t="s">
        <v>378</v>
      </c>
      <c r="H492" t="s">
        <v>1900</v>
      </c>
      <c r="J492" t="s">
        <v>1901</v>
      </c>
      <c r="K492" t="s">
        <v>1198</v>
      </c>
      <c r="L492" t="s">
        <v>1902</v>
      </c>
      <c r="M492" t="s">
        <v>1903</v>
      </c>
    </row>
    <row r="493" spans="1:13" customFormat="1" hidden="1" x14ac:dyDescent="0.35">
      <c r="A493" t="s">
        <v>1780</v>
      </c>
      <c r="B493" s="3" t="s">
        <v>102</v>
      </c>
      <c r="C493" s="3"/>
      <c r="D493" s="3"/>
      <c r="E493" s="3"/>
      <c r="F493" t="s">
        <v>378</v>
      </c>
      <c r="H493" t="s">
        <v>1904</v>
      </c>
      <c r="J493" t="s">
        <v>1905</v>
      </c>
      <c r="K493" t="s">
        <v>1198</v>
      </c>
      <c r="L493" t="s">
        <v>1906</v>
      </c>
      <c r="M493" t="s">
        <v>1907</v>
      </c>
    </row>
    <row r="494" spans="1:13" customFormat="1" hidden="1" x14ac:dyDescent="0.35">
      <c r="A494" t="s">
        <v>1780</v>
      </c>
      <c r="B494" s="3" t="s">
        <v>102</v>
      </c>
      <c r="C494" s="3"/>
      <c r="D494" s="3"/>
      <c r="E494" s="3"/>
      <c r="F494" t="s">
        <v>378</v>
      </c>
      <c r="H494" t="s">
        <v>1908</v>
      </c>
      <c r="J494" t="s">
        <v>1909</v>
      </c>
      <c r="K494" t="s">
        <v>248</v>
      </c>
      <c r="L494" t="s">
        <v>1910</v>
      </c>
      <c r="M494" t="s">
        <v>1911</v>
      </c>
    </row>
    <row r="495" spans="1:13" customFormat="1" hidden="1" x14ac:dyDescent="0.35">
      <c r="A495" t="s">
        <v>1780</v>
      </c>
      <c r="B495" s="3" t="s">
        <v>102</v>
      </c>
      <c r="C495" s="3"/>
      <c r="D495" s="3"/>
      <c r="E495" s="3"/>
      <c r="F495" t="s">
        <v>378</v>
      </c>
      <c r="H495" t="s">
        <v>1912</v>
      </c>
      <c r="J495" t="s">
        <v>1913</v>
      </c>
      <c r="K495" t="s">
        <v>241</v>
      </c>
      <c r="L495" t="s">
        <v>1914</v>
      </c>
      <c r="M495" t="s">
        <v>1915</v>
      </c>
    </row>
    <row r="496" spans="1:13" customFormat="1" hidden="1" x14ac:dyDescent="0.35">
      <c r="A496" t="s">
        <v>1780</v>
      </c>
      <c r="B496" s="3" t="s">
        <v>102</v>
      </c>
      <c r="C496" s="3"/>
      <c r="D496" s="3"/>
      <c r="E496" s="3"/>
      <c r="F496" t="s">
        <v>378</v>
      </c>
      <c r="H496" t="s">
        <v>1916</v>
      </c>
      <c r="J496" t="s">
        <v>1917</v>
      </c>
      <c r="K496" t="s">
        <v>241</v>
      </c>
      <c r="L496" t="s">
        <v>1918</v>
      </c>
      <c r="M496" t="s">
        <v>1919</v>
      </c>
    </row>
    <row r="497" spans="1:13" customFormat="1" hidden="1" x14ac:dyDescent="0.35">
      <c r="A497" t="s">
        <v>1780</v>
      </c>
      <c r="B497" s="3" t="s">
        <v>102</v>
      </c>
      <c r="C497" s="3"/>
      <c r="D497" s="3"/>
      <c r="E497" s="3"/>
      <c r="F497" t="s">
        <v>378</v>
      </c>
      <c r="H497" t="s">
        <v>1920</v>
      </c>
      <c r="J497" t="s">
        <v>1909</v>
      </c>
      <c r="K497" t="s">
        <v>248</v>
      </c>
      <c r="L497" t="s">
        <v>1921</v>
      </c>
      <c r="M497" t="s">
        <v>1922</v>
      </c>
    </row>
    <row r="498" spans="1:13" customFormat="1" hidden="1" x14ac:dyDescent="0.35">
      <c r="A498" t="s">
        <v>1780</v>
      </c>
      <c r="B498" s="3" t="s">
        <v>102</v>
      </c>
      <c r="C498" s="3"/>
      <c r="D498" s="3"/>
      <c r="E498" s="3"/>
      <c r="F498" t="s">
        <v>378</v>
      </c>
      <c r="J498" t="s">
        <v>1923</v>
      </c>
      <c r="K498" t="s">
        <v>1187</v>
      </c>
      <c r="L498" t="s">
        <v>1924</v>
      </c>
      <c r="M498" t="s">
        <v>1925</v>
      </c>
    </row>
    <row r="499" spans="1:13" customFormat="1" hidden="1" x14ac:dyDescent="0.35">
      <c r="A499" t="s">
        <v>1780</v>
      </c>
      <c r="B499" s="3" t="s">
        <v>102</v>
      </c>
      <c r="C499" s="3"/>
      <c r="D499" s="3"/>
      <c r="E499" s="3"/>
      <c r="F499" t="s">
        <v>378</v>
      </c>
      <c r="J499" t="s">
        <v>1926</v>
      </c>
      <c r="K499" t="s">
        <v>1187</v>
      </c>
      <c r="L499" t="s">
        <v>1927</v>
      </c>
      <c r="M499" t="s">
        <v>1928</v>
      </c>
    </row>
    <row r="500" spans="1:13" customFormat="1" hidden="1" x14ac:dyDescent="0.35">
      <c r="A500" t="s">
        <v>1780</v>
      </c>
      <c r="B500" s="3" t="s">
        <v>102</v>
      </c>
      <c r="C500" s="3"/>
      <c r="D500" s="3"/>
      <c r="E500" s="3"/>
      <c r="F500" t="s">
        <v>378</v>
      </c>
      <c r="H500" t="s">
        <v>1929</v>
      </c>
      <c r="J500" t="s">
        <v>1930</v>
      </c>
      <c r="K500" t="s">
        <v>1931</v>
      </c>
      <c r="L500" t="s">
        <v>1932</v>
      </c>
      <c r="M500" t="s">
        <v>1933</v>
      </c>
    </row>
    <row r="501" spans="1:13" customFormat="1" hidden="1" x14ac:dyDescent="0.35">
      <c r="A501" t="s">
        <v>1780</v>
      </c>
      <c r="B501" s="3" t="s">
        <v>102</v>
      </c>
      <c r="C501" s="3"/>
      <c r="D501" s="3"/>
      <c r="E501" s="3"/>
      <c r="F501" t="s">
        <v>515</v>
      </c>
      <c r="J501" t="s">
        <v>1934</v>
      </c>
    </row>
    <row r="502" spans="1:13" customFormat="1" hidden="1" x14ac:dyDescent="0.35">
      <c r="A502" t="s">
        <v>1780</v>
      </c>
      <c r="B502" s="3" t="s">
        <v>102</v>
      </c>
      <c r="C502" s="3"/>
      <c r="D502" s="3"/>
      <c r="E502" s="3"/>
      <c r="F502" t="s">
        <v>515</v>
      </c>
      <c r="H502" t="s">
        <v>1935</v>
      </c>
      <c r="J502" t="s">
        <v>1936</v>
      </c>
      <c r="K502" t="s">
        <v>229</v>
      </c>
      <c r="L502" t="s">
        <v>1937</v>
      </c>
      <c r="M502" t="s">
        <v>1938</v>
      </c>
    </row>
    <row r="503" spans="1:13" customFormat="1" hidden="1" x14ac:dyDescent="0.35">
      <c r="A503" t="s">
        <v>1780</v>
      </c>
      <c r="B503" s="3" t="s">
        <v>102</v>
      </c>
      <c r="C503" s="3"/>
      <c r="D503" s="3"/>
      <c r="E503" s="3"/>
      <c r="F503" t="s">
        <v>515</v>
      </c>
      <c r="H503" t="s">
        <v>1939</v>
      </c>
      <c r="J503" t="s">
        <v>1940</v>
      </c>
      <c r="K503" t="s">
        <v>1802</v>
      </c>
      <c r="L503" t="s">
        <v>1941</v>
      </c>
      <c r="M503" t="s">
        <v>1942</v>
      </c>
    </row>
    <row r="504" spans="1:13" customFormat="1" hidden="1" x14ac:dyDescent="0.35">
      <c r="A504" t="s">
        <v>1780</v>
      </c>
      <c r="B504" s="3" t="s">
        <v>102</v>
      </c>
      <c r="C504" s="3"/>
      <c r="D504" s="3"/>
      <c r="E504" s="3"/>
      <c r="F504" t="s">
        <v>515</v>
      </c>
      <c r="H504" t="s">
        <v>1943</v>
      </c>
      <c r="J504" t="s">
        <v>1944</v>
      </c>
      <c r="K504" t="s">
        <v>241</v>
      </c>
      <c r="L504" t="s">
        <v>1945</v>
      </c>
      <c r="M504" t="s">
        <v>1946</v>
      </c>
    </row>
    <row r="505" spans="1:13" customFormat="1" hidden="1" x14ac:dyDescent="0.35">
      <c r="A505" t="s">
        <v>1780</v>
      </c>
      <c r="B505" s="3" t="s">
        <v>102</v>
      </c>
      <c r="C505" s="3"/>
      <c r="D505" s="3"/>
      <c r="E505" s="3"/>
      <c r="F505" t="s">
        <v>515</v>
      </c>
      <c r="H505" t="s">
        <v>1947</v>
      </c>
      <c r="J505" t="s">
        <v>1948</v>
      </c>
      <c r="K505" t="s">
        <v>241</v>
      </c>
      <c r="L505" t="s">
        <v>1949</v>
      </c>
      <c r="M505" t="s">
        <v>1950</v>
      </c>
    </row>
    <row r="506" spans="1:13" customFormat="1" hidden="1" x14ac:dyDescent="0.35">
      <c r="A506" t="s">
        <v>1780</v>
      </c>
      <c r="B506" s="3" t="s">
        <v>102</v>
      </c>
      <c r="C506" s="3"/>
      <c r="D506" s="3"/>
      <c r="E506" s="3"/>
      <c r="F506" t="s">
        <v>515</v>
      </c>
      <c r="H506" t="s">
        <v>1951</v>
      </c>
      <c r="J506" t="s">
        <v>1952</v>
      </c>
      <c r="K506" t="s">
        <v>241</v>
      </c>
      <c r="L506" t="s">
        <v>1890</v>
      </c>
      <c r="M506" t="s">
        <v>1953</v>
      </c>
    </row>
    <row r="507" spans="1:13" customFormat="1" hidden="1" x14ac:dyDescent="0.35">
      <c r="A507" t="s">
        <v>1780</v>
      </c>
      <c r="B507" s="3" t="s">
        <v>102</v>
      </c>
      <c r="C507" s="3"/>
      <c r="D507" s="3"/>
      <c r="E507" s="3"/>
      <c r="F507" t="s">
        <v>515</v>
      </c>
      <c r="H507" t="s">
        <v>1954</v>
      </c>
      <c r="J507" t="s">
        <v>1955</v>
      </c>
      <c r="K507" t="s">
        <v>241</v>
      </c>
      <c r="L507" t="s">
        <v>1956</v>
      </c>
      <c r="M507" t="s">
        <v>1957</v>
      </c>
    </row>
    <row r="508" spans="1:13" customFormat="1" hidden="1" x14ac:dyDescent="0.35">
      <c r="A508" t="s">
        <v>1780</v>
      </c>
      <c r="B508" s="3" t="s">
        <v>102</v>
      </c>
      <c r="C508" s="3"/>
      <c r="D508" s="3"/>
      <c r="E508" s="3"/>
      <c r="F508" t="s">
        <v>515</v>
      </c>
      <c r="H508" t="s">
        <v>1958</v>
      </c>
      <c r="J508" t="s">
        <v>1917</v>
      </c>
      <c r="K508" t="s">
        <v>241</v>
      </c>
      <c r="L508" t="s">
        <v>1914</v>
      </c>
      <c r="M508" t="s">
        <v>1959</v>
      </c>
    </row>
    <row r="509" spans="1:13" customFormat="1" hidden="1" x14ac:dyDescent="0.35">
      <c r="A509" t="s">
        <v>1780</v>
      </c>
      <c r="B509" s="3" t="s">
        <v>102</v>
      </c>
      <c r="C509" s="3"/>
      <c r="D509" s="3"/>
      <c r="E509" s="3"/>
      <c r="F509" t="s">
        <v>515</v>
      </c>
      <c r="H509" t="s">
        <v>1960</v>
      </c>
      <c r="J509" t="s">
        <v>1909</v>
      </c>
      <c r="K509" t="s">
        <v>248</v>
      </c>
      <c r="L509" t="s">
        <v>1921</v>
      </c>
      <c r="M509" t="s">
        <v>1961</v>
      </c>
    </row>
    <row r="510" spans="1:13" customFormat="1" hidden="1" x14ac:dyDescent="0.35">
      <c r="A510" t="s">
        <v>1780</v>
      </c>
      <c r="B510" s="3" t="s">
        <v>102</v>
      </c>
      <c r="C510" s="3"/>
      <c r="D510" s="3"/>
      <c r="E510" s="3"/>
      <c r="F510" t="s">
        <v>515</v>
      </c>
      <c r="H510" t="s">
        <v>1962</v>
      </c>
      <c r="J510" t="s">
        <v>1963</v>
      </c>
    </row>
    <row r="511" spans="1:13" customFormat="1" hidden="1" x14ac:dyDescent="0.35">
      <c r="A511" t="s">
        <v>1780</v>
      </c>
      <c r="B511" s="3" t="s">
        <v>102</v>
      </c>
      <c r="C511" s="3"/>
      <c r="D511" s="3"/>
      <c r="E511" s="3"/>
      <c r="F511" t="s">
        <v>515</v>
      </c>
      <c r="H511" t="s">
        <v>1964</v>
      </c>
      <c r="J511" t="s">
        <v>1965</v>
      </c>
    </row>
    <row r="512" spans="1:13" customFormat="1" hidden="1" x14ac:dyDescent="0.35">
      <c r="A512" t="s">
        <v>1780</v>
      </c>
      <c r="B512" s="3" t="s">
        <v>102</v>
      </c>
      <c r="C512" s="3"/>
      <c r="D512" s="3"/>
      <c r="E512" s="3"/>
      <c r="F512" t="s">
        <v>515</v>
      </c>
      <c r="H512" t="s">
        <v>1966</v>
      </c>
      <c r="J512" t="s">
        <v>1967</v>
      </c>
      <c r="K512" t="s">
        <v>241</v>
      </c>
      <c r="L512" t="s">
        <v>1968</v>
      </c>
      <c r="M512" t="s">
        <v>1969</v>
      </c>
    </row>
    <row r="513" spans="1:13" customFormat="1" hidden="1" x14ac:dyDescent="0.35">
      <c r="A513" t="s">
        <v>1780</v>
      </c>
      <c r="B513" s="3" t="s">
        <v>102</v>
      </c>
      <c r="C513" s="3"/>
      <c r="D513" s="3"/>
      <c r="E513" s="3"/>
      <c r="F513" t="s">
        <v>515</v>
      </c>
      <c r="H513" t="s">
        <v>1970</v>
      </c>
      <c r="J513" t="s">
        <v>1971</v>
      </c>
      <c r="K513" t="s">
        <v>241</v>
      </c>
      <c r="L513" t="s">
        <v>1972</v>
      </c>
      <c r="M513" t="s">
        <v>1973</v>
      </c>
    </row>
    <row r="514" spans="1:13" customFormat="1" hidden="1" x14ac:dyDescent="0.35">
      <c r="A514" t="s">
        <v>1780</v>
      </c>
      <c r="B514" s="3" t="s">
        <v>102</v>
      </c>
      <c r="C514" s="3"/>
      <c r="D514" s="3"/>
      <c r="E514" s="3"/>
      <c r="F514" t="s">
        <v>515</v>
      </c>
      <c r="H514" t="s">
        <v>1974</v>
      </c>
      <c r="J514" t="s">
        <v>1975</v>
      </c>
      <c r="K514" t="s">
        <v>248</v>
      </c>
      <c r="L514" t="s">
        <v>1976</v>
      </c>
      <c r="M514" t="s">
        <v>1977</v>
      </c>
    </row>
    <row r="515" spans="1:13" customFormat="1" hidden="1" x14ac:dyDescent="0.35">
      <c r="A515" t="s">
        <v>1780</v>
      </c>
      <c r="B515" s="3" t="s">
        <v>102</v>
      </c>
      <c r="C515" s="3"/>
      <c r="D515" s="3"/>
      <c r="E515" s="3"/>
      <c r="F515" t="s">
        <v>515</v>
      </c>
      <c r="H515" t="s">
        <v>1978</v>
      </c>
      <c r="J515" t="s">
        <v>1979</v>
      </c>
    </row>
    <row r="516" spans="1:13" customFormat="1" hidden="1" x14ac:dyDescent="0.35">
      <c r="A516" t="s">
        <v>1780</v>
      </c>
      <c r="B516" s="3" t="s">
        <v>102</v>
      </c>
      <c r="C516" s="3"/>
      <c r="D516" s="3"/>
      <c r="E516" s="3"/>
      <c r="F516" t="s">
        <v>515</v>
      </c>
      <c r="H516" t="s">
        <v>1980</v>
      </c>
      <c r="J516" t="s">
        <v>1981</v>
      </c>
      <c r="K516" t="s">
        <v>241</v>
      </c>
      <c r="L516" t="s">
        <v>1982</v>
      </c>
      <c r="M516" t="s">
        <v>1983</v>
      </c>
    </row>
    <row r="517" spans="1:13" customFormat="1" hidden="1" x14ac:dyDescent="0.35">
      <c r="A517" t="s">
        <v>1780</v>
      </c>
      <c r="B517" s="3" t="s">
        <v>102</v>
      </c>
      <c r="C517" s="3"/>
      <c r="D517" s="3"/>
      <c r="E517" s="3"/>
      <c r="F517" t="s">
        <v>515</v>
      </c>
      <c r="H517" t="s">
        <v>1984</v>
      </c>
      <c r="J517" t="s">
        <v>1985</v>
      </c>
      <c r="K517" t="s">
        <v>241</v>
      </c>
      <c r="L517" t="s">
        <v>1986</v>
      </c>
      <c r="M517" t="s">
        <v>1987</v>
      </c>
    </row>
    <row r="518" spans="1:13" customFormat="1" hidden="1" x14ac:dyDescent="0.35">
      <c r="A518" t="s">
        <v>1780</v>
      </c>
      <c r="B518" s="3" t="s">
        <v>102</v>
      </c>
      <c r="C518" s="3"/>
      <c r="D518" s="3"/>
      <c r="E518" s="3"/>
      <c r="F518" t="s">
        <v>515</v>
      </c>
      <c r="H518" t="s">
        <v>1988</v>
      </c>
      <c r="J518" t="s">
        <v>1989</v>
      </c>
      <c r="K518" t="s">
        <v>1198</v>
      </c>
      <c r="L518" t="s">
        <v>1990</v>
      </c>
      <c r="M518" t="s">
        <v>1991</v>
      </c>
    </row>
    <row r="519" spans="1:13" customFormat="1" hidden="1" x14ac:dyDescent="0.35">
      <c r="A519" t="s">
        <v>1780</v>
      </c>
      <c r="B519" s="3" t="s">
        <v>102</v>
      </c>
      <c r="C519" s="3"/>
      <c r="D519" s="3"/>
      <c r="E519" s="3"/>
      <c r="F519" t="s">
        <v>515</v>
      </c>
      <c r="H519" t="s">
        <v>1992</v>
      </c>
      <c r="J519" t="s">
        <v>1993</v>
      </c>
      <c r="K519" t="s">
        <v>1198</v>
      </c>
      <c r="L519" t="s">
        <v>1994</v>
      </c>
      <c r="M519" t="s">
        <v>1995</v>
      </c>
    </row>
    <row r="520" spans="1:13" customFormat="1" hidden="1" x14ac:dyDescent="0.35">
      <c r="A520" t="s">
        <v>1780</v>
      </c>
      <c r="B520" s="3" t="s">
        <v>102</v>
      </c>
      <c r="C520" s="3"/>
      <c r="D520" s="3"/>
      <c r="E520" s="3"/>
      <c r="F520" t="s">
        <v>515</v>
      </c>
      <c r="H520" t="s">
        <v>1996</v>
      </c>
      <c r="J520" t="s">
        <v>1909</v>
      </c>
      <c r="K520" t="s">
        <v>248</v>
      </c>
      <c r="L520" t="s">
        <v>1910</v>
      </c>
      <c r="M520" t="s">
        <v>1997</v>
      </c>
    </row>
    <row r="521" spans="1:13" customFormat="1" hidden="1" x14ac:dyDescent="0.35">
      <c r="A521" t="s">
        <v>1780</v>
      </c>
      <c r="B521" s="3" t="s">
        <v>102</v>
      </c>
      <c r="C521" s="3"/>
      <c r="D521" s="3"/>
      <c r="E521" s="3"/>
      <c r="F521" t="s">
        <v>515</v>
      </c>
      <c r="H521" t="s">
        <v>1998</v>
      </c>
      <c r="J521" t="s">
        <v>1999</v>
      </c>
      <c r="K521" t="s">
        <v>1187</v>
      </c>
      <c r="L521" t="s">
        <v>2000</v>
      </c>
      <c r="M521" t="s">
        <v>2001</v>
      </c>
    </row>
    <row r="522" spans="1:13" customFormat="1" hidden="1" x14ac:dyDescent="0.35">
      <c r="A522" t="s">
        <v>1780</v>
      </c>
      <c r="B522" s="3" t="s">
        <v>102</v>
      </c>
      <c r="C522" s="3"/>
      <c r="D522" s="3"/>
      <c r="E522" s="3"/>
      <c r="F522" t="s">
        <v>515</v>
      </c>
      <c r="H522" t="s">
        <v>2002</v>
      </c>
      <c r="J522" t="s">
        <v>2003</v>
      </c>
      <c r="K522" t="s">
        <v>241</v>
      </c>
      <c r="L522" t="s">
        <v>2004</v>
      </c>
      <c r="M522" t="s">
        <v>2005</v>
      </c>
    </row>
    <row r="523" spans="1:13" customFormat="1" hidden="1" x14ac:dyDescent="0.35">
      <c r="A523" t="s">
        <v>1780</v>
      </c>
      <c r="B523" s="3" t="s">
        <v>102</v>
      </c>
      <c r="C523" s="3"/>
      <c r="D523" s="3"/>
      <c r="E523" s="3"/>
      <c r="F523" t="s">
        <v>515</v>
      </c>
      <c r="H523" t="s">
        <v>2006</v>
      </c>
      <c r="J523" t="s">
        <v>2007</v>
      </c>
    </row>
    <row r="524" spans="1:13" customFormat="1" hidden="1" x14ac:dyDescent="0.35">
      <c r="A524" t="s">
        <v>1780</v>
      </c>
      <c r="B524" s="3" t="s">
        <v>102</v>
      </c>
      <c r="C524" s="3"/>
      <c r="D524" s="3"/>
      <c r="E524" s="3"/>
      <c r="F524" t="s">
        <v>515</v>
      </c>
      <c r="H524" t="s">
        <v>2008</v>
      </c>
      <c r="J524" t="s">
        <v>2009</v>
      </c>
      <c r="K524" t="s">
        <v>2010</v>
      </c>
      <c r="L524" t="s">
        <v>2011</v>
      </c>
      <c r="M524" t="s">
        <v>2012</v>
      </c>
    </row>
    <row r="525" spans="1:13" customFormat="1" hidden="1" x14ac:dyDescent="0.35">
      <c r="A525" t="s">
        <v>1780</v>
      </c>
      <c r="B525" s="3" t="s">
        <v>102</v>
      </c>
      <c r="C525" s="3"/>
      <c r="D525" s="3"/>
      <c r="E525" s="3"/>
      <c r="F525" t="s">
        <v>515</v>
      </c>
      <c r="H525" t="s">
        <v>2013</v>
      </c>
      <c r="J525" t="s">
        <v>2014</v>
      </c>
      <c r="K525" t="s">
        <v>1198</v>
      </c>
      <c r="L525" t="s">
        <v>2015</v>
      </c>
      <c r="M525" t="s">
        <v>2016</v>
      </c>
    </row>
    <row r="526" spans="1:13" customFormat="1" hidden="1" x14ac:dyDescent="0.35">
      <c r="A526" t="s">
        <v>1780</v>
      </c>
      <c r="B526" s="3" t="s">
        <v>102</v>
      </c>
      <c r="C526" s="3"/>
      <c r="D526" s="3"/>
      <c r="E526" s="3"/>
      <c r="F526" t="s">
        <v>515</v>
      </c>
      <c r="H526" t="s">
        <v>2017</v>
      </c>
      <c r="J526" t="s">
        <v>2018</v>
      </c>
      <c r="K526" t="s">
        <v>1198</v>
      </c>
      <c r="L526" t="s">
        <v>2019</v>
      </c>
      <c r="M526" t="s">
        <v>2020</v>
      </c>
    </row>
    <row r="527" spans="1:13" customFormat="1" hidden="1" x14ac:dyDescent="0.35">
      <c r="A527" t="s">
        <v>1780</v>
      </c>
      <c r="B527" s="3" t="s">
        <v>102</v>
      </c>
      <c r="C527" s="3"/>
      <c r="D527" s="3"/>
      <c r="E527" s="3"/>
      <c r="F527" t="s">
        <v>515</v>
      </c>
      <c r="H527" t="s">
        <v>2021</v>
      </c>
      <c r="J527" t="s">
        <v>2022</v>
      </c>
    </row>
    <row r="528" spans="1:13" customFormat="1" hidden="1" x14ac:dyDescent="0.35">
      <c r="A528" t="s">
        <v>1780</v>
      </c>
      <c r="B528" s="3" t="s">
        <v>102</v>
      </c>
      <c r="C528" s="3"/>
      <c r="D528" s="3"/>
      <c r="E528" s="3"/>
      <c r="F528" t="s">
        <v>515</v>
      </c>
      <c r="H528" t="s">
        <v>2023</v>
      </c>
      <c r="J528" t="s">
        <v>2024</v>
      </c>
      <c r="K528" t="s">
        <v>1198</v>
      </c>
      <c r="L528" t="s">
        <v>2025</v>
      </c>
      <c r="M528" t="s">
        <v>2026</v>
      </c>
    </row>
    <row r="529" spans="1:13" customFormat="1" hidden="1" x14ac:dyDescent="0.35">
      <c r="A529" t="s">
        <v>1780</v>
      </c>
      <c r="B529" s="3" t="s">
        <v>102</v>
      </c>
      <c r="C529" s="3"/>
      <c r="D529" s="3"/>
      <c r="E529" s="3"/>
      <c r="F529" t="s">
        <v>515</v>
      </c>
      <c r="H529" t="s">
        <v>2027</v>
      </c>
      <c r="J529" t="s">
        <v>2028</v>
      </c>
      <c r="K529" t="s">
        <v>1198</v>
      </c>
      <c r="L529" t="s">
        <v>2029</v>
      </c>
      <c r="M529" t="s">
        <v>2030</v>
      </c>
    </row>
    <row r="530" spans="1:13" customFormat="1" hidden="1" x14ac:dyDescent="0.35">
      <c r="A530" t="s">
        <v>1780</v>
      </c>
      <c r="B530" s="3" t="s">
        <v>102</v>
      </c>
      <c r="C530" s="3"/>
      <c r="D530" s="3"/>
      <c r="E530" s="3"/>
      <c r="F530" t="s">
        <v>515</v>
      </c>
      <c r="H530" t="s">
        <v>2031</v>
      </c>
      <c r="J530" t="s">
        <v>2032</v>
      </c>
      <c r="K530" t="s">
        <v>1198</v>
      </c>
      <c r="L530" t="s">
        <v>2033</v>
      </c>
      <c r="M530" t="s">
        <v>2034</v>
      </c>
    </row>
    <row r="531" spans="1:13" customFormat="1" hidden="1" x14ac:dyDescent="0.35">
      <c r="A531" t="s">
        <v>1780</v>
      </c>
      <c r="B531" s="3" t="s">
        <v>102</v>
      </c>
      <c r="C531" s="3"/>
      <c r="D531" s="3"/>
      <c r="E531" s="3"/>
      <c r="F531" t="s">
        <v>515</v>
      </c>
      <c r="H531" t="s">
        <v>2035</v>
      </c>
      <c r="J531" t="s">
        <v>2036</v>
      </c>
      <c r="K531" t="s">
        <v>1198</v>
      </c>
      <c r="L531" t="s">
        <v>2037</v>
      </c>
      <c r="M531" t="s">
        <v>2038</v>
      </c>
    </row>
    <row r="532" spans="1:13" customFormat="1" hidden="1" x14ac:dyDescent="0.35">
      <c r="A532" t="s">
        <v>1780</v>
      </c>
      <c r="B532" s="3" t="s">
        <v>102</v>
      </c>
      <c r="C532" s="3"/>
      <c r="D532" s="3"/>
      <c r="E532" s="3"/>
      <c r="F532" t="s">
        <v>515</v>
      </c>
      <c r="H532" t="s">
        <v>2039</v>
      </c>
      <c r="J532" t="s">
        <v>2040</v>
      </c>
      <c r="K532" t="s">
        <v>1198</v>
      </c>
      <c r="L532" t="s">
        <v>2041</v>
      </c>
      <c r="M532" t="s">
        <v>2042</v>
      </c>
    </row>
    <row r="533" spans="1:13" customFormat="1" hidden="1" x14ac:dyDescent="0.35">
      <c r="A533" t="s">
        <v>1780</v>
      </c>
      <c r="B533" s="3" t="s">
        <v>102</v>
      </c>
      <c r="C533" s="3"/>
      <c r="D533" s="3"/>
      <c r="E533" s="3"/>
      <c r="F533" t="s">
        <v>515</v>
      </c>
      <c r="H533" t="s">
        <v>2043</v>
      </c>
      <c r="J533" t="s">
        <v>2044</v>
      </c>
      <c r="K533" t="s">
        <v>1198</v>
      </c>
      <c r="L533" t="s">
        <v>2045</v>
      </c>
      <c r="M533" t="s">
        <v>2046</v>
      </c>
    </row>
    <row r="534" spans="1:13" customFormat="1" hidden="1" x14ac:dyDescent="0.35">
      <c r="A534" t="s">
        <v>1780</v>
      </c>
      <c r="B534" s="3" t="s">
        <v>102</v>
      </c>
      <c r="C534" s="3"/>
      <c r="D534" s="3"/>
      <c r="E534" s="3"/>
      <c r="F534" t="s">
        <v>515</v>
      </c>
      <c r="H534" t="s">
        <v>2047</v>
      </c>
      <c r="J534" t="s">
        <v>2048</v>
      </c>
      <c r="K534" t="s">
        <v>1198</v>
      </c>
      <c r="L534" t="s">
        <v>2049</v>
      </c>
      <c r="M534" t="s">
        <v>2050</v>
      </c>
    </row>
    <row r="535" spans="1:13" customFormat="1" hidden="1" x14ac:dyDescent="0.35">
      <c r="A535" t="s">
        <v>1780</v>
      </c>
      <c r="B535" s="3" t="s">
        <v>102</v>
      </c>
      <c r="C535" s="3"/>
      <c r="D535" s="3"/>
      <c r="E535" s="3"/>
      <c r="F535" t="s">
        <v>515</v>
      </c>
      <c r="H535" t="s">
        <v>2051</v>
      </c>
      <c r="J535" t="s">
        <v>2052</v>
      </c>
      <c r="K535" t="s">
        <v>1198</v>
      </c>
      <c r="L535" t="s">
        <v>2053</v>
      </c>
      <c r="M535" t="s">
        <v>2054</v>
      </c>
    </row>
    <row r="536" spans="1:13" customFormat="1" hidden="1" x14ac:dyDescent="0.35">
      <c r="A536" t="s">
        <v>1780</v>
      </c>
      <c r="B536" s="3" t="s">
        <v>102</v>
      </c>
      <c r="C536" s="3"/>
      <c r="D536" s="3"/>
      <c r="E536" s="3"/>
      <c r="F536" t="s">
        <v>515</v>
      </c>
      <c r="H536" t="s">
        <v>2055</v>
      </c>
      <c r="J536" t="s">
        <v>2056</v>
      </c>
      <c r="K536" t="s">
        <v>1198</v>
      </c>
      <c r="L536" t="s">
        <v>2057</v>
      </c>
      <c r="M536" t="s">
        <v>2058</v>
      </c>
    </row>
    <row r="537" spans="1:13" customFormat="1" hidden="1" x14ac:dyDescent="0.35">
      <c r="A537" t="s">
        <v>1780</v>
      </c>
      <c r="B537" s="3" t="s">
        <v>102</v>
      </c>
      <c r="C537" s="3"/>
      <c r="D537" s="3"/>
      <c r="E537" s="3"/>
      <c r="F537" t="s">
        <v>515</v>
      </c>
      <c r="H537" t="s">
        <v>2059</v>
      </c>
      <c r="J537" t="s">
        <v>2060</v>
      </c>
      <c r="K537" t="s">
        <v>1198</v>
      </c>
      <c r="L537" t="s">
        <v>2061</v>
      </c>
      <c r="M537" t="s">
        <v>2062</v>
      </c>
    </row>
    <row r="538" spans="1:13" customFormat="1" hidden="1" x14ac:dyDescent="0.35">
      <c r="A538" t="s">
        <v>1780</v>
      </c>
      <c r="B538" s="3" t="s">
        <v>102</v>
      </c>
      <c r="C538" s="3"/>
      <c r="D538" s="3"/>
      <c r="E538" s="3"/>
      <c r="F538" t="s">
        <v>515</v>
      </c>
      <c r="H538" t="s">
        <v>2063</v>
      </c>
      <c r="J538" t="s">
        <v>2064</v>
      </c>
      <c r="K538" t="s">
        <v>1198</v>
      </c>
      <c r="L538" t="s">
        <v>2065</v>
      </c>
      <c r="M538" t="s">
        <v>2066</v>
      </c>
    </row>
    <row r="539" spans="1:13" customFormat="1" hidden="1" x14ac:dyDescent="0.35">
      <c r="A539" t="s">
        <v>1780</v>
      </c>
      <c r="B539" s="3" t="s">
        <v>102</v>
      </c>
      <c r="C539" s="3"/>
      <c r="D539" s="3"/>
      <c r="E539" s="3"/>
      <c r="F539" t="s">
        <v>515</v>
      </c>
      <c r="H539" t="s">
        <v>2067</v>
      </c>
      <c r="J539" t="s">
        <v>2068</v>
      </c>
      <c r="K539" t="s">
        <v>1187</v>
      </c>
      <c r="L539" t="s">
        <v>2069</v>
      </c>
      <c r="M539" t="s">
        <v>2070</v>
      </c>
    </row>
    <row r="540" spans="1:13" customFormat="1" hidden="1" x14ac:dyDescent="0.35">
      <c r="A540" t="s">
        <v>1780</v>
      </c>
      <c r="B540" s="3" t="s">
        <v>102</v>
      </c>
      <c r="C540" s="3"/>
      <c r="D540" s="3"/>
      <c r="E540" s="3"/>
      <c r="F540" t="s">
        <v>515</v>
      </c>
      <c r="H540" t="s">
        <v>2071</v>
      </c>
      <c r="J540" t="s">
        <v>2072</v>
      </c>
      <c r="K540" t="s">
        <v>2073</v>
      </c>
      <c r="L540" t="s">
        <v>2074</v>
      </c>
      <c r="M540" t="s">
        <v>2075</v>
      </c>
    </row>
    <row r="541" spans="1:13" customFormat="1" hidden="1" x14ac:dyDescent="0.35">
      <c r="A541" t="s">
        <v>1780</v>
      </c>
      <c r="B541" s="3" t="s">
        <v>102</v>
      </c>
      <c r="C541" s="3"/>
      <c r="D541" s="3"/>
      <c r="E541" s="3"/>
      <c r="F541" t="s">
        <v>515</v>
      </c>
      <c r="H541" t="s">
        <v>2076</v>
      </c>
      <c r="J541" t="s">
        <v>2077</v>
      </c>
      <c r="K541" t="s">
        <v>241</v>
      </c>
      <c r="L541" t="s">
        <v>2078</v>
      </c>
      <c r="M541" t="s">
        <v>2079</v>
      </c>
    </row>
    <row r="542" spans="1:13" customFormat="1" hidden="1" x14ac:dyDescent="0.35">
      <c r="A542" t="s">
        <v>1780</v>
      </c>
      <c r="B542" s="3" t="s">
        <v>102</v>
      </c>
      <c r="C542" s="3"/>
      <c r="D542" s="3"/>
      <c r="E542" s="3"/>
      <c r="F542" t="s">
        <v>515</v>
      </c>
      <c r="H542" t="s">
        <v>2080</v>
      </c>
      <c r="J542" t="s">
        <v>2081</v>
      </c>
      <c r="K542" t="s">
        <v>241</v>
      </c>
      <c r="L542" t="s">
        <v>2082</v>
      </c>
      <c r="M542" t="s">
        <v>2083</v>
      </c>
    </row>
    <row r="543" spans="1:13" customFormat="1" hidden="1" x14ac:dyDescent="0.35">
      <c r="A543" t="s">
        <v>1780</v>
      </c>
      <c r="B543" s="3" t="s">
        <v>102</v>
      </c>
      <c r="C543" s="3"/>
      <c r="D543" s="3"/>
      <c r="E543" s="3"/>
      <c r="F543" t="s">
        <v>515</v>
      </c>
      <c r="H543" t="s">
        <v>2084</v>
      </c>
      <c r="J543" t="s">
        <v>1975</v>
      </c>
      <c r="K543" t="s">
        <v>248</v>
      </c>
      <c r="L543" t="s">
        <v>2085</v>
      </c>
      <c r="M543" t="s">
        <v>2086</v>
      </c>
    </row>
    <row r="544" spans="1:13" customFormat="1" hidden="1" x14ac:dyDescent="0.35">
      <c r="A544" t="s">
        <v>1780</v>
      </c>
      <c r="B544" s="3" t="s">
        <v>102</v>
      </c>
      <c r="C544" s="3"/>
      <c r="D544" s="3"/>
      <c r="E544" s="3"/>
      <c r="F544" t="s">
        <v>551</v>
      </c>
      <c r="J544" t="s">
        <v>2087</v>
      </c>
    </row>
    <row r="545" spans="1:13" customFormat="1" hidden="1" x14ac:dyDescent="0.35">
      <c r="A545" t="s">
        <v>1780</v>
      </c>
      <c r="B545" s="3" t="s">
        <v>102</v>
      </c>
      <c r="C545" s="3"/>
      <c r="D545" s="3"/>
      <c r="E545" s="3"/>
      <c r="F545" t="s">
        <v>551</v>
      </c>
      <c r="H545" t="s">
        <v>2088</v>
      </c>
      <c r="J545" t="s">
        <v>2089</v>
      </c>
      <c r="K545" t="s">
        <v>229</v>
      </c>
      <c r="L545" t="s">
        <v>2090</v>
      </c>
      <c r="M545" t="s">
        <v>2091</v>
      </c>
    </row>
    <row r="546" spans="1:13" customFormat="1" hidden="1" x14ac:dyDescent="0.35">
      <c r="A546" t="s">
        <v>1780</v>
      </c>
      <c r="B546" s="3" t="s">
        <v>102</v>
      </c>
      <c r="C546" s="3"/>
      <c r="D546" s="3"/>
      <c r="E546" s="3"/>
      <c r="F546" t="s">
        <v>551</v>
      </c>
      <c r="H546" t="s">
        <v>2092</v>
      </c>
      <c r="J546" t="s">
        <v>2093</v>
      </c>
      <c r="K546" t="s">
        <v>229</v>
      </c>
      <c r="L546" t="s">
        <v>2094</v>
      </c>
      <c r="M546" t="s">
        <v>2095</v>
      </c>
    </row>
    <row r="547" spans="1:13" customFormat="1" hidden="1" x14ac:dyDescent="0.35">
      <c r="A547" t="s">
        <v>1780</v>
      </c>
      <c r="B547" s="3" t="s">
        <v>102</v>
      </c>
      <c r="C547" s="3"/>
      <c r="D547" s="3"/>
      <c r="E547" s="3"/>
      <c r="F547" t="s">
        <v>551</v>
      </c>
      <c r="H547" t="s">
        <v>2096</v>
      </c>
      <c r="J547" t="s">
        <v>2097</v>
      </c>
      <c r="K547" t="s">
        <v>1802</v>
      </c>
      <c r="L547" t="s">
        <v>2098</v>
      </c>
      <c r="M547" t="s">
        <v>2099</v>
      </c>
    </row>
    <row r="548" spans="1:13" customFormat="1" hidden="1" x14ac:dyDescent="0.35">
      <c r="A548" t="s">
        <v>1780</v>
      </c>
      <c r="B548" s="3" t="s">
        <v>102</v>
      </c>
      <c r="C548" s="3"/>
      <c r="D548" s="3"/>
      <c r="E548" s="3"/>
      <c r="F548" t="s">
        <v>551</v>
      </c>
      <c r="H548" t="s">
        <v>2100</v>
      </c>
      <c r="J548" t="s">
        <v>2101</v>
      </c>
      <c r="K548" t="s">
        <v>1802</v>
      </c>
      <c r="L548" t="s">
        <v>2102</v>
      </c>
      <c r="M548" t="s">
        <v>2103</v>
      </c>
    </row>
    <row r="549" spans="1:13" customFormat="1" hidden="1" x14ac:dyDescent="0.35">
      <c r="A549" t="s">
        <v>1780</v>
      </c>
      <c r="B549" s="3" t="s">
        <v>102</v>
      </c>
      <c r="C549" s="3"/>
      <c r="D549" s="3"/>
      <c r="E549" s="3"/>
      <c r="F549" t="s">
        <v>551</v>
      </c>
      <c r="H549" t="s">
        <v>2104</v>
      </c>
      <c r="J549" t="s">
        <v>2105</v>
      </c>
      <c r="K549" t="s">
        <v>1802</v>
      </c>
      <c r="L549" t="s">
        <v>2106</v>
      </c>
      <c r="M549" t="s">
        <v>2107</v>
      </c>
    </row>
    <row r="550" spans="1:13" customFormat="1" hidden="1" x14ac:dyDescent="0.35">
      <c r="A550" t="s">
        <v>1780</v>
      </c>
      <c r="B550" s="3" t="s">
        <v>102</v>
      </c>
      <c r="C550" s="3"/>
      <c r="D550" s="3"/>
      <c r="E550" s="3"/>
      <c r="F550" t="s">
        <v>551</v>
      </c>
      <c r="H550" t="s">
        <v>2108</v>
      </c>
      <c r="J550" t="s">
        <v>2109</v>
      </c>
      <c r="K550" t="s">
        <v>253</v>
      </c>
      <c r="L550" t="s">
        <v>2110</v>
      </c>
      <c r="M550" t="s">
        <v>2111</v>
      </c>
    </row>
    <row r="551" spans="1:13" customFormat="1" hidden="1" x14ac:dyDescent="0.35">
      <c r="A551" t="s">
        <v>1780</v>
      </c>
      <c r="B551" s="3" t="s">
        <v>102</v>
      </c>
      <c r="C551" s="3"/>
      <c r="D551" s="3"/>
      <c r="E551" s="3"/>
      <c r="F551" t="s">
        <v>551</v>
      </c>
      <c r="H551" t="s">
        <v>2112</v>
      </c>
      <c r="J551" t="s">
        <v>2113</v>
      </c>
      <c r="K551" t="s">
        <v>1187</v>
      </c>
      <c r="L551" t="s">
        <v>2114</v>
      </c>
      <c r="M551" t="s">
        <v>2115</v>
      </c>
    </row>
    <row r="552" spans="1:13" customFormat="1" hidden="1" x14ac:dyDescent="0.35">
      <c r="A552" t="s">
        <v>1780</v>
      </c>
      <c r="B552" s="3" t="s">
        <v>102</v>
      </c>
      <c r="C552" s="3"/>
      <c r="D552" s="3"/>
      <c r="E552" s="3"/>
      <c r="F552" t="s">
        <v>551</v>
      </c>
      <c r="H552" t="s">
        <v>2116</v>
      </c>
      <c r="J552" t="s">
        <v>2117</v>
      </c>
      <c r="K552" t="s">
        <v>2118</v>
      </c>
      <c r="L552" t="s">
        <v>2119</v>
      </c>
      <c r="M552" t="s">
        <v>2120</v>
      </c>
    </row>
    <row r="553" spans="1:13" customFormat="1" hidden="1" x14ac:dyDescent="0.35">
      <c r="A553" t="s">
        <v>1780</v>
      </c>
      <c r="B553" s="3" t="s">
        <v>102</v>
      </c>
      <c r="C553" s="3"/>
      <c r="D553" s="3"/>
      <c r="E553" s="3"/>
      <c r="F553" t="s">
        <v>551</v>
      </c>
      <c r="H553" t="s">
        <v>2121</v>
      </c>
      <c r="J553" t="s">
        <v>2122</v>
      </c>
      <c r="K553" t="s">
        <v>1187</v>
      </c>
      <c r="L553" t="s">
        <v>2123</v>
      </c>
      <c r="M553" t="s">
        <v>2124</v>
      </c>
    </row>
    <row r="554" spans="1:13" customFormat="1" hidden="1" x14ac:dyDescent="0.35">
      <c r="A554" t="s">
        <v>1780</v>
      </c>
      <c r="B554" s="3" t="s">
        <v>102</v>
      </c>
      <c r="C554" s="3"/>
      <c r="D554" s="3"/>
      <c r="E554" s="3"/>
      <c r="F554" t="s">
        <v>551</v>
      </c>
      <c r="H554" t="s">
        <v>2125</v>
      </c>
      <c r="J554" t="s">
        <v>2126</v>
      </c>
      <c r="K554" t="s">
        <v>1187</v>
      </c>
      <c r="L554" t="s">
        <v>2127</v>
      </c>
      <c r="M554" t="s">
        <v>2128</v>
      </c>
    </row>
    <row r="555" spans="1:13" customFormat="1" hidden="1" x14ac:dyDescent="0.35">
      <c r="A555" t="s">
        <v>1780</v>
      </c>
      <c r="B555" s="3" t="s">
        <v>102</v>
      </c>
      <c r="C555" s="3"/>
      <c r="D555" s="3"/>
      <c r="E555" s="3"/>
      <c r="F555" t="s">
        <v>551</v>
      </c>
      <c r="H555" t="s">
        <v>2129</v>
      </c>
      <c r="J555" t="s">
        <v>2130</v>
      </c>
      <c r="K555" t="s">
        <v>229</v>
      </c>
      <c r="L555" t="s">
        <v>2131</v>
      </c>
      <c r="M555" t="s">
        <v>2132</v>
      </c>
    </row>
    <row r="556" spans="1:13" customFormat="1" hidden="1" x14ac:dyDescent="0.35">
      <c r="A556" t="s">
        <v>1780</v>
      </c>
      <c r="B556" s="3" t="s">
        <v>102</v>
      </c>
      <c r="C556" s="3"/>
      <c r="D556" s="3"/>
      <c r="E556" s="3"/>
      <c r="F556" t="s">
        <v>551</v>
      </c>
      <c r="H556" t="s">
        <v>2133</v>
      </c>
      <c r="J556" t="s">
        <v>2134</v>
      </c>
      <c r="K556" t="s">
        <v>1187</v>
      </c>
      <c r="L556" t="s">
        <v>2135</v>
      </c>
      <c r="M556" t="s">
        <v>2136</v>
      </c>
    </row>
    <row r="557" spans="1:13" customFormat="1" hidden="1" x14ac:dyDescent="0.35">
      <c r="A557" t="s">
        <v>1780</v>
      </c>
      <c r="B557" s="3" t="s">
        <v>102</v>
      </c>
      <c r="C557" s="3"/>
      <c r="D557" s="3"/>
      <c r="E557" s="3"/>
      <c r="F557" t="s">
        <v>551</v>
      </c>
      <c r="H557" t="s">
        <v>2137</v>
      </c>
      <c r="J557" t="s">
        <v>2138</v>
      </c>
      <c r="K557" t="s">
        <v>229</v>
      </c>
      <c r="L557" t="s">
        <v>2139</v>
      </c>
      <c r="M557" t="s">
        <v>2140</v>
      </c>
    </row>
    <row r="558" spans="1:13" customFormat="1" hidden="1" x14ac:dyDescent="0.35">
      <c r="A558" t="s">
        <v>1780</v>
      </c>
      <c r="B558" s="3" t="s">
        <v>102</v>
      </c>
      <c r="C558" s="3"/>
      <c r="D558" s="3"/>
      <c r="E558" s="3"/>
      <c r="F558" t="s">
        <v>551</v>
      </c>
      <c r="H558" t="s">
        <v>2141</v>
      </c>
      <c r="J558" t="s">
        <v>2142</v>
      </c>
      <c r="K558" t="s">
        <v>1802</v>
      </c>
      <c r="L558" t="s">
        <v>2143</v>
      </c>
      <c r="M558" t="s">
        <v>2144</v>
      </c>
    </row>
    <row r="559" spans="1:13" customFormat="1" hidden="1" x14ac:dyDescent="0.35">
      <c r="A559" t="s">
        <v>1780</v>
      </c>
      <c r="B559" s="3" t="s">
        <v>102</v>
      </c>
      <c r="C559" s="3"/>
      <c r="D559" s="3"/>
      <c r="E559" s="3"/>
      <c r="F559" t="s">
        <v>551</v>
      </c>
      <c r="H559" t="s">
        <v>2145</v>
      </c>
      <c r="J559" t="s">
        <v>2146</v>
      </c>
      <c r="K559" t="s">
        <v>1802</v>
      </c>
      <c r="L559" t="s">
        <v>2147</v>
      </c>
      <c r="M559" t="s">
        <v>2148</v>
      </c>
    </row>
    <row r="560" spans="1:13" customFormat="1" hidden="1" x14ac:dyDescent="0.35">
      <c r="A560" t="s">
        <v>1780</v>
      </c>
      <c r="B560" s="3" t="s">
        <v>102</v>
      </c>
      <c r="C560" s="3"/>
      <c r="D560" s="3"/>
      <c r="E560" s="3"/>
      <c r="F560" t="s">
        <v>551</v>
      </c>
      <c r="H560" t="s">
        <v>2149</v>
      </c>
      <c r="J560" t="s">
        <v>2150</v>
      </c>
      <c r="K560" t="s">
        <v>248</v>
      </c>
      <c r="L560" t="s">
        <v>2151</v>
      </c>
      <c r="M560" t="s">
        <v>2152</v>
      </c>
    </row>
    <row r="561" spans="1:13" customFormat="1" hidden="1" x14ac:dyDescent="0.35">
      <c r="A561" t="s">
        <v>1780</v>
      </c>
      <c r="B561" s="3" t="s">
        <v>102</v>
      </c>
      <c r="C561" s="3"/>
      <c r="D561" s="3"/>
      <c r="E561" s="3"/>
      <c r="F561" t="s">
        <v>551</v>
      </c>
      <c r="H561" t="s">
        <v>2153</v>
      </c>
      <c r="J561" t="s">
        <v>2154</v>
      </c>
      <c r="K561" t="s">
        <v>1198</v>
      </c>
      <c r="L561" t="s">
        <v>2155</v>
      </c>
      <c r="M561" t="s">
        <v>2156</v>
      </c>
    </row>
    <row r="562" spans="1:13" customFormat="1" hidden="1" x14ac:dyDescent="0.35">
      <c r="A562" t="s">
        <v>1780</v>
      </c>
      <c r="B562" s="3" t="s">
        <v>102</v>
      </c>
      <c r="C562" s="3"/>
      <c r="D562" s="3"/>
      <c r="E562" s="3"/>
      <c r="F562" t="s">
        <v>551</v>
      </c>
      <c r="H562" t="s">
        <v>2157</v>
      </c>
      <c r="J562" t="s">
        <v>2158</v>
      </c>
      <c r="K562" t="s">
        <v>241</v>
      </c>
      <c r="L562" t="s">
        <v>2159</v>
      </c>
      <c r="M562" t="s">
        <v>2160</v>
      </c>
    </row>
    <row r="563" spans="1:13" customFormat="1" hidden="1" x14ac:dyDescent="0.35">
      <c r="A563" t="s">
        <v>1780</v>
      </c>
      <c r="B563" s="3" t="s">
        <v>102</v>
      </c>
      <c r="C563" s="3"/>
      <c r="D563" s="3"/>
      <c r="E563" s="3"/>
      <c r="F563" t="s">
        <v>551</v>
      </c>
      <c r="H563" t="s">
        <v>2161</v>
      </c>
      <c r="J563" t="s">
        <v>2162</v>
      </c>
      <c r="K563" t="s">
        <v>241</v>
      </c>
      <c r="L563" t="s">
        <v>2163</v>
      </c>
      <c r="M563" t="s">
        <v>2164</v>
      </c>
    </row>
    <row r="564" spans="1:13" customFormat="1" hidden="1" x14ac:dyDescent="0.35">
      <c r="A564" t="s">
        <v>1780</v>
      </c>
      <c r="B564" s="3" t="s">
        <v>102</v>
      </c>
      <c r="C564" s="3"/>
      <c r="D564" s="3"/>
      <c r="E564" s="3"/>
      <c r="F564" t="s">
        <v>551</v>
      </c>
      <c r="H564" t="s">
        <v>2165</v>
      </c>
      <c r="J564" t="s">
        <v>2166</v>
      </c>
      <c r="K564" t="s">
        <v>253</v>
      </c>
      <c r="L564" t="s">
        <v>1657</v>
      </c>
      <c r="M564" t="s">
        <v>2167</v>
      </c>
    </row>
    <row r="565" spans="1:13" customFormat="1" hidden="1" x14ac:dyDescent="0.35">
      <c r="A565" t="s">
        <v>1780</v>
      </c>
      <c r="B565" s="3" t="s">
        <v>102</v>
      </c>
      <c r="C565" s="3"/>
      <c r="D565" s="3"/>
      <c r="E565" s="3"/>
      <c r="F565" t="s">
        <v>551</v>
      </c>
      <c r="H565" t="s">
        <v>2168</v>
      </c>
      <c r="J565" t="s">
        <v>2169</v>
      </c>
      <c r="K565" t="s">
        <v>1187</v>
      </c>
      <c r="L565" t="s">
        <v>2170</v>
      </c>
      <c r="M565" t="s">
        <v>2171</v>
      </c>
    </row>
    <row r="566" spans="1:13" customFormat="1" hidden="1" x14ac:dyDescent="0.35">
      <c r="A566" t="s">
        <v>1780</v>
      </c>
      <c r="B566" s="3" t="s">
        <v>102</v>
      </c>
      <c r="C566" s="3"/>
      <c r="D566" s="3"/>
      <c r="E566" s="3"/>
      <c r="F566" t="s">
        <v>551</v>
      </c>
      <c r="H566" t="s">
        <v>2172</v>
      </c>
      <c r="J566" t="s">
        <v>2173</v>
      </c>
      <c r="K566" t="s">
        <v>229</v>
      </c>
      <c r="L566" t="s">
        <v>2174</v>
      </c>
      <c r="M566" t="s">
        <v>2175</v>
      </c>
    </row>
    <row r="567" spans="1:13" customFormat="1" hidden="1" x14ac:dyDescent="0.35">
      <c r="A567" t="s">
        <v>1780</v>
      </c>
      <c r="B567" s="3" t="s">
        <v>102</v>
      </c>
      <c r="C567" s="3"/>
      <c r="D567" s="3"/>
      <c r="E567" s="3"/>
      <c r="F567" t="s">
        <v>551</v>
      </c>
      <c r="H567" t="s">
        <v>2176</v>
      </c>
      <c r="J567" t="s">
        <v>2177</v>
      </c>
      <c r="K567" t="s">
        <v>248</v>
      </c>
      <c r="L567" t="s">
        <v>2178</v>
      </c>
      <c r="M567" t="s">
        <v>2179</v>
      </c>
    </row>
    <row r="568" spans="1:13" customFormat="1" hidden="1" x14ac:dyDescent="0.35">
      <c r="A568" t="s">
        <v>1780</v>
      </c>
      <c r="B568" s="3" t="s">
        <v>102</v>
      </c>
      <c r="C568" s="3"/>
      <c r="D568" s="3"/>
      <c r="E568" s="3"/>
      <c r="F568" t="s">
        <v>551</v>
      </c>
      <c r="H568" t="s">
        <v>2180</v>
      </c>
      <c r="J568" t="s">
        <v>2181</v>
      </c>
      <c r="K568" t="s">
        <v>248</v>
      </c>
      <c r="L568" t="s">
        <v>2182</v>
      </c>
      <c r="M568" t="s">
        <v>2183</v>
      </c>
    </row>
    <row r="569" spans="1:13" customFormat="1" hidden="1" x14ac:dyDescent="0.35">
      <c r="A569" t="s">
        <v>1780</v>
      </c>
      <c r="B569" s="3" t="s">
        <v>102</v>
      </c>
      <c r="C569" s="3"/>
      <c r="D569" s="3"/>
      <c r="E569" s="3"/>
      <c r="F569" t="s">
        <v>551</v>
      </c>
      <c r="H569" t="s">
        <v>2184</v>
      </c>
      <c r="J569" t="s">
        <v>2185</v>
      </c>
      <c r="K569" t="s">
        <v>248</v>
      </c>
      <c r="L569" t="s">
        <v>2186</v>
      </c>
      <c r="M569" t="s">
        <v>2187</v>
      </c>
    </row>
    <row r="570" spans="1:13" customFormat="1" hidden="1" x14ac:dyDescent="0.35">
      <c r="A570" t="s">
        <v>1780</v>
      </c>
      <c r="B570" s="3" t="s">
        <v>102</v>
      </c>
      <c r="C570" s="3"/>
      <c r="D570" s="3"/>
      <c r="E570" s="3"/>
      <c r="F570" t="s">
        <v>551</v>
      </c>
      <c r="H570" t="s">
        <v>2188</v>
      </c>
      <c r="J570" t="s">
        <v>2189</v>
      </c>
      <c r="K570" t="s">
        <v>1187</v>
      </c>
      <c r="L570" t="s">
        <v>2190</v>
      </c>
      <c r="M570" t="s">
        <v>2191</v>
      </c>
    </row>
    <row r="571" spans="1:13" customFormat="1" hidden="1" x14ac:dyDescent="0.35">
      <c r="A571" t="s">
        <v>1780</v>
      </c>
      <c r="B571" s="3" t="s">
        <v>102</v>
      </c>
      <c r="C571" s="3"/>
      <c r="D571" s="3"/>
      <c r="E571" s="3"/>
      <c r="F571" t="s">
        <v>551</v>
      </c>
      <c r="H571" t="s">
        <v>2192</v>
      </c>
      <c r="J571" t="s">
        <v>2193</v>
      </c>
      <c r="K571" t="s">
        <v>229</v>
      </c>
      <c r="L571" t="s">
        <v>2194</v>
      </c>
      <c r="M571" t="s">
        <v>2195</v>
      </c>
    </row>
    <row r="572" spans="1:13" customFormat="1" hidden="1" x14ac:dyDescent="0.35">
      <c r="A572" t="s">
        <v>1780</v>
      </c>
      <c r="B572" s="3" t="s">
        <v>102</v>
      </c>
      <c r="C572" s="3"/>
      <c r="D572" s="3"/>
      <c r="E572" s="3"/>
      <c r="F572" t="s">
        <v>551</v>
      </c>
      <c r="H572" t="s">
        <v>2196</v>
      </c>
      <c r="J572" t="s">
        <v>2197</v>
      </c>
      <c r="K572" t="s">
        <v>1198</v>
      </c>
      <c r="L572" t="s">
        <v>2198</v>
      </c>
      <c r="M572" t="s">
        <v>2199</v>
      </c>
    </row>
    <row r="573" spans="1:13" customFormat="1" hidden="1" x14ac:dyDescent="0.35">
      <c r="A573" t="s">
        <v>1780</v>
      </c>
      <c r="B573" s="3" t="s">
        <v>102</v>
      </c>
      <c r="C573" s="3"/>
      <c r="D573" s="3"/>
      <c r="E573" s="3"/>
      <c r="F573" t="s">
        <v>551</v>
      </c>
      <c r="H573" t="s">
        <v>2200</v>
      </c>
      <c r="J573" t="s">
        <v>2201</v>
      </c>
      <c r="K573" t="s">
        <v>241</v>
      </c>
      <c r="L573" t="s">
        <v>2202</v>
      </c>
      <c r="M573" t="s">
        <v>2203</v>
      </c>
    </row>
    <row r="574" spans="1:13" customFormat="1" hidden="1" x14ac:dyDescent="0.35">
      <c r="A574" t="s">
        <v>1780</v>
      </c>
      <c r="B574" s="3" t="s">
        <v>102</v>
      </c>
      <c r="C574" s="3"/>
      <c r="D574" s="3"/>
      <c r="E574" s="3"/>
      <c r="F574" t="s">
        <v>551</v>
      </c>
      <c r="H574" t="s">
        <v>2204</v>
      </c>
      <c r="J574" t="s">
        <v>2205</v>
      </c>
      <c r="K574" t="s">
        <v>1187</v>
      </c>
      <c r="L574" t="s">
        <v>2206</v>
      </c>
      <c r="M574" t="s">
        <v>2207</v>
      </c>
    </row>
    <row r="575" spans="1:13" customFormat="1" hidden="1" x14ac:dyDescent="0.35">
      <c r="A575" t="s">
        <v>1780</v>
      </c>
      <c r="B575" s="3" t="s">
        <v>102</v>
      </c>
      <c r="C575" s="3"/>
      <c r="D575" s="3"/>
      <c r="E575" s="3"/>
      <c r="F575" t="s">
        <v>551</v>
      </c>
      <c r="H575" t="s">
        <v>2208</v>
      </c>
      <c r="J575" t="s">
        <v>2209</v>
      </c>
      <c r="K575" t="s">
        <v>229</v>
      </c>
      <c r="L575" t="s">
        <v>2210</v>
      </c>
      <c r="M575" t="s">
        <v>2211</v>
      </c>
    </row>
    <row r="576" spans="1:13" customFormat="1" hidden="1" x14ac:dyDescent="0.35">
      <c r="A576" t="s">
        <v>1780</v>
      </c>
      <c r="B576" s="3" t="s">
        <v>102</v>
      </c>
      <c r="C576" s="3"/>
      <c r="D576" s="3"/>
      <c r="E576" s="3"/>
      <c r="F576" t="s">
        <v>551</v>
      </c>
      <c r="H576" t="s">
        <v>2212</v>
      </c>
      <c r="J576" t="s">
        <v>2213</v>
      </c>
      <c r="K576" t="s">
        <v>1187</v>
      </c>
      <c r="L576" t="s">
        <v>2214</v>
      </c>
      <c r="M576" t="s">
        <v>2215</v>
      </c>
    </row>
    <row r="577" spans="1:13" customFormat="1" hidden="1" x14ac:dyDescent="0.35">
      <c r="A577" t="s">
        <v>1780</v>
      </c>
      <c r="B577" s="3" t="s">
        <v>102</v>
      </c>
      <c r="C577" s="3"/>
      <c r="D577" s="3"/>
      <c r="E577" s="3"/>
      <c r="F577" t="s">
        <v>551</v>
      </c>
      <c r="H577" t="s">
        <v>2216</v>
      </c>
      <c r="J577" t="s">
        <v>2217</v>
      </c>
      <c r="K577" t="s">
        <v>229</v>
      </c>
      <c r="L577" t="s">
        <v>2218</v>
      </c>
      <c r="M577" t="s">
        <v>2219</v>
      </c>
    </row>
    <row r="578" spans="1:13" customFormat="1" hidden="1" x14ac:dyDescent="0.35">
      <c r="A578" t="s">
        <v>1780</v>
      </c>
      <c r="B578" s="3" t="s">
        <v>102</v>
      </c>
      <c r="C578" s="3"/>
      <c r="D578" s="3"/>
      <c r="E578" s="3"/>
      <c r="F578" t="s">
        <v>551</v>
      </c>
      <c r="H578" t="s">
        <v>2220</v>
      </c>
      <c r="J578" t="s">
        <v>2221</v>
      </c>
      <c r="K578" t="s">
        <v>1198</v>
      </c>
      <c r="L578" t="s">
        <v>2222</v>
      </c>
      <c r="M578" t="s">
        <v>2223</v>
      </c>
    </row>
    <row r="579" spans="1:13" customFormat="1" hidden="1" x14ac:dyDescent="0.35">
      <c r="A579" t="s">
        <v>1780</v>
      </c>
      <c r="B579" s="3" t="s">
        <v>102</v>
      </c>
      <c r="C579" s="3"/>
      <c r="D579" s="3"/>
      <c r="E579" s="3"/>
      <c r="F579" t="s">
        <v>551</v>
      </c>
      <c r="H579" t="s">
        <v>2224</v>
      </c>
      <c r="J579" t="s">
        <v>2225</v>
      </c>
      <c r="K579" t="s">
        <v>229</v>
      </c>
      <c r="L579" t="s">
        <v>2226</v>
      </c>
      <c r="M579" t="s">
        <v>2227</v>
      </c>
    </row>
    <row r="580" spans="1:13" customFormat="1" hidden="1" x14ac:dyDescent="0.35">
      <c r="A580" t="s">
        <v>1780</v>
      </c>
      <c r="B580" s="3" t="s">
        <v>102</v>
      </c>
      <c r="C580" s="3"/>
      <c r="D580" s="3"/>
      <c r="E580" s="3"/>
      <c r="F580" t="s">
        <v>551</v>
      </c>
      <c r="H580" t="s">
        <v>2228</v>
      </c>
      <c r="J580" t="s">
        <v>2229</v>
      </c>
      <c r="K580" t="s">
        <v>1187</v>
      </c>
      <c r="L580" t="s">
        <v>2230</v>
      </c>
      <c r="M580" t="s">
        <v>2231</v>
      </c>
    </row>
    <row r="581" spans="1:13" customFormat="1" hidden="1" x14ac:dyDescent="0.35">
      <c r="A581" t="s">
        <v>1780</v>
      </c>
      <c r="B581" s="3" t="s">
        <v>102</v>
      </c>
      <c r="C581" s="3"/>
      <c r="D581" s="3"/>
      <c r="E581" s="3"/>
      <c r="F581" t="s">
        <v>551</v>
      </c>
      <c r="H581" t="s">
        <v>2232</v>
      </c>
      <c r="J581" t="s">
        <v>2233</v>
      </c>
      <c r="K581" t="s">
        <v>229</v>
      </c>
      <c r="L581" t="s">
        <v>2234</v>
      </c>
      <c r="M581" t="s">
        <v>2235</v>
      </c>
    </row>
    <row r="582" spans="1:13" customFormat="1" hidden="1" x14ac:dyDescent="0.35">
      <c r="A582" t="s">
        <v>1780</v>
      </c>
      <c r="B582" s="3" t="s">
        <v>102</v>
      </c>
      <c r="C582" s="3"/>
      <c r="D582" s="3"/>
      <c r="E582" s="3"/>
      <c r="F582" t="s">
        <v>551</v>
      </c>
      <c r="H582" t="s">
        <v>2236</v>
      </c>
      <c r="J582" t="s">
        <v>2237</v>
      </c>
      <c r="K582" t="s">
        <v>229</v>
      </c>
      <c r="L582" t="s">
        <v>2238</v>
      </c>
      <c r="M582" t="s">
        <v>2239</v>
      </c>
    </row>
    <row r="583" spans="1:13" customFormat="1" hidden="1" x14ac:dyDescent="0.35">
      <c r="A583" t="s">
        <v>1780</v>
      </c>
      <c r="B583" s="3" t="s">
        <v>102</v>
      </c>
      <c r="C583" s="3"/>
      <c r="D583" s="3"/>
      <c r="E583" s="3"/>
      <c r="F583" t="s">
        <v>551</v>
      </c>
      <c r="H583" t="s">
        <v>2240</v>
      </c>
      <c r="J583" t="s">
        <v>2241</v>
      </c>
      <c r="K583" t="s">
        <v>1198</v>
      </c>
      <c r="L583" t="s">
        <v>2242</v>
      </c>
      <c r="M583" t="s">
        <v>2243</v>
      </c>
    </row>
    <row r="584" spans="1:13" customFormat="1" hidden="1" x14ac:dyDescent="0.35">
      <c r="A584" t="s">
        <v>1780</v>
      </c>
      <c r="B584" s="3" t="s">
        <v>102</v>
      </c>
      <c r="C584" s="3"/>
      <c r="D584" s="3"/>
      <c r="E584" s="3"/>
      <c r="F584" t="s">
        <v>551</v>
      </c>
      <c r="H584" t="s">
        <v>2244</v>
      </c>
      <c r="J584" t="s">
        <v>2245</v>
      </c>
      <c r="K584" t="s">
        <v>229</v>
      </c>
      <c r="L584" t="s">
        <v>2246</v>
      </c>
      <c r="M584" t="s">
        <v>2247</v>
      </c>
    </row>
    <row r="585" spans="1:13" customFormat="1" hidden="1" x14ac:dyDescent="0.35">
      <c r="A585" t="s">
        <v>1780</v>
      </c>
      <c r="B585" s="3" t="s">
        <v>102</v>
      </c>
      <c r="C585" s="3"/>
      <c r="D585" s="3"/>
      <c r="E585" s="3"/>
      <c r="F585" t="s">
        <v>551</v>
      </c>
      <c r="H585" t="s">
        <v>2248</v>
      </c>
      <c r="J585" t="s">
        <v>2249</v>
      </c>
      <c r="K585" t="s">
        <v>1198</v>
      </c>
      <c r="L585" t="s">
        <v>2250</v>
      </c>
      <c r="M585" t="s">
        <v>2249</v>
      </c>
    </row>
    <row r="586" spans="1:13" customFormat="1" hidden="1" x14ac:dyDescent="0.35">
      <c r="A586" t="s">
        <v>1780</v>
      </c>
      <c r="B586" s="3" t="s">
        <v>102</v>
      </c>
      <c r="C586" s="3"/>
      <c r="D586" s="3"/>
      <c r="E586" s="3"/>
      <c r="F586" t="s">
        <v>551</v>
      </c>
      <c r="H586" t="s">
        <v>2251</v>
      </c>
      <c r="J586" t="s">
        <v>2252</v>
      </c>
    </row>
    <row r="587" spans="1:13" customFormat="1" hidden="1" x14ac:dyDescent="0.35">
      <c r="A587" t="s">
        <v>1780</v>
      </c>
      <c r="B587" s="3" t="s">
        <v>102</v>
      </c>
      <c r="C587" s="3"/>
      <c r="D587" s="3"/>
      <c r="E587" s="3"/>
      <c r="F587" t="s">
        <v>551</v>
      </c>
      <c r="H587" t="s">
        <v>2253</v>
      </c>
      <c r="J587" t="s">
        <v>2254</v>
      </c>
      <c r="K587" t="s">
        <v>241</v>
      </c>
      <c r="L587" t="s">
        <v>2255</v>
      </c>
      <c r="M587" t="s">
        <v>2256</v>
      </c>
    </row>
    <row r="588" spans="1:13" customFormat="1" hidden="1" x14ac:dyDescent="0.35">
      <c r="A588" t="s">
        <v>1780</v>
      </c>
      <c r="B588" s="3" t="s">
        <v>102</v>
      </c>
      <c r="C588" s="3"/>
      <c r="D588" s="3"/>
      <c r="E588" s="3"/>
      <c r="F588" t="s">
        <v>551</v>
      </c>
      <c r="H588" t="s">
        <v>2257</v>
      </c>
      <c r="J588" t="s">
        <v>2258</v>
      </c>
      <c r="K588" t="s">
        <v>241</v>
      </c>
      <c r="L588" t="s">
        <v>2259</v>
      </c>
      <c r="M588" t="s">
        <v>2260</v>
      </c>
    </row>
    <row r="589" spans="1:13" customFormat="1" hidden="1" x14ac:dyDescent="0.35">
      <c r="A589" t="s">
        <v>1780</v>
      </c>
      <c r="B589" s="3" t="s">
        <v>102</v>
      </c>
      <c r="C589" s="3"/>
      <c r="D589" s="3"/>
      <c r="E589" s="3"/>
      <c r="F589" t="s">
        <v>551</v>
      </c>
      <c r="H589" t="s">
        <v>2261</v>
      </c>
      <c r="J589" t="s">
        <v>2262</v>
      </c>
      <c r="K589" t="s">
        <v>1198</v>
      </c>
      <c r="L589" t="s">
        <v>2263</v>
      </c>
      <c r="M589" t="s">
        <v>2264</v>
      </c>
    </row>
    <row r="590" spans="1:13" customFormat="1" hidden="1" x14ac:dyDescent="0.35">
      <c r="A590" t="s">
        <v>1780</v>
      </c>
      <c r="B590" s="3" t="s">
        <v>102</v>
      </c>
      <c r="C590" s="3"/>
      <c r="D590" s="3"/>
      <c r="E590" s="3"/>
      <c r="F590" t="s">
        <v>551</v>
      </c>
      <c r="H590" t="s">
        <v>2265</v>
      </c>
      <c r="J590" t="s">
        <v>2266</v>
      </c>
      <c r="K590" t="s">
        <v>1187</v>
      </c>
      <c r="L590" t="s">
        <v>2267</v>
      </c>
      <c r="M590" t="s">
        <v>2268</v>
      </c>
    </row>
    <row r="591" spans="1:13" customFormat="1" hidden="1" x14ac:dyDescent="0.35">
      <c r="A591" t="s">
        <v>1780</v>
      </c>
      <c r="B591" s="3" t="s">
        <v>102</v>
      </c>
      <c r="C591" s="3"/>
      <c r="D591" s="3"/>
      <c r="E591" s="3"/>
      <c r="F591" t="s">
        <v>551</v>
      </c>
      <c r="H591" t="s">
        <v>2269</v>
      </c>
      <c r="J591" t="s">
        <v>2270</v>
      </c>
      <c r="K591" t="s">
        <v>1187</v>
      </c>
      <c r="L591" t="s">
        <v>2271</v>
      </c>
      <c r="M591" t="s">
        <v>2272</v>
      </c>
    </row>
    <row r="592" spans="1:13" customFormat="1" hidden="1" x14ac:dyDescent="0.35">
      <c r="A592" t="s">
        <v>1780</v>
      </c>
      <c r="B592" s="3" t="s">
        <v>102</v>
      </c>
      <c r="C592" s="3"/>
      <c r="D592" s="3"/>
      <c r="E592" s="3"/>
      <c r="F592" t="s">
        <v>551</v>
      </c>
      <c r="H592" t="s">
        <v>2273</v>
      </c>
      <c r="J592" t="s">
        <v>2274</v>
      </c>
      <c r="K592" t="s">
        <v>1187</v>
      </c>
      <c r="L592" t="s">
        <v>2275</v>
      </c>
      <c r="M592" t="s">
        <v>2276</v>
      </c>
    </row>
    <row r="593" spans="1:13" customFormat="1" hidden="1" x14ac:dyDescent="0.35">
      <c r="A593" t="s">
        <v>1780</v>
      </c>
      <c r="B593" s="3" t="s">
        <v>102</v>
      </c>
      <c r="C593" s="3"/>
      <c r="D593" s="3"/>
      <c r="E593" s="3"/>
      <c r="F593" t="s">
        <v>551</v>
      </c>
      <c r="H593" t="s">
        <v>2277</v>
      </c>
      <c r="J593" t="s">
        <v>2278</v>
      </c>
      <c r="K593" t="s">
        <v>1187</v>
      </c>
      <c r="L593" t="s">
        <v>2279</v>
      </c>
      <c r="M593" t="s">
        <v>2280</v>
      </c>
    </row>
    <row r="594" spans="1:13" customFormat="1" hidden="1" x14ac:dyDescent="0.35">
      <c r="A594" t="s">
        <v>1780</v>
      </c>
      <c r="B594" s="3" t="s">
        <v>102</v>
      </c>
      <c r="C594" s="3"/>
      <c r="D594" s="3"/>
      <c r="E594" s="3"/>
      <c r="F594" t="s">
        <v>551</v>
      </c>
      <c r="H594" t="s">
        <v>2281</v>
      </c>
      <c r="J594" t="s">
        <v>2282</v>
      </c>
      <c r="K594" t="s">
        <v>229</v>
      </c>
      <c r="L594" t="s">
        <v>302</v>
      </c>
      <c r="M594" t="s">
        <v>2283</v>
      </c>
    </row>
    <row r="595" spans="1:13" customFormat="1" hidden="1" x14ac:dyDescent="0.35">
      <c r="A595" t="s">
        <v>1780</v>
      </c>
      <c r="B595" s="3" t="s">
        <v>102</v>
      </c>
      <c r="C595" s="3"/>
      <c r="D595" s="3"/>
      <c r="E595" s="3"/>
      <c r="F595" t="s">
        <v>2284</v>
      </c>
      <c r="J595" t="s">
        <v>2285</v>
      </c>
    </row>
    <row r="596" spans="1:13" customFormat="1" hidden="1" x14ac:dyDescent="0.35">
      <c r="A596" t="s">
        <v>1780</v>
      </c>
      <c r="B596" s="3" t="s">
        <v>102</v>
      </c>
      <c r="C596" s="3"/>
      <c r="D596" s="3"/>
      <c r="E596" s="3"/>
      <c r="F596" t="s">
        <v>2284</v>
      </c>
      <c r="H596" t="s">
        <v>2286</v>
      </c>
      <c r="J596" t="s">
        <v>2287</v>
      </c>
      <c r="K596" t="s">
        <v>241</v>
      </c>
      <c r="L596" t="s">
        <v>2288</v>
      </c>
      <c r="M596" t="s">
        <v>2289</v>
      </c>
    </row>
    <row r="597" spans="1:13" customFormat="1" hidden="1" x14ac:dyDescent="0.35">
      <c r="A597" t="s">
        <v>1780</v>
      </c>
      <c r="B597" s="3" t="s">
        <v>102</v>
      </c>
      <c r="C597" s="3"/>
      <c r="D597" s="3"/>
      <c r="E597" s="3"/>
      <c r="F597" t="s">
        <v>2284</v>
      </c>
      <c r="H597" t="s">
        <v>2290</v>
      </c>
      <c r="J597" t="s">
        <v>2291</v>
      </c>
      <c r="K597" t="s">
        <v>241</v>
      </c>
      <c r="L597" t="s">
        <v>2292</v>
      </c>
      <c r="M597" t="s">
        <v>2293</v>
      </c>
    </row>
    <row r="598" spans="1:13" customFormat="1" hidden="1" x14ac:dyDescent="0.35">
      <c r="A598" t="s">
        <v>1780</v>
      </c>
      <c r="B598" s="3" t="s">
        <v>102</v>
      </c>
      <c r="C598" s="3"/>
      <c r="D598" s="3"/>
      <c r="E598" s="3"/>
      <c r="F598" t="s">
        <v>2284</v>
      </c>
      <c r="H598" t="s">
        <v>2294</v>
      </c>
      <c r="J598" t="s">
        <v>2295</v>
      </c>
      <c r="K598" t="s">
        <v>241</v>
      </c>
      <c r="L598" t="s">
        <v>2296</v>
      </c>
      <c r="M598" t="s">
        <v>2297</v>
      </c>
    </row>
    <row r="599" spans="1:13" customFormat="1" hidden="1" x14ac:dyDescent="0.35">
      <c r="A599" t="s">
        <v>1780</v>
      </c>
      <c r="B599" s="3" t="s">
        <v>102</v>
      </c>
      <c r="C599" s="3"/>
      <c r="D599" s="3"/>
      <c r="E599" s="3"/>
      <c r="F599" t="s">
        <v>2284</v>
      </c>
      <c r="H599" t="s">
        <v>2298</v>
      </c>
      <c r="J599" t="s">
        <v>2299</v>
      </c>
      <c r="K599" t="s">
        <v>241</v>
      </c>
      <c r="L599" t="s">
        <v>2300</v>
      </c>
      <c r="M599" t="s">
        <v>2301</v>
      </c>
    </row>
    <row r="600" spans="1:13" customFormat="1" hidden="1" x14ac:dyDescent="0.35">
      <c r="A600" t="s">
        <v>1780</v>
      </c>
      <c r="B600" s="3" t="s">
        <v>102</v>
      </c>
      <c r="C600" s="3"/>
      <c r="D600" s="3"/>
      <c r="E600" s="3"/>
      <c r="F600" t="s">
        <v>2284</v>
      </c>
      <c r="H600" t="s">
        <v>2302</v>
      </c>
      <c r="J600" t="s">
        <v>2303</v>
      </c>
      <c r="K600" t="s">
        <v>241</v>
      </c>
      <c r="L600" t="s">
        <v>2304</v>
      </c>
      <c r="M600" t="s">
        <v>2305</v>
      </c>
    </row>
    <row r="601" spans="1:13" customFormat="1" hidden="1" x14ac:dyDescent="0.35">
      <c r="A601" t="s">
        <v>1780</v>
      </c>
      <c r="B601" s="3" t="s">
        <v>102</v>
      </c>
      <c r="C601" s="3"/>
      <c r="D601" s="3"/>
      <c r="E601" s="3"/>
      <c r="F601" t="s">
        <v>2284</v>
      </c>
      <c r="H601" t="s">
        <v>2306</v>
      </c>
      <c r="J601" t="s">
        <v>2307</v>
      </c>
      <c r="K601" t="s">
        <v>241</v>
      </c>
      <c r="L601" t="s">
        <v>2308</v>
      </c>
      <c r="M601" t="s">
        <v>2309</v>
      </c>
    </row>
    <row r="602" spans="1:13" customFormat="1" hidden="1" x14ac:dyDescent="0.35">
      <c r="A602" t="s">
        <v>1780</v>
      </c>
      <c r="B602" s="3" t="s">
        <v>102</v>
      </c>
      <c r="C602" s="3"/>
      <c r="D602" s="3"/>
      <c r="E602" s="3"/>
      <c r="F602" t="s">
        <v>2284</v>
      </c>
      <c r="H602" t="s">
        <v>2310</v>
      </c>
      <c r="J602" t="s">
        <v>2311</v>
      </c>
      <c r="K602" t="s">
        <v>241</v>
      </c>
      <c r="L602" t="s">
        <v>2312</v>
      </c>
      <c r="M602" t="s">
        <v>2313</v>
      </c>
    </row>
    <row r="603" spans="1:13" customFormat="1" hidden="1" x14ac:dyDescent="0.35">
      <c r="A603" t="s">
        <v>1780</v>
      </c>
      <c r="B603" s="3" t="s">
        <v>102</v>
      </c>
      <c r="C603" s="3"/>
      <c r="D603" s="3"/>
      <c r="E603" s="3"/>
      <c r="F603" t="s">
        <v>2284</v>
      </c>
      <c r="H603" t="s">
        <v>2314</v>
      </c>
      <c r="J603" t="s">
        <v>2315</v>
      </c>
      <c r="K603" t="s">
        <v>241</v>
      </c>
      <c r="L603" t="s">
        <v>2316</v>
      </c>
      <c r="M603" t="s">
        <v>2317</v>
      </c>
    </row>
    <row r="604" spans="1:13" customFormat="1" hidden="1" x14ac:dyDescent="0.35">
      <c r="A604" t="s">
        <v>1780</v>
      </c>
      <c r="B604" s="3" t="s">
        <v>102</v>
      </c>
      <c r="C604" s="3"/>
      <c r="D604" s="3"/>
      <c r="E604" s="3"/>
      <c r="F604" t="s">
        <v>2284</v>
      </c>
      <c r="H604" t="s">
        <v>2318</v>
      </c>
      <c r="J604" t="s">
        <v>2319</v>
      </c>
      <c r="K604" t="s">
        <v>241</v>
      </c>
      <c r="L604" t="s">
        <v>2320</v>
      </c>
      <c r="M604" t="s">
        <v>2321</v>
      </c>
    </row>
    <row r="605" spans="1:13" customFormat="1" hidden="1" x14ac:dyDescent="0.35">
      <c r="A605" t="s">
        <v>1780</v>
      </c>
      <c r="B605" s="3" t="s">
        <v>102</v>
      </c>
      <c r="C605" s="3"/>
      <c r="D605" s="3"/>
      <c r="E605" s="3"/>
      <c r="F605" t="s">
        <v>2284</v>
      </c>
      <c r="H605" t="s">
        <v>2322</v>
      </c>
      <c r="J605" t="s">
        <v>2323</v>
      </c>
      <c r="K605" t="s">
        <v>241</v>
      </c>
      <c r="L605" t="s">
        <v>2324</v>
      </c>
      <c r="M605" t="s">
        <v>2325</v>
      </c>
    </row>
    <row r="606" spans="1:13" customFormat="1" hidden="1" x14ac:dyDescent="0.35">
      <c r="A606" t="s">
        <v>1780</v>
      </c>
      <c r="B606" s="3" t="s">
        <v>102</v>
      </c>
      <c r="C606" s="3"/>
      <c r="D606" s="3"/>
      <c r="E606" s="3"/>
      <c r="F606" t="s">
        <v>2284</v>
      </c>
      <c r="H606" t="s">
        <v>2326</v>
      </c>
      <c r="J606" t="s">
        <v>2327</v>
      </c>
      <c r="K606" t="s">
        <v>241</v>
      </c>
      <c r="L606" t="s">
        <v>2328</v>
      </c>
      <c r="M606" t="s">
        <v>2329</v>
      </c>
    </row>
    <row r="607" spans="1:13" customFormat="1" hidden="1" x14ac:dyDescent="0.35">
      <c r="A607" t="s">
        <v>1780</v>
      </c>
      <c r="B607" s="3" t="s">
        <v>102</v>
      </c>
      <c r="C607" s="3"/>
      <c r="D607" s="3"/>
      <c r="E607" s="3"/>
      <c r="F607" t="s">
        <v>2284</v>
      </c>
      <c r="H607" t="s">
        <v>2330</v>
      </c>
      <c r="J607" t="s">
        <v>2331</v>
      </c>
      <c r="K607" t="s">
        <v>241</v>
      </c>
      <c r="L607" t="s">
        <v>2332</v>
      </c>
      <c r="M607" t="s">
        <v>2333</v>
      </c>
    </row>
    <row r="608" spans="1:13" customFormat="1" hidden="1" x14ac:dyDescent="0.35">
      <c r="A608" t="s">
        <v>1780</v>
      </c>
      <c r="B608" s="3" t="s">
        <v>102</v>
      </c>
      <c r="C608" s="3"/>
      <c r="D608" s="3"/>
      <c r="E608" s="3"/>
      <c r="F608" t="s">
        <v>2284</v>
      </c>
      <c r="H608" t="s">
        <v>2334</v>
      </c>
      <c r="J608" t="s">
        <v>2335</v>
      </c>
      <c r="K608" t="s">
        <v>241</v>
      </c>
      <c r="L608" t="s">
        <v>2336</v>
      </c>
      <c r="M608" t="s">
        <v>2337</v>
      </c>
    </row>
    <row r="609" spans="1:13" customFormat="1" hidden="1" x14ac:dyDescent="0.35">
      <c r="A609" t="s">
        <v>1780</v>
      </c>
      <c r="B609" s="3" t="s">
        <v>102</v>
      </c>
      <c r="C609" s="3"/>
      <c r="D609" s="3"/>
      <c r="E609" s="3"/>
      <c r="F609" t="s">
        <v>2284</v>
      </c>
      <c r="H609" t="s">
        <v>2338</v>
      </c>
      <c r="J609" t="s">
        <v>2339</v>
      </c>
      <c r="K609" t="s">
        <v>241</v>
      </c>
      <c r="L609" t="s">
        <v>2340</v>
      </c>
      <c r="M609" t="s">
        <v>2341</v>
      </c>
    </row>
    <row r="610" spans="1:13" customFormat="1" hidden="1" x14ac:dyDescent="0.35">
      <c r="A610" t="s">
        <v>1780</v>
      </c>
      <c r="B610" s="3" t="s">
        <v>102</v>
      </c>
      <c r="C610" s="3"/>
      <c r="D610" s="3"/>
      <c r="E610" s="3"/>
      <c r="F610" t="s">
        <v>2284</v>
      </c>
      <c r="H610" t="s">
        <v>2342</v>
      </c>
      <c r="J610" t="s">
        <v>2343</v>
      </c>
      <c r="K610" t="s">
        <v>241</v>
      </c>
      <c r="L610" t="s">
        <v>2344</v>
      </c>
      <c r="M610" t="s">
        <v>2345</v>
      </c>
    </row>
    <row r="611" spans="1:13" customFormat="1" hidden="1" x14ac:dyDescent="0.35">
      <c r="A611" t="s">
        <v>1780</v>
      </c>
      <c r="B611" s="3" t="s">
        <v>102</v>
      </c>
      <c r="C611" s="3"/>
      <c r="D611" s="3"/>
      <c r="E611" s="3"/>
      <c r="F611" t="s">
        <v>2284</v>
      </c>
      <c r="H611" t="s">
        <v>2346</v>
      </c>
      <c r="J611" t="s">
        <v>2347</v>
      </c>
      <c r="K611" t="s">
        <v>241</v>
      </c>
      <c r="L611" t="s">
        <v>2348</v>
      </c>
      <c r="M611" t="s">
        <v>2349</v>
      </c>
    </row>
    <row r="612" spans="1:13" customFormat="1" hidden="1" x14ac:dyDescent="0.35">
      <c r="A612" t="s">
        <v>1780</v>
      </c>
      <c r="B612" s="3" t="s">
        <v>102</v>
      </c>
      <c r="C612" s="3"/>
      <c r="D612" s="3"/>
      <c r="E612" s="3"/>
      <c r="F612" t="s">
        <v>2284</v>
      </c>
      <c r="H612" t="s">
        <v>2350</v>
      </c>
      <c r="J612" t="s">
        <v>2351</v>
      </c>
      <c r="K612" t="s">
        <v>241</v>
      </c>
      <c r="L612" t="s">
        <v>2352</v>
      </c>
      <c r="M612" t="s">
        <v>2353</v>
      </c>
    </row>
    <row r="613" spans="1:13" customFormat="1" hidden="1" x14ac:dyDescent="0.35">
      <c r="A613" t="s">
        <v>1780</v>
      </c>
      <c r="B613" s="3" t="s">
        <v>102</v>
      </c>
      <c r="C613" s="3"/>
      <c r="D613" s="3"/>
      <c r="E613" s="3"/>
      <c r="F613" t="s">
        <v>2284</v>
      </c>
      <c r="H613" t="s">
        <v>2354</v>
      </c>
      <c r="J613" t="s">
        <v>2355</v>
      </c>
      <c r="K613" t="s">
        <v>241</v>
      </c>
      <c r="L613" t="s">
        <v>2356</v>
      </c>
      <c r="M613" t="s">
        <v>2357</v>
      </c>
    </row>
    <row r="614" spans="1:13" customFormat="1" hidden="1" x14ac:dyDescent="0.35">
      <c r="A614" t="s">
        <v>1780</v>
      </c>
      <c r="B614" s="3" t="s">
        <v>102</v>
      </c>
      <c r="C614" s="3"/>
      <c r="D614" s="3"/>
      <c r="E614" s="3"/>
      <c r="F614" t="s">
        <v>2284</v>
      </c>
      <c r="H614" t="s">
        <v>2358</v>
      </c>
      <c r="J614" t="s">
        <v>2359</v>
      </c>
      <c r="K614" t="s">
        <v>241</v>
      </c>
      <c r="L614" t="s">
        <v>2360</v>
      </c>
      <c r="M614" t="s">
        <v>2361</v>
      </c>
    </row>
    <row r="615" spans="1:13" customFormat="1" hidden="1" x14ac:dyDescent="0.35">
      <c r="A615" t="s">
        <v>1780</v>
      </c>
      <c r="B615" s="3" t="s">
        <v>102</v>
      </c>
      <c r="C615" s="3"/>
      <c r="D615" s="3"/>
      <c r="E615" s="3"/>
      <c r="F615" t="s">
        <v>2284</v>
      </c>
      <c r="H615" t="s">
        <v>2358</v>
      </c>
      <c r="J615" t="s">
        <v>2362</v>
      </c>
      <c r="K615" t="s">
        <v>229</v>
      </c>
      <c r="L615" t="s">
        <v>2363</v>
      </c>
      <c r="M615" t="s">
        <v>2364</v>
      </c>
    </row>
    <row r="616" spans="1:13" customFormat="1" hidden="1" x14ac:dyDescent="0.35">
      <c r="A616" t="s">
        <v>1780</v>
      </c>
      <c r="B616" s="3" t="s">
        <v>102</v>
      </c>
      <c r="C616" s="3"/>
      <c r="D616" s="3"/>
      <c r="E616" s="3"/>
      <c r="F616" t="s">
        <v>2365</v>
      </c>
      <c r="H616" t="s">
        <v>2366</v>
      </c>
      <c r="J616" t="s">
        <v>2367</v>
      </c>
      <c r="K616" t="s">
        <v>2368</v>
      </c>
      <c r="L616" t="s">
        <v>2369</v>
      </c>
      <c r="M616" t="s">
        <v>248</v>
      </c>
    </row>
    <row r="617" spans="1:13" customFormat="1" hidden="1" x14ac:dyDescent="0.35">
      <c r="A617" t="s">
        <v>1780</v>
      </c>
      <c r="B617" s="3" t="s">
        <v>102</v>
      </c>
      <c r="C617" s="3"/>
      <c r="D617" s="3"/>
      <c r="E617" s="3"/>
      <c r="F617" t="s">
        <v>2365</v>
      </c>
      <c r="H617" t="s">
        <v>2370</v>
      </c>
      <c r="J617" t="s">
        <v>2371</v>
      </c>
      <c r="K617" t="s">
        <v>2372</v>
      </c>
      <c r="L617" t="s">
        <v>2373</v>
      </c>
      <c r="M617" t="s">
        <v>2374</v>
      </c>
    </row>
    <row r="618" spans="1:13" customFormat="1" hidden="1" x14ac:dyDescent="0.35">
      <c r="A618" t="s">
        <v>1780</v>
      </c>
      <c r="B618" s="3" t="s">
        <v>102</v>
      </c>
      <c r="C618" s="3"/>
      <c r="D618" s="3"/>
      <c r="E618" s="3"/>
      <c r="F618" t="s">
        <v>2375</v>
      </c>
      <c r="H618" t="s">
        <v>2376</v>
      </c>
      <c r="J618" t="s">
        <v>2377</v>
      </c>
      <c r="K618" t="s">
        <v>2378</v>
      </c>
      <c r="L618" t="s">
        <v>2379</v>
      </c>
      <c r="M618" t="s">
        <v>229</v>
      </c>
    </row>
    <row r="619" spans="1:13" customFormat="1" hidden="1" x14ac:dyDescent="0.35">
      <c r="A619" t="s">
        <v>1780</v>
      </c>
      <c r="B619" s="3" t="s">
        <v>102</v>
      </c>
      <c r="C619" s="3"/>
      <c r="D619" s="3"/>
      <c r="E619" s="3"/>
      <c r="F619" t="s">
        <v>2375</v>
      </c>
      <c r="H619" t="s">
        <v>2380</v>
      </c>
      <c r="J619" t="s">
        <v>2381</v>
      </c>
      <c r="K619" t="s">
        <v>784</v>
      </c>
      <c r="L619" t="s">
        <v>2382</v>
      </c>
      <c r="M619" t="s">
        <v>229</v>
      </c>
    </row>
    <row r="620" spans="1:13" customFormat="1" hidden="1" x14ac:dyDescent="0.35">
      <c r="A620" t="s">
        <v>1780</v>
      </c>
      <c r="B620" s="3" t="s">
        <v>102</v>
      </c>
      <c r="C620" s="3"/>
      <c r="D620" s="3"/>
      <c r="E620" s="3"/>
      <c r="F620" t="s">
        <v>2375</v>
      </c>
      <c r="H620" t="s">
        <v>2383</v>
      </c>
      <c r="J620" t="s">
        <v>2384</v>
      </c>
      <c r="K620" t="s">
        <v>2385</v>
      </c>
      <c r="L620" t="s">
        <v>2386</v>
      </c>
      <c r="M620" t="s">
        <v>229</v>
      </c>
    </row>
    <row r="621" spans="1:13" customFormat="1" hidden="1" x14ac:dyDescent="0.35">
      <c r="A621" t="s">
        <v>1780</v>
      </c>
      <c r="B621" s="3" t="s">
        <v>102</v>
      </c>
      <c r="C621" s="3"/>
      <c r="D621" s="3"/>
      <c r="E621" s="3"/>
      <c r="F621" t="s">
        <v>2375</v>
      </c>
      <c r="H621" t="s">
        <v>2387</v>
      </c>
      <c r="J621" t="s">
        <v>2388</v>
      </c>
      <c r="K621" t="s">
        <v>2389</v>
      </c>
      <c r="L621" t="s">
        <v>2390</v>
      </c>
      <c r="M621" t="s">
        <v>229</v>
      </c>
    </row>
    <row r="622" spans="1:13" customFormat="1" hidden="1" x14ac:dyDescent="0.35">
      <c r="A622" t="s">
        <v>1780</v>
      </c>
      <c r="B622" s="3" t="s">
        <v>102</v>
      </c>
      <c r="C622" s="3"/>
      <c r="D622" s="3"/>
      <c r="E622" s="3"/>
      <c r="F622" t="s">
        <v>2375</v>
      </c>
      <c r="H622" t="s">
        <v>2391</v>
      </c>
      <c r="J622" t="s">
        <v>2392</v>
      </c>
      <c r="K622" t="s">
        <v>2393</v>
      </c>
      <c r="L622" t="s">
        <v>2394</v>
      </c>
      <c r="M622" t="s">
        <v>229</v>
      </c>
    </row>
    <row r="623" spans="1:13" customFormat="1" hidden="1" x14ac:dyDescent="0.35">
      <c r="A623" t="s">
        <v>1780</v>
      </c>
      <c r="B623" s="3" t="s">
        <v>102</v>
      </c>
      <c r="C623" s="3"/>
      <c r="D623" s="3"/>
      <c r="E623" s="3"/>
      <c r="F623" t="s">
        <v>2375</v>
      </c>
      <c r="H623" t="s">
        <v>2395</v>
      </c>
      <c r="J623" t="s">
        <v>2396</v>
      </c>
      <c r="K623" t="s">
        <v>2397</v>
      </c>
      <c r="L623" t="s">
        <v>2398</v>
      </c>
      <c r="M623" t="s">
        <v>229</v>
      </c>
    </row>
    <row r="624" spans="1:13" customFormat="1" hidden="1" x14ac:dyDescent="0.35">
      <c r="A624" t="s">
        <v>1780</v>
      </c>
      <c r="B624" s="3" t="s">
        <v>102</v>
      </c>
      <c r="C624" s="3"/>
      <c r="D624" s="3"/>
      <c r="E624" s="3"/>
      <c r="F624" t="s">
        <v>2375</v>
      </c>
      <c r="H624" t="s">
        <v>2399</v>
      </c>
      <c r="J624" t="s">
        <v>2400</v>
      </c>
      <c r="K624" t="s">
        <v>2401</v>
      </c>
      <c r="L624" t="s">
        <v>2402</v>
      </c>
      <c r="M624" t="s">
        <v>229</v>
      </c>
    </row>
    <row r="625" spans="1:16" hidden="1" x14ac:dyDescent="0.35">
      <c r="A625" t="s">
        <v>2403</v>
      </c>
      <c r="B625" s="3" t="s">
        <v>102</v>
      </c>
      <c r="C625" s="3" t="s">
        <v>9209</v>
      </c>
      <c r="D625" s="16" t="s">
        <v>9210</v>
      </c>
      <c r="E625" s="3"/>
      <c r="F625" t="s">
        <v>2375</v>
      </c>
      <c r="H625" t="s">
        <v>2404</v>
      </c>
      <c r="J625" t="s">
        <v>2405</v>
      </c>
      <c r="K625" t="s">
        <v>2406</v>
      </c>
      <c r="L625" t="s">
        <v>2407</v>
      </c>
      <c r="M625" t="s">
        <v>229</v>
      </c>
      <c r="P625" s="18" t="s">
        <v>2408</v>
      </c>
    </row>
    <row r="626" spans="1:16" hidden="1" x14ac:dyDescent="0.35">
      <c r="A626" t="s">
        <v>2403</v>
      </c>
      <c r="B626" s="3" t="s">
        <v>102</v>
      </c>
      <c r="C626" s="3" t="s">
        <v>9209</v>
      </c>
      <c r="D626" s="3"/>
      <c r="E626" s="3"/>
      <c r="F626" t="s">
        <v>2375</v>
      </c>
      <c r="H626" t="s">
        <v>2409</v>
      </c>
      <c r="J626" t="s">
        <v>2410</v>
      </c>
      <c r="K626" t="s">
        <v>2411</v>
      </c>
      <c r="L626" t="s">
        <v>2412</v>
      </c>
      <c r="M626" t="s">
        <v>229</v>
      </c>
      <c r="P626" s="18" t="s">
        <v>2413</v>
      </c>
    </row>
    <row r="627" spans="1:16" hidden="1" x14ac:dyDescent="0.35">
      <c r="A627" t="s">
        <v>2403</v>
      </c>
      <c r="B627" s="3" t="s">
        <v>102</v>
      </c>
      <c r="C627" s="3" t="s">
        <v>9209</v>
      </c>
      <c r="D627" s="3"/>
      <c r="E627" s="3"/>
      <c r="F627" t="s">
        <v>2375</v>
      </c>
      <c r="H627" t="s">
        <v>2414</v>
      </c>
      <c r="J627" t="s">
        <v>2415</v>
      </c>
      <c r="K627" t="s">
        <v>2416</v>
      </c>
      <c r="L627" t="s">
        <v>2417</v>
      </c>
      <c r="M627" t="s">
        <v>229</v>
      </c>
      <c r="P627" s="18" t="s">
        <v>2418</v>
      </c>
    </row>
    <row r="628" spans="1:16" hidden="1" x14ac:dyDescent="0.35">
      <c r="A628" t="s">
        <v>2403</v>
      </c>
      <c r="B628" s="3" t="s">
        <v>102</v>
      </c>
      <c r="C628" s="3" t="s">
        <v>9209</v>
      </c>
      <c r="D628" s="3"/>
      <c r="E628" s="3"/>
      <c r="F628" t="s">
        <v>2375</v>
      </c>
      <c r="H628" t="s">
        <v>2419</v>
      </c>
      <c r="J628" t="s">
        <v>2420</v>
      </c>
      <c r="K628" t="s">
        <v>2421</v>
      </c>
      <c r="L628" t="s">
        <v>2422</v>
      </c>
      <c r="M628" t="s">
        <v>229</v>
      </c>
      <c r="P628" s="18" t="s">
        <v>2423</v>
      </c>
    </row>
    <row r="629" spans="1:16" hidden="1" x14ac:dyDescent="0.35">
      <c r="A629" t="s">
        <v>2403</v>
      </c>
      <c r="B629" s="3" t="s">
        <v>102</v>
      </c>
      <c r="C629" s="3" t="s">
        <v>9209</v>
      </c>
      <c r="D629" s="3"/>
      <c r="E629" s="3"/>
      <c r="F629" t="s">
        <v>2375</v>
      </c>
      <c r="H629" t="s">
        <v>1369</v>
      </c>
      <c r="J629" t="s">
        <v>2424</v>
      </c>
      <c r="K629" t="s">
        <v>2425</v>
      </c>
      <c r="L629" t="s">
        <v>2426</v>
      </c>
      <c r="M629" t="s">
        <v>229</v>
      </c>
      <c r="P629" s="18" t="s">
        <v>2427</v>
      </c>
    </row>
    <row r="630" spans="1:16" hidden="1" x14ac:dyDescent="0.35">
      <c r="A630" t="s">
        <v>2403</v>
      </c>
      <c r="B630" s="3" t="s">
        <v>102</v>
      </c>
      <c r="C630" s="3" t="s">
        <v>9209</v>
      </c>
      <c r="D630" s="3"/>
      <c r="E630" s="3"/>
      <c r="F630" t="s">
        <v>2375</v>
      </c>
      <c r="H630" t="s">
        <v>1374</v>
      </c>
      <c r="J630" t="s">
        <v>2392</v>
      </c>
      <c r="K630" t="s">
        <v>2428</v>
      </c>
      <c r="L630" t="s">
        <v>2429</v>
      </c>
      <c r="M630" t="s">
        <v>229</v>
      </c>
      <c r="P630" s="18" t="s">
        <v>2430</v>
      </c>
    </row>
    <row r="631" spans="1:16" hidden="1" x14ac:dyDescent="0.35">
      <c r="A631" t="s">
        <v>2403</v>
      </c>
      <c r="B631" s="3" t="s">
        <v>102</v>
      </c>
      <c r="C631" s="3" t="s">
        <v>9209</v>
      </c>
      <c r="D631" s="3"/>
      <c r="E631" s="3"/>
      <c r="F631" t="s">
        <v>2375</v>
      </c>
      <c r="H631" t="s">
        <v>1379</v>
      </c>
      <c r="J631" t="s">
        <v>2396</v>
      </c>
      <c r="K631" t="s">
        <v>2431</v>
      </c>
      <c r="L631" t="s">
        <v>2432</v>
      </c>
      <c r="M631" t="s">
        <v>229</v>
      </c>
      <c r="P631" s="18" t="s">
        <v>2433</v>
      </c>
    </row>
    <row r="632" spans="1:16" hidden="1" x14ac:dyDescent="0.35">
      <c r="A632" t="s">
        <v>2403</v>
      </c>
      <c r="B632" s="3" t="s">
        <v>102</v>
      </c>
      <c r="C632" s="3" t="s">
        <v>9209</v>
      </c>
      <c r="D632" s="3"/>
      <c r="E632" s="3"/>
      <c r="F632" t="s">
        <v>2375</v>
      </c>
      <c r="H632" t="s">
        <v>2434</v>
      </c>
      <c r="J632" t="s">
        <v>2400</v>
      </c>
      <c r="K632" t="s">
        <v>2435</v>
      </c>
      <c r="L632" t="s">
        <v>2436</v>
      </c>
      <c r="M632" t="s">
        <v>229</v>
      </c>
      <c r="P632" s="18" t="s">
        <v>2437</v>
      </c>
    </row>
    <row r="633" spans="1:16" hidden="1" x14ac:dyDescent="0.35">
      <c r="A633" t="s">
        <v>2403</v>
      </c>
      <c r="B633" s="3" t="s">
        <v>102</v>
      </c>
      <c r="C633" s="3" t="s">
        <v>9209</v>
      </c>
      <c r="D633" s="3"/>
      <c r="E633" s="3"/>
      <c r="F633" t="s">
        <v>2375</v>
      </c>
      <c r="H633" t="s">
        <v>2438</v>
      </c>
      <c r="J633" t="s">
        <v>2405</v>
      </c>
      <c r="K633" t="s">
        <v>2439</v>
      </c>
      <c r="L633" t="s">
        <v>2440</v>
      </c>
      <c r="M633" t="s">
        <v>229</v>
      </c>
      <c r="P633" s="18" t="s">
        <v>2408</v>
      </c>
    </row>
    <row r="634" spans="1:16" hidden="1" x14ac:dyDescent="0.35">
      <c r="A634" t="s">
        <v>2403</v>
      </c>
      <c r="B634" s="3" t="s">
        <v>102</v>
      </c>
      <c r="C634" s="3" t="s">
        <v>9209</v>
      </c>
      <c r="D634" s="3"/>
      <c r="E634" s="3"/>
      <c r="F634" t="s">
        <v>2375</v>
      </c>
      <c r="H634" t="s">
        <v>2441</v>
      </c>
      <c r="J634" t="s">
        <v>2410</v>
      </c>
      <c r="K634" t="s">
        <v>2442</v>
      </c>
      <c r="L634" t="s">
        <v>2443</v>
      </c>
      <c r="M634" t="s">
        <v>229</v>
      </c>
      <c r="P634" s="18" t="s">
        <v>2413</v>
      </c>
    </row>
    <row r="635" spans="1:16" hidden="1" x14ac:dyDescent="0.35">
      <c r="A635" t="s">
        <v>2403</v>
      </c>
      <c r="B635" s="3" t="s">
        <v>102</v>
      </c>
      <c r="C635" s="3" t="s">
        <v>9209</v>
      </c>
      <c r="D635" s="3"/>
      <c r="E635" s="3"/>
      <c r="F635" t="s">
        <v>2375</v>
      </c>
      <c r="H635" t="s">
        <v>2444</v>
      </c>
      <c r="J635" t="s">
        <v>2415</v>
      </c>
      <c r="K635" t="s">
        <v>2445</v>
      </c>
      <c r="L635" t="s">
        <v>2446</v>
      </c>
      <c r="M635" t="s">
        <v>229</v>
      </c>
      <c r="P635" s="18" t="s">
        <v>2418</v>
      </c>
    </row>
    <row r="636" spans="1:16" hidden="1" x14ac:dyDescent="0.35">
      <c r="A636" t="s">
        <v>2403</v>
      </c>
      <c r="B636" s="3" t="s">
        <v>102</v>
      </c>
      <c r="C636" s="3" t="s">
        <v>9209</v>
      </c>
      <c r="D636" s="3"/>
      <c r="E636" s="3"/>
      <c r="F636" t="s">
        <v>2375</v>
      </c>
      <c r="H636" t="s">
        <v>2447</v>
      </c>
      <c r="J636" t="s">
        <v>2448</v>
      </c>
      <c r="K636" t="s">
        <v>2449</v>
      </c>
      <c r="L636" t="s">
        <v>2450</v>
      </c>
      <c r="M636" t="s">
        <v>229</v>
      </c>
      <c r="P636" s="18" t="s">
        <v>2451</v>
      </c>
    </row>
    <row r="637" spans="1:16" hidden="1" x14ac:dyDescent="0.35">
      <c r="A637" t="s">
        <v>2403</v>
      </c>
      <c r="B637" s="3" t="s">
        <v>102</v>
      </c>
      <c r="C637" s="3" t="s">
        <v>9209</v>
      </c>
      <c r="D637" s="3"/>
      <c r="E637" s="3"/>
      <c r="F637" t="s">
        <v>2375</v>
      </c>
      <c r="H637" t="s">
        <v>1384</v>
      </c>
      <c r="J637" t="s">
        <v>2452</v>
      </c>
      <c r="K637" t="s">
        <v>2453</v>
      </c>
      <c r="L637" t="s">
        <v>2454</v>
      </c>
      <c r="M637" t="s">
        <v>2374</v>
      </c>
      <c r="P637" s="18" t="s">
        <v>1341</v>
      </c>
    </row>
    <row r="638" spans="1:16" hidden="1" x14ac:dyDescent="0.35">
      <c r="A638" t="s">
        <v>2403</v>
      </c>
      <c r="B638" s="3" t="s">
        <v>102</v>
      </c>
      <c r="C638" s="3" t="s">
        <v>9209</v>
      </c>
      <c r="D638" s="3"/>
      <c r="E638" s="3"/>
      <c r="F638" t="s">
        <v>2375</v>
      </c>
      <c r="H638" t="s">
        <v>1408</v>
      </c>
      <c r="J638" t="s">
        <v>2455</v>
      </c>
      <c r="K638" t="s">
        <v>2456</v>
      </c>
      <c r="L638" t="s">
        <v>2457</v>
      </c>
      <c r="M638" t="s">
        <v>2374</v>
      </c>
      <c r="P638" s="18" t="s">
        <v>1341</v>
      </c>
    </row>
    <row r="639" spans="1:16" hidden="1" x14ac:dyDescent="0.35">
      <c r="A639" t="s">
        <v>2403</v>
      </c>
      <c r="B639" s="3" t="s">
        <v>102</v>
      </c>
      <c r="C639" s="3" t="s">
        <v>9209</v>
      </c>
      <c r="D639" s="3"/>
      <c r="E639" s="3"/>
      <c r="F639" t="s">
        <v>2375</v>
      </c>
      <c r="H639" t="s">
        <v>1425</v>
      </c>
      <c r="J639" t="s">
        <v>2458</v>
      </c>
      <c r="K639" t="s">
        <v>2459</v>
      </c>
      <c r="L639" t="s">
        <v>2460</v>
      </c>
      <c r="M639" t="s">
        <v>2374</v>
      </c>
      <c r="P639" s="18" t="s">
        <v>27</v>
      </c>
    </row>
    <row r="640" spans="1:16" hidden="1" x14ac:dyDescent="0.35">
      <c r="A640" t="s">
        <v>2403</v>
      </c>
      <c r="B640" s="3" t="s">
        <v>102</v>
      </c>
      <c r="C640" s="3" t="s">
        <v>9209</v>
      </c>
      <c r="D640" s="3"/>
      <c r="E640" s="3"/>
      <c r="F640" t="s">
        <v>2375</v>
      </c>
      <c r="H640" t="s">
        <v>2461</v>
      </c>
      <c r="J640" t="s">
        <v>2462</v>
      </c>
      <c r="K640" t="s">
        <v>2463</v>
      </c>
      <c r="L640" t="s">
        <v>2464</v>
      </c>
      <c r="M640" t="s">
        <v>229</v>
      </c>
      <c r="P640" s="18" t="s">
        <v>2465</v>
      </c>
    </row>
    <row r="641" spans="1:16" hidden="1" x14ac:dyDescent="0.35">
      <c r="A641" t="s">
        <v>2403</v>
      </c>
      <c r="B641" s="3" t="s">
        <v>102</v>
      </c>
      <c r="C641" s="3" t="s">
        <v>9209</v>
      </c>
      <c r="D641" s="3"/>
      <c r="E641" s="3"/>
      <c r="F641" t="s">
        <v>2375</v>
      </c>
      <c r="H641" t="s">
        <v>1443</v>
      </c>
      <c r="J641" t="s">
        <v>2466</v>
      </c>
      <c r="K641" t="s">
        <v>2467</v>
      </c>
      <c r="L641" t="s">
        <v>2468</v>
      </c>
      <c r="M641" t="s">
        <v>2374</v>
      </c>
      <c r="P641" s="18" t="s">
        <v>27</v>
      </c>
    </row>
    <row r="642" spans="1:16" hidden="1" x14ac:dyDescent="0.35">
      <c r="A642" t="s">
        <v>2403</v>
      </c>
      <c r="B642" s="3" t="s">
        <v>102</v>
      </c>
      <c r="C642" s="3" t="s">
        <v>9209</v>
      </c>
      <c r="D642" s="3"/>
      <c r="E642" s="3"/>
      <c r="F642" t="s">
        <v>2375</v>
      </c>
      <c r="H642" t="s">
        <v>2469</v>
      </c>
      <c r="J642" t="s">
        <v>2470</v>
      </c>
      <c r="K642" t="s">
        <v>2471</v>
      </c>
      <c r="L642" t="s">
        <v>2472</v>
      </c>
      <c r="M642" t="s">
        <v>241</v>
      </c>
      <c r="P642" s="18">
        <v>1</v>
      </c>
    </row>
    <row r="643" spans="1:16" hidden="1" x14ac:dyDescent="0.35">
      <c r="A643" t="s">
        <v>2403</v>
      </c>
      <c r="B643" s="3" t="s">
        <v>102</v>
      </c>
      <c r="C643" s="3" t="s">
        <v>9209</v>
      </c>
      <c r="D643" s="3"/>
      <c r="E643" s="3"/>
      <c r="F643" t="s">
        <v>2375</v>
      </c>
      <c r="H643" t="s">
        <v>2473</v>
      </c>
      <c r="J643" t="s">
        <v>2474</v>
      </c>
      <c r="K643" t="s">
        <v>1321</v>
      </c>
      <c r="L643" t="s">
        <v>2475</v>
      </c>
      <c r="M643" t="s">
        <v>229</v>
      </c>
      <c r="P643" s="18">
        <v>1</v>
      </c>
    </row>
    <row r="644" spans="1:16" hidden="1" x14ac:dyDescent="0.35">
      <c r="A644" t="s">
        <v>2403</v>
      </c>
      <c r="B644" s="3" t="s">
        <v>102</v>
      </c>
      <c r="C644" s="3" t="s">
        <v>9209</v>
      </c>
      <c r="D644" s="3"/>
      <c r="E644" s="3"/>
      <c r="F644" t="s">
        <v>2375</v>
      </c>
      <c r="H644" t="s">
        <v>2476</v>
      </c>
      <c r="J644" t="s">
        <v>2477</v>
      </c>
      <c r="K644" t="s">
        <v>2478</v>
      </c>
      <c r="L644" t="s">
        <v>2479</v>
      </c>
      <c r="M644" t="s">
        <v>229</v>
      </c>
      <c r="P644" s="18" t="s">
        <v>2480</v>
      </c>
    </row>
    <row r="645" spans="1:16" hidden="1" x14ac:dyDescent="0.35">
      <c r="A645" t="s">
        <v>2403</v>
      </c>
      <c r="B645" s="3" t="s">
        <v>102</v>
      </c>
      <c r="C645" s="3" t="s">
        <v>9209</v>
      </c>
      <c r="D645" s="3"/>
      <c r="E645" s="3"/>
      <c r="F645" t="s">
        <v>2375</v>
      </c>
      <c r="H645" t="s">
        <v>2481</v>
      </c>
      <c r="J645" t="s">
        <v>2482</v>
      </c>
      <c r="K645" t="s">
        <v>2483</v>
      </c>
      <c r="L645" t="s">
        <v>2484</v>
      </c>
      <c r="M645" t="s">
        <v>248</v>
      </c>
      <c r="P645" s="18" t="s">
        <v>1590</v>
      </c>
    </row>
    <row r="646" spans="1:16" hidden="1" x14ac:dyDescent="0.35">
      <c r="A646" t="s">
        <v>2403</v>
      </c>
      <c r="B646" s="3" t="s">
        <v>102</v>
      </c>
      <c r="C646" s="3" t="s">
        <v>9209</v>
      </c>
      <c r="D646" s="3"/>
      <c r="E646" s="3"/>
      <c r="F646" t="s">
        <v>2375</v>
      </c>
      <c r="H646" t="s">
        <v>1447</v>
      </c>
      <c r="J646" t="s">
        <v>2485</v>
      </c>
      <c r="K646" t="s">
        <v>2486</v>
      </c>
      <c r="L646" t="s">
        <v>2487</v>
      </c>
      <c r="M646" t="s">
        <v>2374</v>
      </c>
      <c r="P646" s="18" t="s">
        <v>1341</v>
      </c>
    </row>
    <row r="647" spans="1:16" hidden="1" x14ac:dyDescent="0.35">
      <c r="A647" t="s">
        <v>2403</v>
      </c>
      <c r="B647" s="3" t="s">
        <v>102</v>
      </c>
      <c r="C647" s="3" t="s">
        <v>9209</v>
      </c>
      <c r="D647" s="3"/>
      <c r="E647" s="3"/>
      <c r="F647" t="s">
        <v>2375</v>
      </c>
      <c r="H647" t="s">
        <v>1451</v>
      </c>
      <c r="J647" t="s">
        <v>2488</v>
      </c>
      <c r="K647" t="s">
        <v>2489</v>
      </c>
      <c r="L647" t="s">
        <v>2490</v>
      </c>
      <c r="M647" t="s">
        <v>2374</v>
      </c>
      <c r="P647" s="18" t="s">
        <v>1341</v>
      </c>
    </row>
    <row r="648" spans="1:16" hidden="1" x14ac:dyDescent="0.35">
      <c r="A648" t="s">
        <v>2403</v>
      </c>
      <c r="B648" s="3" t="s">
        <v>102</v>
      </c>
      <c r="C648" s="3" t="s">
        <v>9209</v>
      </c>
      <c r="D648" s="3"/>
      <c r="E648" s="3"/>
      <c r="F648" t="s">
        <v>2375</v>
      </c>
      <c r="H648" t="s">
        <v>2491</v>
      </c>
      <c r="J648" t="s">
        <v>2492</v>
      </c>
      <c r="K648" t="s">
        <v>1590</v>
      </c>
      <c r="L648" t="s">
        <v>2493</v>
      </c>
      <c r="M648" t="s">
        <v>2494</v>
      </c>
      <c r="P648" s="18" t="s">
        <v>9217</v>
      </c>
    </row>
    <row r="649" spans="1:16" hidden="1" x14ac:dyDescent="0.35">
      <c r="A649" t="s">
        <v>2403</v>
      </c>
      <c r="B649" s="3" t="s">
        <v>102</v>
      </c>
      <c r="C649" s="3" t="s">
        <v>9209</v>
      </c>
      <c r="D649" s="3"/>
      <c r="E649" s="3"/>
      <c r="F649" t="s">
        <v>2375</v>
      </c>
      <c r="H649" t="s">
        <v>2495</v>
      </c>
      <c r="J649" t="s">
        <v>2496</v>
      </c>
      <c r="K649" t="s">
        <v>2497</v>
      </c>
      <c r="L649" t="s">
        <v>2498</v>
      </c>
      <c r="M649" t="s">
        <v>2374</v>
      </c>
      <c r="P649" s="18" t="s">
        <v>1341</v>
      </c>
    </row>
    <row r="650" spans="1:16" hidden="1" x14ac:dyDescent="0.35">
      <c r="A650" t="s">
        <v>2403</v>
      </c>
      <c r="B650" s="3" t="s">
        <v>102</v>
      </c>
      <c r="C650" s="3" t="s">
        <v>9209</v>
      </c>
      <c r="D650" s="3"/>
      <c r="E650" s="3"/>
      <c r="F650" t="s">
        <v>2375</v>
      </c>
      <c r="H650" t="s">
        <v>2499</v>
      </c>
      <c r="J650" t="s">
        <v>2500</v>
      </c>
      <c r="K650" t="s">
        <v>2501</v>
      </c>
      <c r="L650" t="s">
        <v>2502</v>
      </c>
      <c r="M650" t="s">
        <v>2374</v>
      </c>
      <c r="P650" s="18" t="s">
        <v>1341</v>
      </c>
    </row>
    <row r="651" spans="1:16" hidden="1" x14ac:dyDescent="0.35">
      <c r="A651" t="s">
        <v>2403</v>
      </c>
      <c r="B651" s="3" t="s">
        <v>102</v>
      </c>
      <c r="C651" s="3" t="s">
        <v>9209</v>
      </c>
      <c r="D651" s="3"/>
      <c r="E651" s="3"/>
      <c r="F651" t="s">
        <v>2375</v>
      </c>
      <c r="H651" t="s">
        <v>2503</v>
      </c>
      <c r="J651" t="s">
        <v>2504</v>
      </c>
      <c r="K651" t="s">
        <v>2505</v>
      </c>
      <c r="L651" t="s">
        <v>2506</v>
      </c>
      <c r="M651" t="s">
        <v>2374</v>
      </c>
      <c r="P651" s="18" t="s">
        <v>1341</v>
      </c>
    </row>
    <row r="652" spans="1:16" hidden="1" x14ac:dyDescent="0.35">
      <c r="A652" t="s">
        <v>2403</v>
      </c>
      <c r="B652" s="3" t="s">
        <v>102</v>
      </c>
      <c r="C652" s="3" t="s">
        <v>9209</v>
      </c>
      <c r="D652" s="3"/>
      <c r="E652" s="3"/>
      <c r="F652" t="s">
        <v>2375</v>
      </c>
      <c r="H652" t="s">
        <v>2507</v>
      </c>
      <c r="J652" t="s">
        <v>2508</v>
      </c>
      <c r="K652" t="s">
        <v>2509</v>
      </c>
      <c r="L652" t="s">
        <v>2510</v>
      </c>
      <c r="M652" t="s">
        <v>2374</v>
      </c>
      <c r="P652" s="18" t="s">
        <v>1341</v>
      </c>
    </row>
    <row r="653" spans="1:16" hidden="1" x14ac:dyDescent="0.35">
      <c r="A653" t="s">
        <v>2403</v>
      </c>
      <c r="B653" s="3" t="s">
        <v>102</v>
      </c>
      <c r="C653" s="3" t="s">
        <v>9209</v>
      </c>
      <c r="D653" s="3"/>
      <c r="E653" s="3"/>
      <c r="F653" t="s">
        <v>2375</v>
      </c>
      <c r="H653" t="s">
        <v>2511</v>
      </c>
      <c r="J653" t="s">
        <v>2512</v>
      </c>
      <c r="K653" t="s">
        <v>2513</v>
      </c>
      <c r="L653" t="s">
        <v>2514</v>
      </c>
      <c r="M653" t="s">
        <v>2374</v>
      </c>
      <c r="P653" s="18" t="s">
        <v>27</v>
      </c>
    </row>
    <row r="654" spans="1:16" hidden="1" x14ac:dyDescent="0.35">
      <c r="A654" t="s">
        <v>2403</v>
      </c>
      <c r="B654" s="3" t="s">
        <v>102</v>
      </c>
      <c r="C654" s="3" t="s">
        <v>9209</v>
      </c>
      <c r="D654" s="3"/>
      <c r="E654" s="3"/>
      <c r="F654" t="s">
        <v>2375</v>
      </c>
      <c r="H654" t="s">
        <v>2515</v>
      </c>
      <c r="J654" t="s">
        <v>2516</v>
      </c>
      <c r="K654" t="s">
        <v>2517</v>
      </c>
      <c r="L654" t="s">
        <v>2518</v>
      </c>
      <c r="M654" t="s">
        <v>229</v>
      </c>
      <c r="P654" s="18" t="s">
        <v>2519</v>
      </c>
    </row>
    <row r="655" spans="1:16" hidden="1" x14ac:dyDescent="0.35">
      <c r="A655" t="s">
        <v>2403</v>
      </c>
      <c r="B655" s="3" t="s">
        <v>102</v>
      </c>
      <c r="C655" s="3" t="s">
        <v>9209</v>
      </c>
      <c r="D655" s="3"/>
      <c r="E655" s="3"/>
      <c r="F655" t="s">
        <v>2375</v>
      </c>
      <c r="H655" t="s">
        <v>2520</v>
      </c>
      <c r="J655" t="s">
        <v>2521</v>
      </c>
      <c r="K655" t="s">
        <v>2522</v>
      </c>
      <c r="L655" t="s">
        <v>2523</v>
      </c>
      <c r="M655" t="s">
        <v>229</v>
      </c>
      <c r="P655" s="18" t="s">
        <v>1590</v>
      </c>
    </row>
    <row r="656" spans="1:16" hidden="1" x14ac:dyDescent="0.35">
      <c r="A656" t="s">
        <v>2403</v>
      </c>
      <c r="B656" s="3" t="s">
        <v>102</v>
      </c>
      <c r="C656" s="3" t="s">
        <v>9209</v>
      </c>
      <c r="D656" s="3"/>
      <c r="E656" s="3"/>
      <c r="F656" t="s">
        <v>2375</v>
      </c>
      <c r="H656" t="s">
        <v>2524</v>
      </c>
      <c r="J656" t="s">
        <v>2525</v>
      </c>
      <c r="K656" t="s">
        <v>2526</v>
      </c>
      <c r="L656" t="s">
        <v>2527</v>
      </c>
      <c r="M656" t="s">
        <v>2374</v>
      </c>
      <c r="P656" s="18" t="s">
        <v>1341</v>
      </c>
    </row>
    <row r="657" spans="1:16" hidden="1" x14ac:dyDescent="0.35">
      <c r="A657" t="s">
        <v>2403</v>
      </c>
      <c r="B657" s="3" t="s">
        <v>102</v>
      </c>
      <c r="C657" s="3" t="s">
        <v>9209</v>
      </c>
      <c r="D657" s="3"/>
      <c r="E657" s="3"/>
      <c r="F657" t="s">
        <v>2375</v>
      </c>
      <c r="H657" t="s">
        <v>9218</v>
      </c>
      <c r="J657" t="s">
        <v>2528</v>
      </c>
      <c r="K657" t="s">
        <v>2529</v>
      </c>
      <c r="L657" t="s">
        <v>2530</v>
      </c>
      <c r="M657" t="s">
        <v>229</v>
      </c>
      <c r="P657" s="8" t="s">
        <v>9219</v>
      </c>
    </row>
    <row r="658" spans="1:16" hidden="1" x14ac:dyDescent="0.35">
      <c r="A658" t="s">
        <v>2403</v>
      </c>
      <c r="B658" s="3" t="s">
        <v>102</v>
      </c>
      <c r="C658" s="3" t="s">
        <v>9209</v>
      </c>
      <c r="D658" s="3"/>
      <c r="E658" s="3"/>
      <c r="F658" t="s">
        <v>2375</v>
      </c>
      <c r="H658" t="s">
        <v>1475</v>
      </c>
      <c r="J658" t="s">
        <v>2516</v>
      </c>
      <c r="K658" t="s">
        <v>2532</v>
      </c>
      <c r="L658" t="s">
        <v>2533</v>
      </c>
      <c r="M658" t="s">
        <v>229</v>
      </c>
      <c r="P658" t="s">
        <v>2531</v>
      </c>
    </row>
    <row r="659" spans="1:16" hidden="1" x14ac:dyDescent="0.35">
      <c r="A659" t="s">
        <v>2403</v>
      </c>
      <c r="B659" s="3" t="s">
        <v>102</v>
      </c>
      <c r="C659" s="3" t="s">
        <v>9209</v>
      </c>
      <c r="D659" s="3"/>
      <c r="E659" s="3"/>
      <c r="F659" t="s">
        <v>2375</v>
      </c>
      <c r="H659" t="s">
        <v>1479</v>
      </c>
      <c r="J659" t="s">
        <v>2521</v>
      </c>
      <c r="K659" t="s">
        <v>2535</v>
      </c>
      <c r="L659" t="s">
        <v>2536</v>
      </c>
      <c r="M659" t="s">
        <v>229</v>
      </c>
      <c r="P659" t="s">
        <v>2534</v>
      </c>
    </row>
    <row r="660" spans="1:16" hidden="1" x14ac:dyDescent="0.35">
      <c r="A660" t="s">
        <v>2403</v>
      </c>
      <c r="B660" s="3" t="s">
        <v>102</v>
      </c>
      <c r="C660" s="3" t="s">
        <v>9209</v>
      </c>
      <c r="D660" s="3"/>
      <c r="E660" s="3"/>
      <c r="F660" t="s">
        <v>2375</v>
      </c>
      <c r="H660" t="s">
        <v>1483</v>
      </c>
      <c r="J660" t="s">
        <v>2392</v>
      </c>
      <c r="K660" t="s">
        <v>2538</v>
      </c>
      <c r="L660" t="s">
        <v>2539</v>
      </c>
      <c r="M660" t="s">
        <v>229</v>
      </c>
      <c r="P660" t="s">
        <v>2537</v>
      </c>
    </row>
    <row r="661" spans="1:16" hidden="1" x14ac:dyDescent="0.35">
      <c r="A661" t="s">
        <v>2403</v>
      </c>
      <c r="B661" s="3" t="s">
        <v>102</v>
      </c>
      <c r="C661" s="3" t="s">
        <v>9209</v>
      </c>
      <c r="D661" s="3"/>
      <c r="E661" s="3"/>
      <c r="F661" t="s">
        <v>2375</v>
      </c>
      <c r="H661" t="s">
        <v>1487</v>
      </c>
      <c r="J661" t="s">
        <v>2396</v>
      </c>
      <c r="K661" t="s">
        <v>2541</v>
      </c>
      <c r="L661" t="s">
        <v>2542</v>
      </c>
      <c r="M661" t="s">
        <v>229</v>
      </c>
      <c r="P661" t="s">
        <v>2540</v>
      </c>
    </row>
    <row r="662" spans="1:16" hidden="1" x14ac:dyDescent="0.35">
      <c r="A662" t="s">
        <v>2403</v>
      </c>
      <c r="B662" s="3" t="s">
        <v>102</v>
      </c>
      <c r="C662" s="3" t="s">
        <v>9209</v>
      </c>
      <c r="D662" s="3"/>
      <c r="E662" s="3"/>
      <c r="F662" t="s">
        <v>2375</v>
      </c>
      <c r="H662" t="s">
        <v>2543</v>
      </c>
      <c r="J662" t="s">
        <v>2400</v>
      </c>
      <c r="K662" t="s">
        <v>2544</v>
      </c>
      <c r="L662" t="s">
        <v>2545</v>
      </c>
      <c r="M662" t="s">
        <v>229</v>
      </c>
      <c r="P662" t="s">
        <v>2437</v>
      </c>
    </row>
    <row r="663" spans="1:16" hidden="1" x14ac:dyDescent="0.35">
      <c r="A663" t="s">
        <v>2403</v>
      </c>
      <c r="B663" s="3" t="s">
        <v>102</v>
      </c>
      <c r="C663" s="3" t="s">
        <v>9209</v>
      </c>
      <c r="D663" s="3"/>
      <c r="E663" s="3"/>
      <c r="F663" t="s">
        <v>2375</v>
      </c>
      <c r="H663" t="s">
        <v>2546</v>
      </c>
      <c r="J663" t="s">
        <v>2405</v>
      </c>
      <c r="K663" t="s">
        <v>2547</v>
      </c>
      <c r="L663" t="s">
        <v>2548</v>
      </c>
      <c r="M663" t="s">
        <v>229</v>
      </c>
      <c r="P663" t="s">
        <v>2408</v>
      </c>
    </row>
    <row r="664" spans="1:16" hidden="1" x14ac:dyDescent="0.35">
      <c r="A664" t="s">
        <v>2403</v>
      </c>
      <c r="B664" s="3" t="s">
        <v>102</v>
      </c>
      <c r="C664" s="3" t="s">
        <v>9209</v>
      </c>
      <c r="D664" s="3"/>
      <c r="E664" s="3"/>
      <c r="F664" t="s">
        <v>2375</v>
      </c>
      <c r="H664" t="s">
        <v>2550</v>
      </c>
      <c r="J664" t="s">
        <v>2410</v>
      </c>
      <c r="K664" t="s">
        <v>2552</v>
      </c>
      <c r="L664" t="s">
        <v>2553</v>
      </c>
      <c r="M664" t="s">
        <v>229</v>
      </c>
      <c r="P664" t="s">
        <v>2551</v>
      </c>
    </row>
    <row r="665" spans="1:16" hidden="1" x14ac:dyDescent="0.35">
      <c r="A665" t="s">
        <v>2403</v>
      </c>
      <c r="B665" s="3" t="s">
        <v>102</v>
      </c>
      <c r="C665" s="3" t="s">
        <v>9209</v>
      </c>
      <c r="D665" s="3"/>
      <c r="E665" s="3"/>
      <c r="F665" t="s">
        <v>2375</v>
      </c>
      <c r="H665" t="s">
        <v>2554</v>
      </c>
      <c r="J665" t="s">
        <v>2415</v>
      </c>
      <c r="K665" t="s">
        <v>2556</v>
      </c>
      <c r="L665" t="s">
        <v>2557</v>
      </c>
      <c r="M665" t="s">
        <v>229</v>
      </c>
      <c r="P665" t="s">
        <v>2555</v>
      </c>
    </row>
    <row r="666" spans="1:16" hidden="1" x14ac:dyDescent="0.35">
      <c r="A666" t="s">
        <v>2403</v>
      </c>
      <c r="B666" s="3" t="s">
        <v>102</v>
      </c>
      <c r="C666" s="3" t="s">
        <v>9209</v>
      </c>
      <c r="D666" s="3"/>
      <c r="E666" s="3"/>
      <c r="F666" t="s">
        <v>2375</v>
      </c>
      <c r="H666" t="s">
        <v>2558</v>
      </c>
      <c r="J666" t="s">
        <v>2559</v>
      </c>
      <c r="K666" t="s">
        <v>2560</v>
      </c>
      <c r="L666" t="s">
        <v>2561</v>
      </c>
      <c r="M666" t="s">
        <v>2374</v>
      </c>
      <c r="P666" t="s">
        <v>1341</v>
      </c>
    </row>
    <row r="667" spans="1:16" hidden="1" x14ac:dyDescent="0.35">
      <c r="A667" t="s">
        <v>2403</v>
      </c>
      <c r="B667" s="3" t="s">
        <v>102</v>
      </c>
      <c r="C667" s="3" t="s">
        <v>9209</v>
      </c>
      <c r="D667" s="3"/>
      <c r="E667" s="3"/>
      <c r="F667" t="s">
        <v>2375</v>
      </c>
      <c r="H667" t="s">
        <v>2562</v>
      </c>
      <c r="J667" t="s">
        <v>2563</v>
      </c>
      <c r="K667" t="s">
        <v>2564</v>
      </c>
      <c r="L667" t="s">
        <v>2565</v>
      </c>
      <c r="M667" t="s">
        <v>229</v>
      </c>
      <c r="P667" t="s">
        <v>2534</v>
      </c>
    </row>
    <row r="668" spans="1:16" hidden="1" x14ac:dyDescent="0.35">
      <c r="A668" t="s">
        <v>2403</v>
      </c>
      <c r="B668" s="3" t="s">
        <v>102</v>
      </c>
      <c r="C668" s="3" t="s">
        <v>9209</v>
      </c>
      <c r="D668" s="3"/>
      <c r="E668" s="3"/>
      <c r="F668" t="s">
        <v>2375</v>
      </c>
      <c r="H668" t="s">
        <v>2566</v>
      </c>
      <c r="J668" t="s">
        <v>2567</v>
      </c>
      <c r="K668" t="s">
        <v>2568</v>
      </c>
      <c r="L668" t="s">
        <v>2569</v>
      </c>
      <c r="M668" t="s">
        <v>241</v>
      </c>
      <c r="P668" t="s">
        <v>2534</v>
      </c>
    </row>
    <row r="669" spans="1:16" hidden="1" x14ac:dyDescent="0.35">
      <c r="A669" t="s">
        <v>2403</v>
      </c>
      <c r="B669" s="3" t="s">
        <v>102</v>
      </c>
      <c r="C669" s="3" t="s">
        <v>9209</v>
      </c>
      <c r="D669" s="3"/>
      <c r="E669" s="3"/>
      <c r="F669" t="s">
        <v>2375</v>
      </c>
      <c r="H669" t="s">
        <v>2570</v>
      </c>
      <c r="J669" t="s">
        <v>2571</v>
      </c>
      <c r="K669" t="s">
        <v>2572</v>
      </c>
      <c r="L669" t="s">
        <v>2573</v>
      </c>
      <c r="M669" t="s">
        <v>2374</v>
      </c>
      <c r="P669" t="s">
        <v>1341</v>
      </c>
    </row>
    <row r="670" spans="1:16" hidden="1" x14ac:dyDescent="0.35">
      <c r="A670" t="s">
        <v>2403</v>
      </c>
      <c r="B670" s="3" t="s">
        <v>102</v>
      </c>
      <c r="C670" s="3" t="s">
        <v>9209</v>
      </c>
      <c r="D670" s="3"/>
      <c r="E670" s="3"/>
      <c r="F670" t="s">
        <v>2375</v>
      </c>
      <c r="H670" t="s">
        <v>2574</v>
      </c>
      <c r="J670" t="s">
        <v>2575</v>
      </c>
      <c r="K670" t="s">
        <v>2576</v>
      </c>
      <c r="L670" t="s">
        <v>2577</v>
      </c>
      <c r="M670" t="s">
        <v>229</v>
      </c>
      <c r="P670" s="18" t="s">
        <v>9217</v>
      </c>
    </row>
    <row r="671" spans="1:16" hidden="1" x14ac:dyDescent="0.35">
      <c r="A671" t="s">
        <v>2403</v>
      </c>
      <c r="B671" s="3" t="s">
        <v>102</v>
      </c>
      <c r="C671" s="3" t="s">
        <v>9209</v>
      </c>
      <c r="D671" s="3"/>
      <c r="E671" s="3"/>
      <c r="F671" t="s">
        <v>2375</v>
      </c>
      <c r="H671" t="s">
        <v>2578</v>
      </c>
      <c r="J671" t="s">
        <v>2477</v>
      </c>
      <c r="K671" t="s">
        <v>2579</v>
      </c>
      <c r="L671" t="s">
        <v>2580</v>
      </c>
      <c r="M671" t="s">
        <v>229</v>
      </c>
      <c r="P671" s="18" t="s">
        <v>9217</v>
      </c>
    </row>
    <row r="672" spans="1:16" hidden="1" x14ac:dyDescent="0.35">
      <c r="A672" t="s">
        <v>2403</v>
      </c>
      <c r="B672" s="3" t="s">
        <v>102</v>
      </c>
      <c r="C672" s="3" t="s">
        <v>9209</v>
      </c>
      <c r="D672" s="3"/>
      <c r="E672" s="3"/>
      <c r="F672" t="s">
        <v>2375</v>
      </c>
      <c r="H672" t="s">
        <v>1514</v>
      </c>
      <c r="J672" t="s">
        <v>2581</v>
      </c>
      <c r="K672" t="s">
        <v>2582</v>
      </c>
      <c r="L672" t="s">
        <v>2583</v>
      </c>
      <c r="M672" t="s">
        <v>2374</v>
      </c>
      <c r="P672" t="s">
        <v>1341</v>
      </c>
    </row>
    <row r="673" spans="1:16" hidden="1" x14ac:dyDescent="0.35">
      <c r="A673" t="s">
        <v>2403</v>
      </c>
      <c r="B673" s="3" t="s">
        <v>102</v>
      </c>
      <c r="C673" s="3" t="s">
        <v>9209</v>
      </c>
      <c r="D673" s="3"/>
      <c r="E673" s="3"/>
      <c r="F673" t="s">
        <v>2375</v>
      </c>
      <c r="H673" t="s">
        <v>2584</v>
      </c>
      <c r="J673" t="s">
        <v>2575</v>
      </c>
      <c r="K673" t="s">
        <v>2585</v>
      </c>
      <c r="L673" t="s">
        <v>2586</v>
      </c>
      <c r="M673" t="s">
        <v>229</v>
      </c>
      <c r="P673" s="18" t="s">
        <v>9217</v>
      </c>
    </row>
    <row r="674" spans="1:16" hidden="1" x14ac:dyDescent="0.35">
      <c r="A674" t="s">
        <v>2403</v>
      </c>
      <c r="B674" s="3" t="s">
        <v>102</v>
      </c>
      <c r="C674" s="3" t="s">
        <v>9209</v>
      </c>
      <c r="D674" s="3"/>
      <c r="E674" s="3"/>
      <c r="F674" t="s">
        <v>2375</v>
      </c>
      <c r="H674" t="s">
        <v>2587</v>
      </c>
      <c r="J674" t="s">
        <v>2477</v>
      </c>
      <c r="K674" t="s">
        <v>2588</v>
      </c>
      <c r="L674" t="s">
        <v>2589</v>
      </c>
      <c r="M674" t="s">
        <v>229</v>
      </c>
      <c r="P674" s="18" t="s">
        <v>9217</v>
      </c>
    </row>
    <row r="675" spans="1:16" hidden="1" x14ac:dyDescent="0.35">
      <c r="A675" t="s">
        <v>2403</v>
      </c>
      <c r="B675" s="3" t="s">
        <v>102</v>
      </c>
      <c r="C675" s="3" t="s">
        <v>9209</v>
      </c>
      <c r="D675" s="3"/>
      <c r="E675" s="3"/>
      <c r="F675" t="s">
        <v>2375</v>
      </c>
      <c r="H675" t="s">
        <v>1518</v>
      </c>
      <c r="J675" t="s">
        <v>2590</v>
      </c>
      <c r="K675" t="s">
        <v>2591</v>
      </c>
      <c r="L675" t="s">
        <v>2592</v>
      </c>
      <c r="M675" t="s">
        <v>2374</v>
      </c>
      <c r="P675" t="s">
        <v>1341</v>
      </c>
    </row>
    <row r="676" spans="1:16" hidden="1" x14ac:dyDescent="0.35">
      <c r="A676" t="s">
        <v>2403</v>
      </c>
      <c r="B676" s="3" t="s">
        <v>102</v>
      </c>
      <c r="C676" s="3" t="s">
        <v>9209</v>
      </c>
      <c r="D676" s="3"/>
      <c r="E676" s="3"/>
      <c r="F676" t="s">
        <v>2375</v>
      </c>
      <c r="H676" t="s">
        <v>2593</v>
      </c>
      <c r="J676" t="s">
        <v>2575</v>
      </c>
      <c r="K676" t="s">
        <v>2594</v>
      </c>
      <c r="L676" t="s">
        <v>2595</v>
      </c>
      <c r="M676" t="s">
        <v>229</v>
      </c>
      <c r="P676" s="18" t="s">
        <v>9217</v>
      </c>
    </row>
    <row r="677" spans="1:16" hidden="1" x14ac:dyDescent="0.35">
      <c r="A677" t="s">
        <v>2403</v>
      </c>
      <c r="B677" s="3" t="s">
        <v>102</v>
      </c>
      <c r="C677" s="3" t="s">
        <v>9209</v>
      </c>
      <c r="D677" s="3"/>
      <c r="E677" s="3"/>
      <c r="F677" t="s">
        <v>2375</v>
      </c>
      <c r="H677" t="s">
        <v>2596</v>
      </c>
      <c r="J677" t="s">
        <v>2477</v>
      </c>
      <c r="K677" t="s">
        <v>2597</v>
      </c>
      <c r="L677" t="s">
        <v>2598</v>
      </c>
      <c r="M677" t="s">
        <v>229</v>
      </c>
      <c r="P677" s="18" t="s">
        <v>9217</v>
      </c>
    </row>
    <row r="678" spans="1:16" hidden="1" x14ac:dyDescent="0.35">
      <c r="A678" t="s">
        <v>2403</v>
      </c>
      <c r="B678" s="3" t="s">
        <v>102</v>
      </c>
      <c r="C678" s="3" t="s">
        <v>9209</v>
      </c>
      <c r="D678" s="3"/>
      <c r="E678" s="3"/>
      <c r="F678" t="s">
        <v>2375</v>
      </c>
      <c r="H678" t="s">
        <v>2599</v>
      </c>
      <c r="J678" t="s">
        <v>2600</v>
      </c>
      <c r="K678" t="s">
        <v>2601</v>
      </c>
      <c r="L678" t="s">
        <v>2602</v>
      </c>
      <c r="M678" t="s">
        <v>2374</v>
      </c>
      <c r="P678" t="s">
        <v>1341</v>
      </c>
    </row>
    <row r="679" spans="1:16" hidden="1" x14ac:dyDescent="0.35">
      <c r="A679" t="s">
        <v>2403</v>
      </c>
      <c r="B679" s="3" t="s">
        <v>102</v>
      </c>
      <c r="C679" s="3" t="s">
        <v>9209</v>
      </c>
      <c r="D679" s="3"/>
      <c r="E679" s="3"/>
      <c r="F679" t="s">
        <v>2375</v>
      </c>
      <c r="H679" t="s">
        <v>2603</v>
      </c>
      <c r="J679" t="s">
        <v>2604</v>
      </c>
      <c r="K679" t="s">
        <v>2605</v>
      </c>
      <c r="L679" t="s">
        <v>2606</v>
      </c>
      <c r="M679" t="s">
        <v>263</v>
      </c>
      <c r="P679" s="18" t="s">
        <v>9217</v>
      </c>
    </row>
    <row r="680" spans="1:16" hidden="1" x14ac:dyDescent="0.35">
      <c r="A680" t="s">
        <v>2403</v>
      </c>
      <c r="B680" s="3" t="s">
        <v>102</v>
      </c>
      <c r="C680" s="3" t="s">
        <v>9209</v>
      </c>
      <c r="D680" s="3"/>
      <c r="E680" s="3"/>
      <c r="F680" t="s">
        <v>2375</v>
      </c>
      <c r="H680" t="s">
        <v>2607</v>
      </c>
      <c r="J680" t="s">
        <v>2608</v>
      </c>
      <c r="K680" t="s">
        <v>2609</v>
      </c>
      <c r="L680" t="s">
        <v>2610</v>
      </c>
      <c r="M680" t="s">
        <v>2374</v>
      </c>
      <c r="P680" t="s">
        <v>27</v>
      </c>
    </row>
    <row r="681" spans="1:16" hidden="1" x14ac:dyDescent="0.35">
      <c r="A681" t="s">
        <v>2403</v>
      </c>
      <c r="B681" s="3" t="s">
        <v>102</v>
      </c>
      <c r="C681" s="3" t="s">
        <v>9209</v>
      </c>
      <c r="D681" s="3"/>
      <c r="E681" s="3"/>
      <c r="F681" t="s">
        <v>2375</v>
      </c>
      <c r="H681" t="s">
        <v>2611</v>
      </c>
      <c r="J681" t="s">
        <v>2612</v>
      </c>
      <c r="K681" t="s">
        <v>2613</v>
      </c>
      <c r="L681" t="s">
        <v>2614</v>
      </c>
      <c r="M681" t="s">
        <v>2374</v>
      </c>
      <c r="P681" t="s">
        <v>1341</v>
      </c>
    </row>
    <row r="682" spans="1:16" hidden="1" x14ac:dyDescent="0.35">
      <c r="A682" t="s">
        <v>2403</v>
      </c>
      <c r="B682" s="3" t="s">
        <v>102</v>
      </c>
      <c r="C682" s="3" t="s">
        <v>9209</v>
      </c>
      <c r="D682" s="3"/>
      <c r="E682" s="3"/>
      <c r="F682" t="s">
        <v>2375</v>
      </c>
      <c r="H682" t="s">
        <v>2615</v>
      </c>
      <c r="J682" t="s">
        <v>2616</v>
      </c>
      <c r="K682" t="s">
        <v>2617</v>
      </c>
      <c r="L682" t="s">
        <v>2618</v>
      </c>
      <c r="M682" t="s">
        <v>2374</v>
      </c>
      <c r="P682" t="s">
        <v>1341</v>
      </c>
    </row>
    <row r="683" spans="1:16" hidden="1" x14ac:dyDescent="0.35">
      <c r="A683" t="s">
        <v>2403</v>
      </c>
      <c r="B683" s="3" t="s">
        <v>102</v>
      </c>
      <c r="C683" s="3" t="s">
        <v>9209</v>
      </c>
      <c r="D683" s="3"/>
      <c r="E683" s="3"/>
      <c r="F683" t="s">
        <v>2375</v>
      </c>
      <c r="H683" t="s">
        <v>2619</v>
      </c>
      <c r="J683" t="s">
        <v>2575</v>
      </c>
      <c r="K683" t="s">
        <v>2620</v>
      </c>
      <c r="L683" t="s">
        <v>2621</v>
      </c>
      <c r="M683" t="s">
        <v>229</v>
      </c>
      <c r="P683" s="18" t="s">
        <v>9217</v>
      </c>
    </row>
    <row r="684" spans="1:16" hidden="1" x14ac:dyDescent="0.35">
      <c r="A684" t="s">
        <v>2403</v>
      </c>
      <c r="B684" s="3" t="s">
        <v>102</v>
      </c>
      <c r="C684" s="3" t="s">
        <v>9209</v>
      </c>
      <c r="D684" s="3"/>
      <c r="E684" s="3"/>
      <c r="F684" t="s">
        <v>2375</v>
      </c>
      <c r="H684" t="s">
        <v>2622</v>
      </c>
      <c r="J684" t="s">
        <v>2477</v>
      </c>
      <c r="K684" t="s">
        <v>2623</v>
      </c>
      <c r="L684" t="s">
        <v>2624</v>
      </c>
      <c r="M684" t="s">
        <v>229</v>
      </c>
      <c r="P684" s="18" t="s">
        <v>9217</v>
      </c>
    </row>
    <row r="685" spans="1:16" hidden="1" x14ac:dyDescent="0.35">
      <c r="A685" t="s">
        <v>2403</v>
      </c>
      <c r="B685" s="3" t="s">
        <v>102</v>
      </c>
      <c r="C685" s="3" t="s">
        <v>9209</v>
      </c>
      <c r="D685" s="3"/>
      <c r="E685" s="3"/>
      <c r="F685" t="s">
        <v>2375</v>
      </c>
      <c r="H685" t="s">
        <v>2625</v>
      </c>
      <c r="J685" t="s">
        <v>2626</v>
      </c>
      <c r="K685" t="s">
        <v>2627</v>
      </c>
      <c r="L685" t="s">
        <v>2628</v>
      </c>
      <c r="M685" t="s">
        <v>2374</v>
      </c>
      <c r="P685" t="s">
        <v>27</v>
      </c>
    </row>
    <row r="686" spans="1:16" hidden="1" x14ac:dyDescent="0.35">
      <c r="A686" t="s">
        <v>2403</v>
      </c>
      <c r="B686" s="3" t="s">
        <v>102</v>
      </c>
      <c r="C686" s="3" t="s">
        <v>9209</v>
      </c>
      <c r="D686" s="3"/>
      <c r="E686" s="3"/>
      <c r="F686" t="s">
        <v>2375</v>
      </c>
      <c r="H686" t="s">
        <v>2629</v>
      </c>
      <c r="J686" t="s">
        <v>2631</v>
      </c>
      <c r="K686" t="s">
        <v>2632</v>
      </c>
      <c r="L686" t="s">
        <v>2633</v>
      </c>
      <c r="M686" t="s">
        <v>229</v>
      </c>
      <c r="P686" t="s">
        <v>2630</v>
      </c>
    </row>
    <row r="687" spans="1:16" hidden="1" x14ac:dyDescent="0.35">
      <c r="A687" t="s">
        <v>2403</v>
      </c>
      <c r="B687" s="3" t="s">
        <v>102</v>
      </c>
      <c r="C687" s="3" t="s">
        <v>9209</v>
      </c>
      <c r="D687" s="3"/>
      <c r="E687" s="3"/>
      <c r="F687" t="s">
        <v>2375</v>
      </c>
      <c r="H687" t="s">
        <v>2634</v>
      </c>
      <c r="J687" t="s">
        <v>2516</v>
      </c>
      <c r="K687" t="s">
        <v>2636</v>
      </c>
      <c r="L687" t="s">
        <v>2637</v>
      </c>
      <c r="M687" t="s">
        <v>229</v>
      </c>
      <c r="P687" t="s">
        <v>2635</v>
      </c>
    </row>
    <row r="688" spans="1:16" hidden="1" x14ac:dyDescent="0.35">
      <c r="A688" t="s">
        <v>2403</v>
      </c>
      <c r="B688" s="3" t="s">
        <v>102</v>
      </c>
      <c r="C688" s="3" t="s">
        <v>9209</v>
      </c>
      <c r="D688" s="3"/>
      <c r="E688" s="3"/>
      <c r="F688" t="s">
        <v>2375</v>
      </c>
      <c r="H688" t="s">
        <v>2638</v>
      </c>
      <c r="J688" t="s">
        <v>2640</v>
      </c>
      <c r="K688" t="s">
        <v>2641</v>
      </c>
      <c r="L688" t="s">
        <v>2642</v>
      </c>
      <c r="M688" t="s">
        <v>229</v>
      </c>
      <c r="P688" t="s">
        <v>2639</v>
      </c>
    </row>
    <row r="689" spans="1:16" hidden="1" x14ac:dyDescent="0.35">
      <c r="A689" t="s">
        <v>2403</v>
      </c>
      <c r="B689" s="3" t="s">
        <v>102</v>
      </c>
      <c r="C689" s="3" t="s">
        <v>9209</v>
      </c>
      <c r="D689" s="3"/>
      <c r="E689" s="3"/>
      <c r="F689" t="s">
        <v>2375</v>
      </c>
      <c r="H689" t="s">
        <v>2643</v>
      </c>
      <c r="J689" t="s">
        <v>2645</v>
      </c>
      <c r="K689" t="s">
        <v>2646</v>
      </c>
      <c r="L689" t="s">
        <v>2647</v>
      </c>
      <c r="M689" t="s">
        <v>229</v>
      </c>
      <c r="P689" t="s">
        <v>2644</v>
      </c>
    </row>
    <row r="690" spans="1:16" hidden="1" x14ac:dyDescent="0.35">
      <c r="A690" t="s">
        <v>2403</v>
      </c>
      <c r="B690" s="3" t="s">
        <v>102</v>
      </c>
      <c r="C690" s="3" t="s">
        <v>9209</v>
      </c>
      <c r="D690" s="3"/>
      <c r="E690" s="3"/>
      <c r="F690" t="s">
        <v>2375</v>
      </c>
      <c r="H690" t="s">
        <v>2648</v>
      </c>
      <c r="J690" t="s">
        <v>2649</v>
      </c>
      <c r="K690" t="s">
        <v>2650</v>
      </c>
      <c r="L690" t="s">
        <v>2651</v>
      </c>
      <c r="M690" t="s">
        <v>229</v>
      </c>
      <c r="P690" t="s">
        <v>1590</v>
      </c>
    </row>
    <row r="691" spans="1:16" hidden="1" x14ac:dyDescent="0.35">
      <c r="A691" t="s">
        <v>2403</v>
      </c>
      <c r="B691" s="3" t="s">
        <v>102</v>
      </c>
      <c r="C691" s="3" t="s">
        <v>9209</v>
      </c>
      <c r="D691" s="3"/>
      <c r="E691" s="3"/>
      <c r="F691" t="s">
        <v>2375</v>
      </c>
      <c r="H691" t="s">
        <v>2652</v>
      </c>
      <c r="J691" t="s">
        <v>2400</v>
      </c>
      <c r="K691" t="s">
        <v>2653</v>
      </c>
      <c r="L691" t="s">
        <v>2654</v>
      </c>
      <c r="M691" t="s">
        <v>229</v>
      </c>
      <c r="P691" t="s">
        <v>2437</v>
      </c>
    </row>
    <row r="692" spans="1:16" hidden="1" x14ac:dyDescent="0.35">
      <c r="A692" t="s">
        <v>2403</v>
      </c>
      <c r="B692" s="3" t="s">
        <v>102</v>
      </c>
      <c r="C692" s="3" t="s">
        <v>9209</v>
      </c>
      <c r="D692" s="3"/>
      <c r="E692" s="3"/>
      <c r="F692" t="s">
        <v>2375</v>
      </c>
      <c r="H692" t="s">
        <v>2655</v>
      </c>
      <c r="J692" t="s">
        <v>2405</v>
      </c>
      <c r="K692" t="s">
        <v>2656</v>
      </c>
      <c r="L692" t="s">
        <v>2657</v>
      </c>
      <c r="M692" t="s">
        <v>229</v>
      </c>
      <c r="P692" t="s">
        <v>2408</v>
      </c>
    </row>
    <row r="693" spans="1:16" hidden="1" x14ac:dyDescent="0.35">
      <c r="A693" t="s">
        <v>2403</v>
      </c>
      <c r="B693" s="3" t="s">
        <v>102</v>
      </c>
      <c r="C693" s="3" t="s">
        <v>9209</v>
      </c>
      <c r="D693" s="3"/>
      <c r="E693" s="3"/>
      <c r="F693" t="s">
        <v>2375</v>
      </c>
      <c r="H693" t="s">
        <v>2658</v>
      </c>
      <c r="J693" t="s">
        <v>2659</v>
      </c>
      <c r="K693" t="s">
        <v>2660</v>
      </c>
      <c r="L693" t="s">
        <v>2661</v>
      </c>
      <c r="M693" t="s">
        <v>2374</v>
      </c>
      <c r="P693" t="s">
        <v>27</v>
      </c>
    </row>
    <row r="694" spans="1:16" hidden="1" x14ac:dyDescent="0.35">
      <c r="A694" t="s">
        <v>2403</v>
      </c>
      <c r="B694" s="3" t="s">
        <v>102</v>
      </c>
      <c r="C694" s="3" t="s">
        <v>9209</v>
      </c>
      <c r="D694" s="3"/>
      <c r="E694" s="3"/>
      <c r="F694" t="s">
        <v>2375</v>
      </c>
      <c r="H694" t="s">
        <v>2662</v>
      </c>
      <c r="J694" t="s">
        <v>2663</v>
      </c>
      <c r="K694" t="s">
        <v>2664</v>
      </c>
      <c r="L694" t="s">
        <v>2665</v>
      </c>
      <c r="M694" t="s">
        <v>2374</v>
      </c>
      <c r="P694" t="s">
        <v>1341</v>
      </c>
    </row>
    <row r="695" spans="1:16" hidden="1" x14ac:dyDescent="0.35">
      <c r="A695" t="s">
        <v>2403</v>
      </c>
      <c r="B695" s="3" t="s">
        <v>102</v>
      </c>
      <c r="C695" s="3" t="s">
        <v>9209</v>
      </c>
      <c r="D695" s="3"/>
      <c r="E695" s="3"/>
      <c r="F695" t="s">
        <v>2375</v>
      </c>
      <c r="H695" t="s">
        <v>2666</v>
      </c>
      <c r="J695" t="s">
        <v>2516</v>
      </c>
      <c r="K695" t="s">
        <v>2668</v>
      </c>
      <c r="L695" t="s">
        <v>2669</v>
      </c>
      <c r="M695" t="s">
        <v>229</v>
      </c>
      <c r="P695" t="s">
        <v>2667</v>
      </c>
    </row>
    <row r="696" spans="1:16" hidden="1" x14ac:dyDescent="0.35">
      <c r="A696" t="s">
        <v>2403</v>
      </c>
      <c r="B696" s="3" t="s">
        <v>102</v>
      </c>
      <c r="C696" s="3" t="s">
        <v>9209</v>
      </c>
      <c r="D696" s="3"/>
      <c r="E696" s="3"/>
      <c r="F696" t="s">
        <v>2375</v>
      </c>
      <c r="H696" t="s">
        <v>2670</v>
      </c>
      <c r="J696" t="s">
        <v>2672</v>
      </c>
      <c r="K696" t="s">
        <v>2673</v>
      </c>
      <c r="L696" t="s">
        <v>2674</v>
      </c>
      <c r="M696" t="s">
        <v>229</v>
      </c>
      <c r="P696" t="s">
        <v>2671</v>
      </c>
    </row>
    <row r="697" spans="1:16" hidden="1" x14ac:dyDescent="0.35">
      <c r="A697" t="s">
        <v>2403</v>
      </c>
      <c r="B697" s="3" t="s">
        <v>102</v>
      </c>
      <c r="C697" s="3" t="s">
        <v>9209</v>
      </c>
      <c r="D697" s="3"/>
      <c r="E697" s="3"/>
      <c r="F697" t="s">
        <v>2375</v>
      </c>
      <c r="H697" t="s">
        <v>2675</v>
      </c>
      <c r="J697" t="s">
        <v>2649</v>
      </c>
      <c r="K697" t="s">
        <v>2676</v>
      </c>
      <c r="L697" t="s">
        <v>2677</v>
      </c>
      <c r="M697" t="s">
        <v>229</v>
      </c>
      <c r="P697" t="s">
        <v>1590</v>
      </c>
    </row>
    <row r="698" spans="1:16" hidden="1" x14ac:dyDescent="0.35">
      <c r="A698" t="s">
        <v>2403</v>
      </c>
      <c r="B698" s="3" t="s">
        <v>102</v>
      </c>
      <c r="C698" s="3" t="s">
        <v>9209</v>
      </c>
      <c r="D698" s="3"/>
      <c r="E698" s="3"/>
      <c r="F698" t="s">
        <v>2375</v>
      </c>
      <c r="H698" t="s">
        <v>2678</v>
      </c>
      <c r="J698" t="s">
        <v>2400</v>
      </c>
      <c r="K698" t="s">
        <v>2679</v>
      </c>
      <c r="L698" t="s">
        <v>2680</v>
      </c>
      <c r="M698" t="s">
        <v>229</v>
      </c>
      <c r="P698" t="s">
        <v>2437</v>
      </c>
    </row>
    <row r="699" spans="1:16" hidden="1" x14ac:dyDescent="0.35">
      <c r="A699" t="s">
        <v>2403</v>
      </c>
      <c r="B699" s="3" t="s">
        <v>102</v>
      </c>
      <c r="C699" s="3" t="s">
        <v>9209</v>
      </c>
      <c r="D699" s="3"/>
      <c r="E699" s="3"/>
      <c r="F699" t="s">
        <v>2375</v>
      </c>
      <c r="H699" t="s">
        <v>2681</v>
      </c>
      <c r="J699" t="s">
        <v>2405</v>
      </c>
      <c r="K699" t="s">
        <v>2682</v>
      </c>
      <c r="L699" t="s">
        <v>2683</v>
      </c>
      <c r="M699" t="s">
        <v>229</v>
      </c>
      <c r="P699" t="s">
        <v>2408</v>
      </c>
    </row>
    <row r="700" spans="1:16" hidden="1" x14ac:dyDescent="0.35">
      <c r="A700" t="s">
        <v>2403</v>
      </c>
      <c r="B700" s="3" t="s">
        <v>102</v>
      </c>
      <c r="C700" s="3" t="s">
        <v>9209</v>
      </c>
      <c r="D700" s="3"/>
      <c r="E700" s="3"/>
      <c r="F700" t="s">
        <v>2375</v>
      </c>
      <c r="H700" t="s">
        <v>2684</v>
      </c>
      <c r="J700" t="s">
        <v>2685</v>
      </c>
      <c r="K700" t="s">
        <v>2686</v>
      </c>
      <c r="L700" t="s">
        <v>2687</v>
      </c>
      <c r="M700" t="s">
        <v>2374</v>
      </c>
      <c r="P700" t="s">
        <v>1341</v>
      </c>
    </row>
    <row r="701" spans="1:16" hidden="1" x14ac:dyDescent="0.35">
      <c r="A701" t="s">
        <v>2403</v>
      </c>
      <c r="B701" s="3" t="s">
        <v>102</v>
      </c>
      <c r="C701" s="3" t="s">
        <v>9209</v>
      </c>
      <c r="D701" s="3"/>
      <c r="E701" s="3"/>
      <c r="F701" t="s">
        <v>2375</v>
      </c>
      <c r="H701" t="s">
        <v>2688</v>
      </c>
      <c r="J701" t="s">
        <v>2689</v>
      </c>
      <c r="K701" t="s">
        <v>2690</v>
      </c>
      <c r="L701" t="s">
        <v>2691</v>
      </c>
      <c r="M701" t="s">
        <v>2374</v>
      </c>
      <c r="P701" t="s">
        <v>1341</v>
      </c>
    </row>
    <row r="702" spans="1:16" hidden="1" x14ac:dyDescent="0.35">
      <c r="A702" t="s">
        <v>2403</v>
      </c>
      <c r="B702" s="3" t="s">
        <v>102</v>
      </c>
      <c r="C702" s="3" t="s">
        <v>9209</v>
      </c>
      <c r="D702" s="3"/>
      <c r="E702" s="3"/>
      <c r="F702" t="s">
        <v>2375</v>
      </c>
      <c r="H702" t="s">
        <v>2692</v>
      </c>
      <c r="J702" t="s">
        <v>2693</v>
      </c>
      <c r="K702" t="s">
        <v>2694</v>
      </c>
      <c r="L702" t="s">
        <v>2695</v>
      </c>
      <c r="M702" t="s">
        <v>2374</v>
      </c>
      <c r="P702" t="s">
        <v>1341</v>
      </c>
    </row>
    <row r="703" spans="1:16" hidden="1" x14ac:dyDescent="0.35">
      <c r="A703" t="s">
        <v>2403</v>
      </c>
      <c r="B703" s="3" t="s">
        <v>102</v>
      </c>
      <c r="C703" s="3" t="s">
        <v>9209</v>
      </c>
      <c r="D703" s="3"/>
      <c r="E703" s="3"/>
      <c r="F703" t="s">
        <v>2375</v>
      </c>
      <c r="H703" t="s">
        <v>2696</v>
      </c>
      <c r="J703" t="s">
        <v>2697</v>
      </c>
      <c r="K703" t="s">
        <v>2698</v>
      </c>
      <c r="L703" t="s">
        <v>2699</v>
      </c>
      <c r="M703" t="s">
        <v>2374</v>
      </c>
      <c r="P703" t="s">
        <v>1341</v>
      </c>
    </row>
    <row r="704" spans="1:16" hidden="1" x14ac:dyDescent="0.35">
      <c r="A704" t="s">
        <v>2403</v>
      </c>
      <c r="B704" s="3" t="s">
        <v>102</v>
      </c>
      <c r="C704" s="3" t="s">
        <v>9209</v>
      </c>
      <c r="D704" s="3"/>
      <c r="E704" s="3"/>
      <c r="F704" t="s">
        <v>2375</v>
      </c>
      <c r="H704" t="s">
        <v>2700</v>
      </c>
      <c r="J704" t="s">
        <v>2701</v>
      </c>
      <c r="K704" t="s">
        <v>2702</v>
      </c>
      <c r="L704" t="s">
        <v>2703</v>
      </c>
      <c r="M704" t="s">
        <v>2374</v>
      </c>
      <c r="P704" t="s">
        <v>1341</v>
      </c>
    </row>
    <row r="705" spans="1:16" hidden="1" x14ac:dyDescent="0.35">
      <c r="A705" t="s">
        <v>2403</v>
      </c>
      <c r="B705" s="3" t="s">
        <v>102</v>
      </c>
      <c r="C705" s="3" t="s">
        <v>9209</v>
      </c>
      <c r="D705" s="3"/>
      <c r="E705" s="3"/>
      <c r="F705" t="s">
        <v>2375</v>
      </c>
      <c r="H705" t="s">
        <v>2704</v>
      </c>
      <c r="J705" t="s">
        <v>2575</v>
      </c>
      <c r="K705" t="s">
        <v>2705</v>
      </c>
      <c r="L705" t="s">
        <v>2706</v>
      </c>
      <c r="M705" t="s">
        <v>229</v>
      </c>
      <c r="P705" s="18" t="s">
        <v>9217</v>
      </c>
    </row>
    <row r="706" spans="1:16" hidden="1" x14ac:dyDescent="0.35">
      <c r="A706" t="s">
        <v>2403</v>
      </c>
      <c r="B706" s="3" t="s">
        <v>102</v>
      </c>
      <c r="C706" s="3" t="s">
        <v>9209</v>
      </c>
      <c r="D706" s="3"/>
      <c r="E706" s="3"/>
      <c r="F706" t="s">
        <v>2375</v>
      </c>
      <c r="H706" t="s">
        <v>2707</v>
      </c>
      <c r="J706" t="s">
        <v>2477</v>
      </c>
      <c r="K706" t="s">
        <v>2708</v>
      </c>
      <c r="L706" t="s">
        <v>2709</v>
      </c>
      <c r="M706" t="s">
        <v>229</v>
      </c>
      <c r="P706" s="18" t="s">
        <v>9217</v>
      </c>
    </row>
    <row r="707" spans="1:16" hidden="1" x14ac:dyDescent="0.35">
      <c r="A707" t="s">
        <v>2403</v>
      </c>
      <c r="B707" s="3" t="s">
        <v>102</v>
      </c>
      <c r="C707" s="3" t="s">
        <v>9209</v>
      </c>
      <c r="D707" s="3"/>
      <c r="E707" s="3"/>
      <c r="F707" t="s">
        <v>2375</v>
      </c>
      <c r="H707" t="s">
        <v>2710</v>
      </c>
      <c r="J707" t="s">
        <v>2711</v>
      </c>
      <c r="K707" t="s">
        <v>2712</v>
      </c>
      <c r="L707" t="s">
        <v>2713</v>
      </c>
      <c r="M707" t="s">
        <v>2374</v>
      </c>
      <c r="P707" t="s">
        <v>1341</v>
      </c>
    </row>
    <row r="708" spans="1:16" hidden="1" x14ac:dyDescent="0.35">
      <c r="A708" t="s">
        <v>2403</v>
      </c>
      <c r="B708" s="3" t="s">
        <v>102</v>
      </c>
      <c r="C708" s="3" t="s">
        <v>9209</v>
      </c>
      <c r="D708" s="3"/>
      <c r="E708" s="3"/>
      <c r="F708" t="s">
        <v>2375</v>
      </c>
      <c r="H708" t="s">
        <v>2714</v>
      </c>
      <c r="J708" t="s">
        <v>2715</v>
      </c>
      <c r="K708" t="s">
        <v>2716</v>
      </c>
      <c r="L708" t="s">
        <v>2713</v>
      </c>
      <c r="M708" t="s">
        <v>2374</v>
      </c>
      <c r="P708" t="s">
        <v>1341</v>
      </c>
    </row>
    <row r="709" spans="1:16" hidden="1" x14ac:dyDescent="0.35">
      <c r="A709" t="s">
        <v>2403</v>
      </c>
      <c r="B709" s="3" t="s">
        <v>102</v>
      </c>
      <c r="C709" s="3" t="s">
        <v>9209</v>
      </c>
      <c r="D709" s="3"/>
      <c r="E709" s="3"/>
      <c r="F709" t="s">
        <v>2375</v>
      </c>
      <c r="H709" t="s">
        <v>2717</v>
      </c>
      <c r="J709" t="s">
        <v>2718</v>
      </c>
      <c r="K709" t="s">
        <v>2719</v>
      </c>
      <c r="L709" t="s">
        <v>2720</v>
      </c>
      <c r="M709" t="s">
        <v>248</v>
      </c>
      <c r="P709" s="18" t="s">
        <v>9217</v>
      </c>
    </row>
    <row r="710" spans="1:16" hidden="1" x14ac:dyDescent="0.35">
      <c r="A710" t="s">
        <v>2403</v>
      </c>
      <c r="B710" s="3" t="s">
        <v>102</v>
      </c>
      <c r="C710" s="3" t="s">
        <v>9209</v>
      </c>
      <c r="D710" s="3"/>
      <c r="E710" s="3"/>
      <c r="F710" t="s">
        <v>2375</v>
      </c>
      <c r="H710" t="s">
        <v>2721</v>
      </c>
      <c r="J710" t="s">
        <v>2722</v>
      </c>
      <c r="K710" t="s">
        <v>2723</v>
      </c>
      <c r="L710" t="s">
        <v>2724</v>
      </c>
      <c r="M710" t="s">
        <v>229</v>
      </c>
      <c r="P710" s="18" t="s">
        <v>9217</v>
      </c>
    </row>
    <row r="711" spans="1:16" hidden="1" x14ac:dyDescent="0.35">
      <c r="A711" t="s">
        <v>2403</v>
      </c>
      <c r="B711" s="3" t="s">
        <v>102</v>
      </c>
      <c r="C711" s="3" t="s">
        <v>9209</v>
      </c>
      <c r="D711" s="3"/>
      <c r="E711" s="3"/>
      <c r="F711" t="s">
        <v>2375</v>
      </c>
      <c r="H711" t="s">
        <v>2725</v>
      </c>
      <c r="J711" t="s">
        <v>2726</v>
      </c>
      <c r="K711" t="s">
        <v>2727</v>
      </c>
      <c r="L711" t="s">
        <v>2728</v>
      </c>
      <c r="M711" t="s">
        <v>229</v>
      </c>
      <c r="P711" s="18" t="s">
        <v>9217</v>
      </c>
    </row>
    <row r="712" spans="1:16" hidden="1" x14ac:dyDescent="0.35">
      <c r="A712" t="s">
        <v>2403</v>
      </c>
      <c r="B712" s="3" t="s">
        <v>102</v>
      </c>
      <c r="C712" s="3" t="s">
        <v>9209</v>
      </c>
      <c r="D712" s="3"/>
      <c r="E712" s="3"/>
      <c r="F712" t="s">
        <v>2375</v>
      </c>
      <c r="H712" t="s">
        <v>2729</v>
      </c>
      <c r="J712" t="s">
        <v>2730</v>
      </c>
      <c r="K712" t="s">
        <v>2731</v>
      </c>
      <c r="L712" t="s">
        <v>2732</v>
      </c>
      <c r="M712" t="s">
        <v>229</v>
      </c>
      <c r="P712" s="18" t="s">
        <v>9217</v>
      </c>
    </row>
    <row r="713" spans="1:16" hidden="1" x14ac:dyDescent="0.35">
      <c r="A713" t="s">
        <v>2403</v>
      </c>
      <c r="B713" s="3" t="s">
        <v>102</v>
      </c>
      <c r="C713" s="3" t="s">
        <v>9209</v>
      </c>
      <c r="D713" s="3"/>
      <c r="E713" s="3"/>
      <c r="F713" t="s">
        <v>2375</v>
      </c>
      <c r="H713" t="s">
        <v>2733</v>
      </c>
      <c r="J713" t="s">
        <v>2734</v>
      </c>
      <c r="K713" t="s">
        <v>2735</v>
      </c>
      <c r="L713" t="s">
        <v>2736</v>
      </c>
      <c r="M713" t="s">
        <v>229</v>
      </c>
      <c r="P713" s="18" t="s">
        <v>9217</v>
      </c>
    </row>
    <row r="714" spans="1:16" hidden="1" x14ac:dyDescent="0.35">
      <c r="A714" t="s">
        <v>2403</v>
      </c>
      <c r="B714" s="3" t="s">
        <v>102</v>
      </c>
      <c r="C714" s="3" t="s">
        <v>9209</v>
      </c>
      <c r="D714" s="3"/>
      <c r="E714" s="3"/>
      <c r="F714" t="s">
        <v>2375</v>
      </c>
      <c r="H714" t="s">
        <v>2737</v>
      </c>
      <c r="J714" t="s">
        <v>2575</v>
      </c>
      <c r="K714" t="s">
        <v>2738</v>
      </c>
      <c r="L714" t="s">
        <v>2739</v>
      </c>
      <c r="M714" t="s">
        <v>229</v>
      </c>
      <c r="P714" s="18" t="s">
        <v>9217</v>
      </c>
    </row>
    <row r="715" spans="1:16" hidden="1" x14ac:dyDescent="0.35">
      <c r="A715" t="s">
        <v>2403</v>
      </c>
      <c r="B715" s="3" t="s">
        <v>102</v>
      </c>
      <c r="C715" s="3" t="s">
        <v>9209</v>
      </c>
      <c r="D715" s="3"/>
      <c r="E715" s="3"/>
      <c r="F715" t="s">
        <v>2375</v>
      </c>
      <c r="H715" t="s">
        <v>2740</v>
      </c>
      <c r="J715" t="s">
        <v>2477</v>
      </c>
      <c r="K715" t="s">
        <v>2741</v>
      </c>
      <c r="L715" t="s">
        <v>2742</v>
      </c>
      <c r="M715" t="s">
        <v>229</v>
      </c>
      <c r="P715" s="18" t="s">
        <v>9217</v>
      </c>
    </row>
    <row r="716" spans="1:16" hidden="1" x14ac:dyDescent="0.35">
      <c r="A716" t="s">
        <v>2403</v>
      </c>
      <c r="B716" s="3" t="s">
        <v>102</v>
      </c>
      <c r="C716" s="3" t="s">
        <v>9209</v>
      </c>
      <c r="D716" s="3"/>
      <c r="E716" s="3"/>
      <c r="F716" t="s">
        <v>2375</v>
      </c>
      <c r="H716" t="s">
        <v>2743</v>
      </c>
      <c r="J716" t="s">
        <v>2744</v>
      </c>
      <c r="K716" t="s">
        <v>2745</v>
      </c>
      <c r="L716" t="s">
        <v>2746</v>
      </c>
      <c r="M716" t="s">
        <v>2374</v>
      </c>
      <c r="P716" t="s">
        <v>1341</v>
      </c>
    </row>
    <row r="717" spans="1:16" hidden="1" x14ac:dyDescent="0.35">
      <c r="A717" t="s">
        <v>2403</v>
      </c>
      <c r="B717" s="3" t="s">
        <v>102</v>
      </c>
      <c r="C717" s="3" t="s">
        <v>9209</v>
      </c>
      <c r="D717" s="3"/>
      <c r="E717" s="3"/>
      <c r="F717" t="s">
        <v>2375</v>
      </c>
      <c r="H717" t="s">
        <v>2747</v>
      </c>
      <c r="J717" t="s">
        <v>2748</v>
      </c>
      <c r="K717" t="s">
        <v>2749</v>
      </c>
      <c r="L717" t="s">
        <v>2750</v>
      </c>
      <c r="M717" t="s">
        <v>2374</v>
      </c>
      <c r="P717" t="s">
        <v>1341</v>
      </c>
    </row>
    <row r="718" spans="1:16" hidden="1" x14ac:dyDescent="0.35">
      <c r="A718" t="s">
        <v>2403</v>
      </c>
      <c r="B718" s="3" t="s">
        <v>102</v>
      </c>
      <c r="C718" s="3" t="s">
        <v>9209</v>
      </c>
      <c r="D718" s="3"/>
      <c r="E718" s="3"/>
      <c r="F718" t="s">
        <v>2375</v>
      </c>
      <c r="H718" t="s">
        <v>2751</v>
      </c>
      <c r="J718" t="s">
        <v>2752</v>
      </c>
      <c r="K718" t="s">
        <v>2753</v>
      </c>
      <c r="L718" t="s">
        <v>2754</v>
      </c>
      <c r="M718" t="s">
        <v>2374</v>
      </c>
      <c r="P718" t="s">
        <v>1341</v>
      </c>
    </row>
    <row r="719" spans="1:16" hidden="1" x14ac:dyDescent="0.35">
      <c r="A719" t="s">
        <v>2403</v>
      </c>
      <c r="B719" s="3" t="s">
        <v>102</v>
      </c>
      <c r="C719" s="3" t="s">
        <v>9209</v>
      </c>
      <c r="D719" s="3"/>
      <c r="E719" s="3"/>
      <c r="F719" t="s">
        <v>2375</v>
      </c>
      <c r="H719" t="s">
        <v>2755</v>
      </c>
      <c r="J719" t="s">
        <v>2756</v>
      </c>
      <c r="K719" t="s">
        <v>2757</v>
      </c>
      <c r="L719" t="s">
        <v>2758</v>
      </c>
      <c r="M719" t="s">
        <v>2759</v>
      </c>
      <c r="P719" s="18" t="s">
        <v>9217</v>
      </c>
    </row>
    <row r="720" spans="1:16" hidden="1" x14ac:dyDescent="0.35">
      <c r="A720" t="s">
        <v>2403</v>
      </c>
      <c r="B720" s="3" t="s">
        <v>102</v>
      </c>
      <c r="C720" s="3" t="s">
        <v>9209</v>
      </c>
      <c r="D720" s="3"/>
      <c r="E720" s="3"/>
      <c r="F720" t="s">
        <v>2375</v>
      </c>
      <c r="H720" t="s">
        <v>2760</v>
      </c>
      <c r="J720" t="s">
        <v>2761</v>
      </c>
      <c r="K720" t="s">
        <v>2762</v>
      </c>
      <c r="L720" t="s">
        <v>2763</v>
      </c>
      <c r="M720" t="s">
        <v>229</v>
      </c>
      <c r="P720" s="18" t="s">
        <v>9217</v>
      </c>
    </row>
    <row r="721" spans="1:16" hidden="1" x14ac:dyDescent="0.35">
      <c r="A721" t="s">
        <v>2403</v>
      </c>
      <c r="B721" s="3" t="s">
        <v>102</v>
      </c>
      <c r="C721" s="3" t="s">
        <v>9209</v>
      </c>
      <c r="D721" s="3"/>
      <c r="E721" s="3"/>
      <c r="F721" t="s">
        <v>2375</v>
      </c>
      <c r="H721" t="s">
        <v>2764</v>
      </c>
      <c r="J721" t="s">
        <v>2575</v>
      </c>
      <c r="K721" t="s">
        <v>2765</v>
      </c>
      <c r="L721" t="s">
        <v>2766</v>
      </c>
      <c r="M721" t="s">
        <v>229</v>
      </c>
      <c r="P721" s="18" t="s">
        <v>9217</v>
      </c>
    </row>
    <row r="722" spans="1:16" hidden="1" x14ac:dyDescent="0.35">
      <c r="A722" t="s">
        <v>2403</v>
      </c>
      <c r="B722" s="3" t="s">
        <v>102</v>
      </c>
      <c r="C722" s="3" t="s">
        <v>9209</v>
      </c>
      <c r="D722" s="3"/>
      <c r="E722" s="3"/>
      <c r="F722" t="s">
        <v>2375</v>
      </c>
      <c r="H722" t="s">
        <v>2767</v>
      </c>
      <c r="J722" t="s">
        <v>2477</v>
      </c>
      <c r="K722" t="s">
        <v>2768</v>
      </c>
      <c r="L722" t="s">
        <v>2769</v>
      </c>
      <c r="M722" t="s">
        <v>229</v>
      </c>
      <c r="P722" s="18" t="s">
        <v>9217</v>
      </c>
    </row>
    <row r="723" spans="1:16" hidden="1" x14ac:dyDescent="0.35">
      <c r="A723" t="s">
        <v>2403</v>
      </c>
      <c r="B723" s="3" t="s">
        <v>102</v>
      </c>
      <c r="C723" s="3" t="s">
        <v>9209</v>
      </c>
      <c r="D723" s="3"/>
      <c r="E723" s="3"/>
      <c r="F723" t="s">
        <v>2375</v>
      </c>
      <c r="H723" t="s">
        <v>2770</v>
      </c>
      <c r="J723" t="s">
        <v>2771</v>
      </c>
      <c r="K723" t="s">
        <v>2772</v>
      </c>
      <c r="L723" t="s">
        <v>2773</v>
      </c>
      <c r="M723" t="s">
        <v>2374</v>
      </c>
      <c r="P723" t="s">
        <v>1341</v>
      </c>
    </row>
    <row r="724" spans="1:16" hidden="1" x14ac:dyDescent="0.35">
      <c r="A724" t="s">
        <v>2403</v>
      </c>
      <c r="B724" s="3" t="s">
        <v>102</v>
      </c>
      <c r="C724" s="3" t="s">
        <v>9209</v>
      </c>
      <c r="D724" s="3"/>
      <c r="E724" s="3"/>
      <c r="F724" t="s">
        <v>2375</v>
      </c>
      <c r="H724" t="s">
        <v>2774</v>
      </c>
      <c r="J724" t="s">
        <v>2775</v>
      </c>
      <c r="K724" t="s">
        <v>2776</v>
      </c>
      <c r="L724" t="s">
        <v>2777</v>
      </c>
      <c r="M724" t="s">
        <v>2759</v>
      </c>
      <c r="P724" s="18" t="s">
        <v>9217</v>
      </c>
    </row>
    <row r="725" spans="1:16" hidden="1" x14ac:dyDescent="0.35">
      <c r="A725" t="s">
        <v>2403</v>
      </c>
      <c r="B725" s="3" t="s">
        <v>102</v>
      </c>
      <c r="C725" s="3" t="s">
        <v>9209</v>
      </c>
      <c r="D725" s="3"/>
      <c r="E725" s="3"/>
      <c r="F725" t="s">
        <v>2375</v>
      </c>
      <c r="H725" t="s">
        <v>2778</v>
      </c>
      <c r="J725" t="s">
        <v>2761</v>
      </c>
      <c r="K725" t="s">
        <v>2779</v>
      </c>
      <c r="L725" t="s">
        <v>2780</v>
      </c>
      <c r="M725" t="s">
        <v>229</v>
      </c>
      <c r="P725" s="18" t="s">
        <v>9217</v>
      </c>
    </row>
    <row r="726" spans="1:16" hidden="1" x14ac:dyDescent="0.35">
      <c r="A726" t="s">
        <v>2403</v>
      </c>
      <c r="B726" s="3" t="s">
        <v>102</v>
      </c>
      <c r="C726" s="3" t="s">
        <v>9209</v>
      </c>
      <c r="D726" s="3"/>
      <c r="E726" s="3"/>
      <c r="F726" t="s">
        <v>2375</v>
      </c>
      <c r="H726" t="s">
        <v>2781</v>
      </c>
      <c r="J726" t="s">
        <v>2575</v>
      </c>
      <c r="K726" t="s">
        <v>2782</v>
      </c>
      <c r="L726" t="s">
        <v>2783</v>
      </c>
      <c r="M726" t="s">
        <v>229</v>
      </c>
      <c r="P726" s="18" t="s">
        <v>9217</v>
      </c>
    </row>
    <row r="727" spans="1:16" hidden="1" x14ac:dyDescent="0.35">
      <c r="A727" t="s">
        <v>2403</v>
      </c>
      <c r="B727" s="3" t="s">
        <v>102</v>
      </c>
      <c r="C727" s="3" t="s">
        <v>9209</v>
      </c>
      <c r="D727" s="3"/>
      <c r="E727" s="3"/>
      <c r="F727" t="s">
        <v>2375</v>
      </c>
      <c r="H727" t="s">
        <v>2784</v>
      </c>
      <c r="J727" t="s">
        <v>2477</v>
      </c>
      <c r="K727" t="s">
        <v>2785</v>
      </c>
      <c r="L727" t="s">
        <v>2786</v>
      </c>
      <c r="M727" t="s">
        <v>229</v>
      </c>
      <c r="P727" s="18" t="s">
        <v>9217</v>
      </c>
    </row>
    <row r="728" spans="1:16" hidden="1" x14ac:dyDescent="0.35">
      <c r="A728" t="s">
        <v>2403</v>
      </c>
      <c r="B728" s="3" t="s">
        <v>102</v>
      </c>
      <c r="C728" s="3" t="s">
        <v>9209</v>
      </c>
      <c r="D728" s="3"/>
      <c r="E728" s="3"/>
      <c r="F728" t="s">
        <v>2787</v>
      </c>
      <c r="H728" t="s">
        <v>2788</v>
      </c>
      <c r="J728" t="s">
        <v>2789</v>
      </c>
      <c r="K728" t="s">
        <v>2790</v>
      </c>
      <c r="L728" t="s">
        <v>2791</v>
      </c>
      <c r="M728" t="s">
        <v>229</v>
      </c>
      <c r="P728" s="18" t="s">
        <v>2792</v>
      </c>
    </row>
    <row r="729" spans="1:16" hidden="1" x14ac:dyDescent="0.35">
      <c r="A729" t="s">
        <v>2403</v>
      </c>
      <c r="B729" s="3" t="s">
        <v>102</v>
      </c>
      <c r="C729" s="3" t="s">
        <v>9209</v>
      </c>
      <c r="D729" s="3"/>
      <c r="E729" s="3"/>
      <c r="F729" t="s">
        <v>2787</v>
      </c>
      <c r="H729" t="s">
        <v>2793</v>
      </c>
      <c r="J729" t="s">
        <v>2794</v>
      </c>
      <c r="K729" t="s">
        <v>2795</v>
      </c>
      <c r="L729" t="s">
        <v>2796</v>
      </c>
      <c r="M729" t="s">
        <v>229</v>
      </c>
      <c r="P729" s="18" t="s">
        <v>2480</v>
      </c>
    </row>
    <row r="730" spans="1:16" hidden="1" x14ac:dyDescent="0.35">
      <c r="A730" t="s">
        <v>2403</v>
      </c>
      <c r="B730" s="3" t="s">
        <v>102</v>
      </c>
      <c r="C730" s="3" t="s">
        <v>9209</v>
      </c>
      <c r="D730" s="3"/>
      <c r="E730" s="3"/>
      <c r="F730" t="s">
        <v>2787</v>
      </c>
      <c r="H730" t="s">
        <v>2797</v>
      </c>
      <c r="J730" t="s">
        <v>2388</v>
      </c>
      <c r="K730" t="s">
        <v>2798</v>
      </c>
      <c r="L730" t="s">
        <v>2799</v>
      </c>
      <c r="M730" t="s">
        <v>229</v>
      </c>
      <c r="P730" s="18" t="s">
        <v>2800</v>
      </c>
    </row>
    <row r="731" spans="1:16" hidden="1" x14ac:dyDescent="0.35">
      <c r="A731" t="s">
        <v>2403</v>
      </c>
      <c r="B731" s="3" t="s">
        <v>102</v>
      </c>
      <c r="C731" s="3" t="s">
        <v>9209</v>
      </c>
      <c r="D731" s="3"/>
      <c r="E731" s="3"/>
      <c r="F731" t="s">
        <v>2787</v>
      </c>
      <c r="H731" t="s">
        <v>2801</v>
      </c>
      <c r="J731" t="s">
        <v>2802</v>
      </c>
      <c r="K731" t="s">
        <v>2803</v>
      </c>
      <c r="L731" t="s">
        <v>2804</v>
      </c>
      <c r="M731" t="s">
        <v>2374</v>
      </c>
      <c r="P731" s="18" t="s">
        <v>1341</v>
      </c>
    </row>
    <row r="732" spans="1:16" hidden="1" x14ac:dyDescent="0.35">
      <c r="A732" t="s">
        <v>2403</v>
      </c>
      <c r="B732" s="3" t="s">
        <v>102</v>
      </c>
      <c r="C732" s="3" t="s">
        <v>9209</v>
      </c>
      <c r="D732" s="3"/>
      <c r="E732" s="3"/>
      <c r="F732" t="s">
        <v>2787</v>
      </c>
      <c r="H732" t="s">
        <v>2805</v>
      </c>
      <c r="J732" t="s">
        <v>2806</v>
      </c>
      <c r="K732" t="s">
        <v>2807</v>
      </c>
      <c r="L732" t="s">
        <v>2808</v>
      </c>
      <c r="M732" t="s">
        <v>241</v>
      </c>
      <c r="P732" s="18">
        <v>21</v>
      </c>
    </row>
    <row r="733" spans="1:16" hidden="1" x14ac:dyDescent="0.35">
      <c r="A733" t="s">
        <v>2403</v>
      </c>
      <c r="B733" s="3" t="s">
        <v>102</v>
      </c>
      <c r="C733" s="3" t="s">
        <v>9209</v>
      </c>
      <c r="D733" s="3"/>
      <c r="E733" s="3"/>
      <c r="F733" t="s">
        <v>2787</v>
      </c>
      <c r="H733" t="s">
        <v>2809</v>
      </c>
      <c r="J733" t="s">
        <v>2810</v>
      </c>
      <c r="K733" t="s">
        <v>2811</v>
      </c>
      <c r="L733" t="s">
        <v>2812</v>
      </c>
      <c r="M733" t="s">
        <v>241</v>
      </c>
      <c r="P733" s="18">
        <v>0</v>
      </c>
    </row>
    <row r="734" spans="1:16" hidden="1" x14ac:dyDescent="0.35">
      <c r="A734" t="s">
        <v>2403</v>
      </c>
      <c r="B734" s="3" t="s">
        <v>102</v>
      </c>
      <c r="C734" s="3" t="s">
        <v>9209</v>
      </c>
      <c r="D734" s="3"/>
      <c r="E734" s="3"/>
      <c r="F734" t="s">
        <v>2787</v>
      </c>
      <c r="H734" t="s">
        <v>2813</v>
      </c>
      <c r="J734" t="s">
        <v>2814</v>
      </c>
      <c r="K734" t="s">
        <v>2815</v>
      </c>
      <c r="L734" t="s">
        <v>2816</v>
      </c>
      <c r="M734" t="s">
        <v>241</v>
      </c>
      <c r="P734" s="18">
        <v>0</v>
      </c>
    </row>
    <row r="735" spans="1:16" hidden="1" x14ac:dyDescent="0.35">
      <c r="A735" t="s">
        <v>2403</v>
      </c>
      <c r="B735" s="3" t="s">
        <v>102</v>
      </c>
      <c r="C735" s="3" t="s">
        <v>9209</v>
      </c>
      <c r="D735" s="3"/>
      <c r="E735" s="3"/>
      <c r="F735" t="s">
        <v>2787</v>
      </c>
      <c r="H735" t="s">
        <v>2817</v>
      </c>
      <c r="J735" t="s">
        <v>2818</v>
      </c>
      <c r="K735" t="s">
        <v>2819</v>
      </c>
      <c r="L735" t="s">
        <v>2820</v>
      </c>
      <c r="M735" t="s">
        <v>229</v>
      </c>
      <c r="P735" s="18" t="s">
        <v>2821</v>
      </c>
    </row>
    <row r="736" spans="1:16" hidden="1" x14ac:dyDescent="0.35">
      <c r="A736" t="s">
        <v>2403</v>
      </c>
      <c r="B736" s="3" t="s">
        <v>102</v>
      </c>
      <c r="C736" s="3" t="s">
        <v>9209</v>
      </c>
      <c r="D736" s="3"/>
      <c r="E736" s="3"/>
      <c r="F736" t="s">
        <v>2787</v>
      </c>
      <c r="H736" t="s">
        <v>2822</v>
      </c>
      <c r="J736" t="s">
        <v>2823</v>
      </c>
      <c r="K736" t="s">
        <v>2824</v>
      </c>
      <c r="L736" t="s">
        <v>2825</v>
      </c>
      <c r="M736" t="s">
        <v>229</v>
      </c>
      <c r="P736" s="18" t="s">
        <v>2826</v>
      </c>
    </row>
    <row r="737" spans="1:16" hidden="1" x14ac:dyDescent="0.35">
      <c r="A737" t="s">
        <v>2403</v>
      </c>
      <c r="B737" s="3" t="s">
        <v>102</v>
      </c>
      <c r="C737" s="3" t="s">
        <v>9209</v>
      </c>
      <c r="D737" s="3"/>
      <c r="E737" s="3"/>
      <c r="F737" t="s">
        <v>2787</v>
      </c>
      <c r="H737" t="s">
        <v>2827</v>
      </c>
      <c r="J737" t="s">
        <v>2828</v>
      </c>
      <c r="K737" t="s">
        <v>2829</v>
      </c>
      <c r="L737" t="s">
        <v>2830</v>
      </c>
      <c r="M737" t="s">
        <v>229</v>
      </c>
      <c r="P737" s="18" t="s">
        <v>2831</v>
      </c>
    </row>
    <row r="738" spans="1:16" hidden="1" x14ac:dyDescent="0.35">
      <c r="A738" t="s">
        <v>2403</v>
      </c>
      <c r="B738" s="3" t="s">
        <v>102</v>
      </c>
      <c r="C738" s="3" t="s">
        <v>9209</v>
      </c>
      <c r="D738" s="3"/>
      <c r="E738" s="3"/>
      <c r="F738" t="s">
        <v>2787</v>
      </c>
      <c r="H738" t="s">
        <v>2832</v>
      </c>
      <c r="J738" t="s">
        <v>2833</v>
      </c>
      <c r="K738" t="s">
        <v>2834</v>
      </c>
      <c r="L738" t="s">
        <v>2835</v>
      </c>
      <c r="M738" t="s">
        <v>2374</v>
      </c>
      <c r="P738" s="18" t="s">
        <v>1341</v>
      </c>
    </row>
    <row r="739" spans="1:16" hidden="1" x14ac:dyDescent="0.35">
      <c r="A739" t="s">
        <v>2403</v>
      </c>
      <c r="B739" s="3" t="s">
        <v>102</v>
      </c>
      <c r="C739" s="3" t="s">
        <v>9209</v>
      </c>
      <c r="D739" s="3"/>
      <c r="E739" s="3"/>
      <c r="F739" t="s">
        <v>2787</v>
      </c>
      <c r="H739" t="s">
        <v>2836</v>
      </c>
      <c r="J739" t="s">
        <v>2837</v>
      </c>
      <c r="K739" t="s">
        <v>2838</v>
      </c>
      <c r="L739" t="s">
        <v>2839</v>
      </c>
      <c r="M739" t="s">
        <v>2374</v>
      </c>
      <c r="P739" s="18" t="s">
        <v>1341</v>
      </c>
    </row>
    <row r="740" spans="1:16" hidden="1" x14ac:dyDescent="0.35">
      <c r="A740" t="s">
        <v>2403</v>
      </c>
      <c r="B740" s="3" t="s">
        <v>102</v>
      </c>
      <c r="C740" s="3" t="s">
        <v>9209</v>
      </c>
      <c r="D740" s="3"/>
      <c r="E740" s="3"/>
      <c r="F740" t="s">
        <v>2787</v>
      </c>
      <c r="H740" t="s">
        <v>2840</v>
      </c>
      <c r="J740" t="s">
        <v>2841</v>
      </c>
      <c r="K740" t="s">
        <v>2842</v>
      </c>
      <c r="L740" t="s">
        <v>2843</v>
      </c>
      <c r="M740" t="s">
        <v>2374</v>
      </c>
      <c r="P740" s="18" t="s">
        <v>1341</v>
      </c>
    </row>
    <row r="741" spans="1:16" hidden="1" x14ac:dyDescent="0.35">
      <c r="A741" t="s">
        <v>2403</v>
      </c>
      <c r="B741" s="3" t="s">
        <v>102</v>
      </c>
      <c r="C741" s="3" t="s">
        <v>9209</v>
      </c>
      <c r="D741" s="3"/>
      <c r="E741" s="3"/>
      <c r="F741" t="s">
        <v>2787</v>
      </c>
      <c r="H741" t="s">
        <v>2844</v>
      </c>
      <c r="J741" t="s">
        <v>2845</v>
      </c>
      <c r="K741" t="s">
        <v>2846</v>
      </c>
      <c r="L741" t="s">
        <v>2847</v>
      </c>
      <c r="M741" t="s">
        <v>2374</v>
      </c>
      <c r="P741" s="18" t="s">
        <v>1341</v>
      </c>
    </row>
    <row r="742" spans="1:16" hidden="1" x14ac:dyDescent="0.35">
      <c r="A742" t="s">
        <v>2403</v>
      </c>
      <c r="B742" s="3" t="s">
        <v>102</v>
      </c>
      <c r="C742" s="3" t="s">
        <v>9209</v>
      </c>
      <c r="D742" s="3"/>
      <c r="E742" s="3"/>
      <c r="F742" t="s">
        <v>2787</v>
      </c>
      <c r="H742" t="s">
        <v>2848</v>
      </c>
      <c r="J742" t="s">
        <v>2849</v>
      </c>
      <c r="K742" t="s">
        <v>2850</v>
      </c>
      <c r="L742" t="s">
        <v>2851</v>
      </c>
      <c r="M742" t="s">
        <v>2374</v>
      </c>
      <c r="P742" s="18" t="s">
        <v>1341</v>
      </c>
    </row>
    <row r="743" spans="1:16" hidden="1" x14ac:dyDescent="0.35">
      <c r="A743" t="s">
        <v>2403</v>
      </c>
      <c r="B743" s="3" t="s">
        <v>102</v>
      </c>
      <c r="C743" s="3" t="s">
        <v>9209</v>
      </c>
      <c r="D743" s="3"/>
      <c r="E743" s="3"/>
      <c r="F743" t="s">
        <v>2787</v>
      </c>
      <c r="H743" t="s">
        <v>2852</v>
      </c>
      <c r="J743" t="s">
        <v>2853</v>
      </c>
      <c r="K743" t="s">
        <v>2854</v>
      </c>
      <c r="L743" t="s">
        <v>2855</v>
      </c>
      <c r="M743" t="s">
        <v>2374</v>
      </c>
      <c r="P743" s="18" t="s">
        <v>1341</v>
      </c>
    </row>
    <row r="744" spans="1:16" hidden="1" x14ac:dyDescent="0.35">
      <c r="A744" t="s">
        <v>2403</v>
      </c>
      <c r="B744" s="3" t="s">
        <v>102</v>
      </c>
      <c r="C744" s="3" t="s">
        <v>9209</v>
      </c>
      <c r="D744" s="3"/>
      <c r="E744" s="3"/>
      <c r="F744" t="s">
        <v>2787</v>
      </c>
      <c r="H744" t="s">
        <v>2856</v>
      </c>
      <c r="J744" t="s">
        <v>2857</v>
      </c>
      <c r="K744" t="s">
        <v>2858</v>
      </c>
      <c r="L744" t="s">
        <v>2859</v>
      </c>
      <c r="M744" t="s">
        <v>263</v>
      </c>
      <c r="P744" s="18" t="s">
        <v>9217</v>
      </c>
    </row>
    <row r="745" spans="1:16" hidden="1" x14ac:dyDescent="0.35">
      <c r="A745" t="s">
        <v>2403</v>
      </c>
      <c r="B745" s="3" t="s">
        <v>102</v>
      </c>
      <c r="C745" s="3" t="s">
        <v>9209</v>
      </c>
      <c r="D745" s="3"/>
      <c r="E745" s="3"/>
      <c r="F745" t="s">
        <v>2787</v>
      </c>
      <c r="H745" t="s">
        <v>2860</v>
      </c>
      <c r="J745" t="s">
        <v>2861</v>
      </c>
      <c r="K745" t="s">
        <v>2862</v>
      </c>
      <c r="L745" t="s">
        <v>2863</v>
      </c>
      <c r="M745" t="s">
        <v>263</v>
      </c>
      <c r="P745" s="18" t="s">
        <v>9217</v>
      </c>
    </row>
    <row r="746" spans="1:16" hidden="1" x14ac:dyDescent="0.35">
      <c r="A746" t="s">
        <v>2403</v>
      </c>
      <c r="B746" s="3" t="s">
        <v>102</v>
      </c>
      <c r="C746" s="3" t="s">
        <v>9209</v>
      </c>
      <c r="D746" s="3"/>
      <c r="E746" s="3"/>
      <c r="F746" t="s">
        <v>2787</v>
      </c>
      <c r="H746" t="s">
        <v>2864</v>
      </c>
      <c r="J746" t="s">
        <v>2865</v>
      </c>
      <c r="K746" t="s">
        <v>2866</v>
      </c>
      <c r="L746" t="s">
        <v>2867</v>
      </c>
      <c r="M746" t="s">
        <v>1198</v>
      </c>
      <c r="P746" s="18" t="s">
        <v>9217</v>
      </c>
    </row>
    <row r="747" spans="1:16" hidden="1" x14ac:dyDescent="0.35">
      <c r="A747" t="s">
        <v>2403</v>
      </c>
      <c r="B747" s="3" t="s">
        <v>102</v>
      </c>
      <c r="C747" s="3" t="s">
        <v>9209</v>
      </c>
      <c r="D747" s="3"/>
      <c r="E747" s="3"/>
      <c r="F747" t="s">
        <v>2787</v>
      </c>
      <c r="H747" t="s">
        <v>2868</v>
      </c>
      <c r="J747" t="s">
        <v>2869</v>
      </c>
      <c r="K747" t="s">
        <v>2870</v>
      </c>
      <c r="L747" t="s">
        <v>2871</v>
      </c>
      <c r="M747" t="s">
        <v>1198</v>
      </c>
      <c r="P747" s="18" t="s">
        <v>9217</v>
      </c>
    </row>
    <row r="748" spans="1:16" hidden="1" x14ac:dyDescent="0.35">
      <c r="A748" t="s">
        <v>2403</v>
      </c>
      <c r="B748" s="3" t="s">
        <v>102</v>
      </c>
      <c r="C748" s="3" t="s">
        <v>9209</v>
      </c>
      <c r="D748" s="3"/>
      <c r="E748" s="3"/>
      <c r="F748" t="s">
        <v>2787</v>
      </c>
      <c r="H748" t="s">
        <v>2872</v>
      </c>
      <c r="J748" t="s">
        <v>2873</v>
      </c>
      <c r="K748" t="s">
        <v>2874</v>
      </c>
      <c r="L748" t="s">
        <v>2875</v>
      </c>
      <c r="M748" t="s">
        <v>2374</v>
      </c>
      <c r="P748" s="18" t="s">
        <v>1341</v>
      </c>
    </row>
    <row r="749" spans="1:16" hidden="1" x14ac:dyDescent="0.35">
      <c r="A749" t="s">
        <v>2403</v>
      </c>
      <c r="B749" s="3" t="s">
        <v>102</v>
      </c>
      <c r="C749" s="3" t="s">
        <v>9209</v>
      </c>
      <c r="D749" s="3"/>
      <c r="E749" s="3"/>
      <c r="F749" t="s">
        <v>2787</v>
      </c>
      <c r="H749" t="s">
        <v>2876</v>
      </c>
      <c r="J749" t="s">
        <v>2877</v>
      </c>
      <c r="K749" t="s">
        <v>2878</v>
      </c>
      <c r="L749" t="s">
        <v>2879</v>
      </c>
      <c r="M749" t="s">
        <v>2374</v>
      </c>
      <c r="P749" s="18" t="s">
        <v>1341</v>
      </c>
    </row>
    <row r="750" spans="1:16" hidden="1" x14ac:dyDescent="0.35">
      <c r="A750" t="s">
        <v>2403</v>
      </c>
      <c r="B750" s="3" t="s">
        <v>102</v>
      </c>
      <c r="C750" s="3" t="s">
        <v>9209</v>
      </c>
      <c r="D750" s="3"/>
      <c r="E750" s="3"/>
      <c r="F750" t="s">
        <v>2787</v>
      </c>
      <c r="H750" t="s">
        <v>2880</v>
      </c>
      <c r="J750" t="s">
        <v>2881</v>
      </c>
      <c r="K750" t="s">
        <v>2882</v>
      </c>
      <c r="L750" t="s">
        <v>2883</v>
      </c>
      <c r="M750" t="s">
        <v>2374</v>
      </c>
      <c r="P750" s="18" t="s">
        <v>1341</v>
      </c>
    </row>
    <row r="751" spans="1:16" hidden="1" x14ac:dyDescent="0.35">
      <c r="A751" t="s">
        <v>2403</v>
      </c>
      <c r="B751" s="3" t="s">
        <v>102</v>
      </c>
      <c r="C751" s="3" t="s">
        <v>9209</v>
      </c>
      <c r="D751" s="3"/>
      <c r="E751" s="3"/>
      <c r="F751" t="s">
        <v>2787</v>
      </c>
      <c r="H751" t="s">
        <v>2884</v>
      </c>
      <c r="J751" t="s">
        <v>2885</v>
      </c>
      <c r="K751" t="s">
        <v>2886</v>
      </c>
      <c r="L751" t="s">
        <v>2887</v>
      </c>
      <c r="M751" t="s">
        <v>2374</v>
      </c>
      <c r="P751" s="18" t="s">
        <v>1341</v>
      </c>
    </row>
    <row r="752" spans="1:16" hidden="1" x14ac:dyDescent="0.35">
      <c r="A752" t="s">
        <v>2403</v>
      </c>
      <c r="B752" s="3" t="s">
        <v>102</v>
      </c>
      <c r="C752" s="3" t="s">
        <v>9209</v>
      </c>
      <c r="D752" s="3"/>
      <c r="E752" s="3"/>
      <c r="F752" t="s">
        <v>2787</v>
      </c>
      <c r="H752" t="s">
        <v>2888</v>
      </c>
      <c r="J752" t="s">
        <v>2889</v>
      </c>
      <c r="K752" t="s">
        <v>2890</v>
      </c>
      <c r="L752" t="s">
        <v>2891</v>
      </c>
      <c r="M752" t="s">
        <v>229</v>
      </c>
      <c r="P752" s="18" t="s">
        <v>9217</v>
      </c>
    </row>
    <row r="753" spans="1:16" hidden="1" x14ac:dyDescent="0.35">
      <c r="A753" t="s">
        <v>2403</v>
      </c>
      <c r="B753" s="3" t="s">
        <v>102</v>
      </c>
      <c r="C753" s="3" t="s">
        <v>9209</v>
      </c>
      <c r="D753" s="3"/>
      <c r="E753" s="3"/>
      <c r="F753" t="s">
        <v>2787</v>
      </c>
      <c r="H753" t="s">
        <v>2892</v>
      </c>
      <c r="J753" t="s">
        <v>2893</v>
      </c>
      <c r="K753" t="s">
        <v>2894</v>
      </c>
      <c r="L753" t="s">
        <v>2895</v>
      </c>
      <c r="M753" t="s">
        <v>229</v>
      </c>
      <c r="P753" s="18" t="s">
        <v>9217</v>
      </c>
    </row>
    <row r="754" spans="1:16" hidden="1" x14ac:dyDescent="0.35">
      <c r="A754" t="s">
        <v>2403</v>
      </c>
      <c r="B754" s="3" t="s">
        <v>102</v>
      </c>
      <c r="C754" s="3" t="s">
        <v>9209</v>
      </c>
      <c r="D754" s="3"/>
      <c r="E754" s="3"/>
      <c r="F754" t="s">
        <v>2787</v>
      </c>
      <c r="H754" t="s">
        <v>2896</v>
      </c>
      <c r="J754" t="s">
        <v>2897</v>
      </c>
      <c r="K754" t="s">
        <v>2898</v>
      </c>
      <c r="L754" t="s">
        <v>2899</v>
      </c>
      <c r="M754" t="s">
        <v>229</v>
      </c>
      <c r="P754" s="18" t="s">
        <v>9217</v>
      </c>
    </row>
    <row r="755" spans="1:16" hidden="1" x14ac:dyDescent="0.35">
      <c r="A755" t="s">
        <v>2403</v>
      </c>
      <c r="B755" s="3" t="s">
        <v>102</v>
      </c>
      <c r="C755" s="3" t="s">
        <v>9209</v>
      </c>
      <c r="D755" s="3"/>
      <c r="E755" s="3"/>
      <c r="F755" t="s">
        <v>2787</v>
      </c>
      <c r="H755" t="s">
        <v>2900</v>
      </c>
      <c r="J755" t="s">
        <v>2901</v>
      </c>
      <c r="K755" t="s">
        <v>2902</v>
      </c>
      <c r="L755" t="s">
        <v>2903</v>
      </c>
      <c r="M755" t="s">
        <v>229</v>
      </c>
      <c r="P755" s="18" t="s">
        <v>9217</v>
      </c>
    </row>
    <row r="756" spans="1:16" hidden="1" x14ac:dyDescent="0.35">
      <c r="A756" t="s">
        <v>2403</v>
      </c>
      <c r="B756" s="3" t="s">
        <v>102</v>
      </c>
      <c r="C756" s="3" t="s">
        <v>9209</v>
      </c>
      <c r="D756" s="3"/>
      <c r="E756" s="3"/>
      <c r="F756" t="s">
        <v>2787</v>
      </c>
      <c r="H756" t="s">
        <v>2904</v>
      </c>
      <c r="J756" t="s">
        <v>2905</v>
      </c>
      <c r="K756" t="s">
        <v>2906</v>
      </c>
      <c r="L756" t="s">
        <v>2907</v>
      </c>
      <c r="M756" t="s">
        <v>229</v>
      </c>
      <c r="P756" s="18" t="s">
        <v>9217</v>
      </c>
    </row>
    <row r="757" spans="1:16" hidden="1" x14ac:dyDescent="0.35">
      <c r="A757" t="s">
        <v>2403</v>
      </c>
      <c r="B757" s="3" t="s">
        <v>102</v>
      </c>
      <c r="C757" s="3" t="s">
        <v>9209</v>
      </c>
      <c r="D757" s="3"/>
      <c r="E757" s="3"/>
      <c r="F757" t="s">
        <v>2787</v>
      </c>
      <c r="H757" t="s">
        <v>2908</v>
      </c>
      <c r="J757" t="s">
        <v>2909</v>
      </c>
      <c r="K757" t="s">
        <v>2910</v>
      </c>
      <c r="L757" t="s">
        <v>2911</v>
      </c>
      <c r="M757" t="s">
        <v>229</v>
      </c>
      <c r="P757" s="18" t="s">
        <v>9217</v>
      </c>
    </row>
    <row r="758" spans="1:16" hidden="1" x14ac:dyDescent="0.35">
      <c r="A758" t="s">
        <v>2403</v>
      </c>
      <c r="B758" s="3" t="s">
        <v>102</v>
      </c>
      <c r="C758" s="3" t="s">
        <v>9209</v>
      </c>
      <c r="D758" s="3"/>
      <c r="E758" s="3"/>
      <c r="F758" t="s">
        <v>2787</v>
      </c>
      <c r="H758" t="s">
        <v>2912</v>
      </c>
      <c r="J758" t="s">
        <v>2913</v>
      </c>
      <c r="K758" t="s">
        <v>2914</v>
      </c>
      <c r="L758" t="s">
        <v>2915</v>
      </c>
      <c r="M758" t="s">
        <v>229</v>
      </c>
      <c r="P758" s="18" t="s">
        <v>9217</v>
      </c>
    </row>
    <row r="759" spans="1:16" hidden="1" x14ac:dyDescent="0.35">
      <c r="A759" t="s">
        <v>2403</v>
      </c>
      <c r="B759" s="3" t="s">
        <v>102</v>
      </c>
      <c r="C759" s="3" t="s">
        <v>9209</v>
      </c>
      <c r="D759" s="3"/>
      <c r="E759" s="3"/>
      <c r="F759" t="s">
        <v>2787</v>
      </c>
      <c r="H759" t="s">
        <v>2916</v>
      </c>
      <c r="J759" t="s">
        <v>2381</v>
      </c>
      <c r="K759" t="s">
        <v>2917</v>
      </c>
      <c r="L759" t="s">
        <v>2918</v>
      </c>
      <c r="M759" t="s">
        <v>229</v>
      </c>
      <c r="P759" s="18" t="s">
        <v>9217</v>
      </c>
    </row>
    <row r="760" spans="1:16" hidden="1" x14ac:dyDescent="0.35">
      <c r="A760" t="s">
        <v>2403</v>
      </c>
      <c r="B760" s="3" t="s">
        <v>102</v>
      </c>
      <c r="C760" s="3" t="s">
        <v>9209</v>
      </c>
      <c r="D760" s="3"/>
      <c r="E760" s="3"/>
      <c r="F760" t="s">
        <v>2787</v>
      </c>
      <c r="H760" t="s">
        <v>2919</v>
      </c>
      <c r="J760" t="s">
        <v>2920</v>
      </c>
      <c r="K760" t="s">
        <v>2921</v>
      </c>
      <c r="L760" t="s">
        <v>2922</v>
      </c>
      <c r="M760" t="s">
        <v>229</v>
      </c>
      <c r="P760" s="18" t="s">
        <v>9217</v>
      </c>
    </row>
    <row r="761" spans="1:16" hidden="1" x14ac:dyDescent="0.35">
      <c r="A761" t="s">
        <v>2403</v>
      </c>
      <c r="B761" s="3" t="s">
        <v>102</v>
      </c>
      <c r="C761" s="3" t="s">
        <v>9209</v>
      </c>
      <c r="D761" s="3"/>
      <c r="E761" s="3"/>
      <c r="F761" t="s">
        <v>2787</v>
      </c>
      <c r="H761" t="s">
        <v>2923</v>
      </c>
      <c r="J761" t="s">
        <v>2388</v>
      </c>
      <c r="K761" t="s">
        <v>2924</v>
      </c>
      <c r="L761" t="s">
        <v>2925</v>
      </c>
      <c r="M761" t="s">
        <v>229</v>
      </c>
      <c r="P761" s="18" t="s">
        <v>9217</v>
      </c>
    </row>
    <row r="762" spans="1:16" hidden="1" x14ac:dyDescent="0.35">
      <c r="A762" t="s">
        <v>2403</v>
      </c>
      <c r="B762" s="3" t="s">
        <v>102</v>
      </c>
      <c r="C762" s="3" t="s">
        <v>9209</v>
      </c>
      <c r="D762" s="3"/>
      <c r="E762" s="3"/>
      <c r="F762" t="s">
        <v>2787</v>
      </c>
      <c r="H762" t="s">
        <v>2926</v>
      </c>
      <c r="J762" t="s">
        <v>2927</v>
      </c>
      <c r="K762" t="s">
        <v>2928</v>
      </c>
      <c r="L762" t="s">
        <v>2929</v>
      </c>
      <c r="M762" t="s">
        <v>2374</v>
      </c>
      <c r="P762" s="18" t="s">
        <v>1341</v>
      </c>
    </row>
    <row r="763" spans="1:16" hidden="1" x14ac:dyDescent="0.35">
      <c r="A763" t="s">
        <v>2403</v>
      </c>
      <c r="B763" s="3" t="s">
        <v>102</v>
      </c>
      <c r="C763" s="3" t="s">
        <v>9209</v>
      </c>
      <c r="D763" s="3"/>
      <c r="E763" s="3"/>
      <c r="F763" t="s">
        <v>2787</v>
      </c>
      <c r="H763" t="s">
        <v>2930</v>
      </c>
      <c r="J763" t="s">
        <v>2931</v>
      </c>
      <c r="K763" t="s">
        <v>2932</v>
      </c>
      <c r="L763" t="s">
        <v>2933</v>
      </c>
      <c r="M763" t="s">
        <v>2374</v>
      </c>
      <c r="P763" s="18" t="s">
        <v>1341</v>
      </c>
    </row>
    <row r="764" spans="1:16" hidden="1" x14ac:dyDescent="0.35">
      <c r="A764" t="s">
        <v>2403</v>
      </c>
      <c r="B764" s="3" t="s">
        <v>102</v>
      </c>
      <c r="C764" s="3" t="s">
        <v>9209</v>
      </c>
      <c r="D764" s="3"/>
      <c r="E764" s="3"/>
      <c r="F764" t="s">
        <v>2787</v>
      </c>
      <c r="H764" t="s">
        <v>2934</v>
      </c>
      <c r="J764" t="s">
        <v>2935</v>
      </c>
      <c r="K764" t="s">
        <v>2936</v>
      </c>
      <c r="L764" t="s">
        <v>2937</v>
      </c>
      <c r="M764" t="s">
        <v>2374</v>
      </c>
      <c r="P764" s="18" t="s">
        <v>1341</v>
      </c>
    </row>
    <row r="765" spans="1:16" hidden="1" x14ac:dyDescent="0.35">
      <c r="A765" t="s">
        <v>2403</v>
      </c>
      <c r="B765" s="3" t="s">
        <v>102</v>
      </c>
      <c r="C765" s="3" t="s">
        <v>9209</v>
      </c>
      <c r="D765" s="3"/>
      <c r="E765" s="3"/>
      <c r="F765" t="s">
        <v>2787</v>
      </c>
      <c r="H765" t="s">
        <v>1564</v>
      </c>
      <c r="J765" t="s">
        <v>2938</v>
      </c>
      <c r="K765" t="s">
        <v>2939</v>
      </c>
      <c r="L765" t="s">
        <v>2940</v>
      </c>
      <c r="M765" t="s">
        <v>2374</v>
      </c>
      <c r="P765" s="18" t="s">
        <v>1341</v>
      </c>
    </row>
    <row r="766" spans="1:16" hidden="1" x14ac:dyDescent="0.35">
      <c r="A766" t="s">
        <v>2403</v>
      </c>
      <c r="B766" s="3" t="s">
        <v>102</v>
      </c>
      <c r="C766" s="3" t="s">
        <v>9209</v>
      </c>
      <c r="D766" s="3"/>
      <c r="E766" s="3"/>
      <c r="F766" t="s">
        <v>2787</v>
      </c>
      <c r="H766" t="s">
        <v>2941</v>
      </c>
      <c r="J766" t="s">
        <v>2942</v>
      </c>
      <c r="K766" t="s">
        <v>2943</v>
      </c>
      <c r="L766" t="s">
        <v>2944</v>
      </c>
      <c r="M766" t="s">
        <v>2374</v>
      </c>
      <c r="P766" s="18" t="s">
        <v>1341</v>
      </c>
    </row>
    <row r="767" spans="1:16" hidden="1" x14ac:dyDescent="0.35">
      <c r="A767" t="s">
        <v>2403</v>
      </c>
      <c r="B767" s="3" t="s">
        <v>102</v>
      </c>
      <c r="C767" s="3" t="s">
        <v>9209</v>
      </c>
      <c r="D767" s="3"/>
      <c r="E767" s="3"/>
      <c r="F767" t="s">
        <v>2787</v>
      </c>
      <c r="H767" t="s">
        <v>2945</v>
      </c>
      <c r="J767" t="s">
        <v>2946</v>
      </c>
      <c r="K767" t="s">
        <v>2947</v>
      </c>
      <c r="L767" t="s">
        <v>2948</v>
      </c>
      <c r="M767" t="s">
        <v>229</v>
      </c>
      <c r="P767" s="18" t="s">
        <v>9217</v>
      </c>
    </row>
    <row r="768" spans="1:16" hidden="1" x14ac:dyDescent="0.35">
      <c r="A768" t="s">
        <v>2403</v>
      </c>
      <c r="B768" s="3" t="s">
        <v>102</v>
      </c>
      <c r="C768" s="3" t="s">
        <v>9209</v>
      </c>
      <c r="D768" s="3"/>
      <c r="E768" s="3"/>
      <c r="F768" t="s">
        <v>2787</v>
      </c>
      <c r="H768" t="s">
        <v>2949</v>
      </c>
      <c r="J768" t="s">
        <v>2950</v>
      </c>
      <c r="K768" t="s">
        <v>2951</v>
      </c>
      <c r="L768" t="s">
        <v>2952</v>
      </c>
      <c r="M768" t="s">
        <v>229</v>
      </c>
      <c r="P768" s="18" t="s">
        <v>9217</v>
      </c>
    </row>
    <row r="769" spans="1:16" hidden="1" x14ac:dyDescent="0.35">
      <c r="A769" t="s">
        <v>2403</v>
      </c>
      <c r="B769" s="3" t="s">
        <v>102</v>
      </c>
      <c r="C769" s="3" t="s">
        <v>9209</v>
      </c>
      <c r="D769" s="3"/>
      <c r="E769" s="3"/>
      <c r="F769" t="s">
        <v>2787</v>
      </c>
      <c r="H769" t="s">
        <v>2953</v>
      </c>
      <c r="J769" t="s">
        <v>2954</v>
      </c>
      <c r="K769" t="s">
        <v>2955</v>
      </c>
      <c r="L769" t="s">
        <v>2956</v>
      </c>
      <c r="M769" t="s">
        <v>2374</v>
      </c>
      <c r="P769" s="18" t="s">
        <v>27</v>
      </c>
    </row>
    <row r="770" spans="1:16" hidden="1" x14ac:dyDescent="0.35">
      <c r="A770" t="s">
        <v>2403</v>
      </c>
      <c r="B770" s="3" t="s">
        <v>102</v>
      </c>
      <c r="C770" s="3" t="s">
        <v>9209</v>
      </c>
      <c r="D770" s="3"/>
      <c r="E770" s="3"/>
      <c r="F770" t="s">
        <v>2787</v>
      </c>
      <c r="H770" t="s">
        <v>2957</v>
      </c>
      <c r="J770" t="s">
        <v>2958</v>
      </c>
      <c r="K770" t="s">
        <v>2959</v>
      </c>
      <c r="L770" t="s">
        <v>2960</v>
      </c>
      <c r="M770" t="s">
        <v>2374</v>
      </c>
      <c r="P770" s="18" t="s">
        <v>27</v>
      </c>
    </row>
    <row r="771" spans="1:16" hidden="1" x14ac:dyDescent="0.35">
      <c r="A771" t="s">
        <v>2403</v>
      </c>
      <c r="B771" s="3" t="s">
        <v>102</v>
      </c>
      <c r="C771" s="3" t="s">
        <v>9209</v>
      </c>
      <c r="D771" s="3"/>
      <c r="E771" s="3"/>
      <c r="F771" t="s">
        <v>2787</v>
      </c>
      <c r="H771" t="s">
        <v>2961</v>
      </c>
      <c r="J771" t="s">
        <v>2962</v>
      </c>
      <c r="K771" t="s">
        <v>2963</v>
      </c>
      <c r="L771" t="s">
        <v>2964</v>
      </c>
      <c r="M771" t="s">
        <v>2374</v>
      </c>
      <c r="P771" s="18" t="s">
        <v>1341</v>
      </c>
    </row>
    <row r="772" spans="1:16" hidden="1" x14ac:dyDescent="0.35">
      <c r="A772" t="s">
        <v>2403</v>
      </c>
      <c r="B772" s="3" t="s">
        <v>102</v>
      </c>
      <c r="C772" s="3" t="s">
        <v>9209</v>
      </c>
      <c r="D772" s="3"/>
      <c r="E772" s="3"/>
      <c r="F772" t="s">
        <v>2787</v>
      </c>
      <c r="H772" t="s">
        <v>2965</v>
      </c>
      <c r="J772" t="s">
        <v>2966</v>
      </c>
      <c r="K772" t="s">
        <v>2967</v>
      </c>
      <c r="L772" t="s">
        <v>2968</v>
      </c>
      <c r="M772" t="s">
        <v>2374</v>
      </c>
      <c r="P772" s="18" t="s">
        <v>1341</v>
      </c>
    </row>
    <row r="773" spans="1:16" hidden="1" x14ac:dyDescent="0.35">
      <c r="A773" t="s">
        <v>2403</v>
      </c>
      <c r="B773" s="3" t="s">
        <v>102</v>
      </c>
      <c r="C773" s="3" t="s">
        <v>9209</v>
      </c>
      <c r="D773" s="3"/>
      <c r="E773" s="3"/>
      <c r="F773" t="s">
        <v>2787</v>
      </c>
      <c r="H773" t="s">
        <v>2969</v>
      </c>
      <c r="J773" t="s">
        <v>2970</v>
      </c>
      <c r="K773" t="s">
        <v>2971</v>
      </c>
      <c r="L773" t="s">
        <v>2972</v>
      </c>
      <c r="M773" t="s">
        <v>229</v>
      </c>
      <c r="P773" s="18" t="s">
        <v>2973</v>
      </c>
    </row>
    <row r="774" spans="1:16" hidden="1" x14ac:dyDescent="0.35">
      <c r="A774" t="s">
        <v>2403</v>
      </c>
      <c r="B774" s="3" t="s">
        <v>102</v>
      </c>
      <c r="C774" s="3" t="s">
        <v>9209</v>
      </c>
      <c r="D774" s="3"/>
      <c r="E774" s="3"/>
      <c r="F774" t="s">
        <v>2787</v>
      </c>
      <c r="H774" t="s">
        <v>2974</v>
      </c>
      <c r="J774" t="s">
        <v>2649</v>
      </c>
      <c r="K774" t="s">
        <v>2975</v>
      </c>
      <c r="L774" t="s">
        <v>2976</v>
      </c>
      <c r="M774" t="s">
        <v>229</v>
      </c>
      <c r="P774" s="18" t="s">
        <v>2977</v>
      </c>
    </row>
    <row r="775" spans="1:16" hidden="1" x14ac:dyDescent="0.35">
      <c r="A775" t="s">
        <v>2403</v>
      </c>
      <c r="B775" s="3" t="s">
        <v>102</v>
      </c>
      <c r="C775" s="3" t="s">
        <v>9209</v>
      </c>
      <c r="D775" s="3"/>
      <c r="E775" s="3"/>
      <c r="F775" t="s">
        <v>2787</v>
      </c>
      <c r="H775" t="s">
        <v>2978</v>
      </c>
      <c r="J775" t="s">
        <v>2979</v>
      </c>
      <c r="K775" t="s">
        <v>2980</v>
      </c>
      <c r="L775" t="s">
        <v>2981</v>
      </c>
      <c r="M775" t="s">
        <v>2374</v>
      </c>
      <c r="P775" s="18" t="s">
        <v>1341</v>
      </c>
    </row>
    <row r="776" spans="1:16" hidden="1" x14ac:dyDescent="0.35">
      <c r="A776" t="s">
        <v>2403</v>
      </c>
      <c r="B776" s="3" t="s">
        <v>102</v>
      </c>
      <c r="C776" s="3" t="s">
        <v>9209</v>
      </c>
      <c r="D776" s="3"/>
      <c r="E776" s="3"/>
      <c r="F776" t="s">
        <v>2787</v>
      </c>
      <c r="H776" t="s">
        <v>2982</v>
      </c>
      <c r="J776" t="s">
        <v>2983</v>
      </c>
      <c r="K776" t="s">
        <v>2984</v>
      </c>
      <c r="L776" t="s">
        <v>2985</v>
      </c>
      <c r="M776" t="s">
        <v>2374</v>
      </c>
      <c r="P776" s="18" t="s">
        <v>27</v>
      </c>
    </row>
    <row r="777" spans="1:16" hidden="1" x14ac:dyDescent="0.35">
      <c r="A777" t="s">
        <v>2403</v>
      </c>
      <c r="B777" s="3" t="s">
        <v>102</v>
      </c>
      <c r="C777" s="3" t="s">
        <v>9209</v>
      </c>
      <c r="D777" s="3"/>
      <c r="E777" s="3"/>
      <c r="F777" t="s">
        <v>2787</v>
      </c>
      <c r="H777" t="s">
        <v>2986</v>
      </c>
      <c r="J777" t="s">
        <v>2987</v>
      </c>
      <c r="K777" t="s">
        <v>2988</v>
      </c>
      <c r="L777" t="s">
        <v>2989</v>
      </c>
      <c r="M777" t="s">
        <v>229</v>
      </c>
      <c r="P777" s="18" t="s">
        <v>1590</v>
      </c>
    </row>
    <row r="778" spans="1:16" hidden="1" x14ac:dyDescent="0.35">
      <c r="A778" t="s">
        <v>2403</v>
      </c>
      <c r="B778" s="3" t="s">
        <v>102</v>
      </c>
      <c r="C778" s="3" t="s">
        <v>9209</v>
      </c>
      <c r="D778" s="3"/>
      <c r="E778" s="3"/>
      <c r="F778" t="s">
        <v>2787</v>
      </c>
      <c r="H778" t="s">
        <v>2990</v>
      </c>
      <c r="J778" t="s">
        <v>2991</v>
      </c>
      <c r="K778" t="s">
        <v>2992</v>
      </c>
      <c r="L778" t="s">
        <v>2993</v>
      </c>
      <c r="M778" t="s">
        <v>229</v>
      </c>
      <c r="P778" s="18" t="s">
        <v>1590</v>
      </c>
    </row>
    <row r="779" spans="1:16" hidden="1" x14ac:dyDescent="0.35">
      <c r="A779" t="s">
        <v>2403</v>
      </c>
      <c r="B779" s="3" t="s">
        <v>102</v>
      </c>
      <c r="C779" s="3" t="s">
        <v>9209</v>
      </c>
      <c r="D779" s="3"/>
      <c r="E779" s="3"/>
      <c r="F779" t="s">
        <v>2787</v>
      </c>
      <c r="H779" t="s">
        <v>2994</v>
      </c>
      <c r="J779" t="s">
        <v>2995</v>
      </c>
      <c r="K779" t="s">
        <v>2996</v>
      </c>
      <c r="L779" t="s">
        <v>2997</v>
      </c>
      <c r="M779" t="s">
        <v>2374</v>
      </c>
      <c r="P779" s="18" t="s">
        <v>1341</v>
      </c>
    </row>
    <row r="780" spans="1:16" hidden="1" x14ac:dyDescent="0.35">
      <c r="A780" t="s">
        <v>2403</v>
      </c>
      <c r="B780" s="3" t="s">
        <v>102</v>
      </c>
      <c r="C780" s="3" t="s">
        <v>9209</v>
      </c>
      <c r="D780" s="3"/>
      <c r="E780" s="3"/>
      <c r="F780" t="s">
        <v>2787</v>
      </c>
      <c r="H780" t="s">
        <v>2998</v>
      </c>
      <c r="J780" t="s">
        <v>2999</v>
      </c>
      <c r="K780" t="s">
        <v>3000</v>
      </c>
      <c r="L780" t="s">
        <v>3001</v>
      </c>
      <c r="M780" t="s">
        <v>229</v>
      </c>
      <c r="P780" s="18" t="s">
        <v>9220</v>
      </c>
    </row>
    <row r="781" spans="1:16" hidden="1" x14ac:dyDescent="0.35">
      <c r="A781" t="s">
        <v>2403</v>
      </c>
      <c r="B781" s="3" t="s">
        <v>102</v>
      </c>
      <c r="C781" s="3" t="s">
        <v>9209</v>
      </c>
      <c r="D781" s="3"/>
      <c r="E781" s="3"/>
      <c r="F781" t="s">
        <v>2787</v>
      </c>
      <c r="H781" t="s">
        <v>3002</v>
      </c>
      <c r="J781" t="s">
        <v>2649</v>
      </c>
      <c r="K781" t="s">
        <v>3003</v>
      </c>
      <c r="L781" t="s">
        <v>3004</v>
      </c>
      <c r="M781" t="s">
        <v>229</v>
      </c>
      <c r="P781" s="18" t="s">
        <v>9220</v>
      </c>
    </row>
    <row r="782" spans="1:16" hidden="1" x14ac:dyDescent="0.35">
      <c r="A782" t="s">
        <v>2403</v>
      </c>
      <c r="B782" s="3" t="s">
        <v>102</v>
      </c>
      <c r="C782" s="3" t="s">
        <v>9209</v>
      </c>
      <c r="D782" s="3"/>
      <c r="E782" s="3"/>
      <c r="F782" t="s">
        <v>2787</v>
      </c>
      <c r="H782" t="s">
        <v>3005</v>
      </c>
      <c r="J782" t="s">
        <v>3006</v>
      </c>
      <c r="K782" t="s">
        <v>3007</v>
      </c>
      <c r="L782" t="s">
        <v>3008</v>
      </c>
      <c r="M782" t="s">
        <v>2374</v>
      </c>
      <c r="P782" s="18" t="s">
        <v>9220</v>
      </c>
    </row>
    <row r="783" spans="1:16" hidden="1" x14ac:dyDescent="0.35">
      <c r="A783" t="s">
        <v>2403</v>
      </c>
      <c r="B783" s="3" t="s">
        <v>102</v>
      </c>
      <c r="C783" s="3" t="s">
        <v>9209</v>
      </c>
      <c r="D783" s="3"/>
      <c r="E783" s="3"/>
      <c r="F783" t="s">
        <v>2787</v>
      </c>
      <c r="H783" t="s">
        <v>3009</v>
      </c>
      <c r="J783" t="s">
        <v>3010</v>
      </c>
      <c r="K783" t="s">
        <v>3011</v>
      </c>
      <c r="L783" t="s">
        <v>3012</v>
      </c>
      <c r="M783" t="s">
        <v>2374</v>
      </c>
      <c r="P783" s="18" t="s">
        <v>9220</v>
      </c>
    </row>
    <row r="784" spans="1:16" hidden="1" x14ac:dyDescent="0.35">
      <c r="A784" t="s">
        <v>2403</v>
      </c>
      <c r="B784" s="3" t="s">
        <v>102</v>
      </c>
      <c r="C784" s="3" t="s">
        <v>9209</v>
      </c>
      <c r="D784" s="3"/>
      <c r="E784" s="3"/>
      <c r="F784" t="s">
        <v>2787</v>
      </c>
      <c r="H784" t="s">
        <v>3013</v>
      </c>
      <c r="J784" t="s">
        <v>3014</v>
      </c>
      <c r="K784" t="s">
        <v>3015</v>
      </c>
      <c r="L784" t="s">
        <v>3016</v>
      </c>
      <c r="M784" t="s">
        <v>3017</v>
      </c>
    </row>
    <row r="785" spans="1:16" hidden="1" x14ac:dyDescent="0.35">
      <c r="A785" t="s">
        <v>2403</v>
      </c>
      <c r="B785" s="3" t="s">
        <v>102</v>
      </c>
      <c r="C785" s="3" t="s">
        <v>9209</v>
      </c>
      <c r="D785" s="3"/>
      <c r="E785" s="3"/>
      <c r="F785" t="s">
        <v>2787</v>
      </c>
      <c r="H785" t="s">
        <v>3018</v>
      </c>
      <c r="J785" t="s">
        <v>3019</v>
      </c>
      <c r="K785" t="s">
        <v>3020</v>
      </c>
      <c r="L785" t="s">
        <v>3021</v>
      </c>
      <c r="M785" t="s">
        <v>3022</v>
      </c>
      <c r="P785" s="18" t="s">
        <v>27</v>
      </c>
    </row>
    <row r="786" spans="1:16" hidden="1" x14ac:dyDescent="0.35">
      <c r="A786" t="s">
        <v>2403</v>
      </c>
      <c r="B786" s="3" t="s">
        <v>102</v>
      </c>
      <c r="C786" s="3" t="s">
        <v>9209</v>
      </c>
      <c r="D786" s="3"/>
      <c r="E786" s="3"/>
      <c r="F786" t="s">
        <v>2787</v>
      </c>
      <c r="H786" t="s">
        <v>3023</v>
      </c>
      <c r="J786" t="s">
        <v>3024</v>
      </c>
      <c r="K786" t="s">
        <v>3025</v>
      </c>
      <c r="L786" t="s">
        <v>3026</v>
      </c>
      <c r="M786" t="s">
        <v>3022</v>
      </c>
      <c r="P786" s="18" t="s">
        <v>1341</v>
      </c>
    </row>
    <row r="787" spans="1:16" hidden="1" x14ac:dyDescent="0.35">
      <c r="A787" t="s">
        <v>2403</v>
      </c>
      <c r="B787" s="3" t="s">
        <v>102</v>
      </c>
      <c r="C787" s="3" t="s">
        <v>9209</v>
      </c>
      <c r="D787" s="3"/>
      <c r="E787" s="3"/>
      <c r="F787" t="s">
        <v>2787</v>
      </c>
      <c r="H787" t="s">
        <v>3027</v>
      </c>
      <c r="J787" t="s">
        <v>3028</v>
      </c>
      <c r="K787" t="s">
        <v>3029</v>
      </c>
      <c r="L787" t="s">
        <v>3030</v>
      </c>
      <c r="M787" t="s">
        <v>3022</v>
      </c>
      <c r="P787" s="18" t="s">
        <v>1341</v>
      </c>
    </row>
    <row r="788" spans="1:16" hidden="1" x14ac:dyDescent="0.35">
      <c r="A788" t="s">
        <v>2403</v>
      </c>
      <c r="B788" s="3" t="s">
        <v>102</v>
      </c>
      <c r="C788" s="3" t="s">
        <v>9209</v>
      </c>
      <c r="D788" s="3"/>
      <c r="E788" s="3"/>
      <c r="F788" t="s">
        <v>2787</v>
      </c>
      <c r="H788" t="s">
        <v>3031</v>
      </c>
      <c r="J788" t="s">
        <v>3032</v>
      </c>
      <c r="K788" t="s">
        <v>3033</v>
      </c>
      <c r="L788" t="s">
        <v>3034</v>
      </c>
      <c r="M788" t="s">
        <v>3022</v>
      </c>
      <c r="P788" s="18" t="s">
        <v>1341</v>
      </c>
    </row>
    <row r="789" spans="1:16" hidden="1" x14ac:dyDescent="0.35">
      <c r="A789" t="s">
        <v>2403</v>
      </c>
      <c r="B789" s="3" t="s">
        <v>102</v>
      </c>
      <c r="C789" s="3" t="s">
        <v>9209</v>
      </c>
      <c r="D789" s="3"/>
      <c r="E789" s="3"/>
      <c r="F789" t="s">
        <v>2787</v>
      </c>
      <c r="H789" t="s">
        <v>3035</v>
      </c>
      <c r="J789" t="s">
        <v>3036</v>
      </c>
      <c r="K789" t="s">
        <v>3037</v>
      </c>
      <c r="L789" t="s">
        <v>3038</v>
      </c>
      <c r="M789" t="s">
        <v>3022</v>
      </c>
      <c r="P789" s="18" t="s">
        <v>1341</v>
      </c>
    </row>
    <row r="790" spans="1:16" hidden="1" x14ac:dyDescent="0.35">
      <c r="A790" t="s">
        <v>2403</v>
      </c>
      <c r="B790" s="3" t="s">
        <v>102</v>
      </c>
      <c r="C790" s="3" t="s">
        <v>9209</v>
      </c>
      <c r="D790" s="3"/>
      <c r="E790" s="3"/>
      <c r="F790" t="s">
        <v>2787</v>
      </c>
      <c r="H790" t="s">
        <v>3039</v>
      </c>
      <c r="J790" t="s">
        <v>3040</v>
      </c>
      <c r="K790" t="s">
        <v>3041</v>
      </c>
      <c r="L790" t="s">
        <v>3042</v>
      </c>
      <c r="M790" t="s">
        <v>229</v>
      </c>
      <c r="P790" s="18" t="s">
        <v>1341</v>
      </c>
    </row>
    <row r="791" spans="1:16" hidden="1" x14ac:dyDescent="0.35">
      <c r="A791" t="s">
        <v>2403</v>
      </c>
      <c r="B791" s="3" t="s">
        <v>102</v>
      </c>
      <c r="C791" s="3" t="s">
        <v>9209</v>
      </c>
      <c r="D791" s="3"/>
      <c r="E791" s="3"/>
      <c r="F791" t="s">
        <v>2787</v>
      </c>
      <c r="H791" t="s">
        <v>3043</v>
      </c>
      <c r="J791" t="s">
        <v>3044</v>
      </c>
      <c r="K791" t="s">
        <v>3045</v>
      </c>
      <c r="L791" t="s">
        <v>3046</v>
      </c>
      <c r="M791" t="s">
        <v>263</v>
      </c>
      <c r="P791" s="18" t="s">
        <v>3047</v>
      </c>
    </row>
    <row r="792" spans="1:16" hidden="1" x14ac:dyDescent="0.35">
      <c r="A792" t="s">
        <v>2403</v>
      </c>
      <c r="B792" s="3" t="s">
        <v>102</v>
      </c>
      <c r="C792" s="3" t="s">
        <v>9209</v>
      </c>
      <c r="D792" s="3"/>
      <c r="E792" s="3"/>
      <c r="F792" t="s">
        <v>2787</v>
      </c>
      <c r="H792" t="s">
        <v>3048</v>
      </c>
      <c r="J792" t="s">
        <v>3049</v>
      </c>
      <c r="K792" t="s">
        <v>3050</v>
      </c>
      <c r="L792" t="s">
        <v>3051</v>
      </c>
      <c r="M792" t="s">
        <v>263</v>
      </c>
      <c r="P792" s="18" t="s">
        <v>3052</v>
      </c>
    </row>
    <row r="793" spans="1:16" hidden="1" x14ac:dyDescent="0.35">
      <c r="A793" t="s">
        <v>2403</v>
      </c>
      <c r="B793" s="3" t="s">
        <v>102</v>
      </c>
      <c r="C793" s="3" t="s">
        <v>9209</v>
      </c>
      <c r="D793" s="3"/>
      <c r="E793" s="3"/>
      <c r="F793" t="s">
        <v>2787</v>
      </c>
      <c r="H793" t="s">
        <v>1586</v>
      </c>
      <c r="J793" t="s">
        <v>3053</v>
      </c>
      <c r="K793" t="s">
        <v>3054</v>
      </c>
      <c r="L793" t="s">
        <v>3055</v>
      </c>
      <c r="M793" t="s">
        <v>3017</v>
      </c>
    </row>
    <row r="794" spans="1:16" hidden="1" x14ac:dyDescent="0.35">
      <c r="A794" t="s">
        <v>2403</v>
      </c>
      <c r="B794" s="3" t="s">
        <v>102</v>
      </c>
      <c r="C794" s="3" t="s">
        <v>9209</v>
      </c>
      <c r="D794" s="3"/>
      <c r="E794" s="3"/>
      <c r="F794" t="s">
        <v>2787</v>
      </c>
      <c r="H794" t="s">
        <v>3056</v>
      </c>
      <c r="J794" t="s">
        <v>3057</v>
      </c>
      <c r="K794" t="s">
        <v>3058</v>
      </c>
      <c r="L794" t="s">
        <v>3059</v>
      </c>
      <c r="M794" t="s">
        <v>3022</v>
      </c>
      <c r="P794" s="18" t="s">
        <v>1341</v>
      </c>
    </row>
    <row r="795" spans="1:16" hidden="1" x14ac:dyDescent="0.35">
      <c r="A795" t="s">
        <v>2403</v>
      </c>
      <c r="B795" s="3" t="s">
        <v>102</v>
      </c>
      <c r="C795" s="3" t="s">
        <v>9209</v>
      </c>
      <c r="D795" s="3"/>
      <c r="E795" s="3"/>
      <c r="F795" t="s">
        <v>2787</v>
      </c>
      <c r="H795" t="s">
        <v>3060</v>
      </c>
      <c r="J795" t="s">
        <v>3061</v>
      </c>
      <c r="K795" t="s">
        <v>3062</v>
      </c>
      <c r="L795" t="s">
        <v>3063</v>
      </c>
      <c r="M795" t="s">
        <v>3022</v>
      </c>
      <c r="P795" s="18" t="s">
        <v>27</v>
      </c>
    </row>
    <row r="796" spans="1:16" hidden="1" x14ac:dyDescent="0.35">
      <c r="A796" t="s">
        <v>2403</v>
      </c>
      <c r="B796" s="3" t="s">
        <v>102</v>
      </c>
      <c r="C796" s="3" t="s">
        <v>9209</v>
      </c>
      <c r="D796" s="3"/>
      <c r="E796" s="3"/>
      <c r="F796" t="s">
        <v>2787</v>
      </c>
      <c r="H796" t="s">
        <v>3064</v>
      </c>
      <c r="J796" t="s">
        <v>3065</v>
      </c>
      <c r="K796" t="s">
        <v>3066</v>
      </c>
      <c r="L796" t="s">
        <v>3067</v>
      </c>
      <c r="M796" t="s">
        <v>3022</v>
      </c>
      <c r="P796" s="18" t="s">
        <v>1341</v>
      </c>
    </row>
    <row r="797" spans="1:16" hidden="1" x14ac:dyDescent="0.35">
      <c r="A797" t="s">
        <v>2403</v>
      </c>
      <c r="B797" s="3" t="s">
        <v>102</v>
      </c>
      <c r="C797" s="3" t="s">
        <v>9209</v>
      </c>
      <c r="D797" s="3"/>
      <c r="E797" s="3"/>
      <c r="F797" t="s">
        <v>2787</v>
      </c>
      <c r="H797" t="s">
        <v>3068</v>
      </c>
      <c r="J797" t="s">
        <v>3069</v>
      </c>
      <c r="K797" t="s">
        <v>3070</v>
      </c>
      <c r="L797" t="s">
        <v>3071</v>
      </c>
      <c r="M797" t="s">
        <v>3022</v>
      </c>
      <c r="P797" s="18" t="s">
        <v>1341</v>
      </c>
    </row>
    <row r="798" spans="1:16" hidden="1" x14ac:dyDescent="0.35">
      <c r="A798" t="s">
        <v>2403</v>
      </c>
      <c r="B798" s="3" t="s">
        <v>102</v>
      </c>
      <c r="C798" s="3" t="s">
        <v>9209</v>
      </c>
      <c r="D798" s="3"/>
      <c r="E798" s="3"/>
      <c r="F798" t="s">
        <v>2787</v>
      </c>
      <c r="H798" t="s">
        <v>3072</v>
      </c>
      <c r="J798" t="s">
        <v>3073</v>
      </c>
      <c r="K798" t="s">
        <v>3074</v>
      </c>
      <c r="L798" t="s">
        <v>3075</v>
      </c>
      <c r="M798" t="s">
        <v>3022</v>
      </c>
      <c r="P798" s="18" t="s">
        <v>1341</v>
      </c>
    </row>
    <row r="799" spans="1:16" hidden="1" x14ac:dyDescent="0.35">
      <c r="A799" t="s">
        <v>2403</v>
      </c>
      <c r="B799" s="3" t="s">
        <v>102</v>
      </c>
      <c r="C799" s="3" t="s">
        <v>9209</v>
      </c>
      <c r="D799" s="3"/>
      <c r="E799" s="3"/>
      <c r="F799" t="s">
        <v>2787</v>
      </c>
      <c r="H799" t="s">
        <v>3076</v>
      </c>
      <c r="J799" t="s">
        <v>3077</v>
      </c>
      <c r="K799" t="s">
        <v>3078</v>
      </c>
      <c r="L799" t="s">
        <v>3079</v>
      </c>
      <c r="M799" t="s">
        <v>3022</v>
      </c>
      <c r="P799" s="18" t="s">
        <v>1341</v>
      </c>
    </row>
    <row r="800" spans="1:16" hidden="1" x14ac:dyDescent="0.35">
      <c r="A800" t="s">
        <v>2403</v>
      </c>
      <c r="B800" s="3" t="s">
        <v>102</v>
      </c>
      <c r="C800" s="3" t="s">
        <v>9209</v>
      </c>
      <c r="D800" s="3"/>
      <c r="E800" s="3"/>
      <c r="F800" t="s">
        <v>2787</v>
      </c>
      <c r="H800" t="s">
        <v>3080</v>
      </c>
      <c r="J800" t="s">
        <v>3081</v>
      </c>
      <c r="K800" t="s">
        <v>3082</v>
      </c>
      <c r="L800" t="s">
        <v>3083</v>
      </c>
      <c r="M800" t="s">
        <v>3022</v>
      </c>
      <c r="P800" s="18" t="s">
        <v>1341</v>
      </c>
    </row>
    <row r="801" spans="1:16" hidden="1" x14ac:dyDescent="0.35">
      <c r="A801" t="s">
        <v>2403</v>
      </c>
      <c r="B801" s="3" t="s">
        <v>102</v>
      </c>
      <c r="C801" s="3" t="s">
        <v>9209</v>
      </c>
      <c r="D801" s="3"/>
      <c r="E801" s="3"/>
      <c r="F801" t="s">
        <v>2787</v>
      </c>
      <c r="H801" t="s">
        <v>3084</v>
      </c>
      <c r="J801" t="s">
        <v>3085</v>
      </c>
      <c r="K801" t="s">
        <v>3086</v>
      </c>
      <c r="L801" t="s">
        <v>3087</v>
      </c>
      <c r="M801" t="s">
        <v>3022</v>
      </c>
      <c r="P801" s="18" t="s">
        <v>27</v>
      </c>
    </row>
    <row r="802" spans="1:16" hidden="1" x14ac:dyDescent="0.35">
      <c r="A802" t="s">
        <v>2403</v>
      </c>
      <c r="B802" s="3" t="s">
        <v>102</v>
      </c>
      <c r="C802" s="3" t="s">
        <v>9209</v>
      </c>
      <c r="D802" s="3"/>
      <c r="E802" s="3"/>
      <c r="F802" t="s">
        <v>2787</v>
      </c>
      <c r="H802" t="s">
        <v>3088</v>
      </c>
      <c r="J802" t="s">
        <v>3089</v>
      </c>
      <c r="K802" t="s">
        <v>3090</v>
      </c>
      <c r="L802" t="s">
        <v>3091</v>
      </c>
      <c r="M802" t="s">
        <v>3022</v>
      </c>
      <c r="P802" s="18" t="s">
        <v>1341</v>
      </c>
    </row>
    <row r="803" spans="1:16" hidden="1" x14ac:dyDescent="0.35">
      <c r="A803" t="s">
        <v>2403</v>
      </c>
      <c r="B803" s="3" t="s">
        <v>102</v>
      </c>
      <c r="C803" s="3" t="s">
        <v>9209</v>
      </c>
      <c r="D803" s="3"/>
      <c r="E803" s="3"/>
      <c r="F803" t="s">
        <v>2787</v>
      </c>
      <c r="H803" t="s">
        <v>3092</v>
      </c>
      <c r="J803" t="s">
        <v>3093</v>
      </c>
      <c r="K803" t="s">
        <v>3094</v>
      </c>
      <c r="L803" t="s">
        <v>3095</v>
      </c>
      <c r="M803" t="s">
        <v>3022</v>
      </c>
      <c r="P803" s="18" t="s">
        <v>27</v>
      </c>
    </row>
    <row r="804" spans="1:16" hidden="1" x14ac:dyDescent="0.35">
      <c r="A804" t="s">
        <v>2403</v>
      </c>
      <c r="B804" s="3" t="s">
        <v>102</v>
      </c>
      <c r="C804" s="3" t="s">
        <v>9209</v>
      </c>
      <c r="D804" s="3"/>
      <c r="E804" s="3"/>
      <c r="F804" t="s">
        <v>2787</v>
      </c>
      <c r="H804" t="s">
        <v>3096</v>
      </c>
      <c r="J804" t="s">
        <v>3097</v>
      </c>
      <c r="K804" t="s">
        <v>3098</v>
      </c>
      <c r="L804" t="s">
        <v>3099</v>
      </c>
      <c r="M804" t="s">
        <v>3022</v>
      </c>
      <c r="P804" s="18" t="s">
        <v>1341</v>
      </c>
    </row>
    <row r="805" spans="1:16" hidden="1" x14ac:dyDescent="0.35">
      <c r="A805" t="s">
        <v>2403</v>
      </c>
      <c r="B805" s="3" t="s">
        <v>102</v>
      </c>
      <c r="C805" s="3" t="s">
        <v>9209</v>
      </c>
      <c r="D805" s="3"/>
      <c r="E805" s="3"/>
      <c r="F805" t="s">
        <v>2787</v>
      </c>
      <c r="H805" t="s">
        <v>3100</v>
      </c>
      <c r="J805" t="s">
        <v>3101</v>
      </c>
      <c r="K805" t="s">
        <v>3102</v>
      </c>
      <c r="L805" t="s">
        <v>3103</v>
      </c>
      <c r="M805" t="s">
        <v>3022</v>
      </c>
      <c r="P805" s="18" t="s">
        <v>27</v>
      </c>
    </row>
    <row r="806" spans="1:16" hidden="1" x14ac:dyDescent="0.35">
      <c r="A806" t="s">
        <v>2403</v>
      </c>
      <c r="B806" s="3" t="s">
        <v>102</v>
      </c>
      <c r="C806" s="3" t="s">
        <v>9209</v>
      </c>
      <c r="D806" s="3"/>
      <c r="E806" s="3"/>
      <c r="F806" t="s">
        <v>2787</v>
      </c>
      <c r="H806" t="s">
        <v>3104</v>
      </c>
      <c r="J806" t="s">
        <v>3105</v>
      </c>
      <c r="K806" t="s">
        <v>3106</v>
      </c>
      <c r="L806" t="s">
        <v>3107</v>
      </c>
      <c r="M806" t="s">
        <v>3022</v>
      </c>
      <c r="P806" s="18" t="s">
        <v>1341</v>
      </c>
    </row>
    <row r="807" spans="1:16" hidden="1" x14ac:dyDescent="0.35">
      <c r="A807" t="s">
        <v>2403</v>
      </c>
      <c r="B807" s="3" t="s">
        <v>102</v>
      </c>
      <c r="C807" s="3" t="s">
        <v>9209</v>
      </c>
      <c r="D807" s="3"/>
      <c r="E807" s="3"/>
      <c r="F807" t="s">
        <v>2787</v>
      </c>
      <c r="H807" t="s">
        <v>3108</v>
      </c>
      <c r="J807" t="s">
        <v>3109</v>
      </c>
      <c r="K807" t="s">
        <v>3110</v>
      </c>
      <c r="L807" t="s">
        <v>3111</v>
      </c>
      <c r="M807" t="s">
        <v>3022</v>
      </c>
      <c r="P807" s="18" t="s">
        <v>27</v>
      </c>
    </row>
    <row r="808" spans="1:16" hidden="1" x14ac:dyDescent="0.35">
      <c r="A808" t="s">
        <v>2403</v>
      </c>
      <c r="B808" s="3" t="s">
        <v>102</v>
      </c>
      <c r="C808" s="3" t="s">
        <v>9209</v>
      </c>
      <c r="D808" s="3"/>
      <c r="E808" s="3"/>
      <c r="F808" t="s">
        <v>2787</v>
      </c>
      <c r="H808" t="s">
        <v>3112</v>
      </c>
      <c r="J808" t="s">
        <v>3113</v>
      </c>
      <c r="K808" t="s">
        <v>3114</v>
      </c>
      <c r="L808" t="s">
        <v>3115</v>
      </c>
      <c r="M808" t="s">
        <v>2374</v>
      </c>
      <c r="P808" s="18" t="s">
        <v>1341</v>
      </c>
    </row>
    <row r="809" spans="1:16" hidden="1" x14ac:dyDescent="0.35">
      <c r="A809" t="s">
        <v>2403</v>
      </c>
      <c r="B809" s="3" t="s">
        <v>102</v>
      </c>
      <c r="C809" s="3" t="s">
        <v>9209</v>
      </c>
      <c r="D809" s="3"/>
      <c r="E809" s="3"/>
      <c r="F809" t="s">
        <v>2787</v>
      </c>
      <c r="H809" t="s">
        <v>3116</v>
      </c>
      <c r="J809" t="s">
        <v>3117</v>
      </c>
      <c r="K809" t="s">
        <v>3118</v>
      </c>
      <c r="L809" t="s">
        <v>3119</v>
      </c>
      <c r="M809" t="s">
        <v>2374</v>
      </c>
      <c r="P809" s="18" t="s">
        <v>1341</v>
      </c>
    </row>
    <row r="810" spans="1:16" hidden="1" x14ac:dyDescent="0.35">
      <c r="A810" t="s">
        <v>2403</v>
      </c>
      <c r="B810" s="3" t="s">
        <v>102</v>
      </c>
      <c r="C810" s="3" t="s">
        <v>9209</v>
      </c>
      <c r="D810" s="3"/>
      <c r="E810" s="3"/>
      <c r="F810" t="s">
        <v>2787</v>
      </c>
      <c r="H810" t="s">
        <v>3120</v>
      </c>
      <c r="J810" t="s">
        <v>3121</v>
      </c>
      <c r="K810" t="s">
        <v>3122</v>
      </c>
      <c r="L810" t="s">
        <v>3123</v>
      </c>
      <c r="M810" t="s">
        <v>2374</v>
      </c>
      <c r="P810" s="18" t="s">
        <v>1341</v>
      </c>
    </row>
    <row r="811" spans="1:16" hidden="1" x14ac:dyDescent="0.35">
      <c r="A811" t="s">
        <v>2403</v>
      </c>
      <c r="B811" s="3" t="s">
        <v>102</v>
      </c>
      <c r="C811" s="3" t="s">
        <v>9209</v>
      </c>
      <c r="D811" s="3"/>
      <c r="E811" s="3"/>
      <c r="F811" t="s">
        <v>2787</v>
      </c>
      <c r="H811" t="s">
        <v>3124</v>
      </c>
      <c r="J811" t="s">
        <v>3125</v>
      </c>
      <c r="K811" t="s">
        <v>3126</v>
      </c>
      <c r="L811" t="s">
        <v>3127</v>
      </c>
      <c r="M811" t="s">
        <v>2374</v>
      </c>
      <c r="P811" s="18" t="s">
        <v>1341</v>
      </c>
    </row>
    <row r="812" spans="1:16" hidden="1" x14ac:dyDescent="0.35">
      <c r="A812" t="s">
        <v>2403</v>
      </c>
      <c r="B812" s="3" t="s">
        <v>102</v>
      </c>
      <c r="C812" s="3" t="s">
        <v>9209</v>
      </c>
      <c r="D812" s="3"/>
      <c r="E812" s="3"/>
      <c r="F812" t="s">
        <v>2787</v>
      </c>
      <c r="H812" t="s">
        <v>3128</v>
      </c>
      <c r="J812" t="s">
        <v>3129</v>
      </c>
      <c r="K812" t="s">
        <v>3130</v>
      </c>
      <c r="L812" t="s">
        <v>3131</v>
      </c>
      <c r="M812" t="s">
        <v>2374</v>
      </c>
      <c r="P812" s="18" t="s">
        <v>1341</v>
      </c>
    </row>
    <row r="813" spans="1:16" hidden="1" x14ac:dyDescent="0.35">
      <c r="A813" t="s">
        <v>2403</v>
      </c>
      <c r="B813" s="3" t="s">
        <v>102</v>
      </c>
      <c r="C813" s="3" t="s">
        <v>9209</v>
      </c>
      <c r="D813" s="3"/>
      <c r="E813" s="3"/>
      <c r="F813" t="s">
        <v>2787</v>
      </c>
      <c r="H813" t="s">
        <v>3132</v>
      </c>
      <c r="J813" t="s">
        <v>3133</v>
      </c>
      <c r="K813" t="s">
        <v>3134</v>
      </c>
      <c r="L813" t="s">
        <v>3135</v>
      </c>
      <c r="M813" t="s">
        <v>2374</v>
      </c>
      <c r="P813" s="18" t="s">
        <v>27</v>
      </c>
    </row>
    <row r="814" spans="1:16" hidden="1" x14ac:dyDescent="0.35">
      <c r="A814" t="s">
        <v>2403</v>
      </c>
      <c r="B814" s="3" t="s">
        <v>102</v>
      </c>
      <c r="C814" s="3" t="s">
        <v>9209</v>
      </c>
      <c r="D814" s="3"/>
      <c r="E814" s="3"/>
      <c r="F814" t="s">
        <v>2787</v>
      </c>
      <c r="H814" t="s">
        <v>1591</v>
      </c>
      <c r="J814" t="s">
        <v>3136</v>
      </c>
      <c r="K814" t="s">
        <v>3137</v>
      </c>
      <c r="L814" t="s">
        <v>3138</v>
      </c>
      <c r="M814" t="s">
        <v>2759</v>
      </c>
    </row>
    <row r="815" spans="1:16" hidden="1" x14ac:dyDescent="0.35">
      <c r="A815" t="s">
        <v>2403</v>
      </c>
      <c r="B815" s="3" t="s">
        <v>102</v>
      </c>
      <c r="C815" s="3" t="s">
        <v>9209</v>
      </c>
      <c r="D815" s="3"/>
      <c r="E815" s="3"/>
      <c r="F815" t="s">
        <v>2787</v>
      </c>
      <c r="H815" t="s">
        <v>3139</v>
      </c>
      <c r="J815" t="s">
        <v>3140</v>
      </c>
      <c r="K815" t="s">
        <v>3141</v>
      </c>
      <c r="L815" t="s">
        <v>3142</v>
      </c>
      <c r="M815" t="s">
        <v>2374</v>
      </c>
      <c r="P815" s="18" t="s">
        <v>1341</v>
      </c>
    </row>
    <row r="816" spans="1:16" hidden="1" x14ac:dyDescent="0.35">
      <c r="A816" t="s">
        <v>2403</v>
      </c>
      <c r="B816" s="3" t="s">
        <v>102</v>
      </c>
      <c r="C816" s="3" t="s">
        <v>9209</v>
      </c>
      <c r="D816" s="3"/>
      <c r="E816" s="3"/>
      <c r="F816" t="s">
        <v>2787</v>
      </c>
      <c r="H816" t="s">
        <v>3143</v>
      </c>
      <c r="J816" t="s">
        <v>3144</v>
      </c>
      <c r="K816" t="s">
        <v>3145</v>
      </c>
      <c r="L816" t="s">
        <v>3146</v>
      </c>
      <c r="M816" t="s">
        <v>2374</v>
      </c>
      <c r="P816" s="18" t="s">
        <v>1341</v>
      </c>
    </row>
    <row r="817" spans="1:16" hidden="1" x14ac:dyDescent="0.35">
      <c r="A817" t="s">
        <v>2403</v>
      </c>
      <c r="B817" s="3" t="s">
        <v>102</v>
      </c>
      <c r="C817" s="3" t="s">
        <v>9209</v>
      </c>
      <c r="D817" s="3"/>
      <c r="E817" s="3"/>
      <c r="F817" t="s">
        <v>2787</v>
      </c>
      <c r="H817" t="s">
        <v>3147</v>
      </c>
      <c r="J817" t="s">
        <v>3148</v>
      </c>
      <c r="K817" t="s">
        <v>3149</v>
      </c>
      <c r="L817" t="s">
        <v>3150</v>
      </c>
      <c r="M817" t="s">
        <v>2374</v>
      </c>
      <c r="P817" s="18" t="s">
        <v>1341</v>
      </c>
    </row>
    <row r="818" spans="1:16" hidden="1" x14ac:dyDescent="0.35">
      <c r="A818" t="s">
        <v>2403</v>
      </c>
      <c r="B818" s="3" t="s">
        <v>102</v>
      </c>
      <c r="C818" s="3" t="s">
        <v>9209</v>
      </c>
      <c r="D818" s="3"/>
      <c r="E818" s="3"/>
      <c r="F818" t="s">
        <v>2787</v>
      </c>
      <c r="H818" t="s">
        <v>3151</v>
      </c>
      <c r="J818" t="s">
        <v>3152</v>
      </c>
      <c r="K818" t="s">
        <v>3153</v>
      </c>
      <c r="L818" t="s">
        <v>3154</v>
      </c>
      <c r="M818" t="s">
        <v>2374</v>
      </c>
      <c r="P818" s="18" t="s">
        <v>1341</v>
      </c>
    </row>
    <row r="819" spans="1:16" hidden="1" x14ac:dyDescent="0.35">
      <c r="A819" t="s">
        <v>2403</v>
      </c>
      <c r="B819" s="3" t="s">
        <v>102</v>
      </c>
      <c r="C819" s="3" t="s">
        <v>9209</v>
      </c>
      <c r="D819" s="3"/>
      <c r="E819" s="3"/>
      <c r="F819" t="s">
        <v>2787</v>
      </c>
      <c r="H819" t="s">
        <v>1595</v>
      </c>
      <c r="J819" t="s">
        <v>3155</v>
      </c>
      <c r="K819" t="s">
        <v>3156</v>
      </c>
      <c r="L819" t="s">
        <v>3157</v>
      </c>
      <c r="M819" t="s">
        <v>2759</v>
      </c>
    </row>
    <row r="820" spans="1:16" hidden="1" x14ac:dyDescent="0.35">
      <c r="A820" t="s">
        <v>2403</v>
      </c>
      <c r="B820" s="3" t="s">
        <v>102</v>
      </c>
      <c r="C820" s="3" t="s">
        <v>9209</v>
      </c>
      <c r="D820" s="3"/>
      <c r="E820" s="3"/>
      <c r="F820" t="s">
        <v>2787</v>
      </c>
      <c r="H820" t="s">
        <v>3158</v>
      </c>
      <c r="J820" t="s">
        <v>2516</v>
      </c>
      <c r="K820" t="s">
        <v>3159</v>
      </c>
      <c r="L820" t="s">
        <v>3160</v>
      </c>
      <c r="M820" t="s">
        <v>229</v>
      </c>
      <c r="P820" s="18" t="s">
        <v>2427</v>
      </c>
    </row>
    <row r="821" spans="1:16" hidden="1" x14ac:dyDescent="0.35">
      <c r="A821" t="s">
        <v>2403</v>
      </c>
      <c r="B821" s="3" t="s">
        <v>102</v>
      </c>
      <c r="C821" s="3" t="s">
        <v>9209</v>
      </c>
      <c r="D821" s="3"/>
      <c r="E821" s="3"/>
      <c r="F821" t="s">
        <v>2787</v>
      </c>
      <c r="H821" t="s">
        <v>3161</v>
      </c>
      <c r="J821" t="s">
        <v>3162</v>
      </c>
      <c r="K821" t="s">
        <v>3163</v>
      </c>
      <c r="L821" t="s">
        <v>3164</v>
      </c>
      <c r="M821" t="s">
        <v>229</v>
      </c>
      <c r="P821" s="18" t="s">
        <v>3165</v>
      </c>
    </row>
    <row r="822" spans="1:16" hidden="1" x14ac:dyDescent="0.35">
      <c r="A822" t="s">
        <v>2403</v>
      </c>
      <c r="B822" s="3" t="s">
        <v>102</v>
      </c>
      <c r="C822" s="3" t="s">
        <v>9209</v>
      </c>
      <c r="D822" s="3"/>
      <c r="E822" s="3"/>
      <c r="F822" t="s">
        <v>2787</v>
      </c>
      <c r="H822" t="s">
        <v>3166</v>
      </c>
      <c r="J822" t="s">
        <v>2645</v>
      </c>
      <c r="K822" t="s">
        <v>3167</v>
      </c>
      <c r="L822" t="s">
        <v>3168</v>
      </c>
      <c r="M822" t="s">
        <v>229</v>
      </c>
      <c r="P822" s="18" t="s">
        <v>3169</v>
      </c>
    </row>
    <row r="823" spans="1:16" hidden="1" x14ac:dyDescent="0.35">
      <c r="A823" t="s">
        <v>2403</v>
      </c>
      <c r="B823" s="3" t="s">
        <v>102</v>
      </c>
      <c r="C823" s="3" t="s">
        <v>9209</v>
      </c>
      <c r="D823" s="3"/>
      <c r="E823" s="3"/>
      <c r="F823" t="s">
        <v>2787</v>
      </c>
      <c r="H823" t="s">
        <v>3170</v>
      </c>
      <c r="J823" t="s">
        <v>2649</v>
      </c>
      <c r="K823" t="s">
        <v>3171</v>
      </c>
      <c r="L823" t="s">
        <v>3172</v>
      </c>
      <c r="M823" t="s">
        <v>229</v>
      </c>
      <c r="P823" s="18" t="s">
        <v>3173</v>
      </c>
    </row>
    <row r="824" spans="1:16" hidden="1" x14ac:dyDescent="0.35">
      <c r="A824" t="s">
        <v>2403</v>
      </c>
      <c r="B824" s="3" t="s">
        <v>102</v>
      </c>
      <c r="C824" s="3" t="s">
        <v>9209</v>
      </c>
      <c r="D824" s="3"/>
      <c r="E824" s="3"/>
      <c r="F824" t="s">
        <v>2787</v>
      </c>
      <c r="H824" t="s">
        <v>3174</v>
      </c>
      <c r="J824" t="s">
        <v>2400</v>
      </c>
      <c r="K824" t="s">
        <v>3175</v>
      </c>
      <c r="L824" t="s">
        <v>3176</v>
      </c>
      <c r="M824" t="s">
        <v>229</v>
      </c>
      <c r="P824" s="18" t="s">
        <v>3177</v>
      </c>
    </row>
    <row r="825" spans="1:16" hidden="1" x14ac:dyDescent="0.35">
      <c r="A825" t="s">
        <v>2403</v>
      </c>
      <c r="B825" s="3" t="s">
        <v>102</v>
      </c>
      <c r="C825" s="3" t="s">
        <v>9209</v>
      </c>
      <c r="D825" s="3"/>
      <c r="E825" s="3"/>
      <c r="F825" t="s">
        <v>2787</v>
      </c>
      <c r="H825" t="s">
        <v>3178</v>
      </c>
      <c r="J825" t="s">
        <v>2405</v>
      </c>
      <c r="K825" t="s">
        <v>3179</v>
      </c>
      <c r="L825" t="s">
        <v>3180</v>
      </c>
      <c r="M825" t="s">
        <v>229</v>
      </c>
      <c r="P825" s="18" t="s">
        <v>2408</v>
      </c>
    </row>
    <row r="826" spans="1:16" hidden="1" x14ac:dyDescent="0.35">
      <c r="A826" t="s">
        <v>2403</v>
      </c>
      <c r="B826" s="3" t="s">
        <v>102</v>
      </c>
      <c r="C826" s="3" t="s">
        <v>9209</v>
      </c>
      <c r="D826" s="3"/>
      <c r="E826" s="3"/>
      <c r="F826" t="s">
        <v>2787</v>
      </c>
      <c r="H826" t="s">
        <v>3181</v>
      </c>
      <c r="J826" t="s">
        <v>3182</v>
      </c>
      <c r="K826" t="s">
        <v>3183</v>
      </c>
      <c r="L826" t="s">
        <v>3184</v>
      </c>
      <c r="M826" t="s">
        <v>2374</v>
      </c>
      <c r="P826" s="18" t="s">
        <v>1341</v>
      </c>
    </row>
    <row r="827" spans="1:16" hidden="1" x14ac:dyDescent="0.35">
      <c r="A827" t="s">
        <v>2403</v>
      </c>
      <c r="B827" s="3" t="s">
        <v>102</v>
      </c>
      <c r="C827" s="3" t="s">
        <v>9209</v>
      </c>
      <c r="D827" s="3"/>
      <c r="E827" s="3"/>
      <c r="F827" t="s">
        <v>2787</v>
      </c>
      <c r="H827" t="s">
        <v>3185</v>
      </c>
      <c r="J827" t="s">
        <v>3186</v>
      </c>
      <c r="K827" t="s">
        <v>3187</v>
      </c>
      <c r="L827" t="s">
        <v>3188</v>
      </c>
      <c r="M827" t="s">
        <v>248</v>
      </c>
      <c r="P827" s="18" t="s">
        <v>9217</v>
      </c>
    </row>
    <row r="828" spans="1:16" hidden="1" x14ac:dyDescent="0.35">
      <c r="A828" t="s">
        <v>2403</v>
      </c>
      <c r="B828" s="3" t="s">
        <v>102</v>
      </c>
      <c r="C828" s="3" t="s">
        <v>9209</v>
      </c>
      <c r="D828" s="3"/>
      <c r="E828" s="3"/>
      <c r="F828" t="s">
        <v>2787</v>
      </c>
      <c r="H828" t="s">
        <v>3189</v>
      </c>
      <c r="J828" t="s">
        <v>2516</v>
      </c>
      <c r="K828" t="s">
        <v>3190</v>
      </c>
      <c r="L828" t="s">
        <v>3191</v>
      </c>
      <c r="M828" t="s">
        <v>229</v>
      </c>
      <c r="P828" s="18" t="s">
        <v>9220</v>
      </c>
    </row>
    <row r="829" spans="1:16" hidden="1" x14ac:dyDescent="0.35">
      <c r="A829" t="s">
        <v>2403</v>
      </c>
      <c r="B829" s="3" t="s">
        <v>102</v>
      </c>
      <c r="C829" s="3" t="s">
        <v>9209</v>
      </c>
      <c r="D829" s="3"/>
      <c r="E829" s="3"/>
      <c r="F829" t="s">
        <v>2787</v>
      </c>
      <c r="H829" t="s">
        <v>3192</v>
      </c>
      <c r="J829" t="s">
        <v>3162</v>
      </c>
      <c r="K829" t="s">
        <v>3193</v>
      </c>
      <c r="L829" t="s">
        <v>3194</v>
      </c>
      <c r="M829" t="s">
        <v>229</v>
      </c>
      <c r="P829" s="18" t="s">
        <v>9220</v>
      </c>
    </row>
    <row r="830" spans="1:16" hidden="1" x14ac:dyDescent="0.35">
      <c r="A830" t="s">
        <v>2403</v>
      </c>
      <c r="B830" s="3" t="s">
        <v>102</v>
      </c>
      <c r="C830" s="3" t="s">
        <v>9209</v>
      </c>
      <c r="D830" s="3"/>
      <c r="E830" s="3"/>
      <c r="F830" t="s">
        <v>2787</v>
      </c>
      <c r="H830" t="s">
        <v>3195</v>
      </c>
      <c r="J830" t="s">
        <v>2645</v>
      </c>
      <c r="K830" t="s">
        <v>3196</v>
      </c>
      <c r="L830" t="s">
        <v>3197</v>
      </c>
      <c r="M830" t="s">
        <v>229</v>
      </c>
      <c r="P830" s="18" t="s">
        <v>9220</v>
      </c>
    </row>
    <row r="831" spans="1:16" hidden="1" x14ac:dyDescent="0.35">
      <c r="A831" t="s">
        <v>2403</v>
      </c>
      <c r="B831" s="3" t="s">
        <v>102</v>
      </c>
      <c r="C831" s="3" t="s">
        <v>9209</v>
      </c>
      <c r="D831" s="3"/>
      <c r="E831" s="3"/>
      <c r="F831" t="s">
        <v>2787</v>
      </c>
      <c r="H831" t="s">
        <v>3198</v>
      </c>
      <c r="J831" t="s">
        <v>2649</v>
      </c>
      <c r="K831" t="s">
        <v>3199</v>
      </c>
      <c r="L831" t="s">
        <v>3200</v>
      </c>
      <c r="M831" t="s">
        <v>229</v>
      </c>
      <c r="P831" s="18" t="s">
        <v>9220</v>
      </c>
    </row>
    <row r="832" spans="1:16" hidden="1" x14ac:dyDescent="0.35">
      <c r="A832" t="s">
        <v>2403</v>
      </c>
      <c r="B832" s="3" t="s">
        <v>102</v>
      </c>
      <c r="C832" s="3" t="s">
        <v>9209</v>
      </c>
      <c r="D832" s="3"/>
      <c r="E832" s="3"/>
      <c r="F832" t="s">
        <v>2787</v>
      </c>
      <c r="H832" t="s">
        <v>3201</v>
      </c>
      <c r="J832" t="s">
        <v>2400</v>
      </c>
      <c r="K832" t="s">
        <v>3202</v>
      </c>
      <c r="L832" t="s">
        <v>3203</v>
      </c>
      <c r="M832" t="s">
        <v>229</v>
      </c>
      <c r="P832" s="18" t="s">
        <v>9220</v>
      </c>
    </row>
    <row r="833" spans="1:16" hidden="1" x14ac:dyDescent="0.35">
      <c r="A833" t="s">
        <v>2403</v>
      </c>
      <c r="B833" s="3" t="s">
        <v>102</v>
      </c>
      <c r="C833" s="3" t="s">
        <v>9209</v>
      </c>
      <c r="D833" s="3"/>
      <c r="E833" s="3"/>
      <c r="F833" t="s">
        <v>2787</v>
      </c>
      <c r="H833" t="s">
        <v>3204</v>
      </c>
      <c r="J833" t="s">
        <v>2405</v>
      </c>
      <c r="K833" t="s">
        <v>3205</v>
      </c>
      <c r="L833" t="s">
        <v>3206</v>
      </c>
      <c r="M833" t="s">
        <v>229</v>
      </c>
      <c r="P833" s="18" t="s">
        <v>9220</v>
      </c>
    </row>
    <row r="834" spans="1:16" hidden="1" x14ac:dyDescent="0.35">
      <c r="A834" t="s">
        <v>2403</v>
      </c>
      <c r="B834" s="3" t="s">
        <v>102</v>
      </c>
      <c r="C834" s="3" t="s">
        <v>9209</v>
      </c>
      <c r="D834" s="3"/>
      <c r="E834" s="3"/>
      <c r="F834" t="s">
        <v>2787</v>
      </c>
      <c r="H834" t="s">
        <v>3207</v>
      </c>
      <c r="J834" t="s">
        <v>3208</v>
      </c>
      <c r="K834" t="s">
        <v>3209</v>
      </c>
      <c r="L834" t="s">
        <v>3210</v>
      </c>
      <c r="M834" t="s">
        <v>248</v>
      </c>
      <c r="P834" s="18" t="s">
        <v>9220</v>
      </c>
    </row>
    <row r="835" spans="1:16" hidden="1" x14ac:dyDescent="0.35">
      <c r="A835" t="s">
        <v>2403</v>
      </c>
      <c r="B835" s="3" t="s">
        <v>102</v>
      </c>
      <c r="C835" s="3" t="s">
        <v>9209</v>
      </c>
      <c r="D835" s="3"/>
      <c r="E835" s="3"/>
      <c r="F835" t="s">
        <v>2787</v>
      </c>
      <c r="H835" t="s">
        <v>3211</v>
      </c>
      <c r="J835" t="s">
        <v>2516</v>
      </c>
      <c r="K835" t="s">
        <v>3212</v>
      </c>
      <c r="L835" t="s">
        <v>3213</v>
      </c>
      <c r="M835" t="s">
        <v>229</v>
      </c>
      <c r="P835" s="18" t="s">
        <v>9220</v>
      </c>
    </row>
    <row r="836" spans="1:16" hidden="1" x14ac:dyDescent="0.35">
      <c r="A836" t="s">
        <v>2403</v>
      </c>
      <c r="B836" s="3" t="s">
        <v>102</v>
      </c>
      <c r="C836" s="3" t="s">
        <v>9209</v>
      </c>
      <c r="D836" s="3"/>
      <c r="E836" s="3"/>
      <c r="F836" t="s">
        <v>2787</v>
      </c>
      <c r="H836" t="s">
        <v>3214</v>
      </c>
      <c r="J836" t="s">
        <v>3162</v>
      </c>
      <c r="K836" t="s">
        <v>3215</v>
      </c>
      <c r="L836" t="s">
        <v>3216</v>
      </c>
      <c r="M836" t="s">
        <v>229</v>
      </c>
      <c r="P836" s="18" t="s">
        <v>9220</v>
      </c>
    </row>
    <row r="837" spans="1:16" hidden="1" x14ac:dyDescent="0.35">
      <c r="A837" t="s">
        <v>2403</v>
      </c>
      <c r="B837" s="3" t="s">
        <v>102</v>
      </c>
      <c r="C837" s="3" t="s">
        <v>9209</v>
      </c>
      <c r="D837" s="3"/>
      <c r="E837" s="3"/>
      <c r="F837" t="s">
        <v>2787</v>
      </c>
      <c r="H837" t="s">
        <v>3217</v>
      </c>
      <c r="J837" t="s">
        <v>2645</v>
      </c>
      <c r="K837" t="s">
        <v>3218</v>
      </c>
      <c r="L837" t="s">
        <v>3219</v>
      </c>
      <c r="M837" t="s">
        <v>229</v>
      </c>
      <c r="P837" s="18" t="s">
        <v>9220</v>
      </c>
    </row>
    <row r="838" spans="1:16" hidden="1" x14ac:dyDescent="0.35">
      <c r="A838" t="s">
        <v>2403</v>
      </c>
      <c r="B838" s="3" t="s">
        <v>102</v>
      </c>
      <c r="C838" s="3" t="s">
        <v>9209</v>
      </c>
      <c r="D838" s="3"/>
      <c r="E838" s="3"/>
      <c r="F838" t="s">
        <v>2787</v>
      </c>
      <c r="H838" t="s">
        <v>3220</v>
      </c>
      <c r="J838" t="s">
        <v>2649</v>
      </c>
      <c r="K838" t="s">
        <v>3221</v>
      </c>
      <c r="L838" t="s">
        <v>3222</v>
      </c>
      <c r="M838" t="s">
        <v>229</v>
      </c>
      <c r="P838" s="18" t="s">
        <v>9220</v>
      </c>
    </row>
    <row r="839" spans="1:16" hidden="1" x14ac:dyDescent="0.35">
      <c r="A839" t="s">
        <v>2403</v>
      </c>
      <c r="B839" s="3" t="s">
        <v>102</v>
      </c>
      <c r="C839" s="3" t="s">
        <v>9209</v>
      </c>
      <c r="D839" s="3"/>
      <c r="E839" s="3"/>
      <c r="F839" t="s">
        <v>2787</v>
      </c>
      <c r="H839" t="s">
        <v>3223</v>
      </c>
      <c r="J839" t="s">
        <v>2400</v>
      </c>
      <c r="K839" t="s">
        <v>3224</v>
      </c>
      <c r="L839" t="s">
        <v>3225</v>
      </c>
      <c r="M839" t="s">
        <v>229</v>
      </c>
      <c r="P839" s="18" t="s">
        <v>9220</v>
      </c>
    </row>
    <row r="840" spans="1:16" hidden="1" x14ac:dyDescent="0.35">
      <c r="A840" t="s">
        <v>2403</v>
      </c>
      <c r="B840" s="3" t="s">
        <v>102</v>
      </c>
      <c r="C840" s="3" t="s">
        <v>9209</v>
      </c>
      <c r="D840" s="3"/>
      <c r="E840" s="3"/>
      <c r="F840" t="s">
        <v>2787</v>
      </c>
      <c r="H840" t="s">
        <v>3226</v>
      </c>
      <c r="J840" t="s">
        <v>2405</v>
      </c>
      <c r="K840" t="s">
        <v>3227</v>
      </c>
      <c r="L840" t="s">
        <v>3228</v>
      </c>
      <c r="M840" t="s">
        <v>229</v>
      </c>
      <c r="P840" s="18" t="s">
        <v>9220</v>
      </c>
    </row>
    <row r="841" spans="1:16" hidden="1" x14ac:dyDescent="0.35">
      <c r="A841" t="s">
        <v>2403</v>
      </c>
      <c r="B841" s="3" t="s">
        <v>102</v>
      </c>
      <c r="C841" s="3" t="s">
        <v>9209</v>
      </c>
      <c r="D841" s="3"/>
      <c r="E841" s="3"/>
      <c r="F841" t="s">
        <v>2787</v>
      </c>
      <c r="H841" t="s">
        <v>3229</v>
      </c>
      <c r="J841" t="s">
        <v>3230</v>
      </c>
      <c r="K841" t="s">
        <v>3231</v>
      </c>
      <c r="L841" t="s">
        <v>3232</v>
      </c>
      <c r="M841" t="s">
        <v>2374</v>
      </c>
      <c r="P841" s="18" t="s">
        <v>9220</v>
      </c>
    </row>
    <row r="842" spans="1:16" hidden="1" x14ac:dyDescent="0.35">
      <c r="A842" t="s">
        <v>2403</v>
      </c>
      <c r="B842" s="3" t="s">
        <v>102</v>
      </c>
      <c r="C842" s="3" t="s">
        <v>9209</v>
      </c>
      <c r="D842" s="3"/>
      <c r="E842" s="3"/>
      <c r="F842" t="s">
        <v>2787</v>
      </c>
      <c r="H842" t="s">
        <v>3233</v>
      </c>
      <c r="J842" t="s">
        <v>3234</v>
      </c>
      <c r="K842" t="s">
        <v>3235</v>
      </c>
      <c r="L842" t="s">
        <v>3236</v>
      </c>
      <c r="M842" t="s">
        <v>2374</v>
      </c>
      <c r="P842" s="18" t="s">
        <v>9220</v>
      </c>
    </row>
    <row r="843" spans="1:16" hidden="1" x14ac:dyDescent="0.35">
      <c r="A843" t="s">
        <v>2403</v>
      </c>
      <c r="B843" s="3" t="s">
        <v>102</v>
      </c>
      <c r="C843" s="3" t="s">
        <v>9209</v>
      </c>
      <c r="D843" s="3"/>
      <c r="E843" s="3"/>
      <c r="F843" t="s">
        <v>2787</v>
      </c>
      <c r="H843" t="s">
        <v>3237</v>
      </c>
      <c r="J843" t="s">
        <v>3238</v>
      </c>
      <c r="K843" t="s">
        <v>3239</v>
      </c>
      <c r="L843" t="s">
        <v>3240</v>
      </c>
      <c r="M843" t="s">
        <v>248</v>
      </c>
      <c r="P843" s="18" t="s">
        <v>9220</v>
      </c>
    </row>
    <row r="844" spans="1:16" hidden="1" x14ac:dyDescent="0.35">
      <c r="A844" t="s">
        <v>2403</v>
      </c>
      <c r="B844" s="3" t="s">
        <v>102</v>
      </c>
      <c r="C844" s="3" t="s">
        <v>9209</v>
      </c>
      <c r="D844" s="3"/>
      <c r="E844" s="3"/>
      <c r="F844" t="s">
        <v>2787</v>
      </c>
      <c r="H844" t="s">
        <v>3241</v>
      </c>
      <c r="J844" t="s">
        <v>2516</v>
      </c>
      <c r="K844" t="s">
        <v>3242</v>
      </c>
      <c r="L844" t="s">
        <v>3243</v>
      </c>
      <c r="M844" t="s">
        <v>229</v>
      </c>
      <c r="P844" s="18" t="s">
        <v>9220</v>
      </c>
    </row>
    <row r="845" spans="1:16" hidden="1" x14ac:dyDescent="0.35">
      <c r="A845" t="s">
        <v>2403</v>
      </c>
      <c r="B845" s="3" t="s">
        <v>102</v>
      </c>
      <c r="C845" s="3" t="s">
        <v>9209</v>
      </c>
      <c r="D845" s="3"/>
      <c r="E845" s="3"/>
      <c r="F845" t="s">
        <v>2787</v>
      </c>
      <c r="H845" t="s">
        <v>3244</v>
      </c>
      <c r="J845" t="s">
        <v>3162</v>
      </c>
      <c r="K845" t="s">
        <v>3245</v>
      </c>
      <c r="L845" t="s">
        <v>3246</v>
      </c>
      <c r="M845" t="s">
        <v>229</v>
      </c>
      <c r="P845" s="18" t="s">
        <v>9220</v>
      </c>
    </row>
    <row r="846" spans="1:16" hidden="1" x14ac:dyDescent="0.35">
      <c r="A846" t="s">
        <v>2403</v>
      </c>
      <c r="B846" s="3" t="s">
        <v>102</v>
      </c>
      <c r="C846" s="3" t="s">
        <v>9209</v>
      </c>
      <c r="D846" s="3"/>
      <c r="E846" s="3"/>
      <c r="F846" t="s">
        <v>2787</v>
      </c>
      <c r="H846" t="s">
        <v>3247</v>
      </c>
      <c r="J846" t="s">
        <v>2645</v>
      </c>
      <c r="K846" t="s">
        <v>3248</v>
      </c>
      <c r="L846" t="s">
        <v>3249</v>
      </c>
      <c r="M846" t="s">
        <v>229</v>
      </c>
      <c r="P846" s="18" t="s">
        <v>9220</v>
      </c>
    </row>
    <row r="847" spans="1:16" hidden="1" x14ac:dyDescent="0.35">
      <c r="A847" t="s">
        <v>2403</v>
      </c>
      <c r="B847" s="3" t="s">
        <v>102</v>
      </c>
      <c r="C847" s="3" t="s">
        <v>9209</v>
      </c>
      <c r="D847" s="3"/>
      <c r="E847" s="3"/>
      <c r="F847" t="s">
        <v>2787</v>
      </c>
      <c r="H847" t="s">
        <v>3250</v>
      </c>
      <c r="J847" t="s">
        <v>2649</v>
      </c>
      <c r="K847" t="s">
        <v>3251</v>
      </c>
      <c r="L847" t="s">
        <v>3252</v>
      </c>
      <c r="M847" t="s">
        <v>229</v>
      </c>
      <c r="P847" s="18" t="s">
        <v>9220</v>
      </c>
    </row>
    <row r="848" spans="1:16" hidden="1" x14ac:dyDescent="0.35">
      <c r="A848" t="s">
        <v>2403</v>
      </c>
      <c r="B848" s="3" t="s">
        <v>102</v>
      </c>
      <c r="C848" s="3" t="s">
        <v>9209</v>
      </c>
      <c r="D848" s="3"/>
      <c r="E848" s="3"/>
      <c r="F848" t="s">
        <v>2787</v>
      </c>
      <c r="H848" t="s">
        <v>3253</v>
      </c>
      <c r="J848" t="s">
        <v>2400</v>
      </c>
      <c r="K848" t="s">
        <v>3254</v>
      </c>
      <c r="L848" t="s">
        <v>3255</v>
      </c>
      <c r="M848" t="s">
        <v>229</v>
      </c>
      <c r="P848" s="18" t="s">
        <v>9220</v>
      </c>
    </row>
    <row r="849" spans="1:16" hidden="1" x14ac:dyDescent="0.35">
      <c r="A849" t="s">
        <v>2403</v>
      </c>
      <c r="B849" s="3" t="s">
        <v>102</v>
      </c>
      <c r="C849" s="3" t="s">
        <v>9209</v>
      </c>
      <c r="D849" s="3"/>
      <c r="E849" s="3"/>
      <c r="F849" t="s">
        <v>2787</v>
      </c>
      <c r="H849" t="s">
        <v>3256</v>
      </c>
      <c r="J849" t="s">
        <v>2405</v>
      </c>
      <c r="K849" t="s">
        <v>3257</v>
      </c>
      <c r="L849" t="s">
        <v>3258</v>
      </c>
      <c r="M849" t="s">
        <v>229</v>
      </c>
      <c r="P849" s="18" t="s">
        <v>9220</v>
      </c>
    </row>
    <row r="850" spans="1:16" hidden="1" x14ac:dyDescent="0.35">
      <c r="A850" t="s">
        <v>2403</v>
      </c>
      <c r="B850" s="3" t="s">
        <v>102</v>
      </c>
      <c r="C850" s="3" t="s">
        <v>9209</v>
      </c>
      <c r="D850" s="3"/>
      <c r="E850" s="3"/>
      <c r="F850" t="s">
        <v>2787</v>
      </c>
      <c r="H850" t="s">
        <v>3259</v>
      </c>
      <c r="J850" t="s">
        <v>3208</v>
      </c>
      <c r="K850" t="s">
        <v>3260</v>
      </c>
      <c r="L850" t="s">
        <v>3261</v>
      </c>
      <c r="M850" t="s">
        <v>248</v>
      </c>
      <c r="P850" s="18" t="s">
        <v>9220</v>
      </c>
    </row>
    <row r="851" spans="1:16" hidden="1" x14ac:dyDescent="0.35">
      <c r="A851" t="s">
        <v>2403</v>
      </c>
      <c r="B851" s="3" t="s">
        <v>102</v>
      </c>
      <c r="C851" s="3" t="s">
        <v>9209</v>
      </c>
      <c r="D851" s="3"/>
      <c r="E851" s="3"/>
      <c r="F851" t="s">
        <v>2787</v>
      </c>
      <c r="H851" t="s">
        <v>1628</v>
      </c>
      <c r="J851" t="s">
        <v>3262</v>
      </c>
      <c r="K851" t="s">
        <v>3263</v>
      </c>
      <c r="L851" t="s">
        <v>3264</v>
      </c>
      <c r="M851" t="s">
        <v>2759</v>
      </c>
      <c r="P851" s="18" t="s">
        <v>9220</v>
      </c>
    </row>
    <row r="852" spans="1:16" hidden="1" x14ac:dyDescent="0.35">
      <c r="A852" t="s">
        <v>2403</v>
      </c>
      <c r="B852" s="3" t="s">
        <v>102</v>
      </c>
      <c r="C852" s="3" t="s">
        <v>9209</v>
      </c>
      <c r="D852" s="3"/>
      <c r="E852" s="3"/>
      <c r="F852" t="s">
        <v>2787</v>
      </c>
      <c r="H852" t="s">
        <v>3265</v>
      </c>
      <c r="J852" t="s">
        <v>2516</v>
      </c>
      <c r="K852" t="s">
        <v>3266</v>
      </c>
      <c r="L852" t="s">
        <v>3267</v>
      </c>
      <c r="M852" t="s">
        <v>229</v>
      </c>
      <c r="P852" s="18" t="s">
        <v>3268</v>
      </c>
    </row>
    <row r="853" spans="1:16" hidden="1" x14ac:dyDescent="0.35">
      <c r="A853" t="s">
        <v>2403</v>
      </c>
      <c r="B853" s="3" t="s">
        <v>102</v>
      </c>
      <c r="C853" s="3" t="s">
        <v>9209</v>
      </c>
      <c r="D853" s="3"/>
      <c r="E853" s="3"/>
      <c r="F853" t="s">
        <v>2787</v>
      </c>
      <c r="H853" t="s">
        <v>3269</v>
      </c>
      <c r="J853" t="s">
        <v>3270</v>
      </c>
      <c r="K853" t="s">
        <v>3271</v>
      </c>
      <c r="L853" t="s">
        <v>3272</v>
      </c>
      <c r="M853" t="s">
        <v>229</v>
      </c>
      <c r="P853" s="18" t="s">
        <v>3273</v>
      </c>
    </row>
    <row r="854" spans="1:16" hidden="1" x14ac:dyDescent="0.35">
      <c r="A854" t="s">
        <v>2403</v>
      </c>
      <c r="B854" s="3" t="s">
        <v>102</v>
      </c>
      <c r="C854" s="3" t="s">
        <v>9209</v>
      </c>
      <c r="D854" s="3"/>
      <c r="E854" s="3"/>
      <c r="F854" t="s">
        <v>2787</v>
      </c>
      <c r="H854" t="s">
        <v>3274</v>
      </c>
      <c r="J854" t="s">
        <v>2649</v>
      </c>
      <c r="K854" t="s">
        <v>3275</v>
      </c>
      <c r="L854" t="s">
        <v>3276</v>
      </c>
      <c r="M854" t="s">
        <v>229</v>
      </c>
      <c r="P854" s="18" t="s">
        <v>1590</v>
      </c>
    </row>
    <row r="855" spans="1:16" hidden="1" x14ac:dyDescent="0.35">
      <c r="A855" t="s">
        <v>2403</v>
      </c>
      <c r="B855" s="3" t="s">
        <v>102</v>
      </c>
      <c r="C855" s="3" t="s">
        <v>9209</v>
      </c>
      <c r="D855" s="3"/>
      <c r="E855" s="3"/>
      <c r="F855" t="s">
        <v>2787</v>
      </c>
      <c r="H855" t="s">
        <v>3277</v>
      </c>
      <c r="J855" t="s">
        <v>2400</v>
      </c>
      <c r="K855" t="s">
        <v>3278</v>
      </c>
      <c r="L855" t="s">
        <v>3279</v>
      </c>
      <c r="M855" t="s">
        <v>229</v>
      </c>
      <c r="P855" s="18" t="s">
        <v>2437</v>
      </c>
    </row>
    <row r="856" spans="1:16" hidden="1" x14ac:dyDescent="0.35">
      <c r="A856" t="s">
        <v>2403</v>
      </c>
      <c r="B856" s="3" t="s">
        <v>102</v>
      </c>
      <c r="C856" s="3" t="s">
        <v>9209</v>
      </c>
      <c r="D856" s="3"/>
      <c r="E856" s="3"/>
      <c r="F856" t="s">
        <v>2787</v>
      </c>
      <c r="H856" t="s">
        <v>3280</v>
      </c>
      <c r="J856" t="s">
        <v>2405</v>
      </c>
      <c r="K856" t="s">
        <v>3281</v>
      </c>
      <c r="L856" t="s">
        <v>3282</v>
      </c>
      <c r="M856" t="s">
        <v>229</v>
      </c>
      <c r="P856" s="18" t="s">
        <v>2408</v>
      </c>
    </row>
    <row r="857" spans="1:16" hidden="1" x14ac:dyDescent="0.35">
      <c r="A857" t="s">
        <v>2403</v>
      </c>
      <c r="B857" s="3" t="s">
        <v>102</v>
      </c>
      <c r="C857" s="3" t="s">
        <v>9209</v>
      </c>
      <c r="D857" s="3"/>
      <c r="E857" s="3"/>
      <c r="F857" t="s">
        <v>2787</v>
      </c>
      <c r="H857" t="s">
        <v>3283</v>
      </c>
      <c r="J857" t="s">
        <v>3284</v>
      </c>
      <c r="K857" t="s">
        <v>3285</v>
      </c>
      <c r="L857" t="s">
        <v>3286</v>
      </c>
      <c r="M857" t="s">
        <v>2374</v>
      </c>
      <c r="P857" s="18" t="s">
        <v>27</v>
      </c>
    </row>
    <row r="858" spans="1:16" hidden="1" x14ac:dyDescent="0.35">
      <c r="A858" t="s">
        <v>2403</v>
      </c>
      <c r="B858" s="3" t="s">
        <v>102</v>
      </c>
      <c r="C858" s="3" t="s">
        <v>9209</v>
      </c>
      <c r="D858" s="3"/>
      <c r="E858" s="3"/>
      <c r="F858" t="s">
        <v>2787</v>
      </c>
      <c r="H858" t="s">
        <v>3287</v>
      </c>
      <c r="J858" t="s">
        <v>3288</v>
      </c>
      <c r="K858" t="s">
        <v>3289</v>
      </c>
      <c r="L858" t="s">
        <v>3290</v>
      </c>
      <c r="M858" t="s">
        <v>2374</v>
      </c>
      <c r="P858" s="18" t="s">
        <v>1341</v>
      </c>
    </row>
    <row r="859" spans="1:16" hidden="1" x14ac:dyDescent="0.35">
      <c r="A859" t="s">
        <v>2403</v>
      </c>
      <c r="B859" s="3" t="s">
        <v>102</v>
      </c>
      <c r="C859" s="3" t="s">
        <v>9209</v>
      </c>
      <c r="D859" s="3"/>
      <c r="E859" s="3"/>
      <c r="F859" t="s">
        <v>2787</v>
      </c>
      <c r="H859" t="s">
        <v>3291</v>
      </c>
      <c r="J859" t="s">
        <v>3292</v>
      </c>
      <c r="K859" t="s">
        <v>3293</v>
      </c>
      <c r="L859" t="s">
        <v>3294</v>
      </c>
      <c r="M859" t="s">
        <v>2374</v>
      </c>
      <c r="P859" s="18" t="s">
        <v>1341</v>
      </c>
    </row>
    <row r="860" spans="1:16" hidden="1" x14ac:dyDescent="0.35">
      <c r="A860" t="s">
        <v>2403</v>
      </c>
      <c r="B860" s="3" t="s">
        <v>102</v>
      </c>
      <c r="C860" s="3" t="s">
        <v>9209</v>
      </c>
      <c r="D860" s="3"/>
      <c r="E860" s="3"/>
      <c r="F860" t="s">
        <v>2787</v>
      </c>
      <c r="H860" t="s">
        <v>3295</v>
      </c>
      <c r="J860" t="s">
        <v>2516</v>
      </c>
      <c r="K860" t="s">
        <v>3296</v>
      </c>
      <c r="L860" t="s">
        <v>3297</v>
      </c>
      <c r="M860" t="s">
        <v>229</v>
      </c>
      <c r="P860" s="18" t="s">
        <v>3298</v>
      </c>
    </row>
    <row r="861" spans="1:16" hidden="1" x14ac:dyDescent="0.35">
      <c r="A861" t="s">
        <v>2403</v>
      </c>
      <c r="B861" s="3" t="s">
        <v>102</v>
      </c>
      <c r="C861" s="3" t="s">
        <v>9209</v>
      </c>
      <c r="D861" s="3"/>
      <c r="E861" s="3"/>
      <c r="F861" t="s">
        <v>2787</v>
      </c>
      <c r="H861" t="s">
        <v>3299</v>
      </c>
      <c r="J861" t="s">
        <v>3300</v>
      </c>
      <c r="K861" t="s">
        <v>3301</v>
      </c>
      <c r="L861" t="s">
        <v>3302</v>
      </c>
      <c r="M861" t="s">
        <v>229</v>
      </c>
      <c r="P861" s="18" t="s">
        <v>3303</v>
      </c>
    </row>
    <row r="862" spans="1:16" hidden="1" x14ac:dyDescent="0.35">
      <c r="A862" t="s">
        <v>2403</v>
      </c>
      <c r="B862" s="3" t="s">
        <v>102</v>
      </c>
      <c r="C862" s="3" t="s">
        <v>9209</v>
      </c>
      <c r="D862" s="3"/>
      <c r="E862" s="3"/>
      <c r="F862" t="s">
        <v>2787</v>
      </c>
      <c r="H862" t="s">
        <v>3304</v>
      </c>
      <c r="J862" t="s">
        <v>2400</v>
      </c>
      <c r="K862" t="s">
        <v>3305</v>
      </c>
      <c r="L862" t="s">
        <v>3306</v>
      </c>
      <c r="M862" t="s">
        <v>229</v>
      </c>
      <c r="P862" s="18" t="s">
        <v>3307</v>
      </c>
    </row>
    <row r="863" spans="1:16" hidden="1" x14ac:dyDescent="0.35">
      <c r="A863" t="s">
        <v>2403</v>
      </c>
      <c r="B863" s="3" t="s">
        <v>102</v>
      </c>
      <c r="C863" s="3" t="s">
        <v>9209</v>
      </c>
      <c r="D863" s="3"/>
      <c r="E863" s="3"/>
      <c r="F863" t="s">
        <v>2787</v>
      </c>
      <c r="H863" t="s">
        <v>3308</v>
      </c>
      <c r="J863" t="s">
        <v>2405</v>
      </c>
      <c r="K863" t="s">
        <v>3309</v>
      </c>
      <c r="L863" t="s">
        <v>3310</v>
      </c>
      <c r="M863" t="s">
        <v>229</v>
      </c>
      <c r="P863" s="18" t="s">
        <v>2408</v>
      </c>
    </row>
    <row r="864" spans="1:16" hidden="1" x14ac:dyDescent="0.35">
      <c r="A864" t="s">
        <v>2403</v>
      </c>
      <c r="B864" s="3" t="s">
        <v>102</v>
      </c>
      <c r="C864" s="3" t="s">
        <v>9209</v>
      </c>
      <c r="D864" s="3"/>
      <c r="E864" s="3"/>
      <c r="F864" t="s">
        <v>2787</v>
      </c>
      <c r="H864" t="s">
        <v>3311</v>
      </c>
      <c r="J864" t="s">
        <v>3312</v>
      </c>
      <c r="K864" t="s">
        <v>3313</v>
      </c>
      <c r="L864" t="s">
        <v>3314</v>
      </c>
      <c r="M864" t="s">
        <v>2374</v>
      </c>
      <c r="P864" s="18" t="s">
        <v>1341</v>
      </c>
    </row>
    <row r="865" spans="1:16" hidden="1" x14ac:dyDescent="0.35">
      <c r="A865" t="s">
        <v>2403</v>
      </c>
      <c r="B865" s="3" t="s">
        <v>102</v>
      </c>
      <c r="C865" s="3" t="s">
        <v>9209</v>
      </c>
      <c r="D865" s="3"/>
      <c r="E865" s="3"/>
      <c r="F865" t="s">
        <v>2787</v>
      </c>
      <c r="H865" t="s">
        <v>3315</v>
      </c>
      <c r="J865" t="s">
        <v>3316</v>
      </c>
      <c r="K865" t="s">
        <v>3317</v>
      </c>
      <c r="L865" t="s">
        <v>3318</v>
      </c>
      <c r="M865" t="s">
        <v>2374</v>
      </c>
      <c r="P865" s="18" t="s">
        <v>1341</v>
      </c>
    </row>
    <row r="866" spans="1:16" hidden="1" x14ac:dyDescent="0.35">
      <c r="A866" t="s">
        <v>2403</v>
      </c>
      <c r="B866" s="3" t="s">
        <v>102</v>
      </c>
      <c r="C866" s="3" t="s">
        <v>9209</v>
      </c>
      <c r="D866" s="3"/>
      <c r="E866" s="3"/>
      <c r="F866" t="s">
        <v>2787</v>
      </c>
      <c r="H866" t="s">
        <v>1729</v>
      </c>
      <c r="J866" t="s">
        <v>3319</v>
      </c>
      <c r="K866" t="s">
        <v>3320</v>
      </c>
      <c r="L866" t="s">
        <v>3321</v>
      </c>
      <c r="M866" t="s">
        <v>2759</v>
      </c>
    </row>
    <row r="867" spans="1:16" hidden="1" x14ac:dyDescent="0.35">
      <c r="A867" t="s">
        <v>2403</v>
      </c>
      <c r="B867" s="3" t="s">
        <v>102</v>
      </c>
      <c r="C867" s="3" t="s">
        <v>9209</v>
      </c>
      <c r="D867" s="3"/>
      <c r="E867" s="3"/>
      <c r="F867" t="s">
        <v>2787</v>
      </c>
      <c r="H867" t="s">
        <v>3322</v>
      </c>
      <c r="J867" t="s">
        <v>2516</v>
      </c>
      <c r="K867" t="s">
        <v>3323</v>
      </c>
      <c r="L867" t="s">
        <v>3324</v>
      </c>
      <c r="M867" t="s">
        <v>229</v>
      </c>
      <c r="P867" t="s">
        <v>2973</v>
      </c>
    </row>
    <row r="868" spans="1:16" hidden="1" x14ac:dyDescent="0.35">
      <c r="A868" t="s">
        <v>2403</v>
      </c>
      <c r="B868" s="3" t="s">
        <v>102</v>
      </c>
      <c r="C868" s="3" t="s">
        <v>9209</v>
      </c>
      <c r="D868" s="3"/>
      <c r="E868" s="3"/>
      <c r="F868" t="s">
        <v>2787</v>
      </c>
      <c r="H868" t="s">
        <v>3325</v>
      </c>
      <c r="J868" t="s">
        <v>2649</v>
      </c>
      <c r="K868" t="s">
        <v>3326</v>
      </c>
      <c r="L868" t="s">
        <v>3327</v>
      </c>
      <c r="M868" t="s">
        <v>229</v>
      </c>
      <c r="P868" t="s">
        <v>1590</v>
      </c>
    </row>
    <row r="869" spans="1:16" hidden="1" x14ac:dyDescent="0.35">
      <c r="A869" t="s">
        <v>2403</v>
      </c>
      <c r="B869" s="3" t="s">
        <v>102</v>
      </c>
      <c r="C869" s="3" t="s">
        <v>9209</v>
      </c>
      <c r="D869" s="3"/>
      <c r="E869" s="3"/>
      <c r="F869" t="s">
        <v>2787</v>
      </c>
      <c r="H869" t="s">
        <v>3328</v>
      </c>
      <c r="J869" t="s">
        <v>2400</v>
      </c>
      <c r="K869" t="s">
        <v>3329</v>
      </c>
      <c r="L869" t="s">
        <v>3330</v>
      </c>
      <c r="M869" t="s">
        <v>229</v>
      </c>
      <c r="P869" t="s">
        <v>3307</v>
      </c>
    </row>
    <row r="870" spans="1:16" hidden="1" x14ac:dyDescent="0.35">
      <c r="A870" t="s">
        <v>2403</v>
      </c>
      <c r="B870" s="3" t="s">
        <v>102</v>
      </c>
      <c r="C870" s="3" t="s">
        <v>9209</v>
      </c>
      <c r="D870" s="3"/>
      <c r="E870" s="3"/>
      <c r="F870" t="s">
        <v>2787</v>
      </c>
      <c r="H870" t="s">
        <v>3331</v>
      </c>
      <c r="J870" t="s">
        <v>2405</v>
      </c>
      <c r="K870" t="s">
        <v>3332</v>
      </c>
      <c r="L870" t="s">
        <v>3333</v>
      </c>
      <c r="M870" t="s">
        <v>229</v>
      </c>
      <c r="P870" t="s">
        <v>2408</v>
      </c>
    </row>
    <row r="871" spans="1:16" hidden="1" x14ac:dyDescent="0.35">
      <c r="A871" t="s">
        <v>2403</v>
      </c>
      <c r="B871" s="3" t="s">
        <v>102</v>
      </c>
      <c r="C871" s="3" t="s">
        <v>9209</v>
      </c>
      <c r="D871" s="3"/>
      <c r="E871" s="3"/>
      <c r="F871" t="s">
        <v>2787</v>
      </c>
      <c r="H871" t="s">
        <v>3334</v>
      </c>
      <c r="J871" t="s">
        <v>3335</v>
      </c>
      <c r="K871" t="s">
        <v>3336</v>
      </c>
      <c r="L871" t="s">
        <v>3337</v>
      </c>
      <c r="M871" t="s">
        <v>2374</v>
      </c>
      <c r="P871" t="s">
        <v>1341</v>
      </c>
    </row>
    <row r="872" spans="1:16" hidden="1" x14ac:dyDescent="0.35">
      <c r="A872" t="s">
        <v>2403</v>
      </c>
      <c r="B872" s="3" t="s">
        <v>102</v>
      </c>
      <c r="C872" s="3" t="s">
        <v>9209</v>
      </c>
      <c r="D872" s="3"/>
      <c r="E872" s="3"/>
      <c r="F872" t="s">
        <v>2787</v>
      </c>
      <c r="H872" t="s">
        <v>3338</v>
      </c>
      <c r="J872" t="s">
        <v>3339</v>
      </c>
      <c r="K872" t="s">
        <v>3340</v>
      </c>
      <c r="L872" t="s">
        <v>3341</v>
      </c>
      <c r="M872" t="s">
        <v>2374</v>
      </c>
      <c r="P872" t="s">
        <v>1341</v>
      </c>
    </row>
    <row r="873" spans="1:16" hidden="1" x14ac:dyDescent="0.35">
      <c r="A873" t="s">
        <v>2403</v>
      </c>
      <c r="B873" s="3" t="s">
        <v>102</v>
      </c>
      <c r="C873" s="3" t="s">
        <v>9209</v>
      </c>
      <c r="D873" s="3"/>
      <c r="E873" s="3"/>
      <c r="F873" t="s">
        <v>2787</v>
      </c>
      <c r="H873" t="s">
        <v>3342</v>
      </c>
      <c r="J873" t="s">
        <v>3343</v>
      </c>
      <c r="K873" t="s">
        <v>3344</v>
      </c>
      <c r="L873" t="s">
        <v>3345</v>
      </c>
      <c r="M873" t="s">
        <v>3017</v>
      </c>
      <c r="P873"/>
    </row>
    <row r="874" spans="1:16" hidden="1" x14ac:dyDescent="0.35">
      <c r="A874" t="s">
        <v>2403</v>
      </c>
      <c r="B874" s="3" t="s">
        <v>102</v>
      </c>
      <c r="C874" s="3" t="s">
        <v>9209</v>
      </c>
      <c r="D874" s="3"/>
      <c r="E874" s="3"/>
      <c r="F874" t="s">
        <v>2787</v>
      </c>
      <c r="H874" t="s">
        <v>3346</v>
      </c>
      <c r="J874" t="s">
        <v>3347</v>
      </c>
      <c r="K874" t="s">
        <v>3348</v>
      </c>
      <c r="L874" t="s">
        <v>3349</v>
      </c>
      <c r="M874" t="s">
        <v>3022</v>
      </c>
      <c r="P874" t="s">
        <v>27</v>
      </c>
    </row>
    <row r="875" spans="1:16" hidden="1" x14ac:dyDescent="0.35">
      <c r="A875" t="s">
        <v>2403</v>
      </c>
      <c r="B875" s="3" t="s">
        <v>102</v>
      </c>
      <c r="C875" s="3" t="s">
        <v>9209</v>
      </c>
      <c r="D875" s="3"/>
      <c r="E875" s="3"/>
      <c r="F875" t="s">
        <v>2787</v>
      </c>
      <c r="H875" t="s">
        <v>3350</v>
      </c>
      <c r="J875" t="s">
        <v>3351</v>
      </c>
      <c r="K875" t="s">
        <v>3352</v>
      </c>
      <c r="L875" t="s">
        <v>3353</v>
      </c>
      <c r="M875" t="s">
        <v>3022</v>
      </c>
      <c r="P875" s="18" t="s">
        <v>1341</v>
      </c>
    </row>
    <row r="876" spans="1:16" hidden="1" x14ac:dyDescent="0.35">
      <c r="A876" t="s">
        <v>2403</v>
      </c>
      <c r="B876" s="3" t="s">
        <v>102</v>
      </c>
      <c r="C876" s="3" t="s">
        <v>9209</v>
      </c>
      <c r="D876" s="3"/>
      <c r="E876" s="3"/>
      <c r="F876" t="s">
        <v>2787</v>
      </c>
      <c r="H876" t="s">
        <v>3354</v>
      </c>
      <c r="J876" t="s">
        <v>3355</v>
      </c>
      <c r="K876" t="s">
        <v>3356</v>
      </c>
      <c r="L876" t="s">
        <v>3357</v>
      </c>
      <c r="M876" t="s">
        <v>3022</v>
      </c>
      <c r="P876" s="18" t="s">
        <v>1341</v>
      </c>
    </row>
    <row r="877" spans="1:16" hidden="1" x14ac:dyDescent="0.35">
      <c r="A877" t="s">
        <v>2403</v>
      </c>
      <c r="B877" s="3" t="s">
        <v>102</v>
      </c>
      <c r="C877" s="3" t="s">
        <v>9209</v>
      </c>
      <c r="D877" s="3"/>
      <c r="E877" s="3"/>
      <c r="F877" t="s">
        <v>2787</v>
      </c>
      <c r="H877" t="s">
        <v>3358</v>
      </c>
      <c r="J877" t="s">
        <v>3359</v>
      </c>
      <c r="K877" t="s">
        <v>3360</v>
      </c>
      <c r="L877" t="s">
        <v>3361</v>
      </c>
      <c r="M877" t="s">
        <v>3022</v>
      </c>
      <c r="P877" s="18" t="s">
        <v>1341</v>
      </c>
    </row>
    <row r="878" spans="1:16" hidden="1" x14ac:dyDescent="0.35">
      <c r="A878" t="s">
        <v>2403</v>
      </c>
      <c r="B878" s="3" t="s">
        <v>102</v>
      </c>
      <c r="C878" s="3" t="s">
        <v>9209</v>
      </c>
      <c r="D878" s="3"/>
      <c r="E878" s="3"/>
      <c r="F878" t="s">
        <v>2787</v>
      </c>
      <c r="H878" t="s">
        <v>3362</v>
      </c>
      <c r="J878" t="s">
        <v>3363</v>
      </c>
      <c r="K878" t="s">
        <v>3364</v>
      </c>
      <c r="L878" t="s">
        <v>3365</v>
      </c>
      <c r="M878" t="s">
        <v>3022</v>
      </c>
      <c r="P878" s="18" t="s">
        <v>1341</v>
      </c>
    </row>
    <row r="879" spans="1:16" hidden="1" x14ac:dyDescent="0.35">
      <c r="A879" t="s">
        <v>2403</v>
      </c>
      <c r="B879" s="3" t="s">
        <v>102</v>
      </c>
      <c r="C879" s="3" t="s">
        <v>9209</v>
      </c>
      <c r="D879" s="3"/>
      <c r="E879" s="3"/>
      <c r="F879" t="s">
        <v>2787</v>
      </c>
      <c r="H879" t="s">
        <v>3366</v>
      </c>
      <c r="J879" t="s">
        <v>3367</v>
      </c>
      <c r="K879" t="s">
        <v>3368</v>
      </c>
      <c r="L879" t="s">
        <v>3369</v>
      </c>
      <c r="M879" t="s">
        <v>3022</v>
      </c>
      <c r="P879" s="18" t="s">
        <v>1341</v>
      </c>
    </row>
    <row r="880" spans="1:16" hidden="1" x14ac:dyDescent="0.35">
      <c r="A880" t="s">
        <v>2403</v>
      </c>
      <c r="B880" s="3" t="s">
        <v>102</v>
      </c>
      <c r="C880" s="3" t="s">
        <v>9209</v>
      </c>
      <c r="D880" s="3"/>
      <c r="E880" s="3"/>
      <c r="F880" t="s">
        <v>2787</v>
      </c>
      <c r="H880" t="s">
        <v>3370</v>
      </c>
      <c r="J880" t="s">
        <v>3371</v>
      </c>
      <c r="K880" t="s">
        <v>3372</v>
      </c>
      <c r="L880" t="s">
        <v>3373</v>
      </c>
      <c r="M880" t="s">
        <v>3022</v>
      </c>
      <c r="P880" s="18" t="s">
        <v>1341</v>
      </c>
    </row>
    <row r="881" spans="1:16" hidden="1" x14ac:dyDescent="0.35">
      <c r="A881" t="s">
        <v>2403</v>
      </c>
      <c r="B881" s="3" t="s">
        <v>102</v>
      </c>
      <c r="C881" s="3" t="s">
        <v>9209</v>
      </c>
      <c r="D881" s="3"/>
      <c r="E881" s="3"/>
      <c r="F881" t="s">
        <v>2787</v>
      </c>
      <c r="H881" t="s">
        <v>3374</v>
      </c>
      <c r="J881" t="s">
        <v>3375</v>
      </c>
      <c r="K881" t="s">
        <v>3376</v>
      </c>
      <c r="L881" t="s">
        <v>3377</v>
      </c>
      <c r="M881" t="s">
        <v>3022</v>
      </c>
      <c r="P881" s="18" t="s">
        <v>1341</v>
      </c>
    </row>
    <row r="882" spans="1:16" hidden="1" x14ac:dyDescent="0.35">
      <c r="A882" t="s">
        <v>2403</v>
      </c>
      <c r="B882" s="3" t="s">
        <v>102</v>
      </c>
      <c r="C882" s="3" t="s">
        <v>9209</v>
      </c>
      <c r="D882" s="3"/>
      <c r="E882" s="3"/>
      <c r="F882" t="s">
        <v>2787</v>
      </c>
      <c r="H882" t="s">
        <v>3378</v>
      </c>
      <c r="I882" t="s">
        <v>3040</v>
      </c>
      <c r="J882" t="s">
        <v>3040</v>
      </c>
      <c r="K882" s="18" t="s">
        <v>1341</v>
      </c>
      <c r="M882" t="s">
        <v>229</v>
      </c>
      <c r="P882" s="18" t="s">
        <v>1341</v>
      </c>
    </row>
    <row r="883" spans="1:16" hidden="1" x14ac:dyDescent="0.35">
      <c r="A883" t="s">
        <v>2403</v>
      </c>
      <c r="B883" s="3" t="s">
        <v>102</v>
      </c>
      <c r="C883" s="3" t="s">
        <v>9209</v>
      </c>
      <c r="D883" s="3"/>
      <c r="E883" s="3"/>
      <c r="F883" t="s">
        <v>2787</v>
      </c>
      <c r="H883" s="15" t="s">
        <v>9243</v>
      </c>
      <c r="I883" t="s">
        <v>2516</v>
      </c>
      <c r="J883" t="s">
        <v>2516</v>
      </c>
      <c r="M883" t="s">
        <v>229</v>
      </c>
      <c r="P883" s="18" t="s">
        <v>9221</v>
      </c>
    </row>
    <row r="884" spans="1:16" hidden="1" x14ac:dyDescent="0.35">
      <c r="A884" t="s">
        <v>2403</v>
      </c>
      <c r="B884" s="3" t="s">
        <v>102</v>
      </c>
      <c r="C884" s="3" t="s">
        <v>9209</v>
      </c>
      <c r="D884" s="3"/>
      <c r="E884" s="3"/>
      <c r="F884" t="s">
        <v>2787</v>
      </c>
      <c r="H884" s="15" t="s">
        <v>9244</v>
      </c>
      <c r="I884" t="s">
        <v>2649</v>
      </c>
      <c r="J884" t="s">
        <v>2649</v>
      </c>
      <c r="M884" t="s">
        <v>229</v>
      </c>
      <c r="P884" s="18" t="s">
        <v>1590</v>
      </c>
    </row>
    <row r="885" spans="1:16" hidden="1" x14ac:dyDescent="0.35">
      <c r="A885" t="s">
        <v>2403</v>
      </c>
      <c r="B885" s="3" t="s">
        <v>102</v>
      </c>
      <c r="C885" s="3" t="s">
        <v>9209</v>
      </c>
      <c r="D885" s="3"/>
      <c r="E885" s="3"/>
      <c r="F885" t="s">
        <v>2787</v>
      </c>
      <c r="H885" s="15" t="s">
        <v>9245</v>
      </c>
      <c r="I885" t="s">
        <v>2400</v>
      </c>
      <c r="J885" t="s">
        <v>2400</v>
      </c>
      <c r="M885" t="s">
        <v>229</v>
      </c>
      <c r="P885" s="18" t="s">
        <v>9220</v>
      </c>
    </row>
    <row r="886" spans="1:16" hidden="1" x14ac:dyDescent="0.35">
      <c r="A886" t="s">
        <v>2403</v>
      </c>
      <c r="B886" s="3" t="s">
        <v>102</v>
      </c>
      <c r="C886" s="3" t="s">
        <v>9209</v>
      </c>
      <c r="D886" s="3"/>
      <c r="E886" s="3"/>
      <c r="F886" t="s">
        <v>2787</v>
      </c>
      <c r="H886" s="15" t="s">
        <v>9246</v>
      </c>
      <c r="I886" t="s">
        <v>2405</v>
      </c>
      <c r="J886" t="s">
        <v>2405</v>
      </c>
      <c r="M886" t="s">
        <v>229</v>
      </c>
      <c r="P886" s="18" t="s">
        <v>9222</v>
      </c>
    </row>
    <row r="887" spans="1:16" hidden="1" x14ac:dyDescent="0.35">
      <c r="A887" t="s">
        <v>2403</v>
      </c>
      <c r="B887" s="3" t="s">
        <v>102</v>
      </c>
      <c r="C887" s="3" t="s">
        <v>9209</v>
      </c>
      <c r="D887" s="3"/>
      <c r="E887" s="3"/>
      <c r="F887" t="s">
        <v>2787</v>
      </c>
      <c r="H887" s="15" t="s">
        <v>9247</v>
      </c>
      <c r="I887" t="s">
        <v>3335</v>
      </c>
      <c r="J887" t="s">
        <v>3335</v>
      </c>
      <c r="M887" t="s">
        <v>2374</v>
      </c>
      <c r="P887" s="18" t="s">
        <v>1341</v>
      </c>
    </row>
    <row r="888" spans="1:16" hidden="1" x14ac:dyDescent="0.35">
      <c r="A888" t="s">
        <v>2403</v>
      </c>
      <c r="B888" s="3" t="s">
        <v>102</v>
      </c>
      <c r="C888" s="3" t="s">
        <v>9209</v>
      </c>
      <c r="D888" s="3"/>
      <c r="E888" s="3"/>
      <c r="F888" t="s">
        <v>2787</v>
      </c>
      <c r="H888" s="15" t="s">
        <v>9248</v>
      </c>
      <c r="I888" t="s">
        <v>3339</v>
      </c>
      <c r="J888" t="s">
        <v>3339</v>
      </c>
      <c r="M888" t="s">
        <v>2374</v>
      </c>
      <c r="P888" s="18" t="s">
        <v>27</v>
      </c>
    </row>
    <row r="889" spans="1:16" hidden="1" x14ac:dyDescent="0.35">
      <c r="A889" t="s">
        <v>2403</v>
      </c>
      <c r="B889" s="3" t="s">
        <v>102</v>
      </c>
      <c r="C889" s="3" t="s">
        <v>9209</v>
      </c>
      <c r="D889" s="3"/>
      <c r="E889" s="3"/>
      <c r="F889" t="s">
        <v>2787</v>
      </c>
      <c r="H889" s="15" t="s">
        <v>9249</v>
      </c>
      <c r="I889" t="s">
        <v>3343</v>
      </c>
      <c r="J889" t="s">
        <v>3343</v>
      </c>
      <c r="M889" t="s">
        <v>3017</v>
      </c>
    </row>
    <row r="890" spans="1:16" hidden="1" x14ac:dyDescent="0.35">
      <c r="A890" t="s">
        <v>2403</v>
      </c>
      <c r="B890" s="3" t="s">
        <v>102</v>
      </c>
      <c r="C890" s="3" t="s">
        <v>9209</v>
      </c>
      <c r="D890" s="3"/>
      <c r="E890" s="3"/>
      <c r="F890" t="s">
        <v>2787</v>
      </c>
      <c r="H890" s="15" t="s">
        <v>9250</v>
      </c>
      <c r="I890" t="s">
        <v>3347</v>
      </c>
      <c r="J890" t="s">
        <v>3347</v>
      </c>
      <c r="M890" t="s">
        <v>3022</v>
      </c>
      <c r="P890" s="18" t="s">
        <v>27</v>
      </c>
    </row>
    <row r="891" spans="1:16" hidden="1" x14ac:dyDescent="0.35">
      <c r="A891" t="s">
        <v>2403</v>
      </c>
      <c r="B891" s="3" t="s">
        <v>102</v>
      </c>
      <c r="C891" s="3" t="s">
        <v>9209</v>
      </c>
      <c r="D891" s="3"/>
      <c r="E891" s="3"/>
      <c r="F891" t="s">
        <v>2787</v>
      </c>
      <c r="H891" s="15" t="s">
        <v>9251</v>
      </c>
      <c r="I891" t="s">
        <v>3351</v>
      </c>
      <c r="J891" t="s">
        <v>3351</v>
      </c>
      <c r="M891" t="s">
        <v>3022</v>
      </c>
      <c r="P891" s="18" t="s">
        <v>1341</v>
      </c>
    </row>
    <row r="892" spans="1:16" hidden="1" x14ac:dyDescent="0.35">
      <c r="A892" t="s">
        <v>2403</v>
      </c>
      <c r="B892" s="3" t="s">
        <v>102</v>
      </c>
      <c r="C892" s="3" t="s">
        <v>9209</v>
      </c>
      <c r="D892" s="3"/>
      <c r="E892" s="3"/>
      <c r="F892" t="s">
        <v>2787</v>
      </c>
      <c r="H892" s="15" t="s">
        <v>9252</v>
      </c>
      <c r="I892" t="s">
        <v>3355</v>
      </c>
      <c r="J892" t="s">
        <v>3355</v>
      </c>
      <c r="M892" t="s">
        <v>3022</v>
      </c>
      <c r="P892" s="18" t="s">
        <v>1341</v>
      </c>
    </row>
    <row r="893" spans="1:16" hidden="1" x14ac:dyDescent="0.35">
      <c r="A893" t="s">
        <v>2403</v>
      </c>
      <c r="B893" s="3" t="s">
        <v>102</v>
      </c>
      <c r="C893" s="3" t="s">
        <v>9209</v>
      </c>
      <c r="D893" s="3"/>
      <c r="E893" s="3"/>
      <c r="F893" t="s">
        <v>2787</v>
      </c>
      <c r="H893" s="15" t="s">
        <v>9253</v>
      </c>
      <c r="I893" t="s">
        <v>3359</v>
      </c>
      <c r="J893" t="s">
        <v>3359</v>
      </c>
      <c r="M893" t="s">
        <v>3022</v>
      </c>
      <c r="P893" s="18" t="s">
        <v>1341</v>
      </c>
    </row>
    <row r="894" spans="1:16" hidden="1" x14ac:dyDescent="0.35">
      <c r="A894" t="s">
        <v>2403</v>
      </c>
      <c r="B894" s="3" t="s">
        <v>102</v>
      </c>
      <c r="C894" s="3" t="s">
        <v>9209</v>
      </c>
      <c r="D894" s="3"/>
      <c r="E894" s="3"/>
      <c r="F894" t="s">
        <v>2787</v>
      </c>
      <c r="H894" s="15" t="s">
        <v>9254</v>
      </c>
      <c r="I894" t="s">
        <v>3363</v>
      </c>
      <c r="J894" t="s">
        <v>3363</v>
      </c>
      <c r="M894" t="s">
        <v>3022</v>
      </c>
      <c r="P894" s="18" t="s">
        <v>1341</v>
      </c>
    </row>
    <row r="895" spans="1:16" hidden="1" x14ac:dyDescent="0.35">
      <c r="A895" t="s">
        <v>2403</v>
      </c>
      <c r="B895" s="3" t="s">
        <v>102</v>
      </c>
      <c r="C895" s="3" t="s">
        <v>9209</v>
      </c>
      <c r="D895" s="3"/>
      <c r="E895" s="3"/>
      <c r="F895" t="s">
        <v>2787</v>
      </c>
      <c r="H895" s="15" t="s">
        <v>9255</v>
      </c>
      <c r="I895" t="s">
        <v>3367</v>
      </c>
      <c r="J895" t="s">
        <v>3367</v>
      </c>
      <c r="M895" t="s">
        <v>3022</v>
      </c>
      <c r="P895" s="18" t="s">
        <v>1341</v>
      </c>
    </row>
    <row r="896" spans="1:16" hidden="1" x14ac:dyDescent="0.35">
      <c r="A896" t="s">
        <v>2403</v>
      </c>
      <c r="B896" s="3" t="s">
        <v>102</v>
      </c>
      <c r="C896" s="3" t="s">
        <v>9209</v>
      </c>
      <c r="D896" s="3"/>
      <c r="E896" s="3"/>
      <c r="F896" t="s">
        <v>2787</v>
      </c>
      <c r="H896" s="15" t="s">
        <v>9256</v>
      </c>
      <c r="I896" t="s">
        <v>3371</v>
      </c>
      <c r="J896" t="s">
        <v>3371</v>
      </c>
      <c r="M896" t="s">
        <v>3022</v>
      </c>
      <c r="P896" s="18" t="s">
        <v>1341</v>
      </c>
    </row>
    <row r="897" spans="1:16" hidden="1" x14ac:dyDescent="0.35">
      <c r="A897" t="s">
        <v>2403</v>
      </c>
      <c r="B897" s="3" t="s">
        <v>102</v>
      </c>
      <c r="C897" s="3" t="s">
        <v>9209</v>
      </c>
      <c r="D897" s="3"/>
      <c r="E897" s="3"/>
      <c r="F897" t="s">
        <v>2787</v>
      </c>
      <c r="H897" s="15" t="s">
        <v>9257</v>
      </c>
      <c r="I897" t="s">
        <v>3375</v>
      </c>
      <c r="J897" t="s">
        <v>3375</v>
      </c>
      <c r="M897" t="s">
        <v>3022</v>
      </c>
      <c r="P897" s="18" t="s">
        <v>1341</v>
      </c>
    </row>
    <row r="898" spans="1:16" hidden="1" x14ac:dyDescent="0.35">
      <c r="A898" t="s">
        <v>2403</v>
      </c>
      <c r="B898" s="3" t="s">
        <v>102</v>
      </c>
      <c r="C898" s="3" t="s">
        <v>9209</v>
      </c>
      <c r="D898" s="3"/>
      <c r="E898" s="3"/>
      <c r="F898" t="s">
        <v>2787</v>
      </c>
      <c r="H898" s="15" t="s">
        <v>9258</v>
      </c>
      <c r="I898" t="s">
        <v>3040</v>
      </c>
      <c r="J898" t="s">
        <v>3040</v>
      </c>
      <c r="M898" t="s">
        <v>229</v>
      </c>
      <c r="P898" s="18" t="s">
        <v>1341</v>
      </c>
    </row>
    <row r="899" spans="1:16" hidden="1" x14ac:dyDescent="0.35">
      <c r="A899" t="s">
        <v>2403</v>
      </c>
      <c r="B899" s="3" t="s">
        <v>102</v>
      </c>
      <c r="C899" s="3" t="s">
        <v>9209</v>
      </c>
      <c r="D899" s="3"/>
      <c r="E899" s="3"/>
      <c r="F899" t="s">
        <v>2787</v>
      </c>
      <c r="H899" s="15" t="s">
        <v>9259</v>
      </c>
      <c r="I899" t="s">
        <v>2516</v>
      </c>
      <c r="J899" t="s">
        <v>2516</v>
      </c>
      <c r="K899" s="18" t="s">
        <v>9221</v>
      </c>
      <c r="M899" t="s">
        <v>229</v>
      </c>
      <c r="P899" s="18" t="s">
        <v>9221</v>
      </c>
    </row>
    <row r="900" spans="1:16" hidden="1" x14ac:dyDescent="0.35">
      <c r="A900" t="s">
        <v>2403</v>
      </c>
      <c r="B900" s="3" t="s">
        <v>102</v>
      </c>
      <c r="C900" s="3" t="s">
        <v>9209</v>
      </c>
      <c r="D900" s="3"/>
      <c r="E900" s="3"/>
      <c r="F900" t="s">
        <v>2787</v>
      </c>
      <c r="H900" s="15" t="s">
        <v>9260</v>
      </c>
      <c r="I900" t="s">
        <v>2649</v>
      </c>
      <c r="J900" t="s">
        <v>2649</v>
      </c>
      <c r="K900" s="18" t="s">
        <v>1590</v>
      </c>
      <c r="M900" t="s">
        <v>229</v>
      </c>
      <c r="P900" s="18" t="s">
        <v>1590</v>
      </c>
    </row>
    <row r="901" spans="1:16" hidden="1" x14ac:dyDescent="0.35">
      <c r="A901" t="s">
        <v>2403</v>
      </c>
      <c r="B901" s="3" t="s">
        <v>102</v>
      </c>
      <c r="C901" s="3" t="s">
        <v>9209</v>
      </c>
      <c r="D901" s="3"/>
      <c r="E901" s="3"/>
      <c r="F901" t="s">
        <v>2787</v>
      </c>
      <c r="H901" s="15" t="s">
        <v>9261</v>
      </c>
      <c r="I901" t="s">
        <v>2400</v>
      </c>
      <c r="J901" t="s">
        <v>2400</v>
      </c>
      <c r="K901" s="18" t="s">
        <v>9220</v>
      </c>
      <c r="M901" t="s">
        <v>229</v>
      </c>
      <c r="P901" s="18" t="s">
        <v>9220</v>
      </c>
    </row>
    <row r="902" spans="1:16" hidden="1" x14ac:dyDescent="0.35">
      <c r="A902" t="s">
        <v>2403</v>
      </c>
      <c r="B902" s="3" t="s">
        <v>102</v>
      </c>
      <c r="C902" s="3" t="s">
        <v>9209</v>
      </c>
      <c r="D902" s="3"/>
      <c r="E902" s="3"/>
      <c r="F902" t="s">
        <v>2787</v>
      </c>
      <c r="H902" s="15" t="s">
        <v>9262</v>
      </c>
      <c r="I902" t="s">
        <v>2405</v>
      </c>
      <c r="J902" t="s">
        <v>2405</v>
      </c>
      <c r="K902" s="18" t="s">
        <v>9222</v>
      </c>
      <c r="M902" t="s">
        <v>229</v>
      </c>
      <c r="P902" s="18" t="s">
        <v>9223</v>
      </c>
    </row>
    <row r="903" spans="1:16" hidden="1" x14ac:dyDescent="0.35">
      <c r="A903" t="s">
        <v>2403</v>
      </c>
      <c r="B903" s="3" t="s">
        <v>102</v>
      </c>
      <c r="C903" s="3" t="s">
        <v>9209</v>
      </c>
      <c r="D903" s="3"/>
      <c r="E903" s="3"/>
      <c r="F903" t="s">
        <v>2787</v>
      </c>
      <c r="H903" s="15" t="s">
        <v>9263</v>
      </c>
      <c r="I903" t="s">
        <v>3335</v>
      </c>
      <c r="J903" t="s">
        <v>3335</v>
      </c>
      <c r="K903" s="18" t="s">
        <v>1341</v>
      </c>
      <c r="M903" t="s">
        <v>2374</v>
      </c>
      <c r="P903" s="18" t="s">
        <v>1341</v>
      </c>
    </row>
    <row r="904" spans="1:16" hidden="1" x14ac:dyDescent="0.35">
      <c r="A904" t="s">
        <v>2403</v>
      </c>
      <c r="B904" s="3" t="s">
        <v>102</v>
      </c>
      <c r="C904" s="3" t="s">
        <v>9209</v>
      </c>
      <c r="D904" s="3"/>
      <c r="E904" s="3"/>
      <c r="F904" t="s">
        <v>2787</v>
      </c>
      <c r="H904" s="15" t="s">
        <v>9264</v>
      </c>
      <c r="I904" t="s">
        <v>3339</v>
      </c>
      <c r="J904" t="s">
        <v>3339</v>
      </c>
      <c r="K904" s="18" t="s">
        <v>27</v>
      </c>
      <c r="M904" t="s">
        <v>2374</v>
      </c>
      <c r="P904" s="18" t="s">
        <v>27</v>
      </c>
    </row>
    <row r="905" spans="1:16" hidden="1" x14ac:dyDescent="0.35">
      <c r="A905" t="s">
        <v>2403</v>
      </c>
      <c r="B905" s="3" t="s">
        <v>102</v>
      </c>
      <c r="C905" s="3" t="s">
        <v>9209</v>
      </c>
      <c r="D905" s="3"/>
      <c r="E905" s="3"/>
      <c r="F905" t="s">
        <v>2787</v>
      </c>
      <c r="H905" s="15" t="s">
        <v>9265</v>
      </c>
      <c r="I905" t="s">
        <v>3343</v>
      </c>
      <c r="J905" t="s">
        <v>3343</v>
      </c>
      <c r="K905" s="18"/>
      <c r="M905" t="s">
        <v>3017</v>
      </c>
    </row>
    <row r="906" spans="1:16" hidden="1" x14ac:dyDescent="0.35">
      <c r="A906" t="s">
        <v>2403</v>
      </c>
      <c r="B906" s="3" t="s">
        <v>102</v>
      </c>
      <c r="C906" s="3" t="s">
        <v>9209</v>
      </c>
      <c r="D906" s="3"/>
      <c r="E906" s="3"/>
      <c r="F906" t="s">
        <v>2787</v>
      </c>
      <c r="H906" s="15" t="s">
        <v>9266</v>
      </c>
      <c r="I906" t="s">
        <v>3347</v>
      </c>
      <c r="J906" t="s">
        <v>3347</v>
      </c>
      <c r="K906" s="18" t="s">
        <v>27</v>
      </c>
      <c r="M906" t="s">
        <v>3022</v>
      </c>
      <c r="P906" s="18" t="s">
        <v>27</v>
      </c>
    </row>
    <row r="907" spans="1:16" hidden="1" x14ac:dyDescent="0.35">
      <c r="A907" t="s">
        <v>2403</v>
      </c>
      <c r="B907" s="3" t="s">
        <v>102</v>
      </c>
      <c r="C907" s="3" t="s">
        <v>9209</v>
      </c>
      <c r="D907" s="3"/>
      <c r="E907" s="3"/>
      <c r="F907" t="s">
        <v>2787</v>
      </c>
      <c r="H907" s="15" t="s">
        <v>9267</v>
      </c>
      <c r="I907" t="s">
        <v>3351</v>
      </c>
      <c r="J907" t="s">
        <v>3351</v>
      </c>
      <c r="K907" s="18" t="s">
        <v>1341</v>
      </c>
      <c r="M907" t="s">
        <v>3022</v>
      </c>
      <c r="P907" s="18" t="s">
        <v>1341</v>
      </c>
    </row>
    <row r="908" spans="1:16" hidden="1" x14ac:dyDescent="0.35">
      <c r="A908" t="s">
        <v>2403</v>
      </c>
      <c r="B908" s="3" t="s">
        <v>102</v>
      </c>
      <c r="C908" s="3" t="s">
        <v>9209</v>
      </c>
      <c r="D908" s="3"/>
      <c r="E908" s="3"/>
      <c r="F908" t="s">
        <v>2787</v>
      </c>
      <c r="H908" s="15" t="s">
        <v>9268</v>
      </c>
      <c r="I908" t="s">
        <v>3355</v>
      </c>
      <c r="J908" t="s">
        <v>3355</v>
      </c>
      <c r="K908" s="18" t="s">
        <v>1341</v>
      </c>
      <c r="M908" t="s">
        <v>3022</v>
      </c>
      <c r="P908" s="18" t="s">
        <v>1341</v>
      </c>
    </row>
    <row r="909" spans="1:16" hidden="1" x14ac:dyDescent="0.35">
      <c r="A909" t="s">
        <v>2403</v>
      </c>
      <c r="B909" s="3" t="s">
        <v>102</v>
      </c>
      <c r="C909" s="3" t="s">
        <v>9209</v>
      </c>
      <c r="D909" s="3"/>
      <c r="E909" s="3"/>
      <c r="F909" t="s">
        <v>2787</v>
      </c>
      <c r="H909" s="15" t="s">
        <v>9269</v>
      </c>
      <c r="I909" t="s">
        <v>3359</v>
      </c>
      <c r="J909" t="s">
        <v>3359</v>
      </c>
      <c r="K909" s="18" t="s">
        <v>1341</v>
      </c>
      <c r="M909" t="s">
        <v>3022</v>
      </c>
      <c r="P909" s="18" t="s">
        <v>1341</v>
      </c>
    </row>
    <row r="910" spans="1:16" hidden="1" x14ac:dyDescent="0.35">
      <c r="A910" t="s">
        <v>2403</v>
      </c>
      <c r="B910" s="3" t="s">
        <v>102</v>
      </c>
      <c r="C910" s="3" t="s">
        <v>9209</v>
      </c>
      <c r="D910" s="3"/>
      <c r="E910" s="3"/>
      <c r="F910" t="s">
        <v>2787</v>
      </c>
      <c r="H910" s="15" t="s">
        <v>9270</v>
      </c>
      <c r="I910" t="s">
        <v>3363</v>
      </c>
      <c r="J910" t="s">
        <v>3363</v>
      </c>
      <c r="K910" s="18" t="s">
        <v>1341</v>
      </c>
      <c r="M910" t="s">
        <v>3022</v>
      </c>
      <c r="P910" s="18" t="s">
        <v>1341</v>
      </c>
    </row>
    <row r="911" spans="1:16" hidden="1" x14ac:dyDescent="0.35">
      <c r="A911" t="s">
        <v>2403</v>
      </c>
      <c r="B911" s="3" t="s">
        <v>102</v>
      </c>
      <c r="C911" s="3" t="s">
        <v>9209</v>
      </c>
      <c r="D911" s="3"/>
      <c r="E911" s="3"/>
      <c r="F911" t="s">
        <v>2787</v>
      </c>
      <c r="H911" s="15" t="s">
        <v>9271</v>
      </c>
      <c r="I911" t="s">
        <v>3367</v>
      </c>
      <c r="J911" t="s">
        <v>3367</v>
      </c>
      <c r="K911" s="18" t="s">
        <v>1341</v>
      </c>
      <c r="M911" t="s">
        <v>3022</v>
      </c>
      <c r="P911" s="18" t="s">
        <v>1341</v>
      </c>
    </row>
    <row r="912" spans="1:16" hidden="1" x14ac:dyDescent="0.35">
      <c r="A912" t="s">
        <v>2403</v>
      </c>
      <c r="B912" s="3" t="s">
        <v>102</v>
      </c>
      <c r="C912" s="3" t="s">
        <v>9209</v>
      </c>
      <c r="D912" s="3"/>
      <c r="E912" s="3"/>
      <c r="F912" t="s">
        <v>2787</v>
      </c>
      <c r="H912" s="15" t="s">
        <v>9272</v>
      </c>
      <c r="I912" t="s">
        <v>3371</v>
      </c>
      <c r="J912" t="s">
        <v>3371</v>
      </c>
      <c r="K912" s="18" t="s">
        <v>1341</v>
      </c>
      <c r="M912" t="s">
        <v>3022</v>
      </c>
      <c r="P912" s="18" t="s">
        <v>1341</v>
      </c>
    </row>
    <row r="913" spans="1:16" hidden="1" x14ac:dyDescent="0.35">
      <c r="A913" t="s">
        <v>2403</v>
      </c>
      <c r="B913" s="3" t="s">
        <v>102</v>
      </c>
      <c r="C913" s="3" t="s">
        <v>9209</v>
      </c>
      <c r="D913" s="3"/>
      <c r="E913" s="3"/>
      <c r="F913" t="s">
        <v>2787</v>
      </c>
      <c r="H913" s="15" t="s">
        <v>9273</v>
      </c>
      <c r="I913" t="s">
        <v>3375</v>
      </c>
      <c r="J913" t="s">
        <v>3375</v>
      </c>
      <c r="K913" s="18" t="s">
        <v>1341</v>
      </c>
      <c r="M913" t="s">
        <v>3022</v>
      </c>
      <c r="P913" s="18" t="s">
        <v>1341</v>
      </c>
    </row>
    <row r="914" spans="1:16" hidden="1" x14ac:dyDescent="0.35">
      <c r="A914" t="s">
        <v>2403</v>
      </c>
      <c r="B914" s="3" t="s">
        <v>102</v>
      </c>
      <c r="C914" s="3" t="s">
        <v>9209</v>
      </c>
      <c r="D914" s="3"/>
      <c r="E914" s="3"/>
      <c r="F914" t="s">
        <v>2787</v>
      </c>
      <c r="H914" s="15" t="s">
        <v>9274</v>
      </c>
      <c r="I914" t="s">
        <v>3040</v>
      </c>
      <c r="J914" t="s">
        <v>3040</v>
      </c>
      <c r="K914" s="18" t="s">
        <v>1341</v>
      </c>
      <c r="P914" s="18" t="s">
        <v>1341</v>
      </c>
    </row>
    <row r="915" spans="1:16" hidden="1" x14ac:dyDescent="0.35">
      <c r="A915" t="s">
        <v>2403</v>
      </c>
      <c r="B915" s="3" t="s">
        <v>102</v>
      </c>
      <c r="C915" s="3" t="s">
        <v>9209</v>
      </c>
      <c r="D915" s="3"/>
      <c r="E915" s="3"/>
      <c r="F915" t="s">
        <v>2787</v>
      </c>
      <c r="H915" s="15" t="s">
        <v>9275</v>
      </c>
      <c r="I915" t="s">
        <v>2516</v>
      </c>
      <c r="J915" t="s">
        <v>2516</v>
      </c>
      <c r="K915" s="18" t="s">
        <v>9221</v>
      </c>
      <c r="M915" t="s">
        <v>229</v>
      </c>
      <c r="P915" s="18" t="s">
        <v>9224</v>
      </c>
    </row>
    <row r="916" spans="1:16" hidden="1" x14ac:dyDescent="0.35">
      <c r="A916" t="s">
        <v>2403</v>
      </c>
      <c r="B916" s="3" t="s">
        <v>102</v>
      </c>
      <c r="C916" s="3" t="s">
        <v>9209</v>
      </c>
      <c r="D916" s="3"/>
      <c r="E916" s="3"/>
      <c r="F916" t="s">
        <v>2787</v>
      </c>
      <c r="H916" s="15" t="s">
        <v>9276</v>
      </c>
      <c r="I916" t="s">
        <v>2649</v>
      </c>
      <c r="J916" t="s">
        <v>2649</v>
      </c>
      <c r="K916" s="18" t="s">
        <v>1590</v>
      </c>
      <c r="M916" t="s">
        <v>229</v>
      </c>
      <c r="P916" s="18" t="s">
        <v>1590</v>
      </c>
    </row>
    <row r="917" spans="1:16" hidden="1" x14ac:dyDescent="0.35">
      <c r="A917" t="s">
        <v>2403</v>
      </c>
      <c r="B917" s="3" t="s">
        <v>102</v>
      </c>
      <c r="C917" s="3" t="s">
        <v>9209</v>
      </c>
      <c r="D917" s="3"/>
      <c r="E917" s="3"/>
      <c r="F917" t="s">
        <v>2787</v>
      </c>
      <c r="H917" s="15" t="s">
        <v>9277</v>
      </c>
      <c r="I917" t="s">
        <v>2400</v>
      </c>
      <c r="J917" t="s">
        <v>2400</v>
      </c>
      <c r="K917" s="18" t="s">
        <v>9220</v>
      </c>
      <c r="M917" t="s">
        <v>229</v>
      </c>
      <c r="P917" s="18" t="s">
        <v>9220</v>
      </c>
    </row>
    <row r="918" spans="1:16" hidden="1" x14ac:dyDescent="0.35">
      <c r="A918" t="s">
        <v>2403</v>
      </c>
      <c r="B918" s="3" t="s">
        <v>102</v>
      </c>
      <c r="C918" s="3" t="s">
        <v>9209</v>
      </c>
      <c r="D918" s="3"/>
      <c r="E918" s="3"/>
      <c r="F918" t="s">
        <v>2787</v>
      </c>
      <c r="H918" s="15" t="s">
        <v>9278</v>
      </c>
      <c r="I918" t="s">
        <v>2405</v>
      </c>
      <c r="J918" t="s">
        <v>2405</v>
      </c>
      <c r="K918" s="18" t="s">
        <v>9222</v>
      </c>
      <c r="M918" t="s">
        <v>229</v>
      </c>
      <c r="P918" s="18" t="s">
        <v>9225</v>
      </c>
    </row>
    <row r="919" spans="1:16" hidden="1" x14ac:dyDescent="0.35">
      <c r="A919" t="s">
        <v>2403</v>
      </c>
      <c r="B919" s="3" t="s">
        <v>102</v>
      </c>
      <c r="C919" s="3" t="s">
        <v>9209</v>
      </c>
      <c r="D919" s="3"/>
      <c r="E919" s="3"/>
      <c r="F919" t="s">
        <v>2787</v>
      </c>
      <c r="H919" s="15" t="s">
        <v>9279</v>
      </c>
      <c r="I919" t="s">
        <v>3335</v>
      </c>
      <c r="J919" t="s">
        <v>3335</v>
      </c>
      <c r="K919" s="18" t="s">
        <v>1341</v>
      </c>
      <c r="M919" t="s">
        <v>2374</v>
      </c>
      <c r="P919" s="18" t="s">
        <v>1341</v>
      </c>
    </row>
    <row r="920" spans="1:16" hidden="1" x14ac:dyDescent="0.35">
      <c r="A920" t="s">
        <v>2403</v>
      </c>
      <c r="B920" s="3" t="s">
        <v>102</v>
      </c>
      <c r="C920" s="3" t="s">
        <v>9209</v>
      </c>
      <c r="D920" s="3"/>
      <c r="E920" s="3"/>
      <c r="F920" t="s">
        <v>2787</v>
      </c>
      <c r="H920" s="15" t="s">
        <v>9280</v>
      </c>
      <c r="I920" t="s">
        <v>3339</v>
      </c>
      <c r="J920" t="s">
        <v>3339</v>
      </c>
      <c r="K920" s="18" t="s">
        <v>27</v>
      </c>
      <c r="M920" t="s">
        <v>2374</v>
      </c>
      <c r="P920" s="18" t="s">
        <v>27</v>
      </c>
    </row>
    <row r="921" spans="1:16" hidden="1" x14ac:dyDescent="0.35">
      <c r="A921" t="s">
        <v>2403</v>
      </c>
      <c r="B921" s="3" t="s">
        <v>102</v>
      </c>
      <c r="C921" s="3" t="s">
        <v>9209</v>
      </c>
      <c r="D921" s="3"/>
      <c r="E921" s="3"/>
      <c r="F921" t="s">
        <v>2787</v>
      </c>
      <c r="H921" s="15" t="s">
        <v>9281</v>
      </c>
      <c r="I921" t="s">
        <v>3343</v>
      </c>
      <c r="J921" t="s">
        <v>3343</v>
      </c>
      <c r="K921" s="18"/>
      <c r="M921" t="s">
        <v>3017</v>
      </c>
    </row>
    <row r="922" spans="1:16" hidden="1" x14ac:dyDescent="0.35">
      <c r="A922" t="s">
        <v>2403</v>
      </c>
      <c r="B922" s="3" t="s">
        <v>102</v>
      </c>
      <c r="C922" s="3" t="s">
        <v>9209</v>
      </c>
      <c r="D922" s="3"/>
      <c r="E922" s="3"/>
      <c r="F922" t="s">
        <v>2787</v>
      </c>
      <c r="H922" s="15" t="s">
        <v>9282</v>
      </c>
      <c r="I922" t="s">
        <v>3347</v>
      </c>
      <c r="J922" t="s">
        <v>3347</v>
      </c>
      <c r="K922" s="18" t="s">
        <v>27</v>
      </c>
      <c r="M922" t="s">
        <v>3022</v>
      </c>
      <c r="P922" s="18" t="s">
        <v>1341</v>
      </c>
    </row>
    <row r="923" spans="1:16" hidden="1" x14ac:dyDescent="0.35">
      <c r="A923" t="s">
        <v>2403</v>
      </c>
      <c r="B923" s="3" t="s">
        <v>102</v>
      </c>
      <c r="C923" s="3" t="s">
        <v>9209</v>
      </c>
      <c r="D923" s="3"/>
      <c r="E923" s="3"/>
      <c r="F923" t="s">
        <v>2787</v>
      </c>
      <c r="H923" s="15" t="s">
        <v>9283</v>
      </c>
      <c r="I923" t="s">
        <v>3351</v>
      </c>
      <c r="J923" t="s">
        <v>3351</v>
      </c>
      <c r="K923" s="18" t="s">
        <v>1341</v>
      </c>
      <c r="M923" t="s">
        <v>3022</v>
      </c>
      <c r="P923" s="18" t="s">
        <v>1341</v>
      </c>
    </row>
    <row r="924" spans="1:16" hidden="1" x14ac:dyDescent="0.35">
      <c r="A924" t="s">
        <v>2403</v>
      </c>
      <c r="B924" s="3" t="s">
        <v>102</v>
      </c>
      <c r="C924" s="3" t="s">
        <v>9209</v>
      </c>
      <c r="D924" s="3"/>
      <c r="E924" s="3"/>
      <c r="F924" t="s">
        <v>2787</v>
      </c>
      <c r="H924" s="15" t="s">
        <v>9284</v>
      </c>
      <c r="I924" t="s">
        <v>3355</v>
      </c>
      <c r="J924" t="s">
        <v>3355</v>
      </c>
      <c r="K924" s="18" t="s">
        <v>1341</v>
      </c>
      <c r="M924" t="s">
        <v>3022</v>
      </c>
      <c r="P924" s="18" t="s">
        <v>1341</v>
      </c>
    </row>
    <row r="925" spans="1:16" hidden="1" x14ac:dyDescent="0.35">
      <c r="A925" t="s">
        <v>2403</v>
      </c>
      <c r="B925" s="3" t="s">
        <v>102</v>
      </c>
      <c r="C925" s="3" t="s">
        <v>9209</v>
      </c>
      <c r="D925" s="3"/>
      <c r="E925" s="3"/>
      <c r="F925" t="s">
        <v>2787</v>
      </c>
      <c r="H925" s="15" t="s">
        <v>9285</v>
      </c>
      <c r="I925" t="s">
        <v>3359</v>
      </c>
      <c r="J925" t="s">
        <v>3359</v>
      </c>
      <c r="K925" s="18" t="s">
        <v>1341</v>
      </c>
      <c r="M925" t="s">
        <v>3022</v>
      </c>
      <c r="P925" s="18" t="s">
        <v>1341</v>
      </c>
    </row>
    <row r="926" spans="1:16" hidden="1" x14ac:dyDescent="0.35">
      <c r="A926" t="s">
        <v>2403</v>
      </c>
      <c r="B926" s="3" t="s">
        <v>102</v>
      </c>
      <c r="C926" s="3" t="s">
        <v>9209</v>
      </c>
      <c r="D926" s="3"/>
      <c r="E926" s="3"/>
      <c r="F926" t="s">
        <v>2787</v>
      </c>
      <c r="H926" s="15" t="s">
        <v>9286</v>
      </c>
      <c r="I926" t="s">
        <v>3363</v>
      </c>
      <c r="J926" t="s">
        <v>3363</v>
      </c>
      <c r="K926" s="18" t="s">
        <v>1341</v>
      </c>
      <c r="M926" t="s">
        <v>3022</v>
      </c>
      <c r="P926" s="18" t="s">
        <v>27</v>
      </c>
    </row>
    <row r="927" spans="1:16" hidden="1" x14ac:dyDescent="0.35">
      <c r="A927" t="s">
        <v>2403</v>
      </c>
      <c r="B927" s="3" t="s">
        <v>102</v>
      </c>
      <c r="C927" s="3" t="s">
        <v>9209</v>
      </c>
      <c r="D927" s="3"/>
      <c r="E927" s="3"/>
      <c r="F927" t="s">
        <v>2787</v>
      </c>
      <c r="H927" s="15" t="s">
        <v>9287</v>
      </c>
      <c r="I927" t="s">
        <v>3367</v>
      </c>
      <c r="J927" t="s">
        <v>3367</v>
      </c>
      <c r="K927" s="18" t="s">
        <v>1341</v>
      </c>
      <c r="M927" t="s">
        <v>3022</v>
      </c>
      <c r="P927" s="18" t="s">
        <v>1341</v>
      </c>
    </row>
    <row r="928" spans="1:16" hidden="1" x14ac:dyDescent="0.35">
      <c r="A928" t="s">
        <v>2403</v>
      </c>
      <c r="B928" s="3" t="s">
        <v>102</v>
      </c>
      <c r="C928" s="3" t="s">
        <v>9209</v>
      </c>
      <c r="D928" s="3"/>
      <c r="E928" s="3"/>
      <c r="F928" t="s">
        <v>2787</v>
      </c>
      <c r="H928" s="15" t="s">
        <v>9288</v>
      </c>
      <c r="I928" t="s">
        <v>3371</v>
      </c>
      <c r="J928" t="s">
        <v>3371</v>
      </c>
      <c r="K928" s="18" t="s">
        <v>1341</v>
      </c>
      <c r="M928" t="s">
        <v>3022</v>
      </c>
      <c r="P928" s="18" t="s">
        <v>1341</v>
      </c>
    </row>
    <row r="929" spans="1:16" hidden="1" x14ac:dyDescent="0.35">
      <c r="A929" t="s">
        <v>2403</v>
      </c>
      <c r="B929" s="3" t="s">
        <v>102</v>
      </c>
      <c r="C929" s="3" t="s">
        <v>9209</v>
      </c>
      <c r="D929" s="3"/>
      <c r="E929" s="3"/>
      <c r="F929" t="s">
        <v>2787</v>
      </c>
      <c r="H929" s="15" t="s">
        <v>9289</v>
      </c>
      <c r="I929" t="s">
        <v>3375</v>
      </c>
      <c r="J929" t="s">
        <v>3375</v>
      </c>
      <c r="K929" s="18" t="s">
        <v>1341</v>
      </c>
      <c r="M929" t="s">
        <v>3022</v>
      </c>
      <c r="P929" s="18" t="s">
        <v>1341</v>
      </c>
    </row>
    <row r="930" spans="1:16" hidden="1" x14ac:dyDescent="0.35">
      <c r="A930" t="s">
        <v>2403</v>
      </c>
      <c r="B930" s="3" t="s">
        <v>102</v>
      </c>
      <c r="C930" s="3" t="s">
        <v>9209</v>
      </c>
      <c r="D930" s="3"/>
      <c r="E930" s="3"/>
      <c r="F930" t="s">
        <v>2787</v>
      </c>
      <c r="H930" s="15" t="s">
        <v>9290</v>
      </c>
      <c r="I930" t="s">
        <v>3040</v>
      </c>
      <c r="J930" t="s">
        <v>3040</v>
      </c>
      <c r="K930" s="18" t="s">
        <v>1341</v>
      </c>
      <c r="M930" t="s">
        <v>229</v>
      </c>
      <c r="P930" s="18" t="s">
        <v>1341</v>
      </c>
    </row>
    <row r="931" spans="1:16" hidden="1" x14ac:dyDescent="0.35">
      <c r="A931" t="s">
        <v>2403</v>
      </c>
      <c r="B931" s="3" t="s">
        <v>102</v>
      </c>
      <c r="C931" s="3" t="s">
        <v>9209</v>
      </c>
      <c r="D931" s="3"/>
      <c r="E931" s="3"/>
      <c r="F931" t="s">
        <v>2787</v>
      </c>
      <c r="H931" t="s">
        <v>3381</v>
      </c>
      <c r="J931" t="s">
        <v>3382</v>
      </c>
      <c r="K931" t="s">
        <v>3383</v>
      </c>
      <c r="L931" t="s">
        <v>3384</v>
      </c>
      <c r="M931" t="s">
        <v>2374</v>
      </c>
      <c r="P931" s="18" t="s">
        <v>9217</v>
      </c>
    </row>
    <row r="932" spans="1:16" hidden="1" x14ac:dyDescent="0.35">
      <c r="A932" t="s">
        <v>2403</v>
      </c>
      <c r="B932" s="3" t="s">
        <v>102</v>
      </c>
      <c r="C932" s="3" t="s">
        <v>9209</v>
      </c>
      <c r="D932" s="3"/>
      <c r="E932" s="3"/>
      <c r="F932" t="s">
        <v>2787</v>
      </c>
      <c r="H932" t="s">
        <v>3385</v>
      </c>
      <c r="J932" t="s">
        <v>3386</v>
      </c>
      <c r="K932" t="s">
        <v>3387</v>
      </c>
      <c r="L932" t="s">
        <v>3388</v>
      </c>
      <c r="M932" t="s">
        <v>2759</v>
      </c>
    </row>
    <row r="933" spans="1:16" hidden="1" x14ac:dyDescent="0.35">
      <c r="A933" t="s">
        <v>2403</v>
      </c>
      <c r="B933" s="3" t="s">
        <v>102</v>
      </c>
      <c r="C933" s="3" t="s">
        <v>9209</v>
      </c>
      <c r="D933" s="3"/>
      <c r="E933" s="3"/>
      <c r="F933" t="s">
        <v>2787</v>
      </c>
      <c r="H933" t="s">
        <v>3389</v>
      </c>
      <c r="J933" t="s">
        <v>2516</v>
      </c>
      <c r="K933" t="s">
        <v>3390</v>
      </c>
      <c r="L933" t="s">
        <v>3391</v>
      </c>
      <c r="M933" t="s">
        <v>229</v>
      </c>
      <c r="P933" t="s">
        <v>3268</v>
      </c>
    </row>
    <row r="934" spans="1:16" hidden="1" x14ac:dyDescent="0.35">
      <c r="A934" t="s">
        <v>2403</v>
      </c>
      <c r="B934" s="3" t="s">
        <v>102</v>
      </c>
      <c r="C934" s="3" t="s">
        <v>9209</v>
      </c>
      <c r="D934" s="3"/>
      <c r="E934" s="3"/>
      <c r="F934" t="s">
        <v>2787</v>
      </c>
      <c r="H934" t="s">
        <v>3392</v>
      </c>
      <c r="J934" t="s">
        <v>3300</v>
      </c>
      <c r="K934" t="s">
        <v>3393</v>
      </c>
      <c r="L934" t="s">
        <v>3394</v>
      </c>
      <c r="M934" t="s">
        <v>229</v>
      </c>
      <c r="P934" t="s">
        <v>3273</v>
      </c>
    </row>
    <row r="935" spans="1:16" hidden="1" x14ac:dyDescent="0.35">
      <c r="A935" t="s">
        <v>2403</v>
      </c>
      <c r="B935" s="3" t="s">
        <v>102</v>
      </c>
      <c r="C935" s="3" t="s">
        <v>9209</v>
      </c>
      <c r="D935" s="3"/>
      <c r="E935" s="3"/>
      <c r="F935" t="s">
        <v>2787</v>
      </c>
      <c r="H935" t="s">
        <v>3395</v>
      </c>
      <c r="J935" t="s">
        <v>2400</v>
      </c>
      <c r="K935" t="s">
        <v>3396</v>
      </c>
      <c r="L935" t="s">
        <v>3397</v>
      </c>
      <c r="M935" t="s">
        <v>229</v>
      </c>
      <c r="P935" t="s">
        <v>2437</v>
      </c>
    </row>
    <row r="936" spans="1:16" hidden="1" x14ac:dyDescent="0.35">
      <c r="A936" t="s">
        <v>2403</v>
      </c>
      <c r="B936" s="3" t="s">
        <v>102</v>
      </c>
      <c r="C936" s="3" t="s">
        <v>9209</v>
      </c>
      <c r="D936" s="3"/>
      <c r="E936" s="3"/>
      <c r="F936" t="s">
        <v>2787</v>
      </c>
      <c r="H936" t="s">
        <v>3398</v>
      </c>
      <c r="J936" t="s">
        <v>2405</v>
      </c>
      <c r="K936" t="s">
        <v>3399</v>
      </c>
      <c r="L936" t="s">
        <v>3400</v>
      </c>
      <c r="M936" t="s">
        <v>229</v>
      </c>
      <c r="P936" t="s">
        <v>2408</v>
      </c>
    </row>
    <row r="937" spans="1:16" hidden="1" x14ac:dyDescent="0.35">
      <c r="A937" t="s">
        <v>2403</v>
      </c>
      <c r="B937" s="3" t="s">
        <v>102</v>
      </c>
      <c r="C937" s="3" t="s">
        <v>9209</v>
      </c>
      <c r="D937" s="3"/>
      <c r="E937" s="3"/>
      <c r="F937" t="s">
        <v>2787</v>
      </c>
      <c r="H937" t="s">
        <v>3401</v>
      </c>
      <c r="J937" t="s">
        <v>3402</v>
      </c>
      <c r="K937" t="s">
        <v>3403</v>
      </c>
      <c r="L937" t="s">
        <v>3404</v>
      </c>
      <c r="M937" t="s">
        <v>2374</v>
      </c>
      <c r="P937" t="s">
        <v>27</v>
      </c>
    </row>
    <row r="938" spans="1:16" hidden="1" x14ac:dyDescent="0.35">
      <c r="A938" t="s">
        <v>2403</v>
      </c>
      <c r="B938" s="3" t="s">
        <v>102</v>
      </c>
      <c r="C938" s="3" t="s">
        <v>9209</v>
      </c>
      <c r="D938" s="3"/>
      <c r="E938" s="3"/>
      <c r="F938" t="s">
        <v>2787</v>
      </c>
      <c r="H938" t="s">
        <v>3405</v>
      </c>
      <c r="J938" t="s">
        <v>3406</v>
      </c>
      <c r="K938" t="s">
        <v>3407</v>
      </c>
      <c r="L938" t="s">
        <v>3408</v>
      </c>
      <c r="M938" t="s">
        <v>2374</v>
      </c>
      <c r="P938" t="s">
        <v>1341</v>
      </c>
    </row>
    <row r="939" spans="1:16" hidden="1" x14ac:dyDescent="0.35">
      <c r="A939" t="s">
        <v>2403</v>
      </c>
      <c r="B939" s="3" t="s">
        <v>102</v>
      </c>
      <c r="C939" s="3" t="s">
        <v>9209</v>
      </c>
      <c r="D939" s="3"/>
      <c r="E939" s="3"/>
      <c r="F939" t="s">
        <v>2787</v>
      </c>
      <c r="H939" t="s">
        <v>3409</v>
      </c>
      <c r="J939" t="s">
        <v>3410</v>
      </c>
      <c r="K939" t="s">
        <v>3411</v>
      </c>
      <c r="L939" t="s">
        <v>3412</v>
      </c>
      <c r="M939" t="s">
        <v>2374</v>
      </c>
      <c r="P939" t="s">
        <v>1341</v>
      </c>
    </row>
    <row r="940" spans="1:16" hidden="1" x14ac:dyDescent="0.35">
      <c r="A940" t="s">
        <v>2403</v>
      </c>
      <c r="B940" s="3" t="s">
        <v>102</v>
      </c>
      <c r="C940" s="3" t="s">
        <v>9209</v>
      </c>
      <c r="D940" s="3"/>
      <c r="E940" s="3"/>
      <c r="F940" t="s">
        <v>2787</v>
      </c>
      <c r="H940" t="s">
        <v>3413</v>
      </c>
      <c r="J940" t="s">
        <v>3414</v>
      </c>
      <c r="K940" t="s">
        <v>3415</v>
      </c>
      <c r="L940" t="s">
        <v>3416</v>
      </c>
      <c r="M940" t="s">
        <v>2759</v>
      </c>
      <c r="P940"/>
    </row>
    <row r="941" spans="1:16" hidden="1" x14ac:dyDescent="0.35">
      <c r="A941" t="s">
        <v>2403</v>
      </c>
      <c r="B941" s="3" t="s">
        <v>102</v>
      </c>
      <c r="C941" s="3" t="s">
        <v>9209</v>
      </c>
      <c r="D941" s="3"/>
      <c r="E941" s="3"/>
      <c r="F941" t="s">
        <v>2787</v>
      </c>
      <c r="H941" t="s">
        <v>3417</v>
      </c>
      <c r="J941" t="s">
        <v>2516</v>
      </c>
      <c r="K941" t="s">
        <v>3418</v>
      </c>
      <c r="L941" t="s">
        <v>3419</v>
      </c>
      <c r="M941" t="s">
        <v>229</v>
      </c>
      <c r="P941" t="s">
        <v>2427</v>
      </c>
    </row>
    <row r="942" spans="1:16" hidden="1" x14ac:dyDescent="0.35">
      <c r="A942" t="s">
        <v>2403</v>
      </c>
      <c r="B942" s="3" t="s">
        <v>102</v>
      </c>
      <c r="C942" s="3" t="s">
        <v>9209</v>
      </c>
      <c r="D942" s="3"/>
      <c r="E942" s="3"/>
      <c r="F942" t="s">
        <v>2787</v>
      </c>
      <c r="H942" t="s">
        <v>3420</v>
      </c>
      <c r="J942" t="s">
        <v>3300</v>
      </c>
      <c r="K942" t="s">
        <v>3421</v>
      </c>
      <c r="L942" t="s">
        <v>3422</v>
      </c>
      <c r="M942" t="s">
        <v>229</v>
      </c>
      <c r="P942" t="s">
        <v>3173</v>
      </c>
    </row>
    <row r="943" spans="1:16" hidden="1" x14ac:dyDescent="0.35">
      <c r="A943" t="s">
        <v>2403</v>
      </c>
      <c r="B943" s="3" t="s">
        <v>102</v>
      </c>
      <c r="C943" s="3" t="s">
        <v>9209</v>
      </c>
      <c r="D943" s="3"/>
      <c r="E943" s="3"/>
      <c r="F943" t="s">
        <v>2787</v>
      </c>
      <c r="H943" t="s">
        <v>3423</v>
      </c>
      <c r="J943" t="s">
        <v>2400</v>
      </c>
      <c r="K943" t="s">
        <v>3424</v>
      </c>
      <c r="L943" t="s">
        <v>3425</v>
      </c>
      <c r="M943" t="s">
        <v>229</v>
      </c>
      <c r="P943" t="s">
        <v>3177</v>
      </c>
    </row>
    <row r="944" spans="1:16" hidden="1" x14ac:dyDescent="0.35">
      <c r="A944" t="s">
        <v>2403</v>
      </c>
      <c r="B944" s="3" t="s">
        <v>102</v>
      </c>
      <c r="C944" s="3" t="s">
        <v>9209</v>
      </c>
      <c r="D944" s="3"/>
      <c r="E944" s="3"/>
      <c r="F944" t="s">
        <v>2787</v>
      </c>
      <c r="H944" t="s">
        <v>3426</v>
      </c>
      <c r="J944" t="s">
        <v>2405</v>
      </c>
      <c r="K944" t="s">
        <v>3427</v>
      </c>
      <c r="L944" t="s">
        <v>3428</v>
      </c>
      <c r="M944" t="s">
        <v>229</v>
      </c>
      <c r="P944" t="s">
        <v>2408</v>
      </c>
    </row>
    <row r="945" spans="1:16" hidden="1" x14ac:dyDescent="0.35">
      <c r="A945" t="s">
        <v>2403</v>
      </c>
      <c r="B945" s="3" t="s">
        <v>102</v>
      </c>
      <c r="C945" s="3" t="s">
        <v>9209</v>
      </c>
      <c r="D945" s="3"/>
      <c r="E945" s="3"/>
      <c r="F945" t="s">
        <v>2787</v>
      </c>
      <c r="H945" t="s">
        <v>3429</v>
      </c>
      <c r="J945" t="s">
        <v>3430</v>
      </c>
      <c r="K945" t="s">
        <v>3431</v>
      </c>
      <c r="L945" t="s">
        <v>3432</v>
      </c>
      <c r="M945" t="s">
        <v>2374</v>
      </c>
      <c r="P945" t="s">
        <v>27</v>
      </c>
    </row>
    <row r="946" spans="1:16" hidden="1" x14ac:dyDescent="0.35">
      <c r="A946" t="s">
        <v>2403</v>
      </c>
      <c r="B946" s="3" t="s">
        <v>102</v>
      </c>
      <c r="C946" s="3" t="s">
        <v>9209</v>
      </c>
      <c r="D946" s="3"/>
      <c r="E946" s="3"/>
      <c r="F946" t="s">
        <v>2787</v>
      </c>
      <c r="H946" t="s">
        <v>3433</v>
      </c>
      <c r="J946" t="s">
        <v>3434</v>
      </c>
      <c r="K946" t="s">
        <v>3435</v>
      </c>
      <c r="L946" t="s">
        <v>3436</v>
      </c>
      <c r="M946" t="s">
        <v>2374</v>
      </c>
      <c r="P946" t="s">
        <v>1341</v>
      </c>
    </row>
    <row r="947" spans="1:16" hidden="1" x14ac:dyDescent="0.35">
      <c r="A947" t="s">
        <v>2403</v>
      </c>
      <c r="B947" s="3" t="s">
        <v>102</v>
      </c>
      <c r="C947" s="3" t="s">
        <v>9209</v>
      </c>
      <c r="D947" s="3"/>
      <c r="E947" s="3"/>
      <c r="F947" t="s">
        <v>2787</v>
      </c>
      <c r="H947" t="s">
        <v>3437</v>
      </c>
      <c r="J947" t="s">
        <v>3438</v>
      </c>
      <c r="K947" t="s">
        <v>3439</v>
      </c>
      <c r="L947" t="s">
        <v>3440</v>
      </c>
      <c r="M947" t="s">
        <v>2374</v>
      </c>
      <c r="P947" t="s">
        <v>1341</v>
      </c>
    </row>
    <row r="948" spans="1:16" hidden="1" x14ac:dyDescent="0.35">
      <c r="A948" t="s">
        <v>2403</v>
      </c>
      <c r="B948" s="3" t="s">
        <v>102</v>
      </c>
      <c r="C948" s="3" t="s">
        <v>9209</v>
      </c>
      <c r="D948" s="3"/>
      <c r="E948" s="3"/>
      <c r="F948" t="s">
        <v>2787</v>
      </c>
      <c r="H948" t="s">
        <v>3441</v>
      </c>
      <c r="J948" t="s">
        <v>3442</v>
      </c>
      <c r="K948" t="s">
        <v>3443</v>
      </c>
      <c r="L948" t="s">
        <v>3444</v>
      </c>
      <c r="M948" t="s">
        <v>2759</v>
      </c>
      <c r="P948"/>
    </row>
    <row r="949" spans="1:16" hidden="1" x14ac:dyDescent="0.35">
      <c r="A949" t="s">
        <v>2403</v>
      </c>
      <c r="B949" s="3" t="s">
        <v>102</v>
      </c>
      <c r="C949" s="3" t="s">
        <v>9209</v>
      </c>
      <c r="D949" s="3"/>
      <c r="E949" s="3"/>
      <c r="F949" t="s">
        <v>2787</v>
      </c>
      <c r="H949" t="s">
        <v>3445</v>
      </c>
      <c r="J949" t="s">
        <v>2516</v>
      </c>
      <c r="K949" t="s">
        <v>3446</v>
      </c>
      <c r="L949" t="s">
        <v>3447</v>
      </c>
      <c r="M949" t="s">
        <v>229</v>
      </c>
      <c r="P949" t="s">
        <v>2635</v>
      </c>
    </row>
    <row r="950" spans="1:16" hidden="1" x14ac:dyDescent="0.35">
      <c r="A950" t="s">
        <v>2403</v>
      </c>
      <c r="B950" s="3" t="s">
        <v>102</v>
      </c>
      <c r="C950" s="3" t="s">
        <v>9209</v>
      </c>
      <c r="D950" s="3"/>
      <c r="E950" s="3"/>
      <c r="F950" t="s">
        <v>2787</v>
      </c>
      <c r="H950" t="s">
        <v>3448</v>
      </c>
      <c r="J950" t="s">
        <v>3449</v>
      </c>
      <c r="K950" t="s">
        <v>3450</v>
      </c>
      <c r="L950" t="s">
        <v>3451</v>
      </c>
      <c r="M950" t="s">
        <v>229</v>
      </c>
      <c r="P950" t="s">
        <v>2639</v>
      </c>
    </row>
    <row r="951" spans="1:16" hidden="1" x14ac:dyDescent="0.35">
      <c r="A951" t="s">
        <v>2403</v>
      </c>
      <c r="B951" s="3" t="s">
        <v>102</v>
      </c>
      <c r="C951" s="3" t="s">
        <v>9209</v>
      </c>
      <c r="D951" s="3"/>
      <c r="E951" s="3"/>
      <c r="F951" t="s">
        <v>2787</v>
      </c>
      <c r="H951" t="s">
        <v>3452</v>
      </c>
      <c r="J951" t="s">
        <v>2645</v>
      </c>
      <c r="K951" t="s">
        <v>3453</v>
      </c>
      <c r="L951" t="s">
        <v>3454</v>
      </c>
      <c r="M951" t="s">
        <v>229</v>
      </c>
      <c r="P951" t="s">
        <v>2644</v>
      </c>
    </row>
    <row r="952" spans="1:16" hidden="1" x14ac:dyDescent="0.35">
      <c r="A952" t="s">
        <v>2403</v>
      </c>
      <c r="B952" s="3" t="s">
        <v>102</v>
      </c>
      <c r="C952" s="3" t="s">
        <v>9209</v>
      </c>
      <c r="D952" s="3"/>
      <c r="E952" s="3"/>
      <c r="F952" t="s">
        <v>2787</v>
      </c>
      <c r="H952" t="s">
        <v>3455</v>
      </c>
      <c r="J952" t="s">
        <v>2649</v>
      </c>
      <c r="K952" t="s">
        <v>3456</v>
      </c>
      <c r="L952" t="s">
        <v>3457</v>
      </c>
      <c r="M952" t="s">
        <v>229</v>
      </c>
      <c r="P952" t="s">
        <v>1590</v>
      </c>
    </row>
    <row r="953" spans="1:16" hidden="1" x14ac:dyDescent="0.35">
      <c r="A953" t="s">
        <v>2403</v>
      </c>
      <c r="B953" s="3" t="s">
        <v>102</v>
      </c>
      <c r="C953" s="3" t="s">
        <v>9209</v>
      </c>
      <c r="D953" s="3"/>
      <c r="E953" s="3"/>
      <c r="F953" t="s">
        <v>2787</v>
      </c>
      <c r="H953" t="s">
        <v>3458</v>
      </c>
      <c r="J953" t="s">
        <v>2400</v>
      </c>
      <c r="K953" t="s">
        <v>3459</v>
      </c>
      <c r="L953" t="s">
        <v>3460</v>
      </c>
      <c r="M953" t="s">
        <v>229</v>
      </c>
      <c r="P953" t="s">
        <v>2437</v>
      </c>
    </row>
    <row r="954" spans="1:16" hidden="1" x14ac:dyDescent="0.35">
      <c r="A954" t="s">
        <v>2403</v>
      </c>
      <c r="B954" s="3" t="s">
        <v>102</v>
      </c>
      <c r="C954" s="3" t="s">
        <v>9209</v>
      </c>
      <c r="D954" s="3"/>
      <c r="E954" s="3"/>
      <c r="F954" t="s">
        <v>2787</v>
      </c>
      <c r="H954" t="s">
        <v>3461</v>
      </c>
      <c r="J954" t="s">
        <v>2405</v>
      </c>
      <c r="K954" t="s">
        <v>3462</v>
      </c>
      <c r="L954" t="s">
        <v>3463</v>
      </c>
      <c r="M954" t="s">
        <v>229</v>
      </c>
      <c r="P954" t="s">
        <v>2408</v>
      </c>
    </row>
    <row r="955" spans="1:16" hidden="1" x14ac:dyDescent="0.35">
      <c r="A955" t="s">
        <v>2403</v>
      </c>
      <c r="B955" s="3" t="s">
        <v>102</v>
      </c>
      <c r="C955" s="3" t="s">
        <v>9209</v>
      </c>
      <c r="D955" s="3"/>
      <c r="E955" s="3"/>
      <c r="F955" t="s">
        <v>2787</v>
      </c>
      <c r="H955" t="s">
        <v>3464</v>
      </c>
      <c r="J955" t="s">
        <v>3466</v>
      </c>
      <c r="K955" t="s">
        <v>3467</v>
      </c>
      <c r="L955" t="s">
        <v>3468</v>
      </c>
      <c r="M955" t="s">
        <v>263</v>
      </c>
      <c r="P955" t="s">
        <v>3465</v>
      </c>
    </row>
    <row r="956" spans="1:16" hidden="1" x14ac:dyDescent="0.35">
      <c r="A956" t="s">
        <v>2403</v>
      </c>
      <c r="B956" s="3" t="s">
        <v>102</v>
      </c>
      <c r="C956" s="3" t="s">
        <v>9209</v>
      </c>
      <c r="D956" s="3"/>
      <c r="E956" s="3"/>
      <c r="F956" t="s">
        <v>2787</v>
      </c>
      <c r="H956" t="s">
        <v>3469</v>
      </c>
      <c r="J956" t="s">
        <v>3470</v>
      </c>
      <c r="K956" t="s">
        <v>3471</v>
      </c>
      <c r="L956" t="s">
        <v>3472</v>
      </c>
      <c r="M956" t="s">
        <v>2759</v>
      </c>
      <c r="P956"/>
    </row>
    <row r="957" spans="1:16" hidden="1" x14ac:dyDescent="0.35">
      <c r="A957" t="s">
        <v>2403</v>
      </c>
      <c r="B957" s="3" t="s">
        <v>102</v>
      </c>
      <c r="C957" s="3" t="s">
        <v>9209</v>
      </c>
      <c r="D957" s="3"/>
      <c r="E957" s="3"/>
      <c r="F957" t="s">
        <v>2787</v>
      </c>
      <c r="H957" t="s">
        <v>3473</v>
      </c>
      <c r="J957" t="s">
        <v>3474</v>
      </c>
      <c r="K957" t="s">
        <v>3475</v>
      </c>
      <c r="L957" t="s">
        <v>3476</v>
      </c>
      <c r="M957" t="s">
        <v>2759</v>
      </c>
      <c r="P957"/>
    </row>
    <row r="958" spans="1:16" hidden="1" x14ac:dyDescent="0.35">
      <c r="A958" t="s">
        <v>2403</v>
      </c>
      <c r="B958" s="3" t="s">
        <v>102</v>
      </c>
      <c r="C958" s="3" t="s">
        <v>9209</v>
      </c>
      <c r="D958" s="3"/>
      <c r="E958" s="3"/>
      <c r="F958" t="s">
        <v>2787</v>
      </c>
      <c r="H958" t="s">
        <v>3477</v>
      </c>
      <c r="J958" t="s">
        <v>3479</v>
      </c>
      <c r="K958" t="s">
        <v>3480</v>
      </c>
      <c r="L958" t="s">
        <v>3481</v>
      </c>
      <c r="M958" t="s">
        <v>229</v>
      </c>
      <c r="P958" t="s">
        <v>3478</v>
      </c>
    </row>
    <row r="959" spans="1:16" hidden="1" x14ac:dyDescent="0.35">
      <c r="A959" t="s">
        <v>2403</v>
      </c>
      <c r="B959" s="3" t="s">
        <v>102</v>
      </c>
      <c r="C959" s="3" t="s">
        <v>9209</v>
      </c>
      <c r="D959" s="3"/>
      <c r="E959" s="3"/>
      <c r="F959" t="s">
        <v>2787</v>
      </c>
      <c r="H959" t="s">
        <v>3482</v>
      </c>
      <c r="J959" t="s">
        <v>3449</v>
      </c>
      <c r="K959" t="s">
        <v>3484</v>
      </c>
      <c r="L959" t="s">
        <v>3485</v>
      </c>
      <c r="M959" t="s">
        <v>229</v>
      </c>
      <c r="P959" t="s">
        <v>3483</v>
      </c>
    </row>
    <row r="960" spans="1:16" hidden="1" x14ac:dyDescent="0.35">
      <c r="A960" t="s">
        <v>2403</v>
      </c>
      <c r="B960" s="3" t="s">
        <v>102</v>
      </c>
      <c r="C960" s="3" t="s">
        <v>9209</v>
      </c>
      <c r="D960" s="3"/>
      <c r="E960" s="3"/>
      <c r="F960" t="s">
        <v>2787</v>
      </c>
      <c r="H960" t="s">
        <v>3486</v>
      </c>
      <c r="J960" t="s">
        <v>2645</v>
      </c>
      <c r="K960" t="s">
        <v>3488</v>
      </c>
      <c r="L960" t="s">
        <v>3489</v>
      </c>
      <c r="M960" t="s">
        <v>229</v>
      </c>
      <c r="P960" t="s">
        <v>3487</v>
      </c>
    </row>
    <row r="961" spans="1:16" hidden="1" x14ac:dyDescent="0.35">
      <c r="A961" t="s">
        <v>2403</v>
      </c>
      <c r="B961" s="3" t="s">
        <v>102</v>
      </c>
      <c r="C961" s="3" t="s">
        <v>9209</v>
      </c>
      <c r="D961" s="3"/>
      <c r="E961" s="3"/>
      <c r="F961" t="s">
        <v>2787</v>
      </c>
      <c r="H961" t="s">
        <v>3490</v>
      </c>
      <c r="J961" t="s">
        <v>2649</v>
      </c>
      <c r="K961" t="s">
        <v>3492</v>
      </c>
      <c r="L961" t="s">
        <v>3493</v>
      </c>
      <c r="M961" t="s">
        <v>229</v>
      </c>
      <c r="P961" t="s">
        <v>3491</v>
      </c>
    </row>
    <row r="962" spans="1:16" hidden="1" x14ac:dyDescent="0.35">
      <c r="A962" t="s">
        <v>2403</v>
      </c>
      <c r="B962" s="3" t="s">
        <v>102</v>
      </c>
      <c r="C962" s="3" t="s">
        <v>9209</v>
      </c>
      <c r="D962" s="3"/>
      <c r="E962" s="3"/>
      <c r="F962" t="s">
        <v>2787</v>
      </c>
      <c r="H962" t="s">
        <v>3494</v>
      </c>
      <c r="J962" t="s">
        <v>2400</v>
      </c>
      <c r="K962" t="s">
        <v>3495</v>
      </c>
      <c r="L962" t="s">
        <v>3496</v>
      </c>
      <c r="M962" t="s">
        <v>229</v>
      </c>
      <c r="P962" t="s">
        <v>3307</v>
      </c>
    </row>
    <row r="963" spans="1:16" hidden="1" x14ac:dyDescent="0.35">
      <c r="A963" t="s">
        <v>2403</v>
      </c>
      <c r="B963" s="3" t="s">
        <v>102</v>
      </c>
      <c r="C963" s="3" t="s">
        <v>9209</v>
      </c>
      <c r="D963" s="3"/>
      <c r="E963" s="3"/>
      <c r="F963" t="s">
        <v>2787</v>
      </c>
      <c r="H963" t="s">
        <v>3497</v>
      </c>
      <c r="J963" t="s">
        <v>2405</v>
      </c>
      <c r="K963" t="s">
        <v>3498</v>
      </c>
      <c r="L963" t="s">
        <v>3499</v>
      </c>
      <c r="M963" t="s">
        <v>229</v>
      </c>
      <c r="P963" t="s">
        <v>2408</v>
      </c>
    </row>
    <row r="964" spans="1:16" hidden="1" x14ac:dyDescent="0.35">
      <c r="A964" t="s">
        <v>2403</v>
      </c>
      <c r="B964" s="3" t="s">
        <v>102</v>
      </c>
      <c r="C964" s="3" t="s">
        <v>9209</v>
      </c>
      <c r="D964" s="3"/>
      <c r="E964" s="3"/>
      <c r="F964" t="s">
        <v>2787</v>
      </c>
      <c r="H964" t="s">
        <v>3500</v>
      </c>
      <c r="J964" t="s">
        <v>3502</v>
      </c>
      <c r="K964" t="s">
        <v>3503</v>
      </c>
      <c r="L964" t="s">
        <v>3504</v>
      </c>
      <c r="M964" t="s">
        <v>263</v>
      </c>
      <c r="P964" t="s">
        <v>3501</v>
      </c>
    </row>
    <row r="965" spans="1:16" hidden="1" x14ac:dyDescent="0.35">
      <c r="A965" t="s">
        <v>2403</v>
      </c>
      <c r="B965" s="3" t="s">
        <v>102</v>
      </c>
      <c r="C965" s="3" t="s">
        <v>9209</v>
      </c>
      <c r="D965" s="3"/>
      <c r="E965" s="3"/>
      <c r="F965" t="s">
        <v>2787</v>
      </c>
      <c r="H965" t="s">
        <v>3505</v>
      </c>
      <c r="J965" t="s">
        <v>3506</v>
      </c>
      <c r="K965" t="s">
        <v>3507</v>
      </c>
      <c r="L965" t="s">
        <v>3508</v>
      </c>
      <c r="M965" t="s">
        <v>263</v>
      </c>
      <c r="P965" t="s">
        <v>9217</v>
      </c>
    </row>
    <row r="966" spans="1:16" hidden="1" x14ac:dyDescent="0.35">
      <c r="A966" t="s">
        <v>2403</v>
      </c>
      <c r="B966" s="3" t="s">
        <v>102</v>
      </c>
      <c r="C966" s="3" t="s">
        <v>9209</v>
      </c>
      <c r="D966" s="3"/>
      <c r="E966" s="3"/>
      <c r="F966" t="s">
        <v>2787</v>
      </c>
      <c r="H966" t="s">
        <v>3509</v>
      </c>
      <c r="J966" t="s">
        <v>3510</v>
      </c>
      <c r="K966" t="s">
        <v>3511</v>
      </c>
      <c r="L966" t="s">
        <v>3512</v>
      </c>
      <c r="M966" t="s">
        <v>2759</v>
      </c>
      <c r="P966"/>
    </row>
    <row r="967" spans="1:16" hidden="1" x14ac:dyDescent="0.35">
      <c r="A967" t="s">
        <v>2403</v>
      </c>
      <c r="B967" s="3" t="s">
        <v>102</v>
      </c>
      <c r="C967" s="3" t="s">
        <v>9209</v>
      </c>
      <c r="D967" s="3"/>
      <c r="E967" s="3"/>
      <c r="F967" t="s">
        <v>2787</v>
      </c>
      <c r="H967" t="s">
        <v>3513</v>
      </c>
      <c r="J967" t="s">
        <v>3514</v>
      </c>
      <c r="K967" t="s">
        <v>3515</v>
      </c>
      <c r="L967" t="s">
        <v>3516</v>
      </c>
      <c r="M967" t="s">
        <v>2759</v>
      </c>
      <c r="P967"/>
    </row>
    <row r="968" spans="1:16" hidden="1" x14ac:dyDescent="0.35">
      <c r="A968" t="s">
        <v>2403</v>
      </c>
      <c r="B968" s="3" t="s">
        <v>102</v>
      </c>
      <c r="C968" s="3" t="s">
        <v>9209</v>
      </c>
      <c r="D968" s="3"/>
      <c r="E968" s="3"/>
      <c r="F968" t="s">
        <v>2787</v>
      </c>
      <c r="H968" t="s">
        <v>3517</v>
      </c>
      <c r="J968" t="s">
        <v>3519</v>
      </c>
      <c r="K968" t="s">
        <v>3520</v>
      </c>
      <c r="L968" t="s">
        <v>3521</v>
      </c>
      <c r="M968" t="s">
        <v>229</v>
      </c>
      <c r="P968" t="s">
        <v>3518</v>
      </c>
    </row>
    <row r="969" spans="1:16" hidden="1" x14ac:dyDescent="0.35">
      <c r="A969" t="s">
        <v>2403</v>
      </c>
      <c r="B969" s="3" t="s">
        <v>102</v>
      </c>
      <c r="C969" s="3" t="s">
        <v>9209</v>
      </c>
      <c r="D969" s="3"/>
      <c r="E969" s="3"/>
      <c r="F969" t="s">
        <v>2787</v>
      </c>
      <c r="H969" t="s">
        <v>3522</v>
      </c>
      <c r="J969" t="s">
        <v>3449</v>
      </c>
      <c r="K969" t="s">
        <v>3524</v>
      </c>
      <c r="L969" t="s">
        <v>3525</v>
      </c>
      <c r="M969" t="s">
        <v>229</v>
      </c>
      <c r="P969" t="s">
        <v>3523</v>
      </c>
    </row>
    <row r="970" spans="1:16" hidden="1" x14ac:dyDescent="0.35">
      <c r="A970" t="s">
        <v>2403</v>
      </c>
      <c r="B970" s="3" t="s">
        <v>102</v>
      </c>
      <c r="C970" s="3" t="s">
        <v>9209</v>
      </c>
      <c r="D970" s="3"/>
      <c r="E970" s="3"/>
      <c r="F970" t="s">
        <v>2787</v>
      </c>
      <c r="H970" t="s">
        <v>3526</v>
      </c>
      <c r="J970" t="s">
        <v>2645</v>
      </c>
      <c r="K970" t="s">
        <v>3528</v>
      </c>
      <c r="L970" t="s">
        <v>3529</v>
      </c>
      <c r="M970" t="s">
        <v>229</v>
      </c>
      <c r="P970" t="s">
        <v>3527</v>
      </c>
    </row>
    <row r="971" spans="1:16" hidden="1" x14ac:dyDescent="0.35">
      <c r="A971" t="s">
        <v>2403</v>
      </c>
      <c r="B971" s="3" t="s">
        <v>102</v>
      </c>
      <c r="C971" s="3" t="s">
        <v>9209</v>
      </c>
      <c r="D971" s="3"/>
      <c r="E971" s="3"/>
      <c r="F971" t="s">
        <v>2787</v>
      </c>
      <c r="H971" t="s">
        <v>3530</v>
      </c>
      <c r="J971" t="s">
        <v>2649</v>
      </c>
      <c r="K971" t="s">
        <v>3532</v>
      </c>
      <c r="L971" t="s">
        <v>3533</v>
      </c>
      <c r="M971" t="s">
        <v>229</v>
      </c>
      <c r="P971" t="s">
        <v>3531</v>
      </c>
    </row>
    <row r="972" spans="1:16" hidden="1" x14ac:dyDescent="0.35">
      <c r="A972" t="s">
        <v>2403</v>
      </c>
      <c r="B972" s="3" t="s">
        <v>102</v>
      </c>
      <c r="C972" s="3" t="s">
        <v>9209</v>
      </c>
      <c r="D972" s="3"/>
      <c r="E972" s="3"/>
      <c r="F972" t="s">
        <v>2787</v>
      </c>
      <c r="H972" t="s">
        <v>3534</v>
      </c>
      <c r="J972" t="s">
        <v>2400</v>
      </c>
      <c r="K972" t="s">
        <v>3535</v>
      </c>
      <c r="L972" t="s">
        <v>3536</v>
      </c>
      <c r="M972" t="s">
        <v>229</v>
      </c>
      <c r="P972" t="s">
        <v>3307</v>
      </c>
    </row>
    <row r="973" spans="1:16" hidden="1" x14ac:dyDescent="0.35">
      <c r="A973" t="s">
        <v>2403</v>
      </c>
      <c r="B973" s="3" t="s">
        <v>102</v>
      </c>
      <c r="C973" s="3" t="s">
        <v>9209</v>
      </c>
      <c r="D973" s="3"/>
      <c r="E973" s="3"/>
      <c r="F973" t="s">
        <v>2787</v>
      </c>
      <c r="H973" t="s">
        <v>3537</v>
      </c>
      <c r="J973" t="s">
        <v>2405</v>
      </c>
      <c r="K973" t="s">
        <v>3538</v>
      </c>
      <c r="L973" t="s">
        <v>3539</v>
      </c>
      <c r="M973" t="s">
        <v>229</v>
      </c>
      <c r="P973" t="s">
        <v>2408</v>
      </c>
    </row>
    <row r="974" spans="1:16" hidden="1" x14ac:dyDescent="0.35">
      <c r="A974" t="s">
        <v>2403</v>
      </c>
      <c r="B974" s="3" t="s">
        <v>102</v>
      </c>
      <c r="C974" s="3" t="s">
        <v>9209</v>
      </c>
      <c r="D974" s="3"/>
      <c r="E974" s="3"/>
      <c r="F974" t="s">
        <v>2787</v>
      </c>
      <c r="H974" t="s">
        <v>3540</v>
      </c>
      <c r="J974" t="s">
        <v>3542</v>
      </c>
      <c r="K974" t="s">
        <v>3543</v>
      </c>
      <c r="L974" t="s">
        <v>3544</v>
      </c>
      <c r="M974" t="s">
        <v>263</v>
      </c>
      <c r="P974" t="s">
        <v>3541</v>
      </c>
    </row>
    <row r="975" spans="1:16" hidden="1" x14ac:dyDescent="0.35">
      <c r="A975" t="s">
        <v>2403</v>
      </c>
      <c r="B975" s="3" t="s">
        <v>102</v>
      </c>
      <c r="C975" s="3" t="s">
        <v>9209</v>
      </c>
      <c r="D975" s="3"/>
      <c r="E975" s="3"/>
      <c r="F975" t="s">
        <v>2787</v>
      </c>
      <c r="H975" t="s">
        <v>3545</v>
      </c>
      <c r="J975" t="s">
        <v>3546</v>
      </c>
      <c r="K975" t="s">
        <v>3547</v>
      </c>
      <c r="L975" t="s">
        <v>3548</v>
      </c>
      <c r="M975" t="s">
        <v>263</v>
      </c>
      <c r="P975" t="s">
        <v>9226</v>
      </c>
    </row>
    <row r="976" spans="1:16" hidden="1" x14ac:dyDescent="0.35">
      <c r="A976" t="s">
        <v>2403</v>
      </c>
      <c r="B976" s="3" t="s">
        <v>102</v>
      </c>
      <c r="C976" s="3" t="s">
        <v>9209</v>
      </c>
      <c r="D976" s="3"/>
      <c r="E976" s="3"/>
      <c r="F976" t="s">
        <v>2787</v>
      </c>
      <c r="H976" t="s">
        <v>3549</v>
      </c>
      <c r="J976" t="s">
        <v>3550</v>
      </c>
      <c r="K976" t="s">
        <v>3551</v>
      </c>
      <c r="L976" t="s">
        <v>3552</v>
      </c>
      <c r="M976" t="s">
        <v>2374</v>
      </c>
      <c r="P976" t="s">
        <v>27</v>
      </c>
    </row>
    <row r="977" spans="1:16" hidden="1" x14ac:dyDescent="0.35">
      <c r="A977" t="s">
        <v>2403</v>
      </c>
      <c r="B977" s="3" t="s">
        <v>102</v>
      </c>
      <c r="C977" s="3" t="s">
        <v>9209</v>
      </c>
      <c r="D977" s="3"/>
      <c r="E977" s="3"/>
      <c r="F977" t="s">
        <v>2787</v>
      </c>
      <c r="H977" t="s">
        <v>3553</v>
      </c>
      <c r="J977" t="s">
        <v>3555</v>
      </c>
      <c r="K977" t="s">
        <v>3556</v>
      </c>
      <c r="L977" t="s">
        <v>3557</v>
      </c>
      <c r="M977" t="s">
        <v>2759</v>
      </c>
      <c r="P977"/>
    </row>
    <row r="978" spans="1:16" hidden="1" x14ac:dyDescent="0.35">
      <c r="A978" t="s">
        <v>2403</v>
      </c>
      <c r="B978" s="3" t="s">
        <v>102</v>
      </c>
      <c r="C978" s="3" t="s">
        <v>9209</v>
      </c>
      <c r="D978" s="3"/>
      <c r="E978" s="3"/>
      <c r="F978" t="s">
        <v>2787</v>
      </c>
      <c r="H978" t="s">
        <v>3558</v>
      </c>
      <c r="J978" t="s">
        <v>3559</v>
      </c>
      <c r="K978" t="s">
        <v>3560</v>
      </c>
      <c r="L978" t="s">
        <v>3561</v>
      </c>
      <c r="M978" t="s">
        <v>263</v>
      </c>
      <c r="P978" t="s">
        <v>3554</v>
      </c>
    </row>
    <row r="979" spans="1:16" hidden="1" x14ac:dyDescent="0.35">
      <c r="A979" t="s">
        <v>2403</v>
      </c>
      <c r="B979" s="3" t="s">
        <v>102</v>
      </c>
      <c r="C979" s="3" t="s">
        <v>9209</v>
      </c>
      <c r="D979" s="3"/>
      <c r="E979" s="3"/>
      <c r="F979" t="s">
        <v>2787</v>
      </c>
      <c r="H979" t="s">
        <v>3562</v>
      </c>
      <c r="J979" t="s">
        <v>3563</v>
      </c>
      <c r="K979" t="s">
        <v>3564</v>
      </c>
      <c r="L979" t="s">
        <v>3565</v>
      </c>
      <c r="M979" t="s">
        <v>263</v>
      </c>
      <c r="P979" t="s">
        <v>9220</v>
      </c>
    </row>
    <row r="980" spans="1:16" hidden="1" x14ac:dyDescent="0.35">
      <c r="A980" t="s">
        <v>2403</v>
      </c>
      <c r="B980" s="3" t="s">
        <v>102</v>
      </c>
      <c r="C980" s="3" t="s">
        <v>9209</v>
      </c>
      <c r="D980" s="3"/>
      <c r="E980" s="3"/>
      <c r="F980" t="s">
        <v>2787</v>
      </c>
      <c r="H980" t="s">
        <v>3566</v>
      </c>
      <c r="J980" t="s">
        <v>3567</v>
      </c>
      <c r="K980" t="s">
        <v>3568</v>
      </c>
      <c r="L980" t="s">
        <v>3569</v>
      </c>
      <c r="M980" t="s">
        <v>2759</v>
      </c>
      <c r="P980"/>
    </row>
    <row r="981" spans="1:16" hidden="1" x14ac:dyDescent="0.35">
      <c r="A981" t="s">
        <v>2403</v>
      </c>
      <c r="B981" s="3" t="s">
        <v>102</v>
      </c>
      <c r="C981" s="3" t="s">
        <v>9209</v>
      </c>
      <c r="D981" s="3"/>
      <c r="E981" s="3"/>
      <c r="F981" t="s">
        <v>2787</v>
      </c>
      <c r="H981" t="s">
        <v>3570</v>
      </c>
      <c r="J981" t="s">
        <v>3571</v>
      </c>
      <c r="K981" t="s">
        <v>3572</v>
      </c>
      <c r="L981" t="s">
        <v>3573</v>
      </c>
      <c r="M981" t="s">
        <v>2374</v>
      </c>
      <c r="P981" t="s">
        <v>27</v>
      </c>
    </row>
    <row r="982" spans="1:16" hidden="1" x14ac:dyDescent="0.35">
      <c r="A982" t="s">
        <v>2403</v>
      </c>
      <c r="B982" s="3" t="s">
        <v>102</v>
      </c>
      <c r="C982" s="3" t="s">
        <v>9209</v>
      </c>
      <c r="D982" s="3"/>
      <c r="E982" s="3"/>
      <c r="F982" t="s">
        <v>2787</v>
      </c>
      <c r="H982" t="s">
        <v>3574</v>
      </c>
      <c r="J982" t="s">
        <v>3576</v>
      </c>
      <c r="K982" t="s">
        <v>3577</v>
      </c>
      <c r="L982" t="s">
        <v>3578</v>
      </c>
      <c r="M982" t="s">
        <v>229</v>
      </c>
      <c r="P982" t="s">
        <v>3575</v>
      </c>
    </row>
    <row r="983" spans="1:16" hidden="1" x14ac:dyDescent="0.35">
      <c r="A983" t="s">
        <v>2403</v>
      </c>
      <c r="B983" s="3" t="s">
        <v>102</v>
      </c>
      <c r="C983" s="3" t="s">
        <v>9209</v>
      </c>
      <c r="D983" s="3"/>
      <c r="E983" s="3"/>
      <c r="F983" t="s">
        <v>2787</v>
      </c>
      <c r="H983" t="s">
        <v>3579</v>
      </c>
      <c r="J983" t="s">
        <v>3581</v>
      </c>
      <c r="K983" t="s">
        <v>3582</v>
      </c>
      <c r="L983" t="s">
        <v>3583</v>
      </c>
      <c r="M983" t="s">
        <v>263</v>
      </c>
      <c r="P983" t="s">
        <v>3580</v>
      </c>
    </row>
    <row r="984" spans="1:16" hidden="1" x14ac:dyDescent="0.35">
      <c r="A984" t="s">
        <v>2403</v>
      </c>
      <c r="B984" s="3" t="s">
        <v>102</v>
      </c>
      <c r="C984" s="3" t="s">
        <v>9209</v>
      </c>
      <c r="D984" s="3"/>
      <c r="E984" s="3"/>
      <c r="F984" t="s">
        <v>2787</v>
      </c>
      <c r="H984" t="s">
        <v>3584</v>
      </c>
      <c r="J984" t="s">
        <v>3586</v>
      </c>
      <c r="K984" t="s">
        <v>3587</v>
      </c>
      <c r="L984" t="s">
        <v>3588</v>
      </c>
      <c r="M984" t="s">
        <v>229</v>
      </c>
      <c r="P984" t="s">
        <v>3585</v>
      </c>
    </row>
    <row r="985" spans="1:16" hidden="1" x14ac:dyDescent="0.35">
      <c r="A985" t="s">
        <v>2403</v>
      </c>
      <c r="B985" s="3" t="s">
        <v>102</v>
      </c>
      <c r="C985" s="3" t="s">
        <v>9209</v>
      </c>
      <c r="D985" s="3"/>
      <c r="E985" s="3"/>
      <c r="F985" t="s">
        <v>2787</v>
      </c>
      <c r="H985" t="s">
        <v>3589</v>
      </c>
      <c r="J985" t="s">
        <v>3591</v>
      </c>
      <c r="K985" t="s">
        <v>3592</v>
      </c>
      <c r="L985" t="s">
        <v>3593</v>
      </c>
      <c r="M985" t="s">
        <v>229</v>
      </c>
      <c r="P985" t="s">
        <v>3590</v>
      </c>
    </row>
    <row r="986" spans="1:16" hidden="1" x14ac:dyDescent="0.35">
      <c r="A986" t="s">
        <v>2403</v>
      </c>
      <c r="B986" s="3" t="s">
        <v>102</v>
      </c>
      <c r="C986" s="3" t="s">
        <v>9209</v>
      </c>
      <c r="D986" s="3"/>
      <c r="E986" s="3"/>
      <c r="F986" t="s">
        <v>2787</v>
      </c>
      <c r="H986" t="s">
        <v>3594</v>
      </c>
      <c r="J986" t="s">
        <v>3596</v>
      </c>
      <c r="K986" t="s">
        <v>3597</v>
      </c>
      <c r="L986" t="s">
        <v>3598</v>
      </c>
      <c r="M986" t="s">
        <v>229</v>
      </c>
      <c r="P986" t="s">
        <v>3595</v>
      </c>
    </row>
    <row r="987" spans="1:16" hidden="1" x14ac:dyDescent="0.35">
      <c r="A987" t="s">
        <v>2403</v>
      </c>
      <c r="B987" s="3" t="s">
        <v>102</v>
      </c>
      <c r="C987" s="3" t="s">
        <v>9209</v>
      </c>
      <c r="D987" s="3"/>
      <c r="E987" s="3"/>
      <c r="F987" t="s">
        <v>2787</v>
      </c>
      <c r="H987" t="s">
        <v>3599</v>
      </c>
      <c r="J987" t="s">
        <v>3600</v>
      </c>
      <c r="K987" t="s">
        <v>3601</v>
      </c>
      <c r="L987" t="s">
        <v>3602</v>
      </c>
      <c r="M987" t="s">
        <v>2374</v>
      </c>
      <c r="P987" t="s">
        <v>1341</v>
      </c>
    </row>
    <row r="988" spans="1:16" hidden="1" x14ac:dyDescent="0.35">
      <c r="A988" t="s">
        <v>2403</v>
      </c>
      <c r="B988" s="3" t="s">
        <v>102</v>
      </c>
      <c r="C988" s="3" t="s">
        <v>9209</v>
      </c>
      <c r="D988" s="3"/>
      <c r="E988" s="3"/>
      <c r="F988" t="s">
        <v>2787</v>
      </c>
      <c r="H988" t="s">
        <v>3603</v>
      </c>
      <c r="J988" t="s">
        <v>3604</v>
      </c>
      <c r="K988" t="s">
        <v>3605</v>
      </c>
      <c r="L988" t="s">
        <v>3606</v>
      </c>
      <c r="M988" t="s">
        <v>263</v>
      </c>
      <c r="P988" t="s">
        <v>9217</v>
      </c>
    </row>
    <row r="989" spans="1:16" hidden="1" x14ac:dyDescent="0.35">
      <c r="A989" t="s">
        <v>2403</v>
      </c>
      <c r="B989" s="3" t="s">
        <v>102</v>
      </c>
      <c r="C989" s="3" t="s">
        <v>9209</v>
      </c>
      <c r="D989" s="3"/>
      <c r="E989" s="3"/>
      <c r="F989" t="s">
        <v>2787</v>
      </c>
      <c r="H989" t="s">
        <v>3607</v>
      </c>
      <c r="J989" t="s">
        <v>3608</v>
      </c>
      <c r="K989" t="s">
        <v>3609</v>
      </c>
      <c r="L989" t="s">
        <v>3610</v>
      </c>
      <c r="M989" t="s">
        <v>241</v>
      </c>
      <c r="P989" t="s">
        <v>9217</v>
      </c>
    </row>
    <row r="990" spans="1:16" hidden="1" x14ac:dyDescent="0.35">
      <c r="A990" t="s">
        <v>2403</v>
      </c>
      <c r="B990" s="3" t="s">
        <v>102</v>
      </c>
      <c r="C990" s="3" t="s">
        <v>9209</v>
      </c>
      <c r="D990" s="3"/>
      <c r="E990" s="3"/>
      <c r="F990" t="s">
        <v>2787</v>
      </c>
      <c r="H990" t="s">
        <v>3611</v>
      </c>
      <c r="J990" t="s">
        <v>3612</v>
      </c>
      <c r="K990" t="s">
        <v>3613</v>
      </c>
      <c r="L990" t="s">
        <v>3614</v>
      </c>
      <c r="M990" t="s">
        <v>2374</v>
      </c>
      <c r="P990" t="s">
        <v>1341</v>
      </c>
    </row>
    <row r="991" spans="1:16" hidden="1" x14ac:dyDescent="0.35">
      <c r="A991" t="s">
        <v>2403</v>
      </c>
      <c r="B991" s="3" t="s">
        <v>102</v>
      </c>
      <c r="C991" s="3" t="s">
        <v>9209</v>
      </c>
      <c r="D991" s="3"/>
      <c r="E991" s="3"/>
      <c r="F991" t="s">
        <v>2787</v>
      </c>
      <c r="H991" t="s">
        <v>3615</v>
      </c>
      <c r="J991" t="s">
        <v>3616</v>
      </c>
      <c r="K991" t="s">
        <v>3617</v>
      </c>
      <c r="L991" t="s">
        <v>3618</v>
      </c>
      <c r="M991" t="s">
        <v>263</v>
      </c>
      <c r="P991" t="s">
        <v>9217</v>
      </c>
    </row>
    <row r="992" spans="1:16" hidden="1" x14ac:dyDescent="0.35">
      <c r="A992" t="s">
        <v>2403</v>
      </c>
      <c r="B992" s="3" t="s">
        <v>102</v>
      </c>
      <c r="C992" s="3" t="s">
        <v>9209</v>
      </c>
      <c r="D992" s="3"/>
      <c r="E992" s="3"/>
      <c r="F992" t="s">
        <v>2787</v>
      </c>
      <c r="H992" t="s">
        <v>3619</v>
      </c>
      <c r="J992" t="s">
        <v>3620</v>
      </c>
      <c r="K992" t="s">
        <v>3621</v>
      </c>
      <c r="L992" t="s">
        <v>3622</v>
      </c>
      <c r="M992" t="s">
        <v>241</v>
      </c>
      <c r="P992" t="s">
        <v>9217</v>
      </c>
    </row>
    <row r="993" spans="1:16" hidden="1" x14ac:dyDescent="0.35">
      <c r="A993" t="s">
        <v>2403</v>
      </c>
      <c r="B993" s="3" t="s">
        <v>102</v>
      </c>
      <c r="C993" s="3" t="s">
        <v>9209</v>
      </c>
      <c r="D993" s="3"/>
      <c r="E993" s="3"/>
      <c r="F993" t="s">
        <v>2787</v>
      </c>
      <c r="H993" t="s">
        <v>3623</v>
      </c>
      <c r="J993" t="s">
        <v>3624</v>
      </c>
      <c r="K993" t="s">
        <v>3625</v>
      </c>
      <c r="L993" t="s">
        <v>3626</v>
      </c>
      <c r="M993" t="s">
        <v>2374</v>
      </c>
      <c r="P993" t="s">
        <v>1341</v>
      </c>
    </row>
    <row r="994" spans="1:16" hidden="1" x14ac:dyDescent="0.35">
      <c r="A994" t="s">
        <v>2403</v>
      </c>
      <c r="B994" s="3" t="s">
        <v>102</v>
      </c>
      <c r="C994" s="3" t="s">
        <v>9209</v>
      </c>
      <c r="D994" s="3"/>
      <c r="E994" s="3"/>
      <c r="F994" t="s">
        <v>2787</v>
      </c>
      <c r="H994" t="s">
        <v>3627</v>
      </c>
      <c r="J994" t="s">
        <v>3616</v>
      </c>
      <c r="K994" t="s">
        <v>3628</v>
      </c>
      <c r="L994" t="s">
        <v>3629</v>
      </c>
      <c r="M994" t="s">
        <v>263</v>
      </c>
      <c r="P994" s="18" t="s">
        <v>9217</v>
      </c>
    </row>
    <row r="995" spans="1:16" hidden="1" x14ac:dyDescent="0.35">
      <c r="A995" t="s">
        <v>2403</v>
      </c>
      <c r="B995" s="3" t="s">
        <v>102</v>
      </c>
      <c r="C995" s="3" t="s">
        <v>9209</v>
      </c>
      <c r="D995" s="3"/>
      <c r="E995" s="3"/>
      <c r="F995" t="s">
        <v>2787</v>
      </c>
      <c r="H995" t="s">
        <v>3630</v>
      </c>
      <c r="J995" t="s">
        <v>3620</v>
      </c>
      <c r="K995" t="s">
        <v>3631</v>
      </c>
      <c r="L995" t="s">
        <v>3632</v>
      </c>
      <c r="M995" t="s">
        <v>241</v>
      </c>
      <c r="P995" s="18" t="s">
        <v>9217</v>
      </c>
    </row>
    <row r="996" spans="1:16" hidden="1" x14ac:dyDescent="0.35">
      <c r="A996" t="s">
        <v>2403</v>
      </c>
      <c r="B996" s="3" t="s">
        <v>102</v>
      </c>
      <c r="C996" s="3" t="s">
        <v>9209</v>
      </c>
      <c r="D996" s="3"/>
      <c r="E996" s="3"/>
      <c r="F996" t="s">
        <v>2787</v>
      </c>
      <c r="H996" t="s">
        <v>3633</v>
      </c>
      <c r="J996" t="s">
        <v>3634</v>
      </c>
      <c r="K996" t="s">
        <v>3635</v>
      </c>
      <c r="L996" t="s">
        <v>3636</v>
      </c>
      <c r="M996" t="s">
        <v>2759</v>
      </c>
      <c r="P996"/>
    </row>
    <row r="997" spans="1:16" hidden="1" x14ac:dyDescent="0.35">
      <c r="A997" t="s">
        <v>2403</v>
      </c>
      <c r="B997" s="3" t="s">
        <v>102</v>
      </c>
      <c r="C997" s="3" t="s">
        <v>9209</v>
      </c>
      <c r="D997" s="3"/>
      <c r="E997" s="3"/>
      <c r="F997" t="s">
        <v>2787</v>
      </c>
      <c r="H997" t="s">
        <v>3637</v>
      </c>
      <c r="J997" t="s">
        <v>3638</v>
      </c>
      <c r="K997" t="s">
        <v>3639</v>
      </c>
      <c r="L997" t="s">
        <v>3640</v>
      </c>
      <c r="M997" t="s">
        <v>2374</v>
      </c>
      <c r="P997" t="s">
        <v>1341</v>
      </c>
    </row>
    <row r="998" spans="1:16" hidden="1" x14ac:dyDescent="0.35">
      <c r="A998" t="s">
        <v>2403</v>
      </c>
      <c r="B998" s="3" t="s">
        <v>102</v>
      </c>
      <c r="C998" s="3" t="s">
        <v>9209</v>
      </c>
      <c r="D998" s="3"/>
      <c r="E998" s="3"/>
      <c r="F998" t="s">
        <v>2787</v>
      </c>
      <c r="H998" t="s">
        <v>3641</v>
      </c>
      <c r="J998" t="s">
        <v>3642</v>
      </c>
      <c r="K998" t="s">
        <v>3643</v>
      </c>
      <c r="L998" t="s">
        <v>3644</v>
      </c>
      <c r="M998" t="s">
        <v>241</v>
      </c>
      <c r="P998" s="18" t="s">
        <v>9217</v>
      </c>
    </row>
    <row r="999" spans="1:16" hidden="1" x14ac:dyDescent="0.35">
      <c r="A999" t="s">
        <v>2403</v>
      </c>
      <c r="B999" s="3" t="s">
        <v>102</v>
      </c>
      <c r="C999" s="3" t="s">
        <v>9209</v>
      </c>
      <c r="D999" s="3"/>
      <c r="E999" s="3"/>
      <c r="F999" t="s">
        <v>3645</v>
      </c>
      <c r="H999" t="s">
        <v>3646</v>
      </c>
      <c r="J999" t="s">
        <v>3647</v>
      </c>
      <c r="K999" t="s">
        <v>3648</v>
      </c>
      <c r="L999" t="s">
        <v>3649</v>
      </c>
      <c r="M999" t="s">
        <v>2759</v>
      </c>
      <c r="P999" s="18" t="s">
        <v>9217</v>
      </c>
    </row>
    <row r="1000" spans="1:16" hidden="1" x14ac:dyDescent="0.35">
      <c r="A1000" t="s">
        <v>2403</v>
      </c>
      <c r="B1000" s="3" t="s">
        <v>102</v>
      </c>
      <c r="C1000" s="3" t="s">
        <v>9209</v>
      </c>
      <c r="D1000" s="3"/>
      <c r="E1000" s="3"/>
      <c r="F1000" t="s">
        <v>3645</v>
      </c>
      <c r="H1000" t="s">
        <v>3650</v>
      </c>
      <c r="J1000" t="s">
        <v>3651</v>
      </c>
      <c r="K1000" t="s">
        <v>3652</v>
      </c>
      <c r="L1000" t="s">
        <v>3653</v>
      </c>
      <c r="M1000" t="s">
        <v>2374</v>
      </c>
      <c r="P1000" s="18" t="s">
        <v>9217</v>
      </c>
    </row>
    <row r="1001" spans="1:16" hidden="1" x14ac:dyDescent="0.35">
      <c r="A1001" t="s">
        <v>2403</v>
      </c>
      <c r="B1001" s="3" t="s">
        <v>102</v>
      </c>
      <c r="C1001" s="3" t="s">
        <v>9209</v>
      </c>
      <c r="D1001" s="3"/>
      <c r="E1001" s="3"/>
      <c r="F1001" t="s">
        <v>3645</v>
      </c>
      <c r="H1001" t="s">
        <v>3654</v>
      </c>
      <c r="J1001" t="s">
        <v>3655</v>
      </c>
      <c r="K1001" t="s">
        <v>3656</v>
      </c>
      <c r="L1001" t="s">
        <v>3657</v>
      </c>
      <c r="M1001" t="s">
        <v>229</v>
      </c>
      <c r="P1001" s="18" t="s">
        <v>9217</v>
      </c>
    </row>
    <row r="1002" spans="1:16" hidden="1" x14ac:dyDescent="0.35">
      <c r="A1002" t="s">
        <v>2403</v>
      </c>
      <c r="B1002" s="3" t="s">
        <v>102</v>
      </c>
      <c r="C1002" s="3" t="s">
        <v>9209</v>
      </c>
      <c r="D1002" s="3"/>
      <c r="E1002" s="3"/>
      <c r="F1002" t="s">
        <v>3645</v>
      </c>
      <c r="H1002" t="s">
        <v>3658</v>
      </c>
      <c r="J1002" t="s">
        <v>3659</v>
      </c>
      <c r="K1002" t="s">
        <v>3660</v>
      </c>
      <c r="L1002" t="s">
        <v>3661</v>
      </c>
      <c r="M1002" t="s">
        <v>229</v>
      </c>
      <c r="P1002" s="18" t="s">
        <v>9217</v>
      </c>
    </row>
    <row r="1003" spans="1:16" hidden="1" x14ac:dyDescent="0.35">
      <c r="A1003" t="s">
        <v>2403</v>
      </c>
      <c r="B1003" s="3" t="s">
        <v>102</v>
      </c>
      <c r="C1003" s="3" t="s">
        <v>9209</v>
      </c>
      <c r="D1003" s="3"/>
      <c r="E1003" s="3"/>
      <c r="F1003" t="s">
        <v>3645</v>
      </c>
      <c r="H1003" t="s">
        <v>3662</v>
      </c>
      <c r="J1003" t="s">
        <v>3663</v>
      </c>
      <c r="K1003" t="s">
        <v>3664</v>
      </c>
      <c r="L1003" t="s">
        <v>3665</v>
      </c>
      <c r="M1003" t="s">
        <v>229</v>
      </c>
      <c r="P1003" s="18" t="s">
        <v>9217</v>
      </c>
    </row>
    <row r="1004" spans="1:16" hidden="1" x14ac:dyDescent="0.35">
      <c r="A1004" t="s">
        <v>2403</v>
      </c>
      <c r="B1004" s="3" t="s">
        <v>102</v>
      </c>
      <c r="C1004" s="3" t="s">
        <v>9209</v>
      </c>
      <c r="D1004" s="3"/>
      <c r="E1004" s="3"/>
      <c r="F1004" t="s">
        <v>3645</v>
      </c>
      <c r="H1004" t="s">
        <v>3666</v>
      </c>
      <c r="J1004" t="s">
        <v>3667</v>
      </c>
      <c r="K1004" t="s">
        <v>3668</v>
      </c>
      <c r="L1004" t="s">
        <v>3669</v>
      </c>
      <c r="M1004" t="s">
        <v>2374</v>
      </c>
      <c r="P1004" s="18" t="s">
        <v>9217</v>
      </c>
    </row>
    <row r="1005" spans="1:16" hidden="1" x14ac:dyDescent="0.35">
      <c r="A1005" t="s">
        <v>2403</v>
      </c>
      <c r="B1005" s="3" t="s">
        <v>102</v>
      </c>
      <c r="C1005" s="3" t="s">
        <v>9209</v>
      </c>
      <c r="D1005" s="3"/>
      <c r="E1005" s="3"/>
      <c r="F1005" t="s">
        <v>3645</v>
      </c>
      <c r="H1005" t="s">
        <v>3670</v>
      </c>
      <c r="J1005" t="s">
        <v>3655</v>
      </c>
      <c r="K1005" t="s">
        <v>3671</v>
      </c>
      <c r="L1005" t="s">
        <v>3672</v>
      </c>
      <c r="M1005" t="s">
        <v>229</v>
      </c>
      <c r="P1005" s="18" t="s">
        <v>9217</v>
      </c>
    </row>
    <row r="1006" spans="1:16" hidden="1" x14ac:dyDescent="0.35">
      <c r="A1006" t="s">
        <v>2403</v>
      </c>
      <c r="B1006" s="3" t="s">
        <v>102</v>
      </c>
      <c r="C1006" s="3" t="s">
        <v>9209</v>
      </c>
      <c r="D1006" s="3"/>
      <c r="E1006" s="3"/>
      <c r="F1006" t="s">
        <v>3645</v>
      </c>
      <c r="H1006" t="s">
        <v>3673</v>
      </c>
      <c r="J1006" t="s">
        <v>3659</v>
      </c>
      <c r="K1006" t="s">
        <v>3674</v>
      </c>
      <c r="L1006" t="s">
        <v>3675</v>
      </c>
      <c r="M1006" t="s">
        <v>229</v>
      </c>
      <c r="P1006" s="18" t="s">
        <v>9217</v>
      </c>
    </row>
    <row r="1007" spans="1:16" hidden="1" x14ac:dyDescent="0.35">
      <c r="A1007" t="s">
        <v>2403</v>
      </c>
      <c r="B1007" s="3" t="s">
        <v>102</v>
      </c>
      <c r="C1007" s="3" t="s">
        <v>9209</v>
      </c>
      <c r="D1007" s="3"/>
      <c r="E1007" s="3"/>
      <c r="F1007" t="s">
        <v>3645</v>
      </c>
      <c r="H1007" t="s">
        <v>3676</v>
      </c>
      <c r="J1007" t="s">
        <v>3663</v>
      </c>
      <c r="K1007" t="s">
        <v>3677</v>
      </c>
      <c r="L1007" t="s">
        <v>3678</v>
      </c>
      <c r="M1007" t="s">
        <v>229</v>
      </c>
      <c r="P1007" s="18" t="s">
        <v>9217</v>
      </c>
    </row>
    <row r="1008" spans="1:16" hidden="1" x14ac:dyDescent="0.35">
      <c r="A1008" t="s">
        <v>2403</v>
      </c>
      <c r="B1008" s="3" t="s">
        <v>102</v>
      </c>
      <c r="C1008" s="3" t="s">
        <v>9209</v>
      </c>
      <c r="D1008" s="3"/>
      <c r="E1008" s="3"/>
      <c r="F1008" t="s">
        <v>3645</v>
      </c>
      <c r="H1008" t="s">
        <v>3679</v>
      </c>
      <c r="J1008" t="s">
        <v>3680</v>
      </c>
      <c r="K1008" t="s">
        <v>3681</v>
      </c>
      <c r="L1008" t="s">
        <v>3682</v>
      </c>
      <c r="M1008" t="s">
        <v>2374</v>
      </c>
      <c r="P1008" s="18" t="s">
        <v>9217</v>
      </c>
    </row>
    <row r="1009" spans="1:16" hidden="1" x14ac:dyDescent="0.35">
      <c r="A1009" t="s">
        <v>2403</v>
      </c>
      <c r="B1009" s="3" t="s">
        <v>102</v>
      </c>
      <c r="C1009" s="3" t="s">
        <v>9209</v>
      </c>
      <c r="D1009" s="3"/>
      <c r="E1009" s="3"/>
      <c r="F1009" t="s">
        <v>3645</v>
      </c>
      <c r="H1009" t="s">
        <v>3683</v>
      </c>
      <c r="J1009" t="s">
        <v>3655</v>
      </c>
      <c r="K1009" t="s">
        <v>3684</v>
      </c>
      <c r="L1009" t="s">
        <v>3685</v>
      </c>
      <c r="M1009" t="s">
        <v>229</v>
      </c>
      <c r="P1009" s="18" t="s">
        <v>9217</v>
      </c>
    </row>
    <row r="1010" spans="1:16" hidden="1" x14ac:dyDescent="0.35">
      <c r="A1010" t="s">
        <v>2403</v>
      </c>
      <c r="B1010" s="3" t="s">
        <v>102</v>
      </c>
      <c r="C1010" s="3" t="s">
        <v>9209</v>
      </c>
      <c r="D1010" s="3"/>
      <c r="E1010" s="3"/>
      <c r="F1010" t="s">
        <v>3645</v>
      </c>
      <c r="H1010" t="s">
        <v>3686</v>
      </c>
      <c r="J1010" t="s">
        <v>3659</v>
      </c>
      <c r="K1010" t="s">
        <v>3687</v>
      </c>
      <c r="L1010" t="s">
        <v>3688</v>
      </c>
      <c r="M1010" t="s">
        <v>229</v>
      </c>
      <c r="P1010" s="18" t="s">
        <v>9217</v>
      </c>
    </row>
    <row r="1011" spans="1:16" hidden="1" x14ac:dyDescent="0.35">
      <c r="A1011" t="s">
        <v>2403</v>
      </c>
      <c r="B1011" s="3" t="s">
        <v>102</v>
      </c>
      <c r="C1011" s="3" t="s">
        <v>9209</v>
      </c>
      <c r="D1011" s="3"/>
      <c r="E1011" s="3"/>
      <c r="F1011" t="s">
        <v>3645</v>
      </c>
      <c r="H1011" t="s">
        <v>3689</v>
      </c>
      <c r="J1011" t="s">
        <v>3663</v>
      </c>
      <c r="K1011" t="s">
        <v>3690</v>
      </c>
      <c r="L1011" t="s">
        <v>3691</v>
      </c>
      <c r="M1011" t="s">
        <v>229</v>
      </c>
      <c r="P1011" s="18" t="s">
        <v>9217</v>
      </c>
    </row>
    <row r="1012" spans="1:16" hidden="1" x14ac:dyDescent="0.35">
      <c r="A1012" t="s">
        <v>2403</v>
      </c>
      <c r="B1012" s="3" t="s">
        <v>102</v>
      </c>
      <c r="C1012" s="3" t="s">
        <v>9209</v>
      </c>
      <c r="D1012" s="3"/>
      <c r="E1012" s="3"/>
      <c r="F1012" t="s">
        <v>3645</v>
      </c>
      <c r="H1012" t="s">
        <v>3692</v>
      </c>
      <c r="J1012" t="s">
        <v>3693</v>
      </c>
      <c r="K1012" t="s">
        <v>3694</v>
      </c>
      <c r="L1012" t="s">
        <v>3695</v>
      </c>
      <c r="M1012" t="s">
        <v>2374</v>
      </c>
      <c r="P1012" s="18" t="s">
        <v>9217</v>
      </c>
    </row>
    <row r="1013" spans="1:16" hidden="1" x14ac:dyDescent="0.35">
      <c r="A1013" t="s">
        <v>2403</v>
      </c>
      <c r="B1013" s="3" t="s">
        <v>102</v>
      </c>
      <c r="C1013" s="3" t="s">
        <v>9209</v>
      </c>
      <c r="D1013" s="3"/>
      <c r="E1013" s="3"/>
      <c r="F1013" t="s">
        <v>3645</v>
      </c>
      <c r="H1013" t="s">
        <v>3696</v>
      </c>
      <c r="J1013" t="s">
        <v>3655</v>
      </c>
      <c r="K1013" t="s">
        <v>3697</v>
      </c>
      <c r="L1013" t="s">
        <v>3698</v>
      </c>
      <c r="M1013" t="s">
        <v>229</v>
      </c>
      <c r="P1013" s="18" t="s">
        <v>9217</v>
      </c>
    </row>
    <row r="1014" spans="1:16" hidden="1" x14ac:dyDescent="0.35">
      <c r="A1014" t="s">
        <v>2403</v>
      </c>
      <c r="B1014" s="3" t="s">
        <v>102</v>
      </c>
      <c r="C1014" s="3" t="s">
        <v>9209</v>
      </c>
      <c r="D1014" s="3"/>
      <c r="E1014" s="3"/>
      <c r="F1014" t="s">
        <v>3645</v>
      </c>
      <c r="H1014" t="s">
        <v>3699</v>
      </c>
      <c r="J1014" t="s">
        <v>3659</v>
      </c>
      <c r="K1014" t="s">
        <v>3700</v>
      </c>
      <c r="L1014" t="s">
        <v>3701</v>
      </c>
      <c r="M1014" t="s">
        <v>229</v>
      </c>
      <c r="P1014" s="18" t="s">
        <v>9217</v>
      </c>
    </row>
    <row r="1015" spans="1:16" hidden="1" x14ac:dyDescent="0.35">
      <c r="A1015" t="s">
        <v>2403</v>
      </c>
      <c r="B1015" s="3" t="s">
        <v>102</v>
      </c>
      <c r="C1015" s="3" t="s">
        <v>9209</v>
      </c>
      <c r="D1015" s="3"/>
      <c r="E1015" s="3"/>
      <c r="F1015" t="s">
        <v>3645</v>
      </c>
      <c r="H1015" t="s">
        <v>3702</v>
      </c>
      <c r="J1015" t="s">
        <v>3663</v>
      </c>
      <c r="K1015" t="s">
        <v>3703</v>
      </c>
      <c r="L1015" t="s">
        <v>3704</v>
      </c>
      <c r="M1015" t="s">
        <v>229</v>
      </c>
      <c r="P1015" s="18" t="s">
        <v>9217</v>
      </c>
    </row>
    <row r="1016" spans="1:16" hidden="1" x14ac:dyDescent="0.35">
      <c r="A1016" t="s">
        <v>2403</v>
      </c>
      <c r="B1016" s="3" t="s">
        <v>102</v>
      </c>
      <c r="C1016" s="3" t="s">
        <v>9209</v>
      </c>
      <c r="D1016" s="3"/>
      <c r="E1016" s="3"/>
      <c r="F1016" t="s">
        <v>3645</v>
      </c>
      <c r="H1016" t="s">
        <v>3705</v>
      </c>
      <c r="J1016" t="s">
        <v>3706</v>
      </c>
      <c r="K1016" t="s">
        <v>3707</v>
      </c>
      <c r="L1016" t="s">
        <v>3708</v>
      </c>
      <c r="M1016" t="s">
        <v>2374</v>
      </c>
      <c r="P1016" s="18" t="s">
        <v>9217</v>
      </c>
    </row>
    <row r="1017" spans="1:16" hidden="1" x14ac:dyDescent="0.35">
      <c r="A1017" t="s">
        <v>2403</v>
      </c>
      <c r="B1017" s="3" t="s">
        <v>102</v>
      </c>
      <c r="C1017" s="3" t="s">
        <v>9209</v>
      </c>
      <c r="D1017" s="3"/>
      <c r="E1017" s="3"/>
      <c r="F1017" t="s">
        <v>3645</v>
      </c>
      <c r="H1017" t="s">
        <v>3709</v>
      </c>
      <c r="J1017" t="s">
        <v>3655</v>
      </c>
      <c r="K1017" t="s">
        <v>3710</v>
      </c>
      <c r="L1017" t="s">
        <v>3711</v>
      </c>
      <c r="M1017" t="s">
        <v>229</v>
      </c>
      <c r="P1017" s="18" t="s">
        <v>9217</v>
      </c>
    </row>
    <row r="1018" spans="1:16" hidden="1" x14ac:dyDescent="0.35">
      <c r="A1018" t="s">
        <v>2403</v>
      </c>
      <c r="B1018" s="3" t="s">
        <v>102</v>
      </c>
      <c r="C1018" s="3" t="s">
        <v>9209</v>
      </c>
      <c r="D1018" s="3"/>
      <c r="E1018" s="3"/>
      <c r="F1018" t="s">
        <v>3645</v>
      </c>
      <c r="H1018" t="s">
        <v>3712</v>
      </c>
      <c r="J1018" t="s">
        <v>3659</v>
      </c>
      <c r="K1018" t="s">
        <v>3713</v>
      </c>
      <c r="L1018" t="s">
        <v>3714</v>
      </c>
      <c r="M1018" t="s">
        <v>229</v>
      </c>
      <c r="P1018" s="18" t="s">
        <v>9217</v>
      </c>
    </row>
    <row r="1019" spans="1:16" hidden="1" x14ac:dyDescent="0.35">
      <c r="A1019" t="s">
        <v>2403</v>
      </c>
      <c r="B1019" s="3" t="s">
        <v>102</v>
      </c>
      <c r="C1019" s="3" t="s">
        <v>9209</v>
      </c>
      <c r="D1019" s="3"/>
      <c r="E1019" s="3"/>
      <c r="F1019" t="s">
        <v>3645</v>
      </c>
      <c r="H1019" t="s">
        <v>3715</v>
      </c>
      <c r="J1019" t="s">
        <v>3663</v>
      </c>
      <c r="K1019" t="s">
        <v>3716</v>
      </c>
      <c r="L1019" t="s">
        <v>3717</v>
      </c>
      <c r="M1019" t="s">
        <v>229</v>
      </c>
      <c r="P1019" s="18" t="s">
        <v>9217</v>
      </c>
    </row>
    <row r="1020" spans="1:16" hidden="1" x14ac:dyDescent="0.35">
      <c r="A1020" t="s">
        <v>2403</v>
      </c>
      <c r="B1020" s="3" t="s">
        <v>102</v>
      </c>
      <c r="C1020" s="3" t="s">
        <v>9209</v>
      </c>
      <c r="D1020" s="3"/>
      <c r="E1020" s="3"/>
      <c r="F1020" t="s">
        <v>3645</v>
      </c>
      <c r="H1020" t="s">
        <v>3718</v>
      </c>
      <c r="J1020" t="s">
        <v>3040</v>
      </c>
      <c r="K1020" t="s">
        <v>3719</v>
      </c>
      <c r="L1020" t="s">
        <v>3720</v>
      </c>
      <c r="M1020" t="s">
        <v>229</v>
      </c>
      <c r="P1020" s="18" t="s">
        <v>9217</v>
      </c>
    </row>
    <row r="1021" spans="1:16" hidden="1" x14ac:dyDescent="0.35">
      <c r="A1021" t="s">
        <v>2403</v>
      </c>
      <c r="B1021" s="3" t="s">
        <v>102</v>
      </c>
      <c r="C1021" s="3" t="s">
        <v>9209</v>
      </c>
      <c r="D1021" s="3"/>
      <c r="E1021" s="3"/>
      <c r="F1021" t="s">
        <v>3645</v>
      </c>
      <c r="H1021" t="s">
        <v>3721</v>
      </c>
      <c r="J1021" t="s">
        <v>3655</v>
      </c>
      <c r="K1021" t="s">
        <v>3722</v>
      </c>
      <c r="L1021" t="s">
        <v>3723</v>
      </c>
      <c r="M1021" t="s">
        <v>229</v>
      </c>
      <c r="P1021" s="18" t="s">
        <v>9217</v>
      </c>
    </row>
    <row r="1022" spans="1:16" hidden="1" x14ac:dyDescent="0.35">
      <c r="A1022" t="s">
        <v>2403</v>
      </c>
      <c r="B1022" s="3" t="s">
        <v>102</v>
      </c>
      <c r="C1022" s="3" t="s">
        <v>9209</v>
      </c>
      <c r="D1022" s="3"/>
      <c r="E1022" s="3"/>
      <c r="F1022" t="s">
        <v>3645</v>
      </c>
      <c r="H1022" t="s">
        <v>3724</v>
      </c>
      <c r="J1022" t="s">
        <v>3659</v>
      </c>
      <c r="K1022" t="s">
        <v>3725</v>
      </c>
      <c r="L1022" t="s">
        <v>3726</v>
      </c>
      <c r="M1022" t="s">
        <v>229</v>
      </c>
      <c r="P1022" s="18" t="s">
        <v>9217</v>
      </c>
    </row>
    <row r="1023" spans="1:16" hidden="1" x14ac:dyDescent="0.35">
      <c r="A1023" t="s">
        <v>2403</v>
      </c>
      <c r="B1023" s="3" t="s">
        <v>102</v>
      </c>
      <c r="C1023" s="3" t="s">
        <v>9209</v>
      </c>
      <c r="D1023" s="3"/>
      <c r="E1023" s="3"/>
      <c r="F1023" t="s">
        <v>3645</v>
      </c>
      <c r="H1023" t="s">
        <v>3727</v>
      </c>
      <c r="J1023" t="s">
        <v>3663</v>
      </c>
      <c r="K1023" t="s">
        <v>3728</v>
      </c>
      <c r="L1023" t="s">
        <v>3729</v>
      </c>
      <c r="M1023" t="s">
        <v>229</v>
      </c>
      <c r="P1023" s="18" t="s">
        <v>9217</v>
      </c>
    </row>
    <row r="1024" spans="1:16" hidden="1" x14ac:dyDescent="0.35">
      <c r="A1024" t="s">
        <v>2403</v>
      </c>
      <c r="B1024" s="3" t="s">
        <v>102</v>
      </c>
      <c r="C1024" s="3" t="s">
        <v>9209</v>
      </c>
      <c r="D1024" s="3"/>
      <c r="E1024" s="3"/>
      <c r="F1024" t="s">
        <v>3645</v>
      </c>
      <c r="H1024" t="s">
        <v>3730</v>
      </c>
      <c r="J1024" t="s">
        <v>3731</v>
      </c>
      <c r="K1024" t="s">
        <v>3732</v>
      </c>
      <c r="L1024" t="s">
        <v>3733</v>
      </c>
      <c r="M1024" t="s">
        <v>2759</v>
      </c>
      <c r="P1024" s="18" t="s">
        <v>9217</v>
      </c>
    </row>
    <row r="1025" spans="1:16" hidden="1" x14ac:dyDescent="0.35">
      <c r="A1025" t="s">
        <v>2403</v>
      </c>
      <c r="B1025" s="3" t="s">
        <v>102</v>
      </c>
      <c r="C1025" s="3" t="s">
        <v>9209</v>
      </c>
      <c r="D1025" s="3"/>
      <c r="E1025" s="3"/>
      <c r="F1025" t="s">
        <v>3645</v>
      </c>
      <c r="H1025" t="s">
        <v>3734</v>
      </c>
      <c r="J1025" t="s">
        <v>3735</v>
      </c>
      <c r="K1025" t="s">
        <v>3736</v>
      </c>
      <c r="L1025" t="s">
        <v>3737</v>
      </c>
      <c r="M1025" t="s">
        <v>2374</v>
      </c>
      <c r="P1025" s="18" t="s">
        <v>9217</v>
      </c>
    </row>
    <row r="1026" spans="1:16" hidden="1" x14ac:dyDescent="0.35">
      <c r="A1026" t="s">
        <v>2403</v>
      </c>
      <c r="B1026" s="3" t="s">
        <v>102</v>
      </c>
      <c r="C1026" s="3" t="s">
        <v>9209</v>
      </c>
      <c r="D1026" s="3"/>
      <c r="E1026" s="3"/>
      <c r="F1026" t="s">
        <v>3645</v>
      </c>
      <c r="H1026" t="s">
        <v>3738</v>
      </c>
      <c r="J1026" t="s">
        <v>3739</v>
      </c>
      <c r="K1026" t="s">
        <v>3740</v>
      </c>
      <c r="L1026" t="s">
        <v>3741</v>
      </c>
      <c r="M1026" t="s">
        <v>3017</v>
      </c>
      <c r="P1026" s="18" t="s">
        <v>9217</v>
      </c>
    </row>
    <row r="1027" spans="1:16" hidden="1" x14ac:dyDescent="0.35">
      <c r="A1027" t="s">
        <v>2403</v>
      </c>
      <c r="B1027" s="3" t="s">
        <v>102</v>
      </c>
      <c r="C1027" s="3" t="s">
        <v>9209</v>
      </c>
      <c r="D1027" s="3"/>
      <c r="E1027" s="3"/>
      <c r="F1027" t="s">
        <v>3645</v>
      </c>
      <c r="H1027" t="s">
        <v>3742</v>
      </c>
      <c r="J1027" t="s">
        <v>3651</v>
      </c>
      <c r="K1027" t="s">
        <v>3743</v>
      </c>
      <c r="L1027" t="s">
        <v>3744</v>
      </c>
      <c r="M1027" t="s">
        <v>3022</v>
      </c>
      <c r="P1027" s="18" t="s">
        <v>9217</v>
      </c>
    </row>
    <row r="1028" spans="1:16" hidden="1" x14ac:dyDescent="0.35">
      <c r="A1028" t="s">
        <v>2403</v>
      </c>
      <c r="B1028" s="3" t="s">
        <v>102</v>
      </c>
      <c r="C1028" s="3" t="s">
        <v>9209</v>
      </c>
      <c r="D1028" s="3"/>
      <c r="E1028" s="3"/>
      <c r="F1028" t="s">
        <v>3645</v>
      </c>
      <c r="H1028" t="s">
        <v>3745</v>
      </c>
      <c r="J1028" t="s">
        <v>3667</v>
      </c>
      <c r="K1028" t="s">
        <v>3746</v>
      </c>
      <c r="L1028" t="s">
        <v>3747</v>
      </c>
      <c r="M1028" t="s">
        <v>3022</v>
      </c>
      <c r="P1028" s="18" t="s">
        <v>9217</v>
      </c>
    </row>
    <row r="1029" spans="1:16" hidden="1" x14ac:dyDescent="0.35">
      <c r="A1029" t="s">
        <v>2403</v>
      </c>
      <c r="B1029" s="3" t="s">
        <v>102</v>
      </c>
      <c r="C1029" s="3" t="s">
        <v>9209</v>
      </c>
      <c r="D1029" s="3"/>
      <c r="E1029" s="3"/>
      <c r="F1029" t="s">
        <v>3645</v>
      </c>
      <c r="H1029" t="s">
        <v>3748</v>
      </c>
      <c r="J1029" t="s">
        <v>3680</v>
      </c>
      <c r="K1029" t="s">
        <v>3749</v>
      </c>
      <c r="L1029" t="s">
        <v>3750</v>
      </c>
      <c r="M1029" t="s">
        <v>3022</v>
      </c>
      <c r="P1029" s="18" t="s">
        <v>9217</v>
      </c>
    </row>
    <row r="1030" spans="1:16" hidden="1" x14ac:dyDescent="0.35">
      <c r="A1030" t="s">
        <v>2403</v>
      </c>
      <c r="B1030" s="3" t="s">
        <v>102</v>
      </c>
      <c r="C1030" s="3" t="s">
        <v>9209</v>
      </c>
      <c r="D1030" s="3"/>
      <c r="E1030" s="3"/>
      <c r="F1030" t="s">
        <v>3645</v>
      </c>
      <c r="H1030" t="s">
        <v>3751</v>
      </c>
      <c r="J1030" t="s">
        <v>3693</v>
      </c>
      <c r="K1030" t="s">
        <v>3752</v>
      </c>
      <c r="L1030" t="s">
        <v>3753</v>
      </c>
      <c r="M1030" t="s">
        <v>3022</v>
      </c>
      <c r="P1030" s="18" t="s">
        <v>9217</v>
      </c>
    </row>
    <row r="1031" spans="1:16" hidden="1" x14ac:dyDescent="0.35">
      <c r="A1031" t="s">
        <v>2403</v>
      </c>
      <c r="B1031" s="3" t="s">
        <v>102</v>
      </c>
      <c r="C1031" s="3" t="s">
        <v>9209</v>
      </c>
      <c r="D1031" s="3"/>
      <c r="E1031" s="3"/>
      <c r="F1031" t="s">
        <v>3645</v>
      </c>
      <c r="H1031" t="s">
        <v>3754</v>
      </c>
      <c r="J1031" t="s">
        <v>3706</v>
      </c>
      <c r="K1031" t="s">
        <v>3755</v>
      </c>
      <c r="L1031" t="s">
        <v>3756</v>
      </c>
      <c r="M1031" t="s">
        <v>3022</v>
      </c>
      <c r="P1031" s="18" t="s">
        <v>9217</v>
      </c>
    </row>
    <row r="1032" spans="1:16" hidden="1" x14ac:dyDescent="0.35">
      <c r="A1032" t="s">
        <v>2403</v>
      </c>
      <c r="B1032" s="3" t="s">
        <v>102</v>
      </c>
      <c r="C1032" s="3" t="s">
        <v>9209</v>
      </c>
      <c r="D1032" s="3"/>
      <c r="E1032" s="3"/>
      <c r="F1032" t="s">
        <v>3645</v>
      </c>
      <c r="H1032" t="s">
        <v>3757</v>
      </c>
      <c r="J1032" t="s">
        <v>3040</v>
      </c>
      <c r="K1032" t="s">
        <v>3758</v>
      </c>
      <c r="L1032" t="s">
        <v>3759</v>
      </c>
      <c r="M1032" t="s">
        <v>229</v>
      </c>
      <c r="P1032" s="18" t="s">
        <v>9217</v>
      </c>
    </row>
    <row r="1033" spans="1:16" hidden="1" x14ac:dyDescent="0.35">
      <c r="A1033" t="s">
        <v>2403</v>
      </c>
      <c r="B1033" s="3" t="s">
        <v>102</v>
      </c>
      <c r="C1033" s="3" t="s">
        <v>9209</v>
      </c>
      <c r="D1033" s="3"/>
      <c r="E1033" s="3"/>
      <c r="F1033" t="s">
        <v>3645</v>
      </c>
      <c r="H1033" t="s">
        <v>3760</v>
      </c>
      <c r="J1033" t="s">
        <v>3761</v>
      </c>
      <c r="K1033" t="s">
        <v>3762</v>
      </c>
      <c r="L1033" t="s">
        <v>3763</v>
      </c>
      <c r="M1033" t="s">
        <v>1198</v>
      </c>
      <c r="P1033" s="18" t="s">
        <v>9217</v>
      </c>
    </row>
    <row r="1034" spans="1:16" hidden="1" x14ac:dyDescent="0.35">
      <c r="A1034" t="s">
        <v>2403</v>
      </c>
      <c r="B1034" s="3" t="s">
        <v>102</v>
      </c>
      <c r="C1034" s="3" t="s">
        <v>9209</v>
      </c>
      <c r="D1034" s="3"/>
      <c r="E1034" s="3"/>
      <c r="F1034" t="s">
        <v>3645</v>
      </c>
      <c r="H1034" t="s">
        <v>3764</v>
      </c>
      <c r="J1034" t="s">
        <v>3765</v>
      </c>
      <c r="K1034" t="s">
        <v>3766</v>
      </c>
      <c r="L1034" t="s">
        <v>3767</v>
      </c>
      <c r="M1034" t="s">
        <v>2759</v>
      </c>
      <c r="P1034" s="18" t="s">
        <v>9217</v>
      </c>
    </row>
    <row r="1035" spans="1:16" hidden="1" x14ac:dyDescent="0.35">
      <c r="A1035" t="s">
        <v>2403</v>
      </c>
      <c r="B1035" s="3" t="s">
        <v>102</v>
      </c>
      <c r="C1035" s="3" t="s">
        <v>9209</v>
      </c>
      <c r="D1035" s="3"/>
      <c r="E1035" s="3"/>
      <c r="F1035" t="s">
        <v>3645</v>
      </c>
      <c r="H1035" t="s">
        <v>3768</v>
      </c>
      <c r="J1035" t="s">
        <v>3769</v>
      </c>
      <c r="K1035" t="s">
        <v>3770</v>
      </c>
      <c r="L1035" t="s">
        <v>3771</v>
      </c>
      <c r="M1035" t="s">
        <v>2374</v>
      </c>
      <c r="P1035" s="18" t="s">
        <v>9217</v>
      </c>
    </row>
    <row r="1036" spans="1:16" hidden="1" x14ac:dyDescent="0.35">
      <c r="A1036" t="s">
        <v>2403</v>
      </c>
      <c r="B1036" s="3" t="s">
        <v>102</v>
      </c>
      <c r="C1036" s="3" t="s">
        <v>9209</v>
      </c>
      <c r="D1036" s="3"/>
      <c r="E1036" s="3"/>
      <c r="F1036" t="s">
        <v>3645</v>
      </c>
      <c r="H1036" t="s">
        <v>3772</v>
      </c>
      <c r="J1036" t="s">
        <v>3773</v>
      </c>
      <c r="K1036" t="s">
        <v>3774</v>
      </c>
      <c r="L1036" t="s">
        <v>3775</v>
      </c>
      <c r="M1036" t="s">
        <v>3017</v>
      </c>
      <c r="P1036" s="18" t="s">
        <v>9217</v>
      </c>
    </row>
    <row r="1037" spans="1:16" hidden="1" x14ac:dyDescent="0.35">
      <c r="A1037" t="s">
        <v>2403</v>
      </c>
      <c r="B1037" s="3" t="s">
        <v>102</v>
      </c>
      <c r="C1037" s="3" t="s">
        <v>9209</v>
      </c>
      <c r="D1037" s="3"/>
      <c r="E1037" s="3"/>
      <c r="F1037" t="s">
        <v>3645</v>
      </c>
      <c r="H1037" t="s">
        <v>3776</v>
      </c>
      <c r="J1037" t="s">
        <v>3651</v>
      </c>
      <c r="K1037" t="s">
        <v>3777</v>
      </c>
      <c r="L1037" t="s">
        <v>3778</v>
      </c>
      <c r="M1037" t="s">
        <v>3022</v>
      </c>
      <c r="P1037" s="18" t="s">
        <v>9217</v>
      </c>
    </row>
    <row r="1038" spans="1:16" hidden="1" x14ac:dyDescent="0.35">
      <c r="A1038" t="s">
        <v>2403</v>
      </c>
      <c r="B1038" s="3" t="s">
        <v>102</v>
      </c>
      <c r="C1038" s="3" t="s">
        <v>9209</v>
      </c>
      <c r="D1038" s="3"/>
      <c r="E1038" s="3"/>
      <c r="F1038" t="s">
        <v>3645</v>
      </c>
      <c r="H1038" t="s">
        <v>3779</v>
      </c>
      <c r="J1038" t="s">
        <v>3667</v>
      </c>
      <c r="K1038" t="s">
        <v>3780</v>
      </c>
      <c r="L1038" t="s">
        <v>3781</v>
      </c>
      <c r="M1038" t="s">
        <v>3022</v>
      </c>
      <c r="P1038" s="18" t="s">
        <v>9217</v>
      </c>
    </row>
    <row r="1039" spans="1:16" hidden="1" x14ac:dyDescent="0.35">
      <c r="A1039" t="s">
        <v>2403</v>
      </c>
      <c r="B1039" s="3" t="s">
        <v>102</v>
      </c>
      <c r="C1039" s="3" t="s">
        <v>9209</v>
      </c>
      <c r="D1039" s="3"/>
      <c r="E1039" s="3"/>
      <c r="F1039" t="s">
        <v>3645</v>
      </c>
      <c r="H1039" t="s">
        <v>3782</v>
      </c>
      <c r="J1039" t="s">
        <v>3680</v>
      </c>
      <c r="K1039" t="s">
        <v>3783</v>
      </c>
      <c r="L1039" t="s">
        <v>3784</v>
      </c>
      <c r="M1039" t="s">
        <v>3022</v>
      </c>
      <c r="P1039" s="18" t="s">
        <v>9217</v>
      </c>
    </row>
    <row r="1040" spans="1:16" hidden="1" x14ac:dyDescent="0.35">
      <c r="A1040" t="s">
        <v>2403</v>
      </c>
      <c r="B1040" s="3" t="s">
        <v>102</v>
      </c>
      <c r="C1040" s="3" t="s">
        <v>9209</v>
      </c>
      <c r="D1040" s="3"/>
      <c r="E1040" s="3"/>
      <c r="F1040" t="s">
        <v>3645</v>
      </c>
      <c r="H1040" t="s">
        <v>3785</v>
      </c>
      <c r="J1040" t="s">
        <v>3693</v>
      </c>
      <c r="K1040" t="s">
        <v>3786</v>
      </c>
      <c r="L1040" t="s">
        <v>3787</v>
      </c>
      <c r="M1040" t="s">
        <v>3022</v>
      </c>
      <c r="P1040" s="18" t="s">
        <v>9217</v>
      </c>
    </row>
    <row r="1041" spans="1:16" hidden="1" x14ac:dyDescent="0.35">
      <c r="A1041" t="s">
        <v>2403</v>
      </c>
      <c r="B1041" s="3" t="s">
        <v>102</v>
      </c>
      <c r="C1041" s="3" t="s">
        <v>9209</v>
      </c>
      <c r="D1041" s="3"/>
      <c r="E1041" s="3"/>
      <c r="F1041" t="s">
        <v>3645</v>
      </c>
      <c r="H1041" t="s">
        <v>3788</v>
      </c>
      <c r="J1041" t="s">
        <v>3706</v>
      </c>
      <c r="K1041" t="s">
        <v>3789</v>
      </c>
      <c r="L1041" t="s">
        <v>3790</v>
      </c>
      <c r="M1041" t="s">
        <v>3022</v>
      </c>
      <c r="P1041" s="18" t="s">
        <v>9217</v>
      </c>
    </row>
    <row r="1042" spans="1:16" hidden="1" x14ac:dyDescent="0.35">
      <c r="A1042" t="s">
        <v>2403</v>
      </c>
      <c r="B1042" s="3" t="s">
        <v>102</v>
      </c>
      <c r="C1042" s="3" t="s">
        <v>9209</v>
      </c>
      <c r="D1042" s="3"/>
      <c r="E1042" s="3"/>
      <c r="F1042" t="s">
        <v>3645</v>
      </c>
      <c r="H1042" t="s">
        <v>3791</v>
      </c>
      <c r="J1042" t="s">
        <v>3040</v>
      </c>
      <c r="K1042" t="s">
        <v>3792</v>
      </c>
      <c r="L1042" t="s">
        <v>3793</v>
      </c>
      <c r="M1042" t="s">
        <v>229</v>
      </c>
      <c r="P1042" s="18" t="s">
        <v>9217</v>
      </c>
    </row>
    <row r="1043" spans="1:16" hidden="1" x14ac:dyDescent="0.35">
      <c r="A1043" t="s">
        <v>2403</v>
      </c>
      <c r="B1043" s="3" t="s">
        <v>102</v>
      </c>
      <c r="C1043" s="3" t="s">
        <v>9209</v>
      </c>
      <c r="D1043" s="3"/>
      <c r="E1043" s="3"/>
      <c r="F1043" t="s">
        <v>3645</v>
      </c>
      <c r="H1043" t="s">
        <v>3794</v>
      </c>
      <c r="J1043" t="s">
        <v>3795</v>
      </c>
      <c r="K1043" t="s">
        <v>3796</v>
      </c>
      <c r="L1043" t="s">
        <v>3797</v>
      </c>
      <c r="M1043" t="s">
        <v>2759</v>
      </c>
      <c r="P1043" s="18" t="s">
        <v>9217</v>
      </c>
    </row>
    <row r="1044" spans="1:16" hidden="1" x14ac:dyDescent="0.35">
      <c r="A1044" t="s">
        <v>2403</v>
      </c>
      <c r="B1044" s="3" t="s">
        <v>102</v>
      </c>
      <c r="C1044" s="3" t="s">
        <v>9209</v>
      </c>
      <c r="D1044" s="3"/>
      <c r="E1044" s="3"/>
      <c r="F1044" t="s">
        <v>3645</v>
      </c>
      <c r="H1044" t="s">
        <v>3798</v>
      </c>
      <c r="J1044" t="s">
        <v>3799</v>
      </c>
      <c r="K1044" t="s">
        <v>3800</v>
      </c>
      <c r="L1044" t="s">
        <v>3801</v>
      </c>
      <c r="M1044" t="s">
        <v>2374</v>
      </c>
      <c r="P1044" s="18" t="s">
        <v>9217</v>
      </c>
    </row>
    <row r="1045" spans="1:16" hidden="1" x14ac:dyDescent="0.35">
      <c r="A1045" t="s">
        <v>2403</v>
      </c>
      <c r="B1045" s="3" t="s">
        <v>102</v>
      </c>
      <c r="C1045" s="3" t="s">
        <v>9209</v>
      </c>
      <c r="D1045" s="3"/>
      <c r="E1045" s="3"/>
      <c r="F1045" t="s">
        <v>3645</v>
      </c>
      <c r="H1045" t="s">
        <v>3802</v>
      </c>
      <c r="J1045" t="s">
        <v>3773</v>
      </c>
      <c r="K1045" t="s">
        <v>3803</v>
      </c>
      <c r="L1045" t="s">
        <v>3804</v>
      </c>
      <c r="M1045" t="s">
        <v>3017</v>
      </c>
      <c r="P1045" s="18" t="s">
        <v>9217</v>
      </c>
    </row>
    <row r="1046" spans="1:16" hidden="1" x14ac:dyDescent="0.35">
      <c r="A1046" t="s">
        <v>2403</v>
      </c>
      <c r="B1046" s="3" t="s">
        <v>102</v>
      </c>
      <c r="C1046" s="3" t="s">
        <v>9209</v>
      </c>
      <c r="D1046" s="3"/>
      <c r="E1046" s="3"/>
      <c r="F1046" t="s">
        <v>3645</v>
      </c>
      <c r="H1046" t="s">
        <v>3805</v>
      </c>
      <c r="J1046" t="s">
        <v>3651</v>
      </c>
      <c r="K1046" t="s">
        <v>3806</v>
      </c>
      <c r="L1046" t="s">
        <v>3807</v>
      </c>
      <c r="M1046" t="s">
        <v>3022</v>
      </c>
      <c r="P1046" s="18" t="s">
        <v>9217</v>
      </c>
    </row>
    <row r="1047" spans="1:16" hidden="1" x14ac:dyDescent="0.35">
      <c r="A1047" t="s">
        <v>2403</v>
      </c>
      <c r="B1047" s="3" t="s">
        <v>102</v>
      </c>
      <c r="C1047" s="3" t="s">
        <v>9209</v>
      </c>
      <c r="D1047" s="3"/>
      <c r="E1047" s="3"/>
      <c r="F1047" t="s">
        <v>3645</v>
      </c>
      <c r="H1047" t="s">
        <v>3808</v>
      </c>
      <c r="J1047" t="s">
        <v>3667</v>
      </c>
      <c r="K1047" t="s">
        <v>3809</v>
      </c>
      <c r="L1047" t="s">
        <v>3810</v>
      </c>
      <c r="M1047" t="s">
        <v>3022</v>
      </c>
      <c r="P1047" s="18" t="s">
        <v>9217</v>
      </c>
    </row>
    <row r="1048" spans="1:16" hidden="1" x14ac:dyDescent="0.35">
      <c r="A1048" t="s">
        <v>2403</v>
      </c>
      <c r="B1048" s="3" t="s">
        <v>102</v>
      </c>
      <c r="C1048" s="3" t="s">
        <v>9209</v>
      </c>
      <c r="D1048" s="3"/>
      <c r="E1048" s="3"/>
      <c r="F1048" t="s">
        <v>3645</v>
      </c>
      <c r="H1048" t="s">
        <v>3811</v>
      </c>
      <c r="J1048" t="s">
        <v>3680</v>
      </c>
      <c r="K1048" t="s">
        <v>3812</v>
      </c>
      <c r="L1048" t="s">
        <v>3813</v>
      </c>
      <c r="M1048" t="s">
        <v>3022</v>
      </c>
      <c r="P1048" s="18" t="s">
        <v>9217</v>
      </c>
    </row>
    <row r="1049" spans="1:16" hidden="1" x14ac:dyDescent="0.35">
      <c r="A1049" t="s">
        <v>2403</v>
      </c>
      <c r="B1049" s="3" t="s">
        <v>102</v>
      </c>
      <c r="C1049" s="3" t="s">
        <v>9209</v>
      </c>
      <c r="D1049" s="3"/>
      <c r="E1049" s="3"/>
      <c r="F1049" t="s">
        <v>3645</v>
      </c>
      <c r="H1049" t="s">
        <v>3814</v>
      </c>
      <c r="J1049" t="s">
        <v>3693</v>
      </c>
      <c r="K1049" t="s">
        <v>3815</v>
      </c>
      <c r="L1049" t="s">
        <v>3816</v>
      </c>
      <c r="M1049" t="s">
        <v>3022</v>
      </c>
      <c r="P1049" s="18" t="s">
        <v>9217</v>
      </c>
    </row>
    <row r="1050" spans="1:16" hidden="1" x14ac:dyDescent="0.35">
      <c r="A1050" t="s">
        <v>2403</v>
      </c>
      <c r="B1050" s="3" t="s">
        <v>102</v>
      </c>
      <c r="C1050" s="3" t="s">
        <v>9209</v>
      </c>
      <c r="D1050" s="3"/>
      <c r="E1050" s="3"/>
      <c r="F1050" t="s">
        <v>3645</v>
      </c>
      <c r="H1050" t="s">
        <v>3817</v>
      </c>
      <c r="J1050" t="s">
        <v>3706</v>
      </c>
      <c r="K1050" t="s">
        <v>3818</v>
      </c>
      <c r="L1050" t="s">
        <v>3819</v>
      </c>
      <c r="M1050" t="s">
        <v>3022</v>
      </c>
      <c r="P1050" s="18" t="s">
        <v>9217</v>
      </c>
    </row>
    <row r="1051" spans="1:16" hidden="1" x14ac:dyDescent="0.35">
      <c r="A1051" t="s">
        <v>2403</v>
      </c>
      <c r="B1051" s="3" t="s">
        <v>102</v>
      </c>
      <c r="C1051" s="3" t="s">
        <v>9209</v>
      </c>
      <c r="D1051" s="3"/>
      <c r="E1051" s="3"/>
      <c r="F1051" t="s">
        <v>3645</v>
      </c>
      <c r="H1051" t="s">
        <v>3820</v>
      </c>
      <c r="J1051" t="s">
        <v>3040</v>
      </c>
      <c r="K1051" t="s">
        <v>3821</v>
      </c>
      <c r="L1051" t="s">
        <v>3822</v>
      </c>
      <c r="M1051" t="s">
        <v>229</v>
      </c>
      <c r="P1051" s="18" t="s">
        <v>9217</v>
      </c>
    </row>
    <row r="1052" spans="1:16" hidden="1" x14ac:dyDescent="0.35">
      <c r="A1052" t="s">
        <v>2403</v>
      </c>
      <c r="B1052" s="3" t="s">
        <v>102</v>
      </c>
      <c r="C1052" s="3" t="s">
        <v>9209</v>
      </c>
      <c r="D1052" s="3"/>
      <c r="E1052" s="3"/>
      <c r="F1052" t="s">
        <v>3645</v>
      </c>
      <c r="H1052" t="s">
        <v>3823</v>
      </c>
      <c r="J1052" t="s">
        <v>3824</v>
      </c>
      <c r="K1052" t="s">
        <v>3825</v>
      </c>
      <c r="L1052" t="s">
        <v>3826</v>
      </c>
      <c r="M1052" t="s">
        <v>2759</v>
      </c>
      <c r="P1052" s="18" t="s">
        <v>9217</v>
      </c>
    </row>
    <row r="1053" spans="1:16" hidden="1" x14ac:dyDescent="0.35">
      <c r="A1053" t="s">
        <v>2403</v>
      </c>
      <c r="B1053" s="3" t="s">
        <v>102</v>
      </c>
      <c r="C1053" s="3" t="s">
        <v>9209</v>
      </c>
      <c r="D1053" s="3"/>
      <c r="E1053" s="3"/>
      <c r="F1053" t="s">
        <v>3645</v>
      </c>
      <c r="H1053" t="s">
        <v>3827</v>
      </c>
      <c r="J1053" t="s">
        <v>3828</v>
      </c>
      <c r="K1053" t="s">
        <v>3829</v>
      </c>
      <c r="L1053" t="s">
        <v>3830</v>
      </c>
      <c r="M1053" t="s">
        <v>2374</v>
      </c>
      <c r="P1053" s="18" t="s">
        <v>9217</v>
      </c>
    </row>
    <row r="1054" spans="1:16" hidden="1" x14ac:dyDescent="0.35">
      <c r="A1054" t="s">
        <v>2403</v>
      </c>
      <c r="B1054" s="3" t="s">
        <v>102</v>
      </c>
      <c r="C1054" s="3" t="s">
        <v>9209</v>
      </c>
      <c r="D1054" s="3"/>
      <c r="E1054" s="3"/>
      <c r="F1054" t="s">
        <v>3645</v>
      </c>
      <c r="H1054" t="s">
        <v>3831</v>
      </c>
      <c r="J1054" t="s">
        <v>3832</v>
      </c>
      <c r="K1054" t="s">
        <v>3833</v>
      </c>
      <c r="L1054" t="s">
        <v>3834</v>
      </c>
      <c r="M1054" t="s">
        <v>229</v>
      </c>
      <c r="P1054" s="18" t="s">
        <v>9217</v>
      </c>
    </row>
    <row r="1055" spans="1:16" hidden="1" x14ac:dyDescent="0.35">
      <c r="A1055" t="s">
        <v>2403</v>
      </c>
      <c r="B1055" s="3" t="s">
        <v>102</v>
      </c>
      <c r="C1055" s="3" t="s">
        <v>9209</v>
      </c>
      <c r="D1055" s="3"/>
      <c r="E1055" s="3"/>
      <c r="F1055" t="s">
        <v>3645</v>
      </c>
      <c r="H1055" t="s">
        <v>3835</v>
      </c>
      <c r="J1055" t="s">
        <v>3836</v>
      </c>
      <c r="K1055" t="s">
        <v>3837</v>
      </c>
      <c r="L1055" t="s">
        <v>3838</v>
      </c>
      <c r="M1055" t="s">
        <v>248</v>
      </c>
      <c r="P1055" s="18" t="s">
        <v>9217</v>
      </c>
    </row>
    <row r="1056" spans="1:16" hidden="1" x14ac:dyDescent="0.35">
      <c r="A1056" t="s">
        <v>2403</v>
      </c>
      <c r="B1056" s="3" t="s">
        <v>102</v>
      </c>
      <c r="C1056" s="3" t="s">
        <v>9209</v>
      </c>
      <c r="D1056" s="3"/>
      <c r="E1056" s="3"/>
      <c r="F1056" t="s">
        <v>3645</v>
      </c>
      <c r="H1056" t="s">
        <v>3839</v>
      </c>
      <c r="J1056" t="s">
        <v>3840</v>
      </c>
      <c r="K1056" t="s">
        <v>3841</v>
      </c>
      <c r="L1056" t="s">
        <v>3842</v>
      </c>
      <c r="M1056" t="s">
        <v>263</v>
      </c>
      <c r="P1056" s="18" t="s">
        <v>9217</v>
      </c>
    </row>
    <row r="1057" spans="1:16" hidden="1" x14ac:dyDescent="0.35">
      <c r="A1057" t="s">
        <v>2403</v>
      </c>
      <c r="B1057" s="3" t="s">
        <v>102</v>
      </c>
      <c r="C1057" s="3" t="s">
        <v>9209</v>
      </c>
      <c r="D1057" s="3"/>
      <c r="E1057" s="3"/>
      <c r="F1057" t="s">
        <v>3645</v>
      </c>
      <c r="H1057" t="s">
        <v>3843</v>
      </c>
      <c r="J1057" t="s">
        <v>3844</v>
      </c>
      <c r="K1057" t="s">
        <v>3845</v>
      </c>
      <c r="L1057" t="s">
        <v>3846</v>
      </c>
      <c r="M1057" t="s">
        <v>263</v>
      </c>
      <c r="P1057" s="18" t="s">
        <v>9217</v>
      </c>
    </row>
    <row r="1058" spans="1:16" hidden="1" x14ac:dyDescent="0.35">
      <c r="A1058" t="s">
        <v>2403</v>
      </c>
      <c r="B1058" s="3" t="s">
        <v>102</v>
      </c>
      <c r="C1058" s="3" t="s">
        <v>9209</v>
      </c>
      <c r="D1058" s="3"/>
      <c r="E1058" s="3"/>
      <c r="F1058" t="s">
        <v>3645</v>
      </c>
      <c r="H1058" t="s">
        <v>3847</v>
      </c>
      <c r="J1058" t="s">
        <v>3848</v>
      </c>
      <c r="K1058" t="s">
        <v>3849</v>
      </c>
      <c r="L1058" t="s">
        <v>3850</v>
      </c>
      <c r="M1058" t="s">
        <v>2759</v>
      </c>
      <c r="P1058" s="18" t="s">
        <v>9217</v>
      </c>
    </row>
    <row r="1059" spans="1:16" hidden="1" x14ac:dyDescent="0.35">
      <c r="A1059" t="s">
        <v>2403</v>
      </c>
      <c r="B1059" s="3" t="s">
        <v>102</v>
      </c>
      <c r="C1059" s="3" t="s">
        <v>9209</v>
      </c>
      <c r="D1059" s="3"/>
      <c r="E1059" s="3"/>
      <c r="F1059" t="s">
        <v>3645</v>
      </c>
      <c r="H1059" t="s">
        <v>3851</v>
      </c>
      <c r="J1059" t="s">
        <v>3852</v>
      </c>
      <c r="K1059" t="s">
        <v>3853</v>
      </c>
      <c r="L1059" t="s">
        <v>3854</v>
      </c>
      <c r="M1059" t="s">
        <v>2374</v>
      </c>
      <c r="P1059" s="18" t="s">
        <v>9217</v>
      </c>
    </row>
    <row r="1060" spans="1:16" hidden="1" x14ac:dyDescent="0.35">
      <c r="A1060" t="s">
        <v>2403</v>
      </c>
      <c r="B1060" s="3" t="s">
        <v>102</v>
      </c>
      <c r="C1060" s="3" t="s">
        <v>9209</v>
      </c>
      <c r="D1060" s="3"/>
      <c r="E1060" s="3"/>
      <c r="F1060" t="s">
        <v>3645</v>
      </c>
      <c r="H1060" t="s">
        <v>3855</v>
      </c>
      <c r="J1060" t="s">
        <v>3856</v>
      </c>
      <c r="K1060" t="s">
        <v>3857</v>
      </c>
      <c r="L1060" t="s">
        <v>3858</v>
      </c>
      <c r="M1060" t="s">
        <v>229</v>
      </c>
      <c r="P1060" s="18" t="s">
        <v>9217</v>
      </c>
    </row>
    <row r="1061" spans="1:16" hidden="1" x14ac:dyDescent="0.35">
      <c r="A1061" t="s">
        <v>2403</v>
      </c>
      <c r="B1061" s="3" t="s">
        <v>102</v>
      </c>
      <c r="C1061" s="3" t="s">
        <v>9209</v>
      </c>
      <c r="D1061" s="3"/>
      <c r="E1061" s="3"/>
      <c r="F1061" t="s">
        <v>3645</v>
      </c>
      <c r="H1061" t="s">
        <v>3859</v>
      </c>
      <c r="J1061" t="s">
        <v>3860</v>
      </c>
      <c r="K1061" t="s">
        <v>3861</v>
      </c>
      <c r="L1061" t="s">
        <v>3862</v>
      </c>
      <c r="M1061" t="s">
        <v>263</v>
      </c>
      <c r="P1061" s="18" t="s">
        <v>9217</v>
      </c>
    </row>
    <row r="1062" spans="1:16" hidden="1" x14ac:dyDescent="0.35">
      <c r="A1062" t="s">
        <v>2403</v>
      </c>
      <c r="B1062" s="3" t="s">
        <v>102</v>
      </c>
      <c r="C1062" s="3" t="s">
        <v>9209</v>
      </c>
      <c r="D1062" s="3"/>
      <c r="E1062" s="3"/>
      <c r="F1062" t="s">
        <v>3645</v>
      </c>
      <c r="H1062" t="s">
        <v>3863</v>
      </c>
      <c r="J1062" t="s">
        <v>3864</v>
      </c>
      <c r="K1062" t="s">
        <v>3865</v>
      </c>
      <c r="L1062" t="s">
        <v>3866</v>
      </c>
      <c r="M1062" t="s">
        <v>2759</v>
      </c>
      <c r="P1062" s="18" t="s">
        <v>9217</v>
      </c>
    </row>
    <row r="1063" spans="1:16" hidden="1" x14ac:dyDescent="0.35">
      <c r="A1063" t="s">
        <v>2403</v>
      </c>
      <c r="B1063" s="3" t="s">
        <v>102</v>
      </c>
      <c r="C1063" s="3" t="s">
        <v>9209</v>
      </c>
      <c r="D1063" s="3"/>
      <c r="E1063" s="3"/>
      <c r="F1063" t="s">
        <v>3645</v>
      </c>
      <c r="H1063" t="s">
        <v>3867</v>
      </c>
      <c r="J1063" t="s">
        <v>3868</v>
      </c>
      <c r="K1063" t="s">
        <v>3869</v>
      </c>
      <c r="L1063" t="s">
        <v>3870</v>
      </c>
      <c r="M1063" t="s">
        <v>2374</v>
      </c>
      <c r="P1063" s="18" t="s">
        <v>9217</v>
      </c>
    </row>
    <row r="1064" spans="1:16" hidden="1" x14ac:dyDescent="0.35">
      <c r="A1064" t="s">
        <v>2403</v>
      </c>
      <c r="B1064" s="3" t="s">
        <v>102</v>
      </c>
      <c r="C1064" s="3" t="s">
        <v>9209</v>
      </c>
      <c r="D1064" s="3"/>
      <c r="E1064" s="3"/>
      <c r="F1064" t="s">
        <v>3645</v>
      </c>
      <c r="H1064" t="s">
        <v>3871</v>
      </c>
      <c r="J1064" t="s">
        <v>3872</v>
      </c>
      <c r="K1064" t="s">
        <v>3873</v>
      </c>
      <c r="L1064" t="s">
        <v>3874</v>
      </c>
      <c r="M1064" t="s">
        <v>1198</v>
      </c>
      <c r="P1064" s="18" t="s">
        <v>9217</v>
      </c>
    </row>
    <row r="1065" spans="1:16" hidden="1" x14ac:dyDescent="0.35">
      <c r="A1065" t="s">
        <v>2403</v>
      </c>
      <c r="B1065" s="3" t="s">
        <v>102</v>
      </c>
      <c r="C1065" s="3" t="s">
        <v>9209</v>
      </c>
      <c r="D1065" s="3"/>
      <c r="E1065" s="3"/>
      <c r="F1065" t="s">
        <v>3645</v>
      </c>
      <c r="H1065" t="s">
        <v>3875</v>
      </c>
      <c r="J1065" t="s">
        <v>3876</v>
      </c>
      <c r="K1065" t="s">
        <v>3877</v>
      </c>
      <c r="L1065" t="s">
        <v>3878</v>
      </c>
      <c r="M1065" t="s">
        <v>1198</v>
      </c>
      <c r="P1065" s="18" t="s">
        <v>9217</v>
      </c>
    </row>
    <row r="1066" spans="1:16" hidden="1" x14ac:dyDescent="0.35">
      <c r="A1066" t="s">
        <v>2403</v>
      </c>
      <c r="B1066" s="3" t="s">
        <v>102</v>
      </c>
      <c r="C1066" s="3" t="s">
        <v>9209</v>
      </c>
      <c r="D1066" s="3"/>
      <c r="E1066" s="3"/>
      <c r="F1066" t="s">
        <v>3645</v>
      </c>
      <c r="H1066" t="s">
        <v>3879</v>
      </c>
      <c r="J1066" t="s">
        <v>3880</v>
      </c>
      <c r="K1066" t="s">
        <v>3881</v>
      </c>
      <c r="L1066" t="s">
        <v>3882</v>
      </c>
      <c r="M1066" t="s">
        <v>263</v>
      </c>
      <c r="P1066" s="18" t="s">
        <v>9217</v>
      </c>
    </row>
    <row r="1067" spans="1:16" hidden="1" x14ac:dyDescent="0.35">
      <c r="A1067" t="s">
        <v>2403</v>
      </c>
      <c r="B1067" s="3" t="s">
        <v>102</v>
      </c>
      <c r="C1067" s="3" t="s">
        <v>9209</v>
      </c>
      <c r="D1067" s="3"/>
      <c r="E1067" s="3"/>
      <c r="F1067" t="s">
        <v>3645</v>
      </c>
      <c r="H1067" t="s">
        <v>3883</v>
      </c>
      <c r="J1067" t="s">
        <v>3884</v>
      </c>
      <c r="K1067" t="s">
        <v>1914</v>
      </c>
      <c r="L1067" t="s">
        <v>3885</v>
      </c>
      <c r="M1067" t="s">
        <v>263</v>
      </c>
      <c r="P1067" s="18" t="s">
        <v>9217</v>
      </c>
    </row>
    <row r="1068" spans="1:16" hidden="1" x14ac:dyDescent="0.35">
      <c r="A1068" t="s">
        <v>2403</v>
      </c>
      <c r="B1068" s="3" t="s">
        <v>102</v>
      </c>
      <c r="C1068" s="3" t="s">
        <v>9209</v>
      </c>
      <c r="D1068" s="3"/>
      <c r="E1068" s="3"/>
      <c r="F1068" t="s">
        <v>3645</v>
      </c>
      <c r="H1068" t="s">
        <v>3886</v>
      </c>
      <c r="J1068" t="s">
        <v>3887</v>
      </c>
      <c r="K1068" t="s">
        <v>3156</v>
      </c>
      <c r="L1068" t="s">
        <v>3888</v>
      </c>
      <c r="M1068" t="s">
        <v>2759</v>
      </c>
      <c r="P1068" s="18" t="s">
        <v>9217</v>
      </c>
    </row>
    <row r="1069" spans="1:16" hidden="1" x14ac:dyDescent="0.35">
      <c r="A1069" t="s">
        <v>2403</v>
      </c>
      <c r="B1069" s="3" t="s">
        <v>102</v>
      </c>
      <c r="C1069" s="3" t="s">
        <v>9209</v>
      </c>
      <c r="D1069" s="3"/>
      <c r="E1069" s="3"/>
      <c r="F1069" t="s">
        <v>3645</v>
      </c>
      <c r="H1069" t="s">
        <v>3889</v>
      </c>
      <c r="J1069" t="s">
        <v>3890</v>
      </c>
      <c r="K1069" t="s">
        <v>3891</v>
      </c>
      <c r="L1069" t="s">
        <v>3888</v>
      </c>
      <c r="M1069" t="s">
        <v>2759</v>
      </c>
      <c r="P1069" s="18" t="s">
        <v>9217</v>
      </c>
    </row>
    <row r="1070" spans="1:16" hidden="1" x14ac:dyDescent="0.35">
      <c r="A1070" t="s">
        <v>2403</v>
      </c>
      <c r="B1070" s="3" t="s">
        <v>102</v>
      </c>
      <c r="C1070" s="3" t="s">
        <v>9209</v>
      </c>
      <c r="D1070" s="3"/>
      <c r="E1070" s="3"/>
      <c r="F1070" t="s">
        <v>3645</v>
      </c>
      <c r="H1070" t="s">
        <v>3892</v>
      </c>
      <c r="J1070" t="s">
        <v>2516</v>
      </c>
      <c r="K1070" t="s">
        <v>3159</v>
      </c>
      <c r="L1070" t="s">
        <v>3893</v>
      </c>
      <c r="M1070" t="s">
        <v>229</v>
      </c>
      <c r="P1070" s="18" t="s">
        <v>9217</v>
      </c>
    </row>
    <row r="1071" spans="1:16" hidden="1" x14ac:dyDescent="0.35">
      <c r="A1071" t="s">
        <v>2403</v>
      </c>
      <c r="B1071" s="3" t="s">
        <v>102</v>
      </c>
      <c r="C1071" s="3" t="s">
        <v>9209</v>
      </c>
      <c r="D1071" s="3"/>
      <c r="E1071" s="3"/>
      <c r="F1071" t="s">
        <v>3645</v>
      </c>
      <c r="H1071" t="s">
        <v>3894</v>
      </c>
      <c r="J1071" t="s">
        <v>3162</v>
      </c>
      <c r="K1071" t="s">
        <v>3163</v>
      </c>
      <c r="L1071" t="s">
        <v>3895</v>
      </c>
      <c r="M1071" t="s">
        <v>229</v>
      </c>
      <c r="P1071" s="18" t="s">
        <v>9217</v>
      </c>
    </row>
    <row r="1072" spans="1:16" hidden="1" x14ac:dyDescent="0.35">
      <c r="A1072" t="s">
        <v>2403</v>
      </c>
      <c r="B1072" s="3" t="s">
        <v>102</v>
      </c>
      <c r="C1072" s="3" t="s">
        <v>9209</v>
      </c>
      <c r="D1072" s="3"/>
      <c r="E1072" s="3"/>
      <c r="F1072" t="s">
        <v>3645</v>
      </c>
      <c r="H1072" t="s">
        <v>3896</v>
      </c>
      <c r="J1072" t="s">
        <v>2645</v>
      </c>
      <c r="K1072" t="s">
        <v>3167</v>
      </c>
      <c r="L1072" t="s">
        <v>3897</v>
      </c>
      <c r="M1072" t="s">
        <v>229</v>
      </c>
      <c r="P1072" s="18" t="s">
        <v>9217</v>
      </c>
    </row>
    <row r="1073" spans="1:16" hidden="1" x14ac:dyDescent="0.35">
      <c r="A1073" t="s">
        <v>2403</v>
      </c>
      <c r="B1073" s="3" t="s">
        <v>102</v>
      </c>
      <c r="C1073" s="3" t="s">
        <v>9209</v>
      </c>
      <c r="D1073" s="3"/>
      <c r="E1073" s="3"/>
      <c r="F1073" t="s">
        <v>3645</v>
      </c>
      <c r="H1073" t="s">
        <v>3898</v>
      </c>
      <c r="J1073" t="s">
        <v>2649</v>
      </c>
      <c r="K1073" t="s">
        <v>3171</v>
      </c>
      <c r="L1073" t="s">
        <v>3899</v>
      </c>
      <c r="M1073" t="s">
        <v>229</v>
      </c>
      <c r="P1073" s="18" t="s">
        <v>9217</v>
      </c>
    </row>
    <row r="1074" spans="1:16" hidden="1" x14ac:dyDescent="0.35">
      <c r="A1074" t="s">
        <v>2403</v>
      </c>
      <c r="B1074" s="3" t="s">
        <v>102</v>
      </c>
      <c r="C1074" s="3" t="s">
        <v>9209</v>
      </c>
      <c r="D1074" s="3"/>
      <c r="E1074" s="3"/>
      <c r="F1074" t="s">
        <v>3645</v>
      </c>
      <c r="H1074" t="s">
        <v>3900</v>
      </c>
      <c r="J1074" t="s">
        <v>2400</v>
      </c>
      <c r="K1074" t="s">
        <v>3175</v>
      </c>
      <c r="L1074" t="s">
        <v>3901</v>
      </c>
      <c r="M1074" t="s">
        <v>229</v>
      </c>
      <c r="P1074" s="18" t="s">
        <v>9217</v>
      </c>
    </row>
    <row r="1075" spans="1:16" hidden="1" x14ac:dyDescent="0.35">
      <c r="A1075" t="s">
        <v>2403</v>
      </c>
      <c r="B1075" s="3" t="s">
        <v>102</v>
      </c>
      <c r="C1075" s="3" t="s">
        <v>9209</v>
      </c>
      <c r="D1075" s="3"/>
      <c r="E1075" s="3"/>
      <c r="F1075" t="s">
        <v>3645</v>
      </c>
      <c r="H1075" t="s">
        <v>3902</v>
      </c>
      <c r="J1075" t="s">
        <v>2405</v>
      </c>
      <c r="K1075" t="s">
        <v>3179</v>
      </c>
      <c r="L1075" t="s">
        <v>3903</v>
      </c>
      <c r="M1075" t="s">
        <v>229</v>
      </c>
      <c r="P1075" s="18" t="s">
        <v>9217</v>
      </c>
    </row>
    <row r="1076" spans="1:16" hidden="1" x14ac:dyDescent="0.35">
      <c r="A1076" t="s">
        <v>2403</v>
      </c>
      <c r="B1076" s="3" t="s">
        <v>102</v>
      </c>
      <c r="C1076" s="3" t="s">
        <v>9209</v>
      </c>
      <c r="D1076" s="3"/>
      <c r="E1076" s="3"/>
      <c r="F1076" t="s">
        <v>3645</v>
      </c>
      <c r="H1076" t="s">
        <v>3904</v>
      </c>
      <c r="J1076" t="s">
        <v>3182</v>
      </c>
      <c r="K1076" t="s">
        <v>3183</v>
      </c>
      <c r="L1076" t="s">
        <v>3184</v>
      </c>
      <c r="M1076" t="s">
        <v>2374</v>
      </c>
      <c r="P1076" s="18" t="s">
        <v>9217</v>
      </c>
    </row>
    <row r="1077" spans="1:16" hidden="1" x14ac:dyDescent="0.35">
      <c r="A1077" t="s">
        <v>2403</v>
      </c>
      <c r="B1077" s="3" t="s">
        <v>102</v>
      </c>
      <c r="C1077" s="3" t="s">
        <v>9209</v>
      </c>
      <c r="D1077" s="3"/>
      <c r="E1077" s="3"/>
      <c r="F1077" t="s">
        <v>3645</v>
      </c>
      <c r="H1077" t="s">
        <v>3905</v>
      </c>
      <c r="J1077" t="s">
        <v>3186</v>
      </c>
      <c r="K1077" t="s">
        <v>3187</v>
      </c>
      <c r="L1077" t="s">
        <v>3188</v>
      </c>
      <c r="M1077" t="s">
        <v>248</v>
      </c>
      <c r="P1077" s="18" t="s">
        <v>9217</v>
      </c>
    </row>
    <row r="1078" spans="1:16" hidden="1" x14ac:dyDescent="0.35">
      <c r="A1078" t="s">
        <v>2403</v>
      </c>
      <c r="B1078" s="3" t="s">
        <v>102</v>
      </c>
      <c r="C1078" s="3" t="s">
        <v>9209</v>
      </c>
      <c r="D1078" s="3"/>
      <c r="E1078" s="3"/>
      <c r="F1078" t="s">
        <v>3645</v>
      </c>
      <c r="H1078" t="s">
        <v>3906</v>
      </c>
      <c r="J1078" t="s">
        <v>3907</v>
      </c>
      <c r="K1078" t="s">
        <v>3908</v>
      </c>
      <c r="L1078" t="s">
        <v>3909</v>
      </c>
      <c r="M1078" t="s">
        <v>2759</v>
      </c>
      <c r="P1078" s="18" t="s">
        <v>9217</v>
      </c>
    </row>
    <row r="1079" spans="1:16" hidden="1" x14ac:dyDescent="0.35">
      <c r="A1079" t="s">
        <v>2403</v>
      </c>
      <c r="B1079" s="3" t="s">
        <v>102</v>
      </c>
      <c r="C1079" s="3" t="s">
        <v>9209</v>
      </c>
      <c r="D1079" s="3"/>
      <c r="E1079" s="3"/>
      <c r="F1079" t="s">
        <v>3645</v>
      </c>
      <c r="H1079" t="s">
        <v>3910</v>
      </c>
      <c r="J1079" t="s">
        <v>2516</v>
      </c>
      <c r="K1079" t="s">
        <v>3190</v>
      </c>
      <c r="L1079" t="s">
        <v>3911</v>
      </c>
      <c r="M1079" t="s">
        <v>229</v>
      </c>
      <c r="P1079" s="18" t="s">
        <v>9217</v>
      </c>
    </row>
    <row r="1080" spans="1:16" hidden="1" x14ac:dyDescent="0.35">
      <c r="A1080" t="s">
        <v>2403</v>
      </c>
      <c r="B1080" s="3" t="s">
        <v>102</v>
      </c>
      <c r="C1080" s="3" t="s">
        <v>9209</v>
      </c>
      <c r="D1080" s="3"/>
      <c r="E1080" s="3"/>
      <c r="F1080" t="s">
        <v>3645</v>
      </c>
      <c r="H1080" t="s">
        <v>3912</v>
      </c>
      <c r="J1080" t="s">
        <v>3162</v>
      </c>
      <c r="K1080" t="s">
        <v>3193</v>
      </c>
      <c r="L1080" t="s">
        <v>3913</v>
      </c>
      <c r="M1080" t="s">
        <v>229</v>
      </c>
      <c r="P1080" s="18" t="s">
        <v>9217</v>
      </c>
    </row>
    <row r="1081" spans="1:16" hidden="1" x14ac:dyDescent="0.35">
      <c r="A1081" t="s">
        <v>2403</v>
      </c>
      <c r="B1081" s="3" t="s">
        <v>102</v>
      </c>
      <c r="C1081" s="3" t="s">
        <v>9209</v>
      </c>
      <c r="D1081" s="3"/>
      <c r="E1081" s="3"/>
      <c r="F1081" t="s">
        <v>3645</v>
      </c>
      <c r="H1081" t="s">
        <v>3914</v>
      </c>
      <c r="J1081" t="s">
        <v>2645</v>
      </c>
      <c r="K1081" t="s">
        <v>3196</v>
      </c>
      <c r="L1081" t="s">
        <v>3915</v>
      </c>
      <c r="M1081" t="s">
        <v>229</v>
      </c>
      <c r="P1081" s="18" t="s">
        <v>9217</v>
      </c>
    </row>
    <row r="1082" spans="1:16" hidden="1" x14ac:dyDescent="0.35">
      <c r="A1082" t="s">
        <v>2403</v>
      </c>
      <c r="B1082" s="3" t="s">
        <v>102</v>
      </c>
      <c r="C1082" s="3" t="s">
        <v>9209</v>
      </c>
      <c r="D1082" s="3"/>
      <c r="E1082" s="3"/>
      <c r="F1082" t="s">
        <v>3645</v>
      </c>
      <c r="H1082" t="s">
        <v>3916</v>
      </c>
      <c r="J1082" t="s">
        <v>2649</v>
      </c>
      <c r="K1082" t="s">
        <v>3199</v>
      </c>
      <c r="L1082" t="s">
        <v>3917</v>
      </c>
      <c r="M1082" t="s">
        <v>229</v>
      </c>
      <c r="P1082" s="18" t="s">
        <v>9217</v>
      </c>
    </row>
    <row r="1083" spans="1:16" hidden="1" x14ac:dyDescent="0.35">
      <c r="A1083" t="s">
        <v>2403</v>
      </c>
      <c r="B1083" s="3" t="s">
        <v>102</v>
      </c>
      <c r="C1083" s="3" t="s">
        <v>9209</v>
      </c>
      <c r="D1083" s="3"/>
      <c r="E1083" s="3"/>
      <c r="F1083" t="s">
        <v>3645</v>
      </c>
      <c r="H1083" t="s">
        <v>3918</v>
      </c>
      <c r="J1083" t="s">
        <v>2400</v>
      </c>
      <c r="K1083" t="s">
        <v>3202</v>
      </c>
      <c r="L1083" t="s">
        <v>3919</v>
      </c>
      <c r="M1083" t="s">
        <v>229</v>
      </c>
      <c r="P1083" s="18" t="s">
        <v>9217</v>
      </c>
    </row>
    <row r="1084" spans="1:16" hidden="1" x14ac:dyDescent="0.35">
      <c r="A1084" t="s">
        <v>2403</v>
      </c>
      <c r="B1084" s="3" t="s">
        <v>102</v>
      </c>
      <c r="C1084" s="3" t="s">
        <v>9209</v>
      </c>
      <c r="D1084" s="3"/>
      <c r="E1084" s="3"/>
      <c r="F1084" t="s">
        <v>3645</v>
      </c>
      <c r="H1084" t="s">
        <v>3920</v>
      </c>
      <c r="J1084" t="s">
        <v>2405</v>
      </c>
      <c r="K1084" t="s">
        <v>3205</v>
      </c>
      <c r="L1084" t="s">
        <v>3921</v>
      </c>
      <c r="M1084" t="s">
        <v>229</v>
      </c>
      <c r="P1084" s="18" t="s">
        <v>9217</v>
      </c>
    </row>
    <row r="1085" spans="1:16" hidden="1" x14ac:dyDescent="0.35">
      <c r="A1085" t="s">
        <v>2403</v>
      </c>
      <c r="B1085" s="3" t="s">
        <v>102</v>
      </c>
      <c r="C1085" s="3" t="s">
        <v>9209</v>
      </c>
      <c r="D1085" s="3"/>
      <c r="E1085" s="3"/>
      <c r="F1085" t="s">
        <v>3645</v>
      </c>
      <c r="H1085" t="s">
        <v>3922</v>
      </c>
      <c r="J1085" t="s">
        <v>3208</v>
      </c>
      <c r="K1085" t="s">
        <v>3209</v>
      </c>
      <c r="L1085" t="s">
        <v>3210</v>
      </c>
      <c r="M1085" t="s">
        <v>248</v>
      </c>
      <c r="P1085" s="18" t="s">
        <v>9217</v>
      </c>
    </row>
    <row r="1086" spans="1:16" hidden="1" x14ac:dyDescent="0.35">
      <c r="A1086" t="s">
        <v>2403</v>
      </c>
      <c r="B1086" s="3" t="s">
        <v>102</v>
      </c>
      <c r="C1086" s="3" t="s">
        <v>9209</v>
      </c>
      <c r="D1086" s="3"/>
      <c r="E1086" s="3"/>
      <c r="F1086" t="s">
        <v>3645</v>
      </c>
      <c r="H1086" t="s">
        <v>3923</v>
      </c>
      <c r="J1086" t="s">
        <v>3924</v>
      </c>
      <c r="K1086" t="s">
        <v>3925</v>
      </c>
      <c r="L1086" t="s">
        <v>3926</v>
      </c>
      <c r="M1086" t="s">
        <v>2759</v>
      </c>
      <c r="P1086" s="18" t="s">
        <v>9217</v>
      </c>
    </row>
    <row r="1087" spans="1:16" hidden="1" x14ac:dyDescent="0.35">
      <c r="A1087" t="s">
        <v>2403</v>
      </c>
      <c r="B1087" s="3" t="s">
        <v>102</v>
      </c>
      <c r="C1087" s="3" t="s">
        <v>9209</v>
      </c>
      <c r="D1087" s="3"/>
      <c r="E1087" s="3"/>
      <c r="F1087" t="s">
        <v>3645</v>
      </c>
      <c r="H1087" t="s">
        <v>3927</v>
      </c>
      <c r="J1087" t="s">
        <v>2516</v>
      </c>
      <c r="K1087" t="s">
        <v>3212</v>
      </c>
      <c r="L1087" t="s">
        <v>3928</v>
      </c>
      <c r="M1087" t="s">
        <v>229</v>
      </c>
      <c r="P1087" s="18" t="s">
        <v>9217</v>
      </c>
    </row>
    <row r="1088" spans="1:16" hidden="1" x14ac:dyDescent="0.35">
      <c r="A1088" t="s">
        <v>2403</v>
      </c>
      <c r="B1088" s="3" t="s">
        <v>102</v>
      </c>
      <c r="C1088" s="3" t="s">
        <v>9209</v>
      </c>
      <c r="D1088" s="3"/>
      <c r="E1088" s="3"/>
      <c r="F1088" t="s">
        <v>3645</v>
      </c>
      <c r="H1088" t="s">
        <v>3929</v>
      </c>
      <c r="J1088" t="s">
        <v>3162</v>
      </c>
      <c r="K1088" t="s">
        <v>3215</v>
      </c>
      <c r="L1088" t="s">
        <v>3930</v>
      </c>
      <c r="M1088" t="s">
        <v>229</v>
      </c>
      <c r="P1088" s="18" t="s">
        <v>9217</v>
      </c>
    </row>
    <row r="1089" spans="1:16" hidden="1" x14ac:dyDescent="0.35">
      <c r="A1089" t="s">
        <v>2403</v>
      </c>
      <c r="B1089" s="3" t="s">
        <v>102</v>
      </c>
      <c r="C1089" s="3" t="s">
        <v>9209</v>
      </c>
      <c r="D1089" s="3"/>
      <c r="E1089" s="3"/>
      <c r="F1089" t="s">
        <v>3645</v>
      </c>
      <c r="H1089" t="s">
        <v>3931</v>
      </c>
      <c r="J1089" t="s">
        <v>2645</v>
      </c>
      <c r="K1089" t="s">
        <v>3218</v>
      </c>
      <c r="L1089" t="s">
        <v>3932</v>
      </c>
      <c r="M1089" t="s">
        <v>229</v>
      </c>
      <c r="P1089" s="18" t="s">
        <v>9217</v>
      </c>
    </row>
    <row r="1090" spans="1:16" hidden="1" x14ac:dyDescent="0.35">
      <c r="A1090" t="s">
        <v>2403</v>
      </c>
      <c r="B1090" s="3" t="s">
        <v>102</v>
      </c>
      <c r="C1090" s="3" t="s">
        <v>9209</v>
      </c>
      <c r="D1090" s="3"/>
      <c r="E1090" s="3"/>
      <c r="F1090" t="s">
        <v>3645</v>
      </c>
      <c r="H1090" t="s">
        <v>3933</v>
      </c>
      <c r="J1090" t="s">
        <v>2649</v>
      </c>
      <c r="K1090" t="s">
        <v>3221</v>
      </c>
      <c r="L1090" t="s">
        <v>3934</v>
      </c>
      <c r="M1090" t="s">
        <v>229</v>
      </c>
      <c r="P1090" s="18" t="s">
        <v>9217</v>
      </c>
    </row>
    <row r="1091" spans="1:16" hidden="1" x14ac:dyDescent="0.35">
      <c r="A1091" t="s">
        <v>2403</v>
      </c>
      <c r="B1091" s="3" t="s">
        <v>102</v>
      </c>
      <c r="C1091" s="3" t="s">
        <v>9209</v>
      </c>
      <c r="D1091" s="3"/>
      <c r="E1091" s="3"/>
      <c r="F1091" t="s">
        <v>3645</v>
      </c>
      <c r="H1091" t="s">
        <v>3935</v>
      </c>
      <c r="J1091" t="s">
        <v>2400</v>
      </c>
      <c r="K1091" t="s">
        <v>3224</v>
      </c>
      <c r="L1091" t="s">
        <v>3936</v>
      </c>
      <c r="M1091" t="s">
        <v>229</v>
      </c>
      <c r="P1091" s="18" t="s">
        <v>9217</v>
      </c>
    </row>
    <row r="1092" spans="1:16" hidden="1" x14ac:dyDescent="0.35">
      <c r="A1092" t="s">
        <v>2403</v>
      </c>
      <c r="B1092" s="3" t="s">
        <v>102</v>
      </c>
      <c r="C1092" s="3" t="s">
        <v>9209</v>
      </c>
      <c r="D1092" s="3"/>
      <c r="E1092" s="3"/>
      <c r="F1092" t="s">
        <v>3645</v>
      </c>
      <c r="H1092" t="s">
        <v>3937</v>
      </c>
      <c r="J1092" t="s">
        <v>2405</v>
      </c>
      <c r="K1092" t="s">
        <v>3227</v>
      </c>
      <c r="L1092" t="s">
        <v>3938</v>
      </c>
      <c r="M1092" t="s">
        <v>229</v>
      </c>
      <c r="P1092" s="18" t="s">
        <v>9217</v>
      </c>
    </row>
    <row r="1093" spans="1:16" hidden="1" x14ac:dyDescent="0.35">
      <c r="A1093" t="s">
        <v>2403</v>
      </c>
      <c r="B1093" s="3" t="s">
        <v>102</v>
      </c>
      <c r="C1093" s="3" t="s">
        <v>9209</v>
      </c>
      <c r="D1093" s="3"/>
      <c r="E1093" s="3"/>
      <c r="F1093" t="s">
        <v>3645</v>
      </c>
      <c r="H1093" t="s">
        <v>3939</v>
      </c>
      <c r="J1093" t="s">
        <v>3230</v>
      </c>
      <c r="K1093" t="s">
        <v>3231</v>
      </c>
      <c r="L1093" t="s">
        <v>3940</v>
      </c>
      <c r="M1093" t="s">
        <v>2374</v>
      </c>
      <c r="P1093" s="18" t="s">
        <v>9217</v>
      </c>
    </row>
    <row r="1094" spans="1:16" hidden="1" x14ac:dyDescent="0.35">
      <c r="A1094" t="s">
        <v>2403</v>
      </c>
      <c r="B1094" s="3" t="s">
        <v>102</v>
      </c>
      <c r="C1094" s="3" t="s">
        <v>9209</v>
      </c>
      <c r="D1094" s="3"/>
      <c r="E1094" s="3"/>
      <c r="F1094" t="s">
        <v>3645</v>
      </c>
      <c r="H1094" t="s">
        <v>3941</v>
      </c>
      <c r="J1094" t="s">
        <v>3234</v>
      </c>
      <c r="K1094" t="s">
        <v>3235</v>
      </c>
      <c r="L1094" t="s">
        <v>3942</v>
      </c>
      <c r="M1094" t="s">
        <v>2374</v>
      </c>
      <c r="P1094" s="18" t="s">
        <v>9217</v>
      </c>
    </row>
    <row r="1095" spans="1:16" hidden="1" x14ac:dyDescent="0.35">
      <c r="A1095" t="s">
        <v>2403</v>
      </c>
      <c r="B1095" s="3" t="s">
        <v>102</v>
      </c>
      <c r="C1095" s="3" t="s">
        <v>9209</v>
      </c>
      <c r="D1095" s="3"/>
      <c r="E1095" s="3"/>
      <c r="F1095" t="s">
        <v>3645</v>
      </c>
      <c r="H1095" t="s">
        <v>3943</v>
      </c>
      <c r="J1095" t="s">
        <v>3238</v>
      </c>
      <c r="K1095" t="s">
        <v>3944</v>
      </c>
      <c r="L1095" t="s">
        <v>3945</v>
      </c>
      <c r="M1095" t="s">
        <v>248</v>
      </c>
      <c r="P1095" s="18" t="s">
        <v>9217</v>
      </c>
    </row>
    <row r="1096" spans="1:16" hidden="1" x14ac:dyDescent="0.35">
      <c r="A1096" t="s">
        <v>2403</v>
      </c>
      <c r="B1096" s="3" t="s">
        <v>102</v>
      </c>
      <c r="C1096" s="3" t="s">
        <v>9209</v>
      </c>
      <c r="D1096" s="3"/>
      <c r="E1096" s="3"/>
      <c r="F1096" t="s">
        <v>3645</v>
      </c>
      <c r="H1096" t="s">
        <v>3946</v>
      </c>
      <c r="J1096" t="s">
        <v>3947</v>
      </c>
      <c r="K1096" t="s">
        <v>3948</v>
      </c>
      <c r="L1096" t="s">
        <v>3949</v>
      </c>
      <c r="M1096" t="s">
        <v>2759</v>
      </c>
      <c r="P1096" s="18" t="s">
        <v>9217</v>
      </c>
    </row>
    <row r="1097" spans="1:16" hidden="1" x14ac:dyDescent="0.35">
      <c r="A1097" t="s">
        <v>2403</v>
      </c>
      <c r="B1097" s="3" t="s">
        <v>102</v>
      </c>
      <c r="C1097" s="3" t="s">
        <v>9209</v>
      </c>
      <c r="D1097" s="3"/>
      <c r="E1097" s="3"/>
      <c r="F1097" t="s">
        <v>3645</v>
      </c>
      <c r="H1097" t="s">
        <v>3950</v>
      </c>
      <c r="J1097" t="s">
        <v>2516</v>
      </c>
      <c r="K1097" t="s">
        <v>3242</v>
      </c>
      <c r="L1097" t="s">
        <v>3951</v>
      </c>
      <c r="M1097" t="s">
        <v>229</v>
      </c>
      <c r="P1097" s="18" t="s">
        <v>9217</v>
      </c>
    </row>
    <row r="1098" spans="1:16" hidden="1" x14ac:dyDescent="0.35">
      <c r="A1098" t="s">
        <v>2403</v>
      </c>
      <c r="B1098" s="3" t="s">
        <v>102</v>
      </c>
      <c r="C1098" s="3" t="s">
        <v>9209</v>
      </c>
      <c r="D1098" s="3"/>
      <c r="E1098" s="3"/>
      <c r="F1098" t="s">
        <v>3645</v>
      </c>
      <c r="H1098" t="s">
        <v>3952</v>
      </c>
      <c r="J1098" t="s">
        <v>3162</v>
      </c>
      <c r="K1098" t="s">
        <v>3245</v>
      </c>
      <c r="L1098" t="s">
        <v>3953</v>
      </c>
      <c r="M1098" t="s">
        <v>229</v>
      </c>
      <c r="P1098" s="18" t="s">
        <v>9217</v>
      </c>
    </row>
    <row r="1099" spans="1:16" hidden="1" x14ac:dyDescent="0.35">
      <c r="A1099" t="s">
        <v>2403</v>
      </c>
      <c r="B1099" s="3" t="s">
        <v>102</v>
      </c>
      <c r="C1099" s="3" t="s">
        <v>9209</v>
      </c>
      <c r="D1099" s="3"/>
      <c r="E1099" s="3"/>
      <c r="F1099" t="s">
        <v>3645</v>
      </c>
      <c r="H1099" t="s">
        <v>3954</v>
      </c>
      <c r="J1099" t="s">
        <v>2645</v>
      </c>
      <c r="K1099" t="s">
        <v>3248</v>
      </c>
      <c r="L1099" t="s">
        <v>3955</v>
      </c>
      <c r="M1099" t="s">
        <v>229</v>
      </c>
      <c r="P1099" s="18" t="s">
        <v>9217</v>
      </c>
    </row>
    <row r="1100" spans="1:16" hidden="1" x14ac:dyDescent="0.35">
      <c r="A1100" t="s">
        <v>2403</v>
      </c>
      <c r="B1100" s="3" t="s">
        <v>102</v>
      </c>
      <c r="C1100" s="3" t="s">
        <v>9209</v>
      </c>
      <c r="D1100" s="3"/>
      <c r="E1100" s="3"/>
      <c r="F1100" t="s">
        <v>3645</v>
      </c>
      <c r="H1100" t="s">
        <v>3956</v>
      </c>
      <c r="J1100" t="s">
        <v>2649</v>
      </c>
      <c r="K1100" t="s">
        <v>3251</v>
      </c>
      <c r="L1100" t="s">
        <v>3957</v>
      </c>
      <c r="M1100" t="s">
        <v>229</v>
      </c>
      <c r="P1100" s="18" t="s">
        <v>9217</v>
      </c>
    </row>
    <row r="1101" spans="1:16" hidden="1" x14ac:dyDescent="0.35">
      <c r="A1101" t="s">
        <v>2403</v>
      </c>
      <c r="B1101" s="3" t="s">
        <v>102</v>
      </c>
      <c r="C1101" s="3" t="s">
        <v>9209</v>
      </c>
      <c r="D1101" s="3"/>
      <c r="E1101" s="3"/>
      <c r="F1101" t="s">
        <v>3645</v>
      </c>
      <c r="H1101" t="s">
        <v>3958</v>
      </c>
      <c r="J1101" t="s">
        <v>2400</v>
      </c>
      <c r="K1101" t="s">
        <v>3254</v>
      </c>
      <c r="L1101" t="s">
        <v>3959</v>
      </c>
      <c r="M1101" t="s">
        <v>229</v>
      </c>
      <c r="P1101" s="18" t="s">
        <v>9217</v>
      </c>
    </row>
    <row r="1102" spans="1:16" hidden="1" x14ac:dyDescent="0.35">
      <c r="A1102" t="s">
        <v>2403</v>
      </c>
      <c r="B1102" s="3" t="s">
        <v>102</v>
      </c>
      <c r="C1102" s="3" t="s">
        <v>9209</v>
      </c>
      <c r="D1102" s="3"/>
      <c r="E1102" s="3"/>
      <c r="F1102" t="s">
        <v>3645</v>
      </c>
      <c r="H1102" t="s">
        <v>3960</v>
      </c>
      <c r="J1102" t="s">
        <v>2405</v>
      </c>
      <c r="K1102" t="s">
        <v>3257</v>
      </c>
      <c r="L1102" t="s">
        <v>3961</v>
      </c>
      <c r="M1102" t="s">
        <v>229</v>
      </c>
      <c r="P1102" s="18" t="s">
        <v>9217</v>
      </c>
    </row>
    <row r="1103" spans="1:16" hidden="1" x14ac:dyDescent="0.35">
      <c r="A1103" t="s">
        <v>2403</v>
      </c>
      <c r="B1103" s="3" t="s">
        <v>102</v>
      </c>
      <c r="C1103" s="3" t="s">
        <v>9209</v>
      </c>
      <c r="D1103" s="3"/>
      <c r="E1103" s="3"/>
      <c r="F1103" t="s">
        <v>3645</v>
      </c>
      <c r="H1103" t="s">
        <v>3962</v>
      </c>
      <c r="J1103" t="s">
        <v>3208</v>
      </c>
      <c r="K1103" t="s">
        <v>3260</v>
      </c>
      <c r="L1103" t="s">
        <v>3963</v>
      </c>
      <c r="M1103" t="s">
        <v>248</v>
      </c>
      <c r="P1103" s="18" t="s">
        <v>9217</v>
      </c>
    </row>
    <row r="1104" spans="1:16" hidden="1" x14ac:dyDescent="0.35">
      <c r="A1104" t="s">
        <v>2403</v>
      </c>
      <c r="B1104" s="3" t="s">
        <v>102</v>
      </c>
      <c r="C1104" s="3" t="s">
        <v>9209</v>
      </c>
      <c r="D1104" s="3"/>
      <c r="E1104" s="3"/>
      <c r="F1104" t="s">
        <v>3645</v>
      </c>
      <c r="H1104" t="s">
        <v>3964</v>
      </c>
      <c r="J1104" t="s">
        <v>3965</v>
      </c>
      <c r="K1104" t="s">
        <v>3966</v>
      </c>
      <c r="L1104" t="s">
        <v>3967</v>
      </c>
      <c r="M1104" t="s">
        <v>2759</v>
      </c>
      <c r="P1104" s="18" t="s">
        <v>9217</v>
      </c>
    </row>
    <row r="1105" spans="1:16" hidden="1" x14ac:dyDescent="0.35">
      <c r="A1105" t="s">
        <v>2403</v>
      </c>
      <c r="B1105" s="3" t="s">
        <v>102</v>
      </c>
      <c r="C1105" s="3" t="s">
        <v>9209</v>
      </c>
      <c r="D1105" s="3"/>
      <c r="E1105" s="3"/>
      <c r="F1105" t="s">
        <v>3645</v>
      </c>
      <c r="H1105" t="s">
        <v>3968</v>
      </c>
      <c r="J1105" t="s">
        <v>3969</v>
      </c>
      <c r="K1105" t="s">
        <v>3970</v>
      </c>
      <c r="L1105" t="s">
        <v>3971</v>
      </c>
      <c r="M1105" t="s">
        <v>2759</v>
      </c>
      <c r="P1105" s="18" t="s">
        <v>9217</v>
      </c>
    </row>
    <row r="1106" spans="1:16" hidden="1" x14ac:dyDescent="0.35">
      <c r="A1106" t="s">
        <v>2403</v>
      </c>
      <c r="B1106" s="3" t="s">
        <v>102</v>
      </c>
      <c r="C1106" s="3" t="s">
        <v>9209</v>
      </c>
      <c r="D1106" s="3"/>
      <c r="E1106" s="3"/>
      <c r="F1106" t="s">
        <v>3645</v>
      </c>
      <c r="H1106" t="s">
        <v>3972</v>
      </c>
      <c r="J1106" t="s">
        <v>2516</v>
      </c>
      <c r="K1106" t="s">
        <v>3266</v>
      </c>
      <c r="L1106" t="s">
        <v>3973</v>
      </c>
      <c r="M1106" t="s">
        <v>229</v>
      </c>
      <c r="P1106" s="18" t="s">
        <v>9217</v>
      </c>
    </row>
    <row r="1107" spans="1:16" hidden="1" x14ac:dyDescent="0.35">
      <c r="A1107" t="s">
        <v>2403</v>
      </c>
      <c r="B1107" s="3" t="s">
        <v>102</v>
      </c>
      <c r="C1107" s="3" t="s">
        <v>9209</v>
      </c>
      <c r="D1107" s="3"/>
      <c r="E1107" s="3"/>
      <c r="F1107" t="s">
        <v>3645</v>
      </c>
      <c r="H1107" t="s">
        <v>3974</v>
      </c>
      <c r="J1107" t="s">
        <v>3270</v>
      </c>
      <c r="K1107" t="s">
        <v>3271</v>
      </c>
      <c r="L1107" t="s">
        <v>3975</v>
      </c>
      <c r="M1107" t="s">
        <v>229</v>
      </c>
      <c r="P1107" s="18" t="s">
        <v>9217</v>
      </c>
    </row>
    <row r="1108" spans="1:16" hidden="1" x14ac:dyDescent="0.35">
      <c r="A1108" t="s">
        <v>2403</v>
      </c>
      <c r="B1108" s="3" t="s">
        <v>102</v>
      </c>
      <c r="C1108" s="3" t="s">
        <v>9209</v>
      </c>
      <c r="D1108" s="3"/>
      <c r="E1108" s="3"/>
      <c r="F1108" t="s">
        <v>3645</v>
      </c>
      <c r="H1108" t="s">
        <v>3976</v>
      </c>
      <c r="J1108" t="s">
        <v>2649</v>
      </c>
      <c r="K1108" t="s">
        <v>3275</v>
      </c>
      <c r="L1108" t="s">
        <v>3977</v>
      </c>
      <c r="M1108" t="s">
        <v>229</v>
      </c>
      <c r="P1108" s="18" t="s">
        <v>9217</v>
      </c>
    </row>
    <row r="1109" spans="1:16" hidden="1" x14ac:dyDescent="0.35">
      <c r="A1109" t="s">
        <v>2403</v>
      </c>
      <c r="B1109" s="3" t="s">
        <v>102</v>
      </c>
      <c r="C1109" s="3" t="s">
        <v>9209</v>
      </c>
      <c r="D1109" s="3"/>
      <c r="E1109" s="3"/>
      <c r="F1109" t="s">
        <v>3645</v>
      </c>
      <c r="H1109" t="s">
        <v>3978</v>
      </c>
      <c r="J1109" t="s">
        <v>2400</v>
      </c>
      <c r="K1109" t="s">
        <v>3278</v>
      </c>
      <c r="L1109" t="s">
        <v>3979</v>
      </c>
      <c r="M1109" t="s">
        <v>229</v>
      </c>
      <c r="P1109" s="18" t="s">
        <v>9217</v>
      </c>
    </row>
    <row r="1110" spans="1:16" hidden="1" x14ac:dyDescent="0.35">
      <c r="A1110" t="s">
        <v>2403</v>
      </c>
      <c r="B1110" s="3" t="s">
        <v>102</v>
      </c>
      <c r="C1110" s="3" t="s">
        <v>9209</v>
      </c>
      <c r="D1110" s="3"/>
      <c r="E1110" s="3"/>
      <c r="F1110" t="s">
        <v>3645</v>
      </c>
      <c r="H1110" t="s">
        <v>3980</v>
      </c>
      <c r="J1110" t="s">
        <v>2405</v>
      </c>
      <c r="K1110" t="s">
        <v>3281</v>
      </c>
      <c r="L1110" t="s">
        <v>3981</v>
      </c>
      <c r="M1110" t="s">
        <v>229</v>
      </c>
      <c r="P1110" s="18" t="s">
        <v>9217</v>
      </c>
    </row>
    <row r="1111" spans="1:16" hidden="1" x14ac:dyDescent="0.35">
      <c r="A1111" t="s">
        <v>2403</v>
      </c>
      <c r="B1111" s="3" t="s">
        <v>102</v>
      </c>
      <c r="C1111" s="3" t="s">
        <v>9209</v>
      </c>
      <c r="D1111" s="3"/>
      <c r="E1111" s="3"/>
      <c r="F1111" t="s">
        <v>3645</v>
      </c>
      <c r="H1111" t="s">
        <v>3982</v>
      </c>
      <c r="J1111" t="s">
        <v>3284</v>
      </c>
      <c r="K1111" t="s">
        <v>3285</v>
      </c>
      <c r="L1111" t="s">
        <v>3983</v>
      </c>
      <c r="M1111" t="s">
        <v>2374</v>
      </c>
      <c r="P1111" s="18" t="s">
        <v>9217</v>
      </c>
    </row>
    <row r="1112" spans="1:16" hidden="1" x14ac:dyDescent="0.35">
      <c r="A1112" t="s">
        <v>2403</v>
      </c>
      <c r="B1112" s="3" t="s">
        <v>102</v>
      </c>
      <c r="C1112" s="3" t="s">
        <v>9209</v>
      </c>
      <c r="D1112" s="3"/>
      <c r="E1112" s="3"/>
      <c r="F1112" t="s">
        <v>3645</v>
      </c>
      <c r="H1112" t="s">
        <v>3984</v>
      </c>
      <c r="J1112" t="s">
        <v>3288</v>
      </c>
      <c r="K1112" t="s">
        <v>3985</v>
      </c>
      <c r="L1112" t="s">
        <v>3986</v>
      </c>
      <c r="M1112" t="s">
        <v>2374</v>
      </c>
      <c r="P1112" s="18" t="s">
        <v>9217</v>
      </c>
    </row>
    <row r="1113" spans="1:16" hidden="1" x14ac:dyDescent="0.35">
      <c r="A1113" t="s">
        <v>2403</v>
      </c>
      <c r="B1113" s="3" t="s">
        <v>102</v>
      </c>
      <c r="C1113" s="3" t="s">
        <v>9209</v>
      </c>
      <c r="D1113" s="3"/>
      <c r="E1113" s="3"/>
      <c r="F1113" t="s">
        <v>3645</v>
      </c>
      <c r="H1113" t="s">
        <v>3987</v>
      </c>
      <c r="J1113" t="s">
        <v>3292</v>
      </c>
      <c r="K1113" t="s">
        <v>3988</v>
      </c>
      <c r="L1113" t="s">
        <v>3989</v>
      </c>
      <c r="M1113" t="s">
        <v>2374</v>
      </c>
      <c r="P1113" s="18" t="s">
        <v>9217</v>
      </c>
    </row>
    <row r="1114" spans="1:16" hidden="1" x14ac:dyDescent="0.35">
      <c r="A1114" t="s">
        <v>2403</v>
      </c>
      <c r="B1114" s="3" t="s">
        <v>102</v>
      </c>
      <c r="C1114" s="3" t="s">
        <v>9209</v>
      </c>
      <c r="D1114" s="3"/>
      <c r="E1114" s="3"/>
      <c r="F1114" t="s">
        <v>3645</v>
      </c>
      <c r="H1114" t="s">
        <v>3990</v>
      </c>
      <c r="J1114" t="s">
        <v>3991</v>
      </c>
      <c r="K1114" t="s">
        <v>3992</v>
      </c>
      <c r="L1114" t="s">
        <v>3993</v>
      </c>
      <c r="M1114" t="s">
        <v>2759</v>
      </c>
      <c r="P1114" s="18" t="s">
        <v>9217</v>
      </c>
    </row>
    <row r="1115" spans="1:16" hidden="1" x14ac:dyDescent="0.35">
      <c r="A1115" t="s">
        <v>2403</v>
      </c>
      <c r="B1115" s="3" t="s">
        <v>102</v>
      </c>
      <c r="C1115" s="3" t="s">
        <v>9209</v>
      </c>
      <c r="D1115" s="3"/>
      <c r="E1115" s="3"/>
      <c r="F1115" t="s">
        <v>3645</v>
      </c>
      <c r="H1115" t="s">
        <v>3994</v>
      </c>
      <c r="J1115" t="s">
        <v>3995</v>
      </c>
      <c r="K1115" t="s">
        <v>3996</v>
      </c>
      <c r="L1115" t="s">
        <v>3997</v>
      </c>
      <c r="M1115" t="s">
        <v>2759</v>
      </c>
      <c r="P1115" s="18" t="s">
        <v>9217</v>
      </c>
    </row>
    <row r="1116" spans="1:16" hidden="1" x14ac:dyDescent="0.35">
      <c r="A1116" t="s">
        <v>2403</v>
      </c>
      <c r="B1116" s="3" t="s">
        <v>102</v>
      </c>
      <c r="C1116" s="3" t="s">
        <v>9209</v>
      </c>
      <c r="D1116" s="3"/>
      <c r="E1116" s="3"/>
      <c r="F1116" t="s">
        <v>3645</v>
      </c>
      <c r="H1116" t="s">
        <v>3998</v>
      </c>
      <c r="J1116" t="s">
        <v>2516</v>
      </c>
      <c r="K1116" t="s">
        <v>3323</v>
      </c>
      <c r="L1116" t="s">
        <v>3999</v>
      </c>
      <c r="M1116" t="s">
        <v>229</v>
      </c>
      <c r="P1116" s="18" t="s">
        <v>9217</v>
      </c>
    </row>
    <row r="1117" spans="1:16" hidden="1" x14ac:dyDescent="0.35">
      <c r="A1117" t="s">
        <v>2403</v>
      </c>
      <c r="B1117" s="3" t="s">
        <v>102</v>
      </c>
      <c r="C1117" s="3" t="s">
        <v>9209</v>
      </c>
      <c r="D1117" s="3"/>
      <c r="E1117" s="3"/>
      <c r="F1117" t="s">
        <v>3645</v>
      </c>
      <c r="H1117" t="s">
        <v>4000</v>
      </c>
      <c r="J1117" t="s">
        <v>2649</v>
      </c>
      <c r="K1117" t="s">
        <v>3326</v>
      </c>
      <c r="L1117" t="s">
        <v>4001</v>
      </c>
      <c r="M1117" t="s">
        <v>229</v>
      </c>
      <c r="P1117" s="18" t="s">
        <v>9217</v>
      </c>
    </row>
    <row r="1118" spans="1:16" hidden="1" x14ac:dyDescent="0.35">
      <c r="A1118" t="s">
        <v>2403</v>
      </c>
      <c r="B1118" s="3" t="s">
        <v>102</v>
      </c>
      <c r="C1118" s="3" t="s">
        <v>9209</v>
      </c>
      <c r="D1118" s="3"/>
      <c r="E1118" s="3"/>
      <c r="F1118" t="s">
        <v>3645</v>
      </c>
      <c r="H1118" t="s">
        <v>4002</v>
      </c>
      <c r="J1118" t="s">
        <v>2400</v>
      </c>
      <c r="K1118" t="s">
        <v>3329</v>
      </c>
      <c r="L1118" t="s">
        <v>4003</v>
      </c>
      <c r="M1118" t="s">
        <v>229</v>
      </c>
      <c r="P1118" s="18" t="s">
        <v>9217</v>
      </c>
    </row>
    <row r="1119" spans="1:16" hidden="1" x14ac:dyDescent="0.35">
      <c r="A1119" t="s">
        <v>2403</v>
      </c>
      <c r="B1119" s="3" t="s">
        <v>102</v>
      </c>
      <c r="C1119" s="3" t="s">
        <v>9209</v>
      </c>
      <c r="D1119" s="3"/>
      <c r="E1119" s="3"/>
      <c r="F1119" t="s">
        <v>3645</v>
      </c>
      <c r="H1119" t="s">
        <v>4004</v>
      </c>
      <c r="J1119" t="s">
        <v>2405</v>
      </c>
      <c r="K1119" t="s">
        <v>3332</v>
      </c>
      <c r="L1119" t="s">
        <v>4005</v>
      </c>
      <c r="M1119" t="s">
        <v>229</v>
      </c>
      <c r="P1119" s="18" t="s">
        <v>9217</v>
      </c>
    </row>
    <row r="1120" spans="1:16" hidden="1" x14ac:dyDescent="0.35">
      <c r="A1120" t="s">
        <v>2403</v>
      </c>
      <c r="B1120" s="3" t="s">
        <v>102</v>
      </c>
      <c r="C1120" s="3" t="s">
        <v>9209</v>
      </c>
      <c r="D1120" s="3"/>
      <c r="E1120" s="3"/>
      <c r="F1120" t="s">
        <v>3645</v>
      </c>
      <c r="H1120" t="s">
        <v>4006</v>
      </c>
      <c r="J1120" t="s">
        <v>3335</v>
      </c>
      <c r="K1120" t="s">
        <v>3336</v>
      </c>
      <c r="L1120" t="s">
        <v>4007</v>
      </c>
      <c r="M1120" t="s">
        <v>2374</v>
      </c>
      <c r="P1120" s="18" t="s">
        <v>9217</v>
      </c>
    </row>
    <row r="1121" spans="1:16" hidden="1" x14ac:dyDescent="0.35">
      <c r="A1121" t="s">
        <v>2403</v>
      </c>
      <c r="B1121" s="3" t="s">
        <v>102</v>
      </c>
      <c r="C1121" s="3" t="s">
        <v>9209</v>
      </c>
      <c r="D1121" s="3"/>
      <c r="E1121" s="3"/>
      <c r="F1121" t="s">
        <v>3645</v>
      </c>
      <c r="H1121" t="s">
        <v>4008</v>
      </c>
      <c r="J1121" t="s">
        <v>3339</v>
      </c>
      <c r="K1121" t="s">
        <v>3340</v>
      </c>
      <c r="L1121" t="s">
        <v>4009</v>
      </c>
      <c r="M1121" t="s">
        <v>2374</v>
      </c>
      <c r="P1121" s="18" t="s">
        <v>9217</v>
      </c>
    </row>
    <row r="1122" spans="1:16" hidden="1" x14ac:dyDescent="0.35">
      <c r="A1122" t="s">
        <v>2403</v>
      </c>
      <c r="B1122" s="3" t="s">
        <v>102</v>
      </c>
      <c r="C1122" s="3" t="s">
        <v>9209</v>
      </c>
      <c r="D1122" s="3"/>
      <c r="E1122" s="3"/>
      <c r="F1122" t="s">
        <v>3645</v>
      </c>
      <c r="H1122" t="s">
        <v>4010</v>
      </c>
      <c r="J1122" t="s">
        <v>3343</v>
      </c>
      <c r="K1122" t="s">
        <v>3344</v>
      </c>
      <c r="L1122" t="s">
        <v>3345</v>
      </c>
      <c r="M1122" t="s">
        <v>3017</v>
      </c>
      <c r="P1122" s="18" t="s">
        <v>9217</v>
      </c>
    </row>
    <row r="1123" spans="1:16" hidden="1" x14ac:dyDescent="0.35">
      <c r="A1123" t="s">
        <v>2403</v>
      </c>
      <c r="B1123" s="3" t="s">
        <v>102</v>
      </c>
      <c r="C1123" s="3" t="s">
        <v>9209</v>
      </c>
      <c r="D1123" s="3"/>
      <c r="E1123" s="3"/>
      <c r="F1123" t="s">
        <v>3645</v>
      </c>
      <c r="H1123" t="s">
        <v>4011</v>
      </c>
      <c r="J1123" t="s">
        <v>3347</v>
      </c>
      <c r="K1123" t="s">
        <v>3348</v>
      </c>
      <c r="L1123" t="s">
        <v>3349</v>
      </c>
      <c r="M1123" t="s">
        <v>3022</v>
      </c>
      <c r="P1123" s="18" t="s">
        <v>9217</v>
      </c>
    </row>
    <row r="1124" spans="1:16" hidden="1" x14ac:dyDescent="0.35">
      <c r="A1124" t="s">
        <v>2403</v>
      </c>
      <c r="B1124" s="3" t="s">
        <v>102</v>
      </c>
      <c r="C1124" s="3" t="s">
        <v>9209</v>
      </c>
      <c r="D1124" s="3"/>
      <c r="E1124" s="3"/>
      <c r="F1124" t="s">
        <v>3645</v>
      </c>
      <c r="H1124" t="s">
        <v>4012</v>
      </c>
      <c r="J1124" t="s">
        <v>3351</v>
      </c>
      <c r="K1124" t="s">
        <v>3352</v>
      </c>
      <c r="L1124" t="s">
        <v>3353</v>
      </c>
      <c r="M1124" t="s">
        <v>3022</v>
      </c>
      <c r="P1124" s="18" t="s">
        <v>9217</v>
      </c>
    </row>
    <row r="1125" spans="1:16" hidden="1" x14ac:dyDescent="0.35">
      <c r="A1125" t="s">
        <v>2403</v>
      </c>
      <c r="B1125" s="3" t="s">
        <v>102</v>
      </c>
      <c r="C1125" s="3" t="s">
        <v>9209</v>
      </c>
      <c r="D1125" s="3"/>
      <c r="E1125" s="3"/>
      <c r="F1125" t="s">
        <v>3645</v>
      </c>
      <c r="H1125" t="s">
        <v>4013</v>
      </c>
      <c r="J1125" t="s">
        <v>3355</v>
      </c>
      <c r="K1125" t="s">
        <v>3356</v>
      </c>
      <c r="L1125" t="s">
        <v>3357</v>
      </c>
      <c r="M1125" t="s">
        <v>3022</v>
      </c>
      <c r="P1125" s="18" t="s">
        <v>9217</v>
      </c>
    </row>
    <row r="1126" spans="1:16" hidden="1" x14ac:dyDescent="0.35">
      <c r="A1126" t="s">
        <v>2403</v>
      </c>
      <c r="B1126" s="3" t="s">
        <v>102</v>
      </c>
      <c r="C1126" s="3" t="s">
        <v>9209</v>
      </c>
      <c r="D1126" s="3"/>
      <c r="E1126" s="3"/>
      <c r="F1126" t="s">
        <v>3645</v>
      </c>
      <c r="H1126" t="s">
        <v>4014</v>
      </c>
      <c r="J1126" t="s">
        <v>3359</v>
      </c>
      <c r="K1126" t="s">
        <v>3360</v>
      </c>
      <c r="L1126" t="s">
        <v>3361</v>
      </c>
      <c r="M1126" t="s">
        <v>3022</v>
      </c>
      <c r="P1126" s="18" t="s">
        <v>9217</v>
      </c>
    </row>
    <row r="1127" spans="1:16" hidden="1" x14ac:dyDescent="0.35">
      <c r="A1127" t="s">
        <v>2403</v>
      </c>
      <c r="B1127" s="3" t="s">
        <v>102</v>
      </c>
      <c r="C1127" s="3" t="s">
        <v>9209</v>
      </c>
      <c r="D1127" s="3"/>
      <c r="E1127" s="3"/>
      <c r="F1127" t="s">
        <v>3645</v>
      </c>
      <c r="H1127" t="s">
        <v>4015</v>
      </c>
      <c r="J1127" t="s">
        <v>3363</v>
      </c>
      <c r="K1127" t="s">
        <v>3364</v>
      </c>
      <c r="L1127" t="s">
        <v>3365</v>
      </c>
      <c r="M1127" t="s">
        <v>3022</v>
      </c>
      <c r="P1127" s="18" t="s">
        <v>9217</v>
      </c>
    </row>
    <row r="1128" spans="1:16" hidden="1" x14ac:dyDescent="0.35">
      <c r="A1128" t="s">
        <v>2403</v>
      </c>
      <c r="B1128" s="3" t="s">
        <v>102</v>
      </c>
      <c r="C1128" s="3" t="s">
        <v>9209</v>
      </c>
      <c r="D1128" s="3"/>
      <c r="E1128" s="3"/>
      <c r="F1128" t="s">
        <v>3645</v>
      </c>
      <c r="H1128" t="s">
        <v>4016</v>
      </c>
      <c r="J1128" t="s">
        <v>3367</v>
      </c>
      <c r="K1128" t="s">
        <v>3368</v>
      </c>
      <c r="L1128" t="s">
        <v>3369</v>
      </c>
      <c r="M1128" t="s">
        <v>3022</v>
      </c>
      <c r="P1128" s="18" t="s">
        <v>9217</v>
      </c>
    </row>
    <row r="1129" spans="1:16" hidden="1" x14ac:dyDescent="0.35">
      <c r="A1129" t="s">
        <v>2403</v>
      </c>
      <c r="B1129" s="3" t="s">
        <v>102</v>
      </c>
      <c r="C1129" s="3" t="s">
        <v>9209</v>
      </c>
      <c r="D1129" s="3"/>
      <c r="E1129" s="3"/>
      <c r="F1129" t="s">
        <v>3645</v>
      </c>
      <c r="H1129" t="s">
        <v>4017</v>
      </c>
      <c r="J1129" t="s">
        <v>3371</v>
      </c>
      <c r="K1129" t="s">
        <v>3372</v>
      </c>
      <c r="L1129" t="s">
        <v>3373</v>
      </c>
      <c r="M1129" t="s">
        <v>3022</v>
      </c>
      <c r="P1129" s="18" t="s">
        <v>9217</v>
      </c>
    </row>
    <row r="1130" spans="1:16" hidden="1" x14ac:dyDescent="0.35">
      <c r="A1130" t="s">
        <v>2403</v>
      </c>
      <c r="B1130" s="3" t="s">
        <v>102</v>
      </c>
      <c r="C1130" s="3" t="s">
        <v>9209</v>
      </c>
      <c r="D1130" s="3"/>
      <c r="E1130" s="3"/>
      <c r="F1130" t="s">
        <v>3645</v>
      </c>
      <c r="H1130" t="s">
        <v>4018</v>
      </c>
      <c r="J1130" t="s">
        <v>3375</v>
      </c>
      <c r="K1130" t="s">
        <v>3376</v>
      </c>
      <c r="L1130" t="s">
        <v>4019</v>
      </c>
      <c r="M1130" t="s">
        <v>3022</v>
      </c>
      <c r="P1130" s="18" t="s">
        <v>9217</v>
      </c>
    </row>
    <row r="1131" spans="1:16" hidden="1" x14ac:dyDescent="0.35">
      <c r="A1131" t="s">
        <v>2403</v>
      </c>
      <c r="B1131" s="3" t="s">
        <v>102</v>
      </c>
      <c r="C1131" s="3" t="s">
        <v>9209</v>
      </c>
      <c r="D1131" s="3"/>
      <c r="E1131" s="3"/>
      <c r="F1131" t="s">
        <v>3645</v>
      </c>
      <c r="H1131" t="s">
        <v>4020</v>
      </c>
      <c r="J1131" t="s">
        <v>3040</v>
      </c>
      <c r="K1131" t="s">
        <v>3379</v>
      </c>
      <c r="L1131" t="s">
        <v>3380</v>
      </c>
      <c r="M1131" t="s">
        <v>229</v>
      </c>
      <c r="P1131" s="18" t="s">
        <v>9217</v>
      </c>
    </row>
    <row r="1132" spans="1:16" hidden="1" x14ac:dyDescent="0.35">
      <c r="A1132" t="s">
        <v>2403</v>
      </c>
      <c r="B1132" s="3" t="s">
        <v>102</v>
      </c>
      <c r="C1132" s="3" t="s">
        <v>9209</v>
      </c>
      <c r="D1132" s="3"/>
      <c r="E1132" s="3"/>
      <c r="F1132" t="s">
        <v>3645</v>
      </c>
      <c r="H1132" t="s">
        <v>4021</v>
      </c>
      <c r="J1132" t="s">
        <v>3382</v>
      </c>
      <c r="K1132" t="s">
        <v>4022</v>
      </c>
      <c r="L1132" t="s">
        <v>4023</v>
      </c>
      <c r="M1132" t="s">
        <v>2374</v>
      </c>
      <c r="P1132" s="18" t="s">
        <v>9217</v>
      </c>
    </row>
    <row r="1133" spans="1:16" hidden="1" x14ac:dyDescent="0.35">
      <c r="A1133" t="s">
        <v>2403</v>
      </c>
      <c r="B1133" s="3" t="s">
        <v>102</v>
      </c>
      <c r="C1133" s="3" t="s">
        <v>9209</v>
      </c>
      <c r="D1133" s="3"/>
      <c r="E1133" s="3"/>
      <c r="F1133" t="s">
        <v>4024</v>
      </c>
      <c r="H1133" t="s">
        <v>4025</v>
      </c>
      <c r="J1133" t="s">
        <v>4026</v>
      </c>
      <c r="K1133" t="s">
        <v>4027</v>
      </c>
      <c r="L1133" t="s">
        <v>4028</v>
      </c>
      <c r="M1133" t="s">
        <v>2759</v>
      </c>
      <c r="P1133" s="18" t="s">
        <v>9217</v>
      </c>
    </row>
    <row r="1134" spans="1:16" hidden="1" x14ac:dyDescent="0.35">
      <c r="A1134" t="s">
        <v>2403</v>
      </c>
      <c r="B1134" s="3" t="s">
        <v>102</v>
      </c>
      <c r="C1134" s="3" t="s">
        <v>9209</v>
      </c>
      <c r="D1134" s="3"/>
      <c r="E1134" s="3"/>
      <c r="F1134" t="s">
        <v>4024</v>
      </c>
      <c r="H1134" t="s">
        <v>4029</v>
      </c>
      <c r="J1134" t="s">
        <v>4030</v>
      </c>
      <c r="K1134" t="s">
        <v>4031</v>
      </c>
      <c r="L1134" t="s">
        <v>4032</v>
      </c>
      <c r="M1134" t="s">
        <v>229</v>
      </c>
      <c r="P1134" s="18" t="s">
        <v>9217</v>
      </c>
    </row>
    <row r="1135" spans="1:16" hidden="1" x14ac:dyDescent="0.35">
      <c r="A1135" t="s">
        <v>2403</v>
      </c>
      <c r="B1135" s="3" t="s">
        <v>102</v>
      </c>
      <c r="C1135" s="3" t="s">
        <v>9209</v>
      </c>
      <c r="D1135" s="3"/>
      <c r="E1135" s="3"/>
      <c r="F1135" t="s">
        <v>4024</v>
      </c>
      <c r="H1135" t="s">
        <v>4033</v>
      </c>
      <c r="J1135" t="s">
        <v>4034</v>
      </c>
      <c r="K1135" t="s">
        <v>4035</v>
      </c>
      <c r="L1135" t="s">
        <v>4036</v>
      </c>
      <c r="M1135" t="s">
        <v>229</v>
      </c>
      <c r="P1135" s="18" t="s">
        <v>9217</v>
      </c>
    </row>
    <row r="1136" spans="1:16" hidden="1" x14ac:dyDescent="0.35">
      <c r="A1136" t="s">
        <v>2403</v>
      </c>
      <c r="B1136" s="3" t="s">
        <v>102</v>
      </c>
      <c r="C1136" s="3" t="s">
        <v>9209</v>
      </c>
      <c r="D1136" s="3"/>
      <c r="E1136" s="3"/>
      <c r="F1136" t="s">
        <v>4024</v>
      </c>
      <c r="H1136" t="s">
        <v>4037</v>
      </c>
      <c r="J1136" t="s">
        <v>4038</v>
      </c>
      <c r="K1136" t="s">
        <v>4039</v>
      </c>
      <c r="L1136" t="s">
        <v>4040</v>
      </c>
      <c r="M1136" t="s">
        <v>2759</v>
      </c>
      <c r="P1136" s="18" t="s">
        <v>9217</v>
      </c>
    </row>
    <row r="1137" spans="1:16" hidden="1" x14ac:dyDescent="0.35">
      <c r="A1137" t="s">
        <v>2403</v>
      </c>
      <c r="B1137" s="3" t="s">
        <v>102</v>
      </c>
      <c r="C1137" s="3" t="s">
        <v>9209</v>
      </c>
      <c r="D1137" s="3"/>
      <c r="E1137" s="3"/>
      <c r="F1137" t="s">
        <v>4024</v>
      </c>
      <c r="H1137" t="s">
        <v>4041</v>
      </c>
      <c r="J1137" t="s">
        <v>2516</v>
      </c>
      <c r="K1137" t="s">
        <v>4042</v>
      </c>
      <c r="L1137" t="s">
        <v>4043</v>
      </c>
      <c r="M1137" t="s">
        <v>229</v>
      </c>
      <c r="P1137" s="18" t="s">
        <v>9217</v>
      </c>
    </row>
    <row r="1138" spans="1:16" hidden="1" x14ac:dyDescent="0.35">
      <c r="A1138" t="s">
        <v>2403</v>
      </c>
      <c r="B1138" s="3" t="s">
        <v>102</v>
      </c>
      <c r="C1138" s="3" t="s">
        <v>9209</v>
      </c>
      <c r="D1138" s="3"/>
      <c r="E1138" s="3"/>
      <c r="F1138" t="s">
        <v>4024</v>
      </c>
      <c r="H1138" t="s">
        <v>4044</v>
      </c>
      <c r="J1138" t="s">
        <v>3449</v>
      </c>
      <c r="K1138" t="s">
        <v>4045</v>
      </c>
      <c r="L1138" t="s">
        <v>4046</v>
      </c>
      <c r="M1138" t="s">
        <v>229</v>
      </c>
      <c r="P1138" s="18" t="s">
        <v>9217</v>
      </c>
    </row>
    <row r="1139" spans="1:16" hidden="1" x14ac:dyDescent="0.35">
      <c r="A1139" t="s">
        <v>2403</v>
      </c>
      <c r="B1139" s="3" t="s">
        <v>102</v>
      </c>
      <c r="C1139" s="3" t="s">
        <v>9209</v>
      </c>
      <c r="D1139" s="3"/>
      <c r="E1139" s="3"/>
      <c r="F1139" t="s">
        <v>4024</v>
      </c>
      <c r="H1139" t="s">
        <v>4047</v>
      </c>
      <c r="J1139" t="s">
        <v>2645</v>
      </c>
      <c r="K1139" t="s">
        <v>4048</v>
      </c>
      <c r="L1139" t="s">
        <v>4049</v>
      </c>
      <c r="M1139" t="s">
        <v>229</v>
      </c>
      <c r="P1139" s="18" t="s">
        <v>9217</v>
      </c>
    </row>
    <row r="1140" spans="1:16" hidden="1" x14ac:dyDescent="0.35">
      <c r="A1140" t="s">
        <v>2403</v>
      </c>
      <c r="B1140" s="3" t="s">
        <v>102</v>
      </c>
      <c r="C1140" s="3" t="s">
        <v>9209</v>
      </c>
      <c r="D1140" s="3"/>
      <c r="E1140" s="3"/>
      <c r="F1140" t="s">
        <v>4024</v>
      </c>
      <c r="H1140" t="s">
        <v>4050</v>
      </c>
      <c r="J1140" t="s">
        <v>2649</v>
      </c>
      <c r="K1140" t="s">
        <v>4051</v>
      </c>
      <c r="L1140" t="s">
        <v>4052</v>
      </c>
      <c r="M1140" t="s">
        <v>229</v>
      </c>
      <c r="P1140" s="18" t="s">
        <v>9217</v>
      </c>
    </row>
    <row r="1141" spans="1:16" hidden="1" x14ac:dyDescent="0.35">
      <c r="A1141" t="s">
        <v>2403</v>
      </c>
      <c r="B1141" s="3" t="s">
        <v>102</v>
      </c>
      <c r="C1141" s="3" t="s">
        <v>9209</v>
      </c>
      <c r="D1141" s="3"/>
      <c r="E1141" s="3"/>
      <c r="F1141" t="s">
        <v>4024</v>
      </c>
      <c r="H1141" t="s">
        <v>4053</v>
      </c>
      <c r="J1141" t="s">
        <v>4054</v>
      </c>
      <c r="K1141" t="s">
        <v>4055</v>
      </c>
      <c r="L1141" t="s">
        <v>4056</v>
      </c>
      <c r="M1141" t="s">
        <v>263</v>
      </c>
      <c r="P1141" s="18" t="s">
        <v>9217</v>
      </c>
    </row>
    <row r="1142" spans="1:16" hidden="1" x14ac:dyDescent="0.35">
      <c r="A1142" t="s">
        <v>2403</v>
      </c>
      <c r="B1142" s="3" t="s">
        <v>102</v>
      </c>
      <c r="C1142" s="3" t="s">
        <v>9209</v>
      </c>
      <c r="D1142" s="3"/>
      <c r="E1142" s="3"/>
      <c r="F1142" t="s">
        <v>4024</v>
      </c>
      <c r="H1142" t="s">
        <v>4057</v>
      </c>
      <c r="J1142" t="s">
        <v>4058</v>
      </c>
      <c r="K1142" t="s">
        <v>4059</v>
      </c>
      <c r="L1142" t="s">
        <v>4060</v>
      </c>
      <c r="M1142" t="s">
        <v>263</v>
      </c>
      <c r="P1142" s="18" t="s">
        <v>9217</v>
      </c>
    </row>
    <row r="1143" spans="1:16" hidden="1" x14ac:dyDescent="0.35">
      <c r="A1143" t="s">
        <v>2403</v>
      </c>
      <c r="B1143" s="3" t="s">
        <v>102</v>
      </c>
      <c r="C1143" s="3" t="s">
        <v>9209</v>
      </c>
      <c r="D1143" s="3"/>
      <c r="E1143" s="3"/>
      <c r="F1143" t="s">
        <v>4024</v>
      </c>
      <c r="H1143" t="s">
        <v>4061</v>
      </c>
      <c r="J1143" t="s">
        <v>4062</v>
      </c>
      <c r="K1143" t="s">
        <v>4063</v>
      </c>
      <c r="L1143" t="s">
        <v>4064</v>
      </c>
      <c r="M1143" t="s">
        <v>2374</v>
      </c>
      <c r="P1143" s="18" t="s">
        <v>9217</v>
      </c>
    </row>
    <row r="1144" spans="1:16" hidden="1" x14ac:dyDescent="0.35">
      <c r="A1144" t="s">
        <v>2403</v>
      </c>
      <c r="B1144" s="3" t="s">
        <v>102</v>
      </c>
      <c r="C1144" s="3" t="s">
        <v>9209</v>
      </c>
      <c r="D1144" s="3"/>
      <c r="E1144" s="3"/>
      <c r="F1144" t="s">
        <v>4024</v>
      </c>
      <c r="H1144" t="s">
        <v>4065</v>
      </c>
      <c r="J1144" t="s">
        <v>4066</v>
      </c>
      <c r="K1144" t="s">
        <v>4067</v>
      </c>
      <c r="L1144" t="s">
        <v>4068</v>
      </c>
      <c r="M1144" t="s">
        <v>2759</v>
      </c>
      <c r="P1144" s="18" t="s">
        <v>9217</v>
      </c>
    </row>
    <row r="1145" spans="1:16" hidden="1" x14ac:dyDescent="0.35">
      <c r="A1145" t="s">
        <v>2403</v>
      </c>
      <c r="B1145" s="3" t="s">
        <v>102</v>
      </c>
      <c r="C1145" s="3" t="s">
        <v>9209</v>
      </c>
      <c r="D1145" s="3"/>
      <c r="E1145" s="3"/>
      <c r="F1145" t="s">
        <v>4024</v>
      </c>
      <c r="H1145" t="s">
        <v>4069</v>
      </c>
      <c r="J1145" t="s">
        <v>4070</v>
      </c>
      <c r="K1145" t="s">
        <v>4071</v>
      </c>
      <c r="L1145" t="s">
        <v>4072</v>
      </c>
      <c r="M1145" t="s">
        <v>241</v>
      </c>
      <c r="P1145" s="18" t="s">
        <v>9217</v>
      </c>
    </row>
    <row r="1146" spans="1:16" hidden="1" x14ac:dyDescent="0.35">
      <c r="A1146" t="s">
        <v>2403</v>
      </c>
      <c r="B1146" s="3" t="s">
        <v>102</v>
      </c>
      <c r="C1146" s="3" t="s">
        <v>9209</v>
      </c>
      <c r="D1146" s="3"/>
      <c r="E1146" s="3"/>
      <c r="F1146" t="s">
        <v>4024</v>
      </c>
      <c r="H1146" t="s">
        <v>4073</v>
      </c>
      <c r="J1146" t="s">
        <v>4074</v>
      </c>
      <c r="K1146" t="s">
        <v>4075</v>
      </c>
      <c r="L1146" t="s">
        <v>4076</v>
      </c>
      <c r="M1146" t="s">
        <v>2759</v>
      </c>
      <c r="P1146" s="18" t="s">
        <v>9217</v>
      </c>
    </row>
    <row r="1147" spans="1:16" hidden="1" x14ac:dyDescent="0.35">
      <c r="A1147" t="s">
        <v>2403</v>
      </c>
      <c r="B1147" s="3" t="s">
        <v>102</v>
      </c>
      <c r="C1147" s="3" t="s">
        <v>9209</v>
      </c>
      <c r="D1147" s="3"/>
      <c r="E1147" s="3"/>
      <c r="F1147" t="s">
        <v>4024</v>
      </c>
      <c r="H1147" t="s">
        <v>4077</v>
      </c>
      <c r="J1147" t="s">
        <v>4078</v>
      </c>
      <c r="K1147" t="s">
        <v>4079</v>
      </c>
      <c r="L1147" t="s">
        <v>4080</v>
      </c>
      <c r="M1147" t="s">
        <v>1198</v>
      </c>
      <c r="P1147" s="18" t="s">
        <v>9217</v>
      </c>
    </row>
    <row r="1148" spans="1:16" hidden="1" x14ac:dyDescent="0.35">
      <c r="A1148" t="s">
        <v>2403</v>
      </c>
      <c r="B1148" s="3" t="s">
        <v>102</v>
      </c>
      <c r="C1148" s="3" t="s">
        <v>9209</v>
      </c>
      <c r="D1148" s="3"/>
      <c r="E1148" s="3"/>
      <c r="F1148" t="s">
        <v>4024</v>
      </c>
      <c r="H1148" t="s">
        <v>4081</v>
      </c>
      <c r="J1148" t="s">
        <v>4082</v>
      </c>
      <c r="K1148" t="s">
        <v>4083</v>
      </c>
      <c r="L1148" t="s">
        <v>4084</v>
      </c>
      <c r="M1148" t="s">
        <v>1198</v>
      </c>
      <c r="P1148" s="18" t="s">
        <v>9217</v>
      </c>
    </row>
    <row r="1149" spans="1:16" hidden="1" x14ac:dyDescent="0.35">
      <c r="A1149" t="s">
        <v>2403</v>
      </c>
      <c r="B1149" s="3" t="s">
        <v>102</v>
      </c>
      <c r="C1149" s="3" t="s">
        <v>9209</v>
      </c>
      <c r="D1149" s="3"/>
      <c r="E1149" s="3"/>
      <c r="F1149" t="s">
        <v>4024</v>
      </c>
      <c r="H1149" t="s">
        <v>4085</v>
      </c>
      <c r="J1149" t="s">
        <v>4086</v>
      </c>
      <c r="K1149" t="s">
        <v>4087</v>
      </c>
      <c r="L1149" t="s">
        <v>4088</v>
      </c>
      <c r="M1149" t="s">
        <v>1198</v>
      </c>
      <c r="P1149" s="18" t="s">
        <v>9217</v>
      </c>
    </row>
    <row r="1150" spans="1:16" hidden="1" x14ac:dyDescent="0.35">
      <c r="A1150" t="s">
        <v>2403</v>
      </c>
      <c r="B1150" s="3" t="s">
        <v>102</v>
      </c>
      <c r="C1150" s="3" t="s">
        <v>9209</v>
      </c>
      <c r="D1150" s="3"/>
      <c r="E1150" s="3"/>
      <c r="F1150" t="s">
        <v>4024</v>
      </c>
      <c r="H1150" t="s">
        <v>4089</v>
      </c>
      <c r="J1150" t="s">
        <v>4090</v>
      </c>
      <c r="K1150" t="s">
        <v>4091</v>
      </c>
      <c r="L1150" t="s">
        <v>4092</v>
      </c>
      <c r="M1150" t="s">
        <v>1198</v>
      </c>
      <c r="P1150" s="18" t="s">
        <v>9217</v>
      </c>
    </row>
    <row r="1151" spans="1:16" hidden="1" x14ac:dyDescent="0.35">
      <c r="A1151" t="s">
        <v>2403</v>
      </c>
      <c r="B1151" s="3" t="s">
        <v>102</v>
      </c>
      <c r="C1151" s="3" t="s">
        <v>9209</v>
      </c>
      <c r="D1151" s="3"/>
      <c r="E1151" s="3"/>
      <c r="F1151" t="s">
        <v>4024</v>
      </c>
      <c r="H1151" t="s">
        <v>4093</v>
      </c>
      <c r="J1151" t="s">
        <v>4094</v>
      </c>
      <c r="K1151" t="s">
        <v>4095</v>
      </c>
      <c r="L1151" t="s">
        <v>4096</v>
      </c>
      <c r="M1151" t="s">
        <v>2759</v>
      </c>
      <c r="P1151" s="18" t="s">
        <v>9217</v>
      </c>
    </row>
    <row r="1152" spans="1:16" hidden="1" x14ac:dyDescent="0.35">
      <c r="A1152" t="s">
        <v>2403</v>
      </c>
      <c r="B1152" s="3" t="s">
        <v>102</v>
      </c>
      <c r="C1152" s="3" t="s">
        <v>9209</v>
      </c>
      <c r="D1152" s="3"/>
      <c r="E1152" s="3"/>
      <c r="F1152" t="s">
        <v>4024</v>
      </c>
      <c r="H1152" t="s">
        <v>4097</v>
      </c>
      <c r="J1152" t="s">
        <v>4078</v>
      </c>
      <c r="K1152" t="s">
        <v>4098</v>
      </c>
      <c r="L1152" t="s">
        <v>4099</v>
      </c>
      <c r="M1152" t="s">
        <v>1198</v>
      </c>
      <c r="P1152" s="18" t="s">
        <v>9217</v>
      </c>
    </row>
    <row r="1153" spans="1:16" hidden="1" x14ac:dyDescent="0.35">
      <c r="A1153" t="s">
        <v>2403</v>
      </c>
      <c r="B1153" s="3" t="s">
        <v>102</v>
      </c>
      <c r="C1153" s="3" t="s">
        <v>9209</v>
      </c>
      <c r="D1153" s="3"/>
      <c r="E1153" s="3"/>
      <c r="F1153" t="s">
        <v>4024</v>
      </c>
      <c r="H1153" t="s">
        <v>4100</v>
      </c>
      <c r="J1153" t="s">
        <v>4082</v>
      </c>
      <c r="K1153" t="s">
        <v>4101</v>
      </c>
      <c r="L1153" t="s">
        <v>4102</v>
      </c>
      <c r="M1153" t="s">
        <v>1198</v>
      </c>
      <c r="P1153" s="18" t="s">
        <v>9217</v>
      </c>
    </row>
    <row r="1154" spans="1:16" hidden="1" x14ac:dyDescent="0.35">
      <c r="A1154" t="s">
        <v>2403</v>
      </c>
      <c r="B1154" s="3" t="s">
        <v>102</v>
      </c>
      <c r="C1154" s="3" t="s">
        <v>9209</v>
      </c>
      <c r="D1154" s="3"/>
      <c r="E1154" s="3"/>
      <c r="F1154" t="s">
        <v>4024</v>
      </c>
      <c r="H1154" t="s">
        <v>4103</v>
      </c>
      <c r="J1154" t="s">
        <v>4086</v>
      </c>
      <c r="K1154" t="s">
        <v>4104</v>
      </c>
      <c r="L1154" t="s">
        <v>4105</v>
      </c>
      <c r="M1154" t="s">
        <v>1198</v>
      </c>
      <c r="P1154" s="18" t="s">
        <v>9217</v>
      </c>
    </row>
    <row r="1155" spans="1:16" hidden="1" x14ac:dyDescent="0.35">
      <c r="A1155" t="s">
        <v>2403</v>
      </c>
      <c r="B1155" s="3" t="s">
        <v>102</v>
      </c>
      <c r="C1155" s="3" t="s">
        <v>9209</v>
      </c>
      <c r="D1155" s="3"/>
      <c r="E1155" s="3"/>
      <c r="F1155" t="s">
        <v>4024</v>
      </c>
      <c r="H1155" t="s">
        <v>4106</v>
      </c>
      <c r="J1155" t="s">
        <v>4090</v>
      </c>
      <c r="K1155" t="s">
        <v>4107</v>
      </c>
      <c r="L1155" t="s">
        <v>4108</v>
      </c>
      <c r="M1155" t="s">
        <v>1198</v>
      </c>
      <c r="P1155" s="18" t="s">
        <v>9217</v>
      </c>
    </row>
    <row r="1156" spans="1:16" hidden="1" x14ac:dyDescent="0.35">
      <c r="A1156" t="s">
        <v>2403</v>
      </c>
      <c r="B1156" s="3" t="s">
        <v>102</v>
      </c>
      <c r="C1156" s="3" t="s">
        <v>9209</v>
      </c>
      <c r="D1156" s="3"/>
      <c r="E1156" s="3"/>
      <c r="F1156" t="s">
        <v>4024</v>
      </c>
      <c r="H1156" t="s">
        <v>4109</v>
      </c>
      <c r="J1156" t="s">
        <v>4110</v>
      </c>
      <c r="K1156" t="s">
        <v>4111</v>
      </c>
      <c r="L1156" t="s">
        <v>4112</v>
      </c>
      <c r="M1156" t="s">
        <v>2759</v>
      </c>
      <c r="P1156" s="18" t="s">
        <v>9217</v>
      </c>
    </row>
    <row r="1157" spans="1:16" hidden="1" x14ac:dyDescent="0.35">
      <c r="A1157" t="s">
        <v>2403</v>
      </c>
      <c r="B1157" s="3" t="s">
        <v>102</v>
      </c>
      <c r="C1157" s="3" t="s">
        <v>9209</v>
      </c>
      <c r="D1157" s="3"/>
      <c r="E1157" s="3"/>
      <c r="F1157" t="s">
        <v>4024</v>
      </c>
      <c r="H1157" t="s">
        <v>4113</v>
      </c>
      <c r="J1157" t="s">
        <v>4114</v>
      </c>
      <c r="K1157" t="s">
        <v>4115</v>
      </c>
      <c r="L1157" t="s">
        <v>4116</v>
      </c>
      <c r="M1157" t="s">
        <v>263</v>
      </c>
      <c r="P1157" s="18" t="s">
        <v>9217</v>
      </c>
    </row>
    <row r="1158" spans="1:16" hidden="1" x14ac:dyDescent="0.35">
      <c r="A1158" t="s">
        <v>2403</v>
      </c>
      <c r="B1158" s="3" t="s">
        <v>102</v>
      </c>
      <c r="C1158" s="3" t="s">
        <v>9209</v>
      </c>
      <c r="D1158" s="3"/>
      <c r="E1158" s="3"/>
      <c r="F1158" t="s">
        <v>4024</v>
      </c>
      <c r="H1158" t="s">
        <v>4117</v>
      </c>
      <c r="J1158" t="s">
        <v>4118</v>
      </c>
      <c r="K1158" t="s">
        <v>4119</v>
      </c>
      <c r="L1158" t="s">
        <v>4120</v>
      </c>
      <c r="M1158" t="s">
        <v>263</v>
      </c>
      <c r="P1158" s="18" t="s">
        <v>9217</v>
      </c>
    </row>
    <row r="1159" spans="1:16" hidden="1" x14ac:dyDescent="0.35">
      <c r="A1159" t="s">
        <v>2403</v>
      </c>
      <c r="B1159" s="3" t="s">
        <v>102</v>
      </c>
      <c r="C1159" s="3" t="s">
        <v>9209</v>
      </c>
      <c r="D1159" s="3"/>
      <c r="E1159" s="3"/>
      <c r="F1159" t="s">
        <v>4024</v>
      </c>
      <c r="H1159" t="s">
        <v>4121</v>
      </c>
      <c r="J1159" t="s">
        <v>4122</v>
      </c>
      <c r="K1159" t="s">
        <v>4123</v>
      </c>
      <c r="L1159" t="s">
        <v>4124</v>
      </c>
      <c r="M1159" t="s">
        <v>1198</v>
      </c>
      <c r="P1159" s="18" t="s">
        <v>9217</v>
      </c>
    </row>
    <row r="1160" spans="1:16" hidden="1" x14ac:dyDescent="0.35">
      <c r="A1160" t="s">
        <v>2403</v>
      </c>
      <c r="B1160" s="3" t="s">
        <v>102</v>
      </c>
      <c r="C1160" s="3" t="s">
        <v>9209</v>
      </c>
      <c r="D1160" s="3"/>
      <c r="E1160" s="3"/>
      <c r="F1160" t="s">
        <v>4024</v>
      </c>
      <c r="H1160" t="s">
        <v>4125</v>
      </c>
      <c r="J1160" t="s">
        <v>4126</v>
      </c>
      <c r="K1160" t="s">
        <v>4127</v>
      </c>
      <c r="L1160" t="s">
        <v>4128</v>
      </c>
      <c r="M1160" t="s">
        <v>263</v>
      </c>
      <c r="P1160" s="18" t="s">
        <v>9217</v>
      </c>
    </row>
    <row r="1161" spans="1:16" hidden="1" x14ac:dyDescent="0.35">
      <c r="A1161" t="s">
        <v>2403</v>
      </c>
      <c r="B1161" s="3" t="s">
        <v>102</v>
      </c>
      <c r="C1161" s="3" t="s">
        <v>9209</v>
      </c>
      <c r="D1161" s="3"/>
      <c r="E1161" s="3"/>
      <c r="F1161" t="s">
        <v>4024</v>
      </c>
      <c r="H1161" t="s">
        <v>4129</v>
      </c>
      <c r="J1161" t="s">
        <v>4118</v>
      </c>
      <c r="K1161" t="s">
        <v>4130</v>
      </c>
      <c r="L1161" t="s">
        <v>4131</v>
      </c>
      <c r="M1161" t="s">
        <v>263</v>
      </c>
      <c r="P1161" s="18" t="s">
        <v>9217</v>
      </c>
    </row>
    <row r="1162" spans="1:16" hidden="1" x14ac:dyDescent="0.35">
      <c r="A1162" t="s">
        <v>2403</v>
      </c>
      <c r="B1162" s="3" t="s">
        <v>102</v>
      </c>
      <c r="C1162" s="3" t="s">
        <v>9209</v>
      </c>
      <c r="D1162" s="3"/>
      <c r="E1162" s="3"/>
      <c r="F1162" t="s">
        <v>4024</v>
      </c>
      <c r="H1162" t="s">
        <v>4132</v>
      </c>
      <c r="J1162" t="s">
        <v>4133</v>
      </c>
      <c r="K1162" t="s">
        <v>4134</v>
      </c>
      <c r="L1162" t="s">
        <v>4135</v>
      </c>
      <c r="M1162" t="s">
        <v>1198</v>
      </c>
      <c r="P1162" s="18" t="s">
        <v>9217</v>
      </c>
    </row>
    <row r="1163" spans="1:16" hidden="1" x14ac:dyDescent="0.35">
      <c r="A1163" t="s">
        <v>2403</v>
      </c>
      <c r="B1163" s="3" t="s">
        <v>102</v>
      </c>
      <c r="C1163" s="3" t="s">
        <v>9209</v>
      </c>
      <c r="D1163" s="3"/>
      <c r="E1163" s="3"/>
      <c r="F1163" t="s">
        <v>4024</v>
      </c>
      <c r="H1163" t="s">
        <v>4136</v>
      </c>
      <c r="J1163" t="s">
        <v>4137</v>
      </c>
      <c r="K1163" t="s">
        <v>4138</v>
      </c>
      <c r="L1163" t="s">
        <v>4139</v>
      </c>
      <c r="M1163" t="s">
        <v>2759</v>
      </c>
      <c r="P1163" s="18" t="s">
        <v>9217</v>
      </c>
    </row>
    <row r="1164" spans="1:16" hidden="1" x14ac:dyDescent="0.35">
      <c r="A1164" t="s">
        <v>2403</v>
      </c>
      <c r="B1164" s="3" t="s">
        <v>102</v>
      </c>
      <c r="C1164" s="3" t="s">
        <v>9209</v>
      </c>
      <c r="D1164" s="3"/>
      <c r="E1164" s="3"/>
      <c r="F1164" t="s">
        <v>4024</v>
      </c>
      <c r="H1164" t="s">
        <v>4140</v>
      </c>
      <c r="J1164" t="s">
        <v>4114</v>
      </c>
      <c r="K1164" t="s">
        <v>4141</v>
      </c>
      <c r="L1164" t="s">
        <v>4142</v>
      </c>
      <c r="M1164" t="s">
        <v>263</v>
      </c>
      <c r="P1164" s="18" t="s">
        <v>9217</v>
      </c>
    </row>
    <row r="1165" spans="1:16" hidden="1" x14ac:dyDescent="0.35">
      <c r="A1165" t="s">
        <v>2403</v>
      </c>
      <c r="B1165" s="3" t="s">
        <v>102</v>
      </c>
      <c r="C1165" s="3" t="s">
        <v>9209</v>
      </c>
      <c r="D1165" s="3"/>
      <c r="E1165" s="3"/>
      <c r="F1165" t="s">
        <v>4024</v>
      </c>
      <c r="H1165" t="s">
        <v>4143</v>
      </c>
      <c r="J1165" t="s">
        <v>4144</v>
      </c>
      <c r="K1165" t="s">
        <v>4145</v>
      </c>
      <c r="L1165" t="s">
        <v>4146</v>
      </c>
      <c r="M1165" t="s">
        <v>263</v>
      </c>
      <c r="P1165" s="18" t="s">
        <v>9217</v>
      </c>
    </row>
    <row r="1166" spans="1:16" hidden="1" x14ac:dyDescent="0.35">
      <c r="A1166" t="s">
        <v>2403</v>
      </c>
      <c r="B1166" s="3" t="s">
        <v>102</v>
      </c>
      <c r="C1166" s="3" t="s">
        <v>9209</v>
      </c>
      <c r="D1166" s="3"/>
      <c r="E1166" s="3"/>
      <c r="F1166" t="s">
        <v>4024</v>
      </c>
      <c r="H1166" t="s">
        <v>4147</v>
      </c>
      <c r="J1166" t="s">
        <v>4122</v>
      </c>
      <c r="K1166" t="s">
        <v>4148</v>
      </c>
      <c r="L1166" t="s">
        <v>4149</v>
      </c>
      <c r="M1166" t="s">
        <v>1198</v>
      </c>
      <c r="P1166" s="18" t="s">
        <v>9217</v>
      </c>
    </row>
    <row r="1167" spans="1:16" hidden="1" x14ac:dyDescent="0.35">
      <c r="A1167" t="s">
        <v>2403</v>
      </c>
      <c r="B1167" s="3" t="s">
        <v>102</v>
      </c>
      <c r="C1167" s="3" t="s">
        <v>9209</v>
      </c>
      <c r="D1167" s="3"/>
      <c r="E1167" s="3"/>
      <c r="F1167" t="s">
        <v>4024</v>
      </c>
      <c r="H1167" t="s">
        <v>4150</v>
      </c>
      <c r="J1167" t="s">
        <v>4126</v>
      </c>
      <c r="K1167" t="s">
        <v>4151</v>
      </c>
      <c r="L1167" t="s">
        <v>4128</v>
      </c>
      <c r="M1167" t="s">
        <v>263</v>
      </c>
      <c r="P1167" s="18" t="s">
        <v>9217</v>
      </c>
    </row>
    <row r="1168" spans="1:16" hidden="1" x14ac:dyDescent="0.35">
      <c r="A1168" t="s">
        <v>2403</v>
      </c>
      <c r="B1168" s="3" t="s">
        <v>102</v>
      </c>
      <c r="C1168" s="3" t="s">
        <v>9209</v>
      </c>
      <c r="D1168" s="3"/>
      <c r="E1168" s="3"/>
      <c r="F1168" t="s">
        <v>4024</v>
      </c>
      <c r="H1168" t="s">
        <v>4152</v>
      </c>
      <c r="J1168" t="s">
        <v>4144</v>
      </c>
      <c r="K1168" t="s">
        <v>4153</v>
      </c>
      <c r="L1168" t="s">
        <v>4154</v>
      </c>
      <c r="M1168" t="s">
        <v>263</v>
      </c>
      <c r="P1168" s="18" t="s">
        <v>9217</v>
      </c>
    </row>
    <row r="1169" spans="1:16" hidden="1" x14ac:dyDescent="0.35">
      <c r="A1169" t="s">
        <v>2403</v>
      </c>
      <c r="B1169" s="3" t="s">
        <v>102</v>
      </c>
      <c r="C1169" s="3" t="s">
        <v>9209</v>
      </c>
      <c r="D1169" s="3"/>
      <c r="E1169" s="3"/>
      <c r="F1169" t="s">
        <v>4024</v>
      </c>
      <c r="H1169" t="s">
        <v>4155</v>
      </c>
      <c r="J1169" t="s">
        <v>4133</v>
      </c>
      <c r="K1169" t="s">
        <v>4156</v>
      </c>
      <c r="L1169" t="s">
        <v>4135</v>
      </c>
      <c r="M1169" t="s">
        <v>1198</v>
      </c>
      <c r="P1169" s="18" t="s">
        <v>9217</v>
      </c>
    </row>
    <row r="1170" spans="1:16" hidden="1" x14ac:dyDescent="0.35">
      <c r="A1170" t="s">
        <v>2403</v>
      </c>
      <c r="B1170" s="3" t="s">
        <v>102</v>
      </c>
      <c r="C1170" s="3" t="s">
        <v>9209</v>
      </c>
      <c r="D1170" s="3"/>
      <c r="E1170" s="3"/>
      <c r="F1170" t="s">
        <v>4024</v>
      </c>
      <c r="H1170" t="s">
        <v>4157</v>
      </c>
      <c r="J1170" t="s">
        <v>4158</v>
      </c>
      <c r="K1170" t="s">
        <v>4159</v>
      </c>
      <c r="L1170" t="s">
        <v>4160</v>
      </c>
      <c r="M1170" t="s">
        <v>2759</v>
      </c>
      <c r="P1170" s="18" t="s">
        <v>9217</v>
      </c>
    </row>
    <row r="1171" spans="1:16" hidden="1" x14ac:dyDescent="0.35">
      <c r="A1171" t="s">
        <v>2403</v>
      </c>
      <c r="B1171" s="3" t="s">
        <v>102</v>
      </c>
      <c r="C1171" s="3" t="s">
        <v>9209</v>
      </c>
      <c r="D1171" s="3"/>
      <c r="E1171" s="3"/>
      <c r="F1171" t="s">
        <v>4024</v>
      </c>
      <c r="H1171" t="s">
        <v>4161</v>
      </c>
      <c r="J1171" t="s">
        <v>4162</v>
      </c>
      <c r="K1171" t="s">
        <v>4163</v>
      </c>
      <c r="L1171" t="s">
        <v>4164</v>
      </c>
      <c r="M1171" t="s">
        <v>2759</v>
      </c>
      <c r="P1171" s="18" t="s">
        <v>9217</v>
      </c>
    </row>
    <row r="1172" spans="1:16" hidden="1" x14ac:dyDescent="0.35">
      <c r="A1172" t="s">
        <v>2403</v>
      </c>
      <c r="B1172" s="3" t="s">
        <v>102</v>
      </c>
      <c r="C1172" s="3" t="s">
        <v>9209</v>
      </c>
      <c r="D1172" s="3"/>
      <c r="E1172" s="3"/>
      <c r="F1172" t="s">
        <v>4024</v>
      </c>
      <c r="H1172" t="s">
        <v>4165</v>
      </c>
      <c r="J1172" t="s">
        <v>4166</v>
      </c>
      <c r="K1172" t="s">
        <v>4167</v>
      </c>
      <c r="L1172" t="s">
        <v>4168</v>
      </c>
      <c r="M1172" t="s">
        <v>2374</v>
      </c>
      <c r="P1172" s="18" t="s">
        <v>9217</v>
      </c>
    </row>
    <row r="1173" spans="1:16" hidden="1" x14ac:dyDescent="0.35">
      <c r="A1173" t="s">
        <v>2403</v>
      </c>
      <c r="B1173" s="3" t="s">
        <v>102</v>
      </c>
      <c r="C1173" s="3" t="s">
        <v>9209</v>
      </c>
      <c r="D1173" s="3"/>
      <c r="E1173" s="3"/>
      <c r="F1173" t="s">
        <v>4024</v>
      </c>
      <c r="H1173" t="s">
        <v>4169</v>
      </c>
      <c r="J1173" t="s">
        <v>4170</v>
      </c>
      <c r="K1173" t="s">
        <v>2854</v>
      </c>
      <c r="L1173" t="s">
        <v>4171</v>
      </c>
      <c r="M1173" t="s">
        <v>2374</v>
      </c>
      <c r="P1173" s="18" t="s">
        <v>9217</v>
      </c>
    </row>
    <row r="1174" spans="1:16" hidden="1" x14ac:dyDescent="0.35">
      <c r="A1174" t="s">
        <v>2403</v>
      </c>
      <c r="B1174" s="3" t="s">
        <v>102</v>
      </c>
      <c r="C1174" s="3" t="s">
        <v>9209</v>
      </c>
      <c r="D1174" s="3"/>
      <c r="E1174" s="3"/>
      <c r="F1174" t="s">
        <v>4024</v>
      </c>
      <c r="H1174" t="s">
        <v>4172</v>
      </c>
      <c r="J1174" t="s">
        <v>4173</v>
      </c>
      <c r="K1174" t="s">
        <v>4174</v>
      </c>
      <c r="L1174" t="s">
        <v>4175</v>
      </c>
      <c r="M1174" t="s">
        <v>263</v>
      </c>
      <c r="P1174" s="18" t="s">
        <v>9217</v>
      </c>
    </row>
    <row r="1175" spans="1:16" hidden="1" x14ac:dyDescent="0.35">
      <c r="A1175" t="s">
        <v>2403</v>
      </c>
      <c r="B1175" s="3" t="s">
        <v>102</v>
      </c>
      <c r="C1175" s="3" t="s">
        <v>9209</v>
      </c>
      <c r="D1175" s="3"/>
      <c r="E1175" s="3"/>
      <c r="F1175" t="s">
        <v>4024</v>
      </c>
      <c r="H1175" t="s">
        <v>4176</v>
      </c>
      <c r="J1175" t="s">
        <v>4177</v>
      </c>
      <c r="K1175" t="s">
        <v>4178</v>
      </c>
      <c r="L1175" t="s">
        <v>4179</v>
      </c>
      <c r="M1175" t="s">
        <v>263</v>
      </c>
      <c r="P1175" s="18" t="s">
        <v>9217</v>
      </c>
    </row>
    <row r="1176" spans="1:16" hidden="1" x14ac:dyDescent="0.35">
      <c r="A1176" t="s">
        <v>2403</v>
      </c>
      <c r="B1176" s="3" t="s">
        <v>102</v>
      </c>
      <c r="C1176" s="3" t="s">
        <v>9209</v>
      </c>
      <c r="D1176" s="3"/>
      <c r="E1176" s="3"/>
      <c r="F1176" t="s">
        <v>4024</v>
      </c>
      <c r="H1176" t="s">
        <v>4180</v>
      </c>
      <c r="J1176" t="s">
        <v>4181</v>
      </c>
      <c r="K1176" t="s">
        <v>4182</v>
      </c>
      <c r="L1176" t="s">
        <v>4183</v>
      </c>
      <c r="M1176" t="s">
        <v>1198</v>
      </c>
      <c r="P1176" s="18" t="s">
        <v>9217</v>
      </c>
    </row>
    <row r="1177" spans="1:16" hidden="1" x14ac:dyDescent="0.35">
      <c r="A1177" t="s">
        <v>2403</v>
      </c>
      <c r="B1177" s="3" t="s">
        <v>102</v>
      </c>
      <c r="C1177" s="3" t="s">
        <v>9209</v>
      </c>
      <c r="D1177" s="3"/>
      <c r="E1177" s="3"/>
      <c r="F1177" t="s">
        <v>4024</v>
      </c>
      <c r="H1177" t="s">
        <v>4184</v>
      </c>
      <c r="J1177" t="s">
        <v>4185</v>
      </c>
      <c r="K1177" t="s">
        <v>4186</v>
      </c>
      <c r="L1177" t="s">
        <v>4187</v>
      </c>
      <c r="M1177" t="s">
        <v>1198</v>
      </c>
      <c r="P1177" s="18" t="s">
        <v>9217</v>
      </c>
    </row>
    <row r="1178" spans="1:16" hidden="1" x14ac:dyDescent="0.35">
      <c r="A1178" t="s">
        <v>2403</v>
      </c>
      <c r="B1178" s="3" t="s">
        <v>102</v>
      </c>
      <c r="C1178" s="3" t="s">
        <v>9209</v>
      </c>
      <c r="D1178" s="3"/>
      <c r="E1178" s="3"/>
      <c r="F1178" t="s">
        <v>4024</v>
      </c>
      <c r="H1178" t="s">
        <v>4188</v>
      </c>
      <c r="J1178" t="s">
        <v>4189</v>
      </c>
      <c r="K1178" t="s">
        <v>4190</v>
      </c>
      <c r="L1178" t="s">
        <v>4191</v>
      </c>
      <c r="M1178" t="s">
        <v>2374</v>
      </c>
      <c r="P1178" s="18" t="s">
        <v>9217</v>
      </c>
    </row>
    <row r="1179" spans="1:16" hidden="1" x14ac:dyDescent="0.35">
      <c r="A1179" t="s">
        <v>2403</v>
      </c>
      <c r="B1179" s="3" t="s">
        <v>102</v>
      </c>
      <c r="C1179" s="3" t="s">
        <v>9209</v>
      </c>
      <c r="D1179" s="3"/>
      <c r="E1179" s="3"/>
      <c r="F1179" t="s">
        <v>4192</v>
      </c>
      <c r="H1179" t="s">
        <v>4193</v>
      </c>
      <c r="J1179" t="s">
        <v>4194</v>
      </c>
      <c r="K1179" t="s">
        <v>4195</v>
      </c>
      <c r="L1179" t="s">
        <v>4196</v>
      </c>
      <c r="M1179" t="s">
        <v>2759</v>
      </c>
      <c r="P1179" s="18" t="s">
        <v>9217</v>
      </c>
    </row>
    <row r="1180" spans="1:16" hidden="1" x14ac:dyDescent="0.35">
      <c r="A1180" t="s">
        <v>2403</v>
      </c>
      <c r="B1180" s="3" t="s">
        <v>102</v>
      </c>
      <c r="C1180" s="3" t="s">
        <v>9209</v>
      </c>
      <c r="D1180" s="3"/>
      <c r="E1180" s="3"/>
      <c r="F1180" t="s">
        <v>4192</v>
      </c>
      <c r="H1180" t="s">
        <v>4197</v>
      </c>
      <c r="J1180" t="s">
        <v>2516</v>
      </c>
      <c r="K1180" t="s">
        <v>4198</v>
      </c>
      <c r="L1180" t="s">
        <v>4199</v>
      </c>
      <c r="M1180" t="s">
        <v>229</v>
      </c>
      <c r="P1180" s="18" t="s">
        <v>9217</v>
      </c>
    </row>
    <row r="1181" spans="1:16" hidden="1" x14ac:dyDescent="0.35">
      <c r="A1181" t="s">
        <v>2403</v>
      </c>
      <c r="B1181" s="3" t="s">
        <v>102</v>
      </c>
      <c r="C1181" s="3" t="s">
        <v>9209</v>
      </c>
      <c r="D1181" s="3"/>
      <c r="E1181" s="3"/>
      <c r="F1181" t="s">
        <v>4192</v>
      </c>
      <c r="H1181" t="s">
        <v>4200</v>
      </c>
      <c r="J1181" t="s">
        <v>2521</v>
      </c>
      <c r="K1181" t="s">
        <v>4201</v>
      </c>
      <c r="L1181" t="s">
        <v>4202</v>
      </c>
      <c r="M1181" t="s">
        <v>229</v>
      </c>
      <c r="P1181" s="18" t="s">
        <v>9217</v>
      </c>
    </row>
    <row r="1182" spans="1:16" hidden="1" x14ac:dyDescent="0.35">
      <c r="A1182" t="s">
        <v>2403</v>
      </c>
      <c r="B1182" s="3" t="s">
        <v>102</v>
      </c>
      <c r="C1182" s="3" t="s">
        <v>9209</v>
      </c>
      <c r="D1182" s="3"/>
      <c r="E1182" s="3"/>
      <c r="F1182" t="s">
        <v>4192</v>
      </c>
      <c r="H1182" t="s">
        <v>4203</v>
      </c>
      <c r="J1182" t="s">
        <v>2649</v>
      </c>
      <c r="K1182" t="s">
        <v>4204</v>
      </c>
      <c r="L1182" t="s">
        <v>4205</v>
      </c>
      <c r="M1182" t="s">
        <v>229</v>
      </c>
      <c r="P1182" s="18" t="s">
        <v>9217</v>
      </c>
    </row>
    <row r="1183" spans="1:16" hidden="1" x14ac:dyDescent="0.35">
      <c r="A1183" t="s">
        <v>2403</v>
      </c>
      <c r="B1183" s="3" t="s">
        <v>102</v>
      </c>
      <c r="C1183" s="3" t="s">
        <v>9209</v>
      </c>
      <c r="D1183" s="3"/>
      <c r="E1183" s="3"/>
      <c r="F1183" t="s">
        <v>4192</v>
      </c>
      <c r="H1183" t="s">
        <v>4206</v>
      </c>
      <c r="J1183" t="s">
        <v>2400</v>
      </c>
      <c r="K1183" t="s">
        <v>4207</v>
      </c>
      <c r="L1183" t="s">
        <v>4208</v>
      </c>
      <c r="M1183" t="s">
        <v>229</v>
      </c>
      <c r="P1183" s="18" t="s">
        <v>9217</v>
      </c>
    </row>
    <row r="1184" spans="1:16" hidden="1" x14ac:dyDescent="0.35">
      <c r="A1184" t="s">
        <v>2403</v>
      </c>
      <c r="B1184" s="3" t="s">
        <v>102</v>
      </c>
      <c r="C1184" s="3" t="s">
        <v>9209</v>
      </c>
      <c r="D1184" s="3"/>
      <c r="E1184" s="3"/>
      <c r="F1184" t="s">
        <v>4192</v>
      </c>
      <c r="H1184" t="s">
        <v>4209</v>
      </c>
      <c r="J1184" t="s">
        <v>2405</v>
      </c>
      <c r="K1184" t="s">
        <v>4210</v>
      </c>
      <c r="L1184" t="s">
        <v>4211</v>
      </c>
      <c r="M1184" t="s">
        <v>229</v>
      </c>
      <c r="P1184" s="18" t="s">
        <v>9217</v>
      </c>
    </row>
    <row r="1185" spans="1:16" hidden="1" x14ac:dyDescent="0.35">
      <c r="A1185" t="s">
        <v>2403</v>
      </c>
      <c r="B1185" s="3" t="s">
        <v>102</v>
      </c>
      <c r="C1185" s="3" t="s">
        <v>9209</v>
      </c>
      <c r="D1185" s="3"/>
      <c r="E1185" s="3"/>
      <c r="F1185" t="s">
        <v>4192</v>
      </c>
      <c r="H1185" t="s">
        <v>4212</v>
      </c>
      <c r="J1185" t="s">
        <v>4213</v>
      </c>
      <c r="K1185" t="s">
        <v>4214</v>
      </c>
      <c r="L1185" t="s">
        <v>4215</v>
      </c>
      <c r="M1185" t="s">
        <v>229</v>
      </c>
      <c r="P1185" s="18" t="s">
        <v>9217</v>
      </c>
    </row>
    <row r="1186" spans="1:16" hidden="1" x14ac:dyDescent="0.35">
      <c r="A1186" t="s">
        <v>2403</v>
      </c>
      <c r="B1186" s="3" t="s">
        <v>102</v>
      </c>
      <c r="C1186" s="3" t="s">
        <v>9209</v>
      </c>
      <c r="D1186" s="3"/>
      <c r="E1186" s="3"/>
      <c r="F1186" t="s">
        <v>4192</v>
      </c>
      <c r="H1186" t="s">
        <v>4216</v>
      </c>
      <c r="J1186" t="s">
        <v>4217</v>
      </c>
      <c r="K1186" t="s">
        <v>4218</v>
      </c>
      <c r="L1186" t="s">
        <v>4219</v>
      </c>
      <c r="M1186" t="s">
        <v>2759</v>
      </c>
      <c r="P1186" s="18" t="s">
        <v>9217</v>
      </c>
    </row>
    <row r="1187" spans="1:16" hidden="1" x14ac:dyDescent="0.35">
      <c r="A1187" t="s">
        <v>2403</v>
      </c>
      <c r="B1187" s="3" t="s">
        <v>102</v>
      </c>
      <c r="C1187" s="3" t="s">
        <v>9209</v>
      </c>
      <c r="D1187" s="3"/>
      <c r="E1187" s="3"/>
      <c r="F1187" t="s">
        <v>4192</v>
      </c>
      <c r="H1187" t="s">
        <v>4220</v>
      </c>
      <c r="J1187" t="s">
        <v>4221</v>
      </c>
      <c r="K1187" t="s">
        <v>4222</v>
      </c>
      <c r="L1187" t="s">
        <v>4223</v>
      </c>
      <c r="M1187" t="s">
        <v>2759</v>
      </c>
      <c r="P1187" s="18" t="s">
        <v>9217</v>
      </c>
    </row>
    <row r="1188" spans="1:16" hidden="1" x14ac:dyDescent="0.35">
      <c r="A1188" t="s">
        <v>2403</v>
      </c>
      <c r="B1188" s="3" t="s">
        <v>102</v>
      </c>
      <c r="C1188" s="3" t="s">
        <v>9209</v>
      </c>
      <c r="D1188" s="3"/>
      <c r="E1188" s="3"/>
      <c r="F1188" t="s">
        <v>4192</v>
      </c>
      <c r="H1188" t="s">
        <v>4224</v>
      </c>
      <c r="J1188" t="s">
        <v>2516</v>
      </c>
      <c r="K1188" t="s">
        <v>3418</v>
      </c>
      <c r="L1188" t="s">
        <v>4225</v>
      </c>
      <c r="M1188" t="s">
        <v>229</v>
      </c>
      <c r="P1188" s="18" t="s">
        <v>9217</v>
      </c>
    </row>
    <row r="1189" spans="1:16" hidden="1" x14ac:dyDescent="0.35">
      <c r="A1189" t="s">
        <v>2403</v>
      </c>
      <c r="B1189" s="3" t="s">
        <v>102</v>
      </c>
      <c r="C1189" s="3" t="s">
        <v>9209</v>
      </c>
      <c r="D1189" s="3"/>
      <c r="E1189" s="3"/>
      <c r="F1189" t="s">
        <v>4192</v>
      </c>
      <c r="H1189" t="s">
        <v>4226</v>
      </c>
      <c r="J1189" t="s">
        <v>3300</v>
      </c>
      <c r="K1189" t="s">
        <v>3421</v>
      </c>
      <c r="L1189" t="s">
        <v>4227</v>
      </c>
      <c r="M1189" t="s">
        <v>229</v>
      </c>
      <c r="P1189" s="18" t="s">
        <v>9217</v>
      </c>
    </row>
    <row r="1190" spans="1:16" hidden="1" x14ac:dyDescent="0.35">
      <c r="A1190" t="s">
        <v>2403</v>
      </c>
      <c r="B1190" s="3" t="s">
        <v>102</v>
      </c>
      <c r="C1190" s="3" t="s">
        <v>9209</v>
      </c>
      <c r="D1190" s="3"/>
      <c r="E1190" s="3"/>
      <c r="F1190" t="s">
        <v>4192</v>
      </c>
      <c r="H1190" t="s">
        <v>4228</v>
      </c>
      <c r="J1190" t="s">
        <v>2400</v>
      </c>
      <c r="K1190" t="s">
        <v>3424</v>
      </c>
      <c r="L1190" t="s">
        <v>4229</v>
      </c>
      <c r="M1190" t="s">
        <v>229</v>
      </c>
      <c r="P1190" s="18" t="s">
        <v>9217</v>
      </c>
    </row>
    <row r="1191" spans="1:16" hidden="1" x14ac:dyDescent="0.35">
      <c r="A1191" t="s">
        <v>2403</v>
      </c>
      <c r="B1191" s="3" t="s">
        <v>102</v>
      </c>
      <c r="C1191" s="3" t="s">
        <v>9209</v>
      </c>
      <c r="D1191" s="3"/>
      <c r="E1191" s="3"/>
      <c r="F1191" t="s">
        <v>4192</v>
      </c>
      <c r="H1191" t="s">
        <v>4230</v>
      </c>
      <c r="J1191" t="s">
        <v>2405</v>
      </c>
      <c r="K1191" t="s">
        <v>3427</v>
      </c>
      <c r="L1191" t="s">
        <v>4231</v>
      </c>
      <c r="M1191" t="s">
        <v>229</v>
      </c>
      <c r="P1191" s="18" t="s">
        <v>9217</v>
      </c>
    </row>
    <row r="1192" spans="1:16" hidden="1" x14ac:dyDescent="0.35">
      <c r="A1192" t="s">
        <v>2403</v>
      </c>
      <c r="B1192" s="3" t="s">
        <v>102</v>
      </c>
      <c r="C1192" s="3" t="s">
        <v>9209</v>
      </c>
      <c r="D1192" s="3"/>
      <c r="E1192" s="3"/>
      <c r="F1192" t="s">
        <v>4192</v>
      </c>
      <c r="H1192" t="s">
        <v>4232</v>
      </c>
      <c r="J1192" t="s">
        <v>4233</v>
      </c>
      <c r="K1192" t="s">
        <v>3431</v>
      </c>
      <c r="L1192" t="s">
        <v>4234</v>
      </c>
      <c r="M1192" t="s">
        <v>2374</v>
      </c>
      <c r="P1192" s="18" t="s">
        <v>9217</v>
      </c>
    </row>
    <row r="1193" spans="1:16" hidden="1" x14ac:dyDescent="0.35">
      <c r="A1193" t="s">
        <v>2403</v>
      </c>
      <c r="B1193" s="3" t="s">
        <v>102</v>
      </c>
      <c r="C1193" s="3" t="s">
        <v>9209</v>
      </c>
      <c r="D1193" s="3"/>
      <c r="E1193" s="3"/>
      <c r="F1193" t="s">
        <v>4192</v>
      </c>
      <c r="H1193" t="s">
        <v>4235</v>
      </c>
      <c r="J1193" t="s">
        <v>3434</v>
      </c>
      <c r="K1193" t="s">
        <v>3435</v>
      </c>
      <c r="L1193" t="s">
        <v>4236</v>
      </c>
      <c r="M1193" t="s">
        <v>2374</v>
      </c>
      <c r="P1193" s="18" t="s">
        <v>9217</v>
      </c>
    </row>
    <row r="1194" spans="1:16" hidden="1" x14ac:dyDescent="0.35">
      <c r="A1194" t="s">
        <v>2403</v>
      </c>
      <c r="B1194" s="3" t="s">
        <v>102</v>
      </c>
      <c r="C1194" s="3" t="s">
        <v>9209</v>
      </c>
      <c r="D1194" s="3"/>
      <c r="E1194" s="3"/>
      <c r="F1194" t="s">
        <v>4192</v>
      </c>
      <c r="H1194" t="s">
        <v>4237</v>
      </c>
      <c r="J1194" t="s">
        <v>3438</v>
      </c>
      <c r="K1194" t="s">
        <v>4238</v>
      </c>
      <c r="L1194" t="s">
        <v>4239</v>
      </c>
      <c r="M1194" t="s">
        <v>2374</v>
      </c>
      <c r="P1194" s="18" t="s">
        <v>9217</v>
      </c>
    </row>
    <row r="1195" spans="1:16" hidden="1" x14ac:dyDescent="0.35">
      <c r="A1195" t="s">
        <v>2403</v>
      </c>
      <c r="B1195" s="3" t="s">
        <v>102</v>
      </c>
      <c r="C1195" s="3" t="s">
        <v>9209</v>
      </c>
      <c r="D1195" s="3"/>
      <c r="E1195" s="3"/>
      <c r="F1195" t="s">
        <v>4192</v>
      </c>
      <c r="H1195" t="s">
        <v>4240</v>
      </c>
      <c r="J1195" t="s">
        <v>4241</v>
      </c>
      <c r="K1195" t="s">
        <v>4242</v>
      </c>
      <c r="L1195" t="s">
        <v>4243</v>
      </c>
      <c r="M1195" t="s">
        <v>2374</v>
      </c>
      <c r="P1195" s="18" t="s">
        <v>9217</v>
      </c>
    </row>
    <row r="1196" spans="1:16" hidden="1" x14ac:dyDescent="0.35">
      <c r="A1196" t="s">
        <v>2403</v>
      </c>
      <c r="B1196" s="3" t="s">
        <v>102</v>
      </c>
      <c r="C1196" s="3" t="s">
        <v>9209</v>
      </c>
      <c r="D1196" s="3"/>
      <c r="E1196" s="3"/>
      <c r="F1196" t="s">
        <v>4192</v>
      </c>
      <c r="H1196" t="s">
        <v>4244</v>
      </c>
      <c r="J1196" t="s">
        <v>4245</v>
      </c>
      <c r="K1196" t="s">
        <v>4246</v>
      </c>
      <c r="L1196" t="s">
        <v>4247</v>
      </c>
      <c r="M1196" t="s">
        <v>2759</v>
      </c>
      <c r="P1196" s="18" t="s">
        <v>9217</v>
      </c>
    </row>
    <row r="1197" spans="1:16" hidden="1" x14ac:dyDescent="0.35">
      <c r="A1197" t="s">
        <v>2403</v>
      </c>
      <c r="B1197" s="3" t="s">
        <v>102</v>
      </c>
      <c r="C1197" s="3" t="s">
        <v>9209</v>
      </c>
      <c r="D1197" s="3"/>
      <c r="E1197" s="3"/>
      <c r="F1197" t="s">
        <v>4192</v>
      </c>
      <c r="H1197" t="s">
        <v>4248</v>
      </c>
      <c r="J1197" t="s">
        <v>2516</v>
      </c>
      <c r="K1197" t="s">
        <v>4249</v>
      </c>
      <c r="L1197" t="s">
        <v>4250</v>
      </c>
      <c r="M1197" t="s">
        <v>229</v>
      </c>
      <c r="P1197" s="18" t="s">
        <v>9217</v>
      </c>
    </row>
    <row r="1198" spans="1:16" hidden="1" x14ac:dyDescent="0.35">
      <c r="A1198" t="s">
        <v>2403</v>
      </c>
      <c r="B1198" s="3" t="s">
        <v>102</v>
      </c>
      <c r="C1198" s="3" t="s">
        <v>9209</v>
      </c>
      <c r="D1198" s="3"/>
      <c r="E1198" s="3"/>
      <c r="F1198" t="s">
        <v>4192</v>
      </c>
      <c r="H1198" t="s">
        <v>4251</v>
      </c>
      <c r="J1198" t="s">
        <v>2521</v>
      </c>
      <c r="K1198" t="s">
        <v>4252</v>
      </c>
      <c r="L1198" t="s">
        <v>4253</v>
      </c>
      <c r="M1198" t="s">
        <v>229</v>
      </c>
      <c r="P1198" s="18" t="s">
        <v>9217</v>
      </c>
    </row>
    <row r="1199" spans="1:16" hidden="1" x14ac:dyDescent="0.35">
      <c r="A1199" t="s">
        <v>2403</v>
      </c>
      <c r="B1199" s="3" t="s">
        <v>102</v>
      </c>
      <c r="C1199" s="3" t="s">
        <v>9209</v>
      </c>
      <c r="D1199" s="3"/>
      <c r="E1199" s="3"/>
      <c r="F1199" t="s">
        <v>4192</v>
      </c>
      <c r="H1199" t="s">
        <v>4254</v>
      </c>
      <c r="J1199" t="s">
        <v>2649</v>
      </c>
      <c r="K1199" t="s">
        <v>4255</v>
      </c>
      <c r="L1199" t="s">
        <v>4256</v>
      </c>
      <c r="M1199" t="s">
        <v>229</v>
      </c>
      <c r="P1199" s="18" t="s">
        <v>9217</v>
      </c>
    </row>
    <row r="1200" spans="1:16" hidden="1" x14ac:dyDescent="0.35">
      <c r="A1200" t="s">
        <v>2403</v>
      </c>
      <c r="B1200" s="3" t="s">
        <v>102</v>
      </c>
      <c r="C1200" s="3" t="s">
        <v>9209</v>
      </c>
      <c r="D1200" s="3"/>
      <c r="E1200" s="3"/>
      <c r="F1200" t="s">
        <v>4192</v>
      </c>
      <c r="H1200" t="s">
        <v>4257</v>
      </c>
      <c r="J1200" t="s">
        <v>2400</v>
      </c>
      <c r="K1200" t="s">
        <v>4258</v>
      </c>
      <c r="L1200" t="s">
        <v>4259</v>
      </c>
      <c r="M1200" t="s">
        <v>229</v>
      </c>
      <c r="P1200" s="18" t="s">
        <v>9217</v>
      </c>
    </row>
    <row r="1201" spans="1:16" hidden="1" x14ac:dyDescent="0.35">
      <c r="A1201" t="s">
        <v>2403</v>
      </c>
      <c r="B1201" s="3" t="s">
        <v>102</v>
      </c>
      <c r="C1201" s="3" t="s">
        <v>9209</v>
      </c>
      <c r="D1201" s="3"/>
      <c r="E1201" s="3"/>
      <c r="F1201" t="s">
        <v>4192</v>
      </c>
      <c r="H1201" t="s">
        <v>4260</v>
      </c>
      <c r="J1201" t="s">
        <v>2405</v>
      </c>
      <c r="K1201" t="s">
        <v>4261</v>
      </c>
      <c r="L1201" t="s">
        <v>4262</v>
      </c>
      <c r="M1201" t="s">
        <v>229</v>
      </c>
      <c r="P1201" s="18" t="s">
        <v>9217</v>
      </c>
    </row>
    <row r="1202" spans="1:16" hidden="1" x14ac:dyDescent="0.35">
      <c r="A1202" t="s">
        <v>2403</v>
      </c>
      <c r="B1202" s="3" t="s">
        <v>102</v>
      </c>
      <c r="C1202" s="3" t="s">
        <v>9209</v>
      </c>
      <c r="D1202" s="3"/>
      <c r="E1202" s="3"/>
      <c r="F1202" t="s">
        <v>4192</v>
      </c>
      <c r="H1202" t="s">
        <v>4263</v>
      </c>
      <c r="J1202" t="s">
        <v>4264</v>
      </c>
      <c r="K1202" t="s">
        <v>4265</v>
      </c>
      <c r="L1202" t="s">
        <v>4266</v>
      </c>
      <c r="M1202" t="s">
        <v>2759</v>
      </c>
      <c r="P1202" s="18" t="s">
        <v>9217</v>
      </c>
    </row>
    <row r="1203" spans="1:16" hidden="1" x14ac:dyDescent="0.35">
      <c r="A1203" t="s">
        <v>2403</v>
      </c>
      <c r="B1203" s="3" t="s">
        <v>102</v>
      </c>
      <c r="C1203" s="3" t="s">
        <v>9209</v>
      </c>
      <c r="D1203" s="3"/>
      <c r="E1203" s="3"/>
      <c r="F1203" t="s">
        <v>4192</v>
      </c>
      <c r="H1203" t="s">
        <v>4267</v>
      </c>
      <c r="J1203" t="s">
        <v>2516</v>
      </c>
      <c r="K1203" t="s">
        <v>4268</v>
      </c>
      <c r="L1203" t="s">
        <v>4269</v>
      </c>
      <c r="M1203" t="s">
        <v>229</v>
      </c>
      <c r="P1203" s="18" t="s">
        <v>9217</v>
      </c>
    </row>
    <row r="1204" spans="1:16" hidden="1" x14ac:dyDescent="0.35">
      <c r="A1204" t="s">
        <v>2403</v>
      </c>
      <c r="B1204" s="3" t="s">
        <v>102</v>
      </c>
      <c r="C1204" s="3" t="s">
        <v>9209</v>
      </c>
      <c r="D1204" s="3"/>
      <c r="E1204" s="3"/>
      <c r="F1204" t="s">
        <v>4192</v>
      </c>
      <c r="H1204" t="s">
        <v>4270</v>
      </c>
      <c r="J1204" t="s">
        <v>2400</v>
      </c>
      <c r="K1204" t="s">
        <v>4271</v>
      </c>
      <c r="L1204" t="s">
        <v>4272</v>
      </c>
      <c r="M1204" t="s">
        <v>229</v>
      </c>
      <c r="P1204" s="18" t="s">
        <v>9217</v>
      </c>
    </row>
    <row r="1205" spans="1:16" hidden="1" x14ac:dyDescent="0.35">
      <c r="A1205" t="s">
        <v>2403</v>
      </c>
      <c r="B1205" s="3" t="s">
        <v>102</v>
      </c>
      <c r="C1205" s="3" t="s">
        <v>9209</v>
      </c>
      <c r="D1205" s="3"/>
      <c r="E1205" s="3"/>
      <c r="F1205" t="s">
        <v>4192</v>
      </c>
      <c r="H1205" t="s">
        <v>4273</v>
      </c>
      <c r="J1205" t="s">
        <v>2405</v>
      </c>
      <c r="K1205" t="s">
        <v>4274</v>
      </c>
      <c r="L1205" t="s">
        <v>4275</v>
      </c>
      <c r="M1205" t="s">
        <v>229</v>
      </c>
      <c r="P1205" s="18" t="s">
        <v>9217</v>
      </c>
    </row>
    <row r="1206" spans="1:16" hidden="1" x14ac:dyDescent="0.35">
      <c r="A1206" t="s">
        <v>2403</v>
      </c>
      <c r="B1206" s="3" t="s">
        <v>102</v>
      </c>
      <c r="C1206" s="3" t="s">
        <v>9209</v>
      </c>
      <c r="D1206" s="3"/>
      <c r="E1206" s="3"/>
      <c r="F1206" t="s">
        <v>4192</v>
      </c>
      <c r="H1206" t="s">
        <v>4276</v>
      </c>
      <c r="J1206" t="s">
        <v>4277</v>
      </c>
      <c r="K1206" t="s">
        <v>4278</v>
      </c>
      <c r="L1206" t="s">
        <v>4279</v>
      </c>
      <c r="M1206" t="s">
        <v>2759</v>
      </c>
      <c r="P1206" s="18" t="s">
        <v>9217</v>
      </c>
    </row>
    <row r="1207" spans="1:16" hidden="1" x14ac:dyDescent="0.35">
      <c r="A1207" t="s">
        <v>2403</v>
      </c>
      <c r="B1207" s="3" t="s">
        <v>102</v>
      </c>
      <c r="C1207" s="3" t="s">
        <v>9209</v>
      </c>
      <c r="D1207" s="3"/>
      <c r="E1207" s="3"/>
      <c r="F1207" t="s">
        <v>4192</v>
      </c>
      <c r="H1207" t="s">
        <v>4280</v>
      </c>
      <c r="J1207" t="s">
        <v>4281</v>
      </c>
      <c r="K1207" t="s">
        <v>4282</v>
      </c>
      <c r="L1207" t="s">
        <v>4283</v>
      </c>
      <c r="M1207" t="s">
        <v>241</v>
      </c>
      <c r="P1207" s="18" t="s">
        <v>9217</v>
      </c>
    </row>
    <row r="1208" spans="1:16" hidden="1" x14ac:dyDescent="0.35">
      <c r="A1208" t="s">
        <v>2403</v>
      </c>
      <c r="B1208" s="3" t="s">
        <v>102</v>
      </c>
      <c r="C1208" s="3" t="s">
        <v>9209</v>
      </c>
      <c r="D1208" s="3"/>
      <c r="E1208" s="3"/>
      <c r="F1208" t="s">
        <v>4192</v>
      </c>
      <c r="H1208" t="s">
        <v>4284</v>
      </c>
      <c r="J1208" t="s">
        <v>4285</v>
      </c>
      <c r="K1208" t="s">
        <v>4286</v>
      </c>
      <c r="L1208" t="s">
        <v>4287</v>
      </c>
      <c r="M1208" t="s">
        <v>229</v>
      </c>
      <c r="P1208" s="18" t="s">
        <v>9217</v>
      </c>
    </row>
    <row r="1209" spans="1:16" hidden="1" x14ac:dyDescent="0.35">
      <c r="A1209" t="s">
        <v>2403</v>
      </c>
      <c r="B1209" s="3" t="s">
        <v>102</v>
      </c>
      <c r="C1209" s="3" t="s">
        <v>9209</v>
      </c>
      <c r="D1209" s="3"/>
      <c r="E1209" s="3"/>
      <c r="F1209" t="s">
        <v>4192</v>
      </c>
      <c r="H1209" t="s">
        <v>4288</v>
      </c>
      <c r="J1209" t="s">
        <v>4289</v>
      </c>
      <c r="K1209" t="s">
        <v>4290</v>
      </c>
      <c r="L1209" t="s">
        <v>4291</v>
      </c>
      <c r="M1209" t="s">
        <v>2759</v>
      </c>
      <c r="P1209" s="18" t="s">
        <v>9217</v>
      </c>
    </row>
    <row r="1210" spans="1:16" hidden="1" x14ac:dyDescent="0.35">
      <c r="A1210" t="s">
        <v>2403</v>
      </c>
      <c r="B1210" s="3" t="s">
        <v>102</v>
      </c>
      <c r="C1210" s="3" t="s">
        <v>9209</v>
      </c>
      <c r="D1210" s="3"/>
      <c r="E1210" s="3"/>
      <c r="F1210" t="s">
        <v>4192</v>
      </c>
      <c r="H1210" t="s">
        <v>4292</v>
      </c>
      <c r="J1210" t="s">
        <v>4293</v>
      </c>
      <c r="K1210" t="s">
        <v>4294</v>
      </c>
      <c r="L1210" t="s">
        <v>4295</v>
      </c>
      <c r="M1210" t="s">
        <v>241</v>
      </c>
      <c r="P1210" s="18" t="s">
        <v>9217</v>
      </c>
    </row>
    <row r="1211" spans="1:16" hidden="1" x14ac:dyDescent="0.35">
      <c r="A1211" t="s">
        <v>2403</v>
      </c>
      <c r="B1211" s="3" t="s">
        <v>102</v>
      </c>
      <c r="C1211" s="3" t="s">
        <v>9209</v>
      </c>
      <c r="D1211" s="3"/>
      <c r="E1211" s="3"/>
      <c r="F1211" t="s">
        <v>4192</v>
      </c>
      <c r="H1211" t="s">
        <v>4296</v>
      </c>
      <c r="J1211" t="s">
        <v>4297</v>
      </c>
      <c r="K1211" t="s">
        <v>4298</v>
      </c>
      <c r="L1211" t="s">
        <v>4299</v>
      </c>
      <c r="M1211" t="s">
        <v>263</v>
      </c>
      <c r="P1211" s="18" t="s">
        <v>9217</v>
      </c>
    </row>
    <row r="1212" spans="1:16" hidden="1" x14ac:dyDescent="0.35">
      <c r="A1212" t="s">
        <v>2403</v>
      </c>
      <c r="B1212" s="3" t="s">
        <v>102</v>
      </c>
      <c r="C1212" s="3" t="s">
        <v>9209</v>
      </c>
      <c r="D1212" s="3"/>
      <c r="E1212" s="3"/>
      <c r="F1212" t="s">
        <v>4192</v>
      </c>
      <c r="H1212" t="s">
        <v>4300</v>
      </c>
      <c r="J1212" t="s">
        <v>4301</v>
      </c>
      <c r="K1212" t="s">
        <v>4302</v>
      </c>
      <c r="L1212" t="s">
        <v>4303</v>
      </c>
      <c r="M1212" t="s">
        <v>2759</v>
      </c>
      <c r="P1212" s="18" t="s">
        <v>9217</v>
      </c>
    </row>
    <row r="1213" spans="1:16" hidden="1" x14ac:dyDescent="0.35">
      <c r="A1213" t="s">
        <v>2403</v>
      </c>
      <c r="B1213" s="3" t="s">
        <v>102</v>
      </c>
      <c r="C1213" s="3" t="s">
        <v>9209</v>
      </c>
      <c r="D1213" s="3"/>
      <c r="E1213" s="3"/>
      <c r="F1213" t="s">
        <v>4192</v>
      </c>
      <c r="H1213" t="s">
        <v>4304</v>
      </c>
      <c r="J1213" t="s">
        <v>4305</v>
      </c>
      <c r="K1213" t="s">
        <v>4306</v>
      </c>
      <c r="L1213" t="s">
        <v>4307</v>
      </c>
      <c r="M1213" t="s">
        <v>241</v>
      </c>
      <c r="P1213" s="18" t="s">
        <v>9217</v>
      </c>
    </row>
    <row r="1214" spans="1:16" hidden="1" x14ac:dyDescent="0.35">
      <c r="A1214" t="s">
        <v>2403</v>
      </c>
      <c r="B1214" s="3" t="s">
        <v>102</v>
      </c>
      <c r="C1214" s="3" t="s">
        <v>9209</v>
      </c>
      <c r="D1214" s="3"/>
      <c r="E1214" s="3"/>
      <c r="F1214" t="s">
        <v>4192</v>
      </c>
      <c r="H1214" t="s">
        <v>4308</v>
      </c>
      <c r="J1214" t="s">
        <v>4309</v>
      </c>
      <c r="K1214" t="s">
        <v>4310</v>
      </c>
      <c r="L1214" t="s">
        <v>4311</v>
      </c>
      <c r="M1214" t="s">
        <v>2759</v>
      </c>
      <c r="P1214" s="18" t="s">
        <v>9217</v>
      </c>
    </row>
    <row r="1215" spans="1:16" hidden="1" x14ac:dyDescent="0.35">
      <c r="A1215" t="s">
        <v>2403</v>
      </c>
      <c r="B1215" s="3" t="s">
        <v>102</v>
      </c>
      <c r="C1215" s="3" t="s">
        <v>9209</v>
      </c>
      <c r="D1215" s="3"/>
      <c r="E1215" s="3"/>
      <c r="F1215" t="s">
        <v>4192</v>
      </c>
      <c r="H1215" t="s">
        <v>4312</v>
      </c>
      <c r="J1215" t="s">
        <v>4313</v>
      </c>
      <c r="K1215" t="s">
        <v>4314</v>
      </c>
      <c r="L1215" t="s">
        <v>4315</v>
      </c>
      <c r="M1215" t="s">
        <v>241</v>
      </c>
      <c r="P1215" s="18" t="s">
        <v>9217</v>
      </c>
    </row>
    <row r="1216" spans="1:16" hidden="1" x14ac:dyDescent="0.35">
      <c r="A1216" t="s">
        <v>2403</v>
      </c>
      <c r="B1216" s="3" t="s">
        <v>102</v>
      </c>
      <c r="C1216" s="3" t="s">
        <v>9209</v>
      </c>
      <c r="D1216" s="3"/>
      <c r="E1216" s="3"/>
      <c r="F1216" t="s">
        <v>4192</v>
      </c>
      <c r="H1216" t="s">
        <v>4316</v>
      </c>
      <c r="J1216" t="s">
        <v>4317</v>
      </c>
      <c r="K1216" t="s">
        <v>4318</v>
      </c>
      <c r="L1216" t="s">
        <v>4319</v>
      </c>
      <c r="M1216" t="s">
        <v>263</v>
      </c>
      <c r="P1216" s="18" t="s">
        <v>9217</v>
      </c>
    </row>
    <row r="1217" spans="1:16" hidden="1" x14ac:dyDescent="0.35">
      <c r="A1217" t="s">
        <v>2403</v>
      </c>
      <c r="B1217" s="3" t="s">
        <v>102</v>
      </c>
      <c r="C1217" s="3" t="s">
        <v>9209</v>
      </c>
      <c r="D1217" s="3"/>
      <c r="E1217" s="3"/>
      <c r="F1217" t="s">
        <v>4192</v>
      </c>
      <c r="H1217" t="s">
        <v>4320</v>
      </c>
      <c r="J1217" t="s">
        <v>4321</v>
      </c>
      <c r="K1217" t="s">
        <v>4322</v>
      </c>
      <c r="L1217" t="s">
        <v>4323</v>
      </c>
      <c r="M1217" t="s">
        <v>2759</v>
      </c>
      <c r="P1217" s="18" t="s">
        <v>9217</v>
      </c>
    </row>
    <row r="1218" spans="1:16" hidden="1" x14ac:dyDescent="0.35">
      <c r="A1218" t="s">
        <v>2403</v>
      </c>
      <c r="B1218" s="3" t="s">
        <v>102</v>
      </c>
      <c r="C1218" s="3" t="s">
        <v>9209</v>
      </c>
      <c r="D1218" s="3"/>
      <c r="E1218" s="3"/>
      <c r="F1218" t="s">
        <v>4192</v>
      </c>
      <c r="H1218" t="s">
        <v>4324</v>
      </c>
      <c r="J1218" t="s">
        <v>4325</v>
      </c>
      <c r="K1218" t="s">
        <v>4326</v>
      </c>
      <c r="L1218" t="s">
        <v>4327</v>
      </c>
      <c r="M1218" t="s">
        <v>263</v>
      </c>
      <c r="P1218" s="18" t="s">
        <v>9217</v>
      </c>
    </row>
    <row r="1219" spans="1:16" hidden="1" x14ac:dyDescent="0.35">
      <c r="A1219" t="s">
        <v>2403</v>
      </c>
      <c r="B1219" s="3" t="s">
        <v>102</v>
      </c>
      <c r="C1219" s="3" t="s">
        <v>9209</v>
      </c>
      <c r="D1219" s="3"/>
      <c r="E1219" s="3"/>
      <c r="F1219" t="s">
        <v>4192</v>
      </c>
      <c r="H1219" t="s">
        <v>4328</v>
      </c>
      <c r="J1219" t="s">
        <v>4329</v>
      </c>
      <c r="K1219" t="s">
        <v>4330</v>
      </c>
      <c r="L1219" t="s">
        <v>4331</v>
      </c>
      <c r="M1219" t="s">
        <v>2759</v>
      </c>
      <c r="P1219" s="18" t="s">
        <v>9217</v>
      </c>
    </row>
    <row r="1220" spans="1:16" hidden="1" x14ac:dyDescent="0.35">
      <c r="A1220" t="s">
        <v>2403</v>
      </c>
      <c r="B1220" s="3" t="s">
        <v>102</v>
      </c>
      <c r="C1220" s="3" t="s">
        <v>9209</v>
      </c>
      <c r="D1220" s="3"/>
      <c r="E1220" s="3"/>
      <c r="F1220" t="s">
        <v>4192</v>
      </c>
      <c r="H1220" t="s">
        <v>4332</v>
      </c>
      <c r="J1220" t="s">
        <v>4333</v>
      </c>
      <c r="K1220" t="s">
        <v>4334</v>
      </c>
      <c r="L1220" t="s">
        <v>4335</v>
      </c>
      <c r="M1220" t="s">
        <v>263</v>
      </c>
      <c r="P1220" s="18" t="s">
        <v>9217</v>
      </c>
    </row>
    <row r="1221" spans="1:16" hidden="1" x14ac:dyDescent="0.35">
      <c r="A1221" t="s">
        <v>2403</v>
      </c>
      <c r="B1221" s="3" t="s">
        <v>102</v>
      </c>
      <c r="C1221" s="3" t="s">
        <v>9209</v>
      </c>
      <c r="D1221" s="3"/>
      <c r="E1221" s="3"/>
      <c r="F1221" t="s">
        <v>4192</v>
      </c>
      <c r="H1221" t="s">
        <v>4336</v>
      </c>
      <c r="J1221" t="s">
        <v>4337</v>
      </c>
      <c r="K1221" t="s">
        <v>4338</v>
      </c>
      <c r="L1221" t="s">
        <v>4339</v>
      </c>
      <c r="M1221" t="s">
        <v>229</v>
      </c>
      <c r="P1221" s="18" t="s">
        <v>9217</v>
      </c>
    </row>
    <row r="1222" spans="1:16" hidden="1" x14ac:dyDescent="0.35">
      <c r="A1222" t="s">
        <v>2403</v>
      </c>
      <c r="B1222" s="3" t="s">
        <v>102</v>
      </c>
      <c r="C1222" s="3" t="s">
        <v>9209</v>
      </c>
      <c r="D1222" s="3"/>
      <c r="E1222" s="3"/>
      <c r="F1222" t="s">
        <v>4192</v>
      </c>
      <c r="H1222" t="s">
        <v>4340</v>
      </c>
      <c r="J1222" t="s">
        <v>4341</v>
      </c>
      <c r="K1222" t="s">
        <v>4342</v>
      </c>
      <c r="L1222" t="s">
        <v>4343</v>
      </c>
      <c r="M1222" t="s">
        <v>2759</v>
      </c>
      <c r="P1222" s="18" t="s">
        <v>9217</v>
      </c>
    </row>
    <row r="1223" spans="1:16" hidden="1" x14ac:dyDescent="0.35">
      <c r="A1223" t="s">
        <v>2403</v>
      </c>
      <c r="B1223" s="3" t="s">
        <v>102</v>
      </c>
      <c r="C1223" s="3" t="s">
        <v>9209</v>
      </c>
      <c r="D1223" s="3"/>
      <c r="E1223" s="3"/>
      <c r="F1223" t="s">
        <v>4192</v>
      </c>
      <c r="H1223" t="s">
        <v>4344</v>
      </c>
      <c r="J1223" t="s">
        <v>4345</v>
      </c>
      <c r="K1223" t="s">
        <v>4346</v>
      </c>
      <c r="L1223" t="s">
        <v>4347</v>
      </c>
      <c r="M1223" t="s">
        <v>241</v>
      </c>
      <c r="P1223" s="18" t="s">
        <v>9217</v>
      </c>
    </row>
    <row r="1224" spans="1:16" hidden="1" x14ac:dyDescent="0.35">
      <c r="A1224" t="s">
        <v>2403</v>
      </c>
      <c r="B1224" s="3" t="s">
        <v>102</v>
      </c>
      <c r="C1224" s="3" t="s">
        <v>9209</v>
      </c>
      <c r="D1224" s="3"/>
      <c r="E1224" s="3"/>
      <c r="F1224" t="s">
        <v>4192</v>
      </c>
      <c r="H1224" t="s">
        <v>4348</v>
      </c>
      <c r="J1224" t="s">
        <v>4349</v>
      </c>
      <c r="K1224" t="s">
        <v>4350</v>
      </c>
      <c r="L1224" t="s">
        <v>4351</v>
      </c>
      <c r="M1224" t="s">
        <v>2759</v>
      </c>
      <c r="P1224" s="18" t="s">
        <v>9217</v>
      </c>
    </row>
    <row r="1225" spans="1:16" hidden="1" x14ac:dyDescent="0.35">
      <c r="A1225" t="s">
        <v>2403</v>
      </c>
      <c r="B1225" s="3" t="s">
        <v>102</v>
      </c>
      <c r="C1225" s="3" t="s">
        <v>9209</v>
      </c>
      <c r="D1225" s="3"/>
      <c r="E1225" s="3"/>
      <c r="F1225" t="s">
        <v>4192</v>
      </c>
      <c r="H1225" t="s">
        <v>4352</v>
      </c>
      <c r="J1225" t="s">
        <v>4353</v>
      </c>
      <c r="K1225" t="s">
        <v>4354</v>
      </c>
      <c r="L1225" t="s">
        <v>4355</v>
      </c>
      <c r="M1225" t="s">
        <v>229</v>
      </c>
      <c r="P1225" s="18" t="s">
        <v>9217</v>
      </c>
    </row>
    <row r="1226" spans="1:16" hidden="1" x14ac:dyDescent="0.35">
      <c r="A1226" t="s">
        <v>2403</v>
      </c>
      <c r="B1226" s="3" t="s">
        <v>102</v>
      </c>
      <c r="C1226" s="3" t="s">
        <v>9209</v>
      </c>
      <c r="D1226" s="3"/>
      <c r="E1226" s="3"/>
      <c r="F1226" t="s">
        <v>4192</v>
      </c>
      <c r="H1226" t="s">
        <v>4356</v>
      </c>
      <c r="J1226" t="s">
        <v>4357</v>
      </c>
      <c r="K1226" t="s">
        <v>4358</v>
      </c>
      <c r="L1226" t="s">
        <v>4359</v>
      </c>
      <c r="M1226" t="s">
        <v>229</v>
      </c>
      <c r="P1226" s="18" t="s">
        <v>9217</v>
      </c>
    </row>
    <row r="1227" spans="1:16" hidden="1" x14ac:dyDescent="0.35">
      <c r="A1227" t="s">
        <v>2403</v>
      </c>
      <c r="B1227" s="3" t="s">
        <v>102</v>
      </c>
      <c r="C1227" s="3" t="s">
        <v>9209</v>
      </c>
      <c r="D1227" s="3"/>
      <c r="E1227" s="3"/>
      <c r="F1227" t="s">
        <v>4192</v>
      </c>
      <c r="H1227" t="s">
        <v>4360</v>
      </c>
      <c r="J1227" t="s">
        <v>4361</v>
      </c>
      <c r="K1227" t="s">
        <v>4362</v>
      </c>
      <c r="L1227" t="s">
        <v>4363</v>
      </c>
      <c r="M1227" t="s">
        <v>263</v>
      </c>
      <c r="P1227" s="18" t="s">
        <v>9217</v>
      </c>
    </row>
    <row r="1228" spans="1:16" hidden="1" x14ac:dyDescent="0.35">
      <c r="A1228" t="s">
        <v>2403</v>
      </c>
      <c r="B1228" s="3" t="s">
        <v>102</v>
      </c>
      <c r="C1228" s="3" t="s">
        <v>9209</v>
      </c>
      <c r="D1228" s="3"/>
      <c r="E1228" s="3"/>
      <c r="F1228" t="s">
        <v>4192</v>
      </c>
      <c r="H1228" t="s">
        <v>4364</v>
      </c>
      <c r="J1228" t="s">
        <v>4365</v>
      </c>
      <c r="K1228" t="s">
        <v>4366</v>
      </c>
      <c r="L1228" t="s">
        <v>4367</v>
      </c>
      <c r="M1228" t="s">
        <v>241</v>
      </c>
      <c r="P1228" s="18" t="s">
        <v>9217</v>
      </c>
    </row>
    <row r="1229" spans="1:16" hidden="1" x14ac:dyDescent="0.35">
      <c r="A1229" t="s">
        <v>2403</v>
      </c>
      <c r="B1229" s="3" t="s">
        <v>102</v>
      </c>
      <c r="C1229" s="3" t="s">
        <v>9209</v>
      </c>
      <c r="D1229" s="3"/>
      <c r="E1229" s="3"/>
      <c r="F1229" t="s">
        <v>4192</v>
      </c>
      <c r="H1229" t="s">
        <v>4368</v>
      </c>
      <c r="J1229" t="s">
        <v>4369</v>
      </c>
      <c r="K1229" t="s">
        <v>4370</v>
      </c>
      <c r="L1229" t="s">
        <v>4371</v>
      </c>
      <c r="M1229" t="s">
        <v>263</v>
      </c>
      <c r="P1229" s="18" t="s">
        <v>9217</v>
      </c>
    </row>
    <row r="1230" spans="1:16" hidden="1" x14ac:dyDescent="0.35">
      <c r="A1230" t="s">
        <v>2403</v>
      </c>
      <c r="B1230" s="3" t="s">
        <v>102</v>
      </c>
      <c r="C1230" s="3" t="s">
        <v>9209</v>
      </c>
      <c r="D1230" s="3"/>
      <c r="E1230" s="3"/>
      <c r="F1230" t="s">
        <v>4192</v>
      </c>
      <c r="H1230" t="s">
        <v>4372</v>
      </c>
      <c r="J1230" t="s">
        <v>4373</v>
      </c>
      <c r="K1230" t="s">
        <v>4374</v>
      </c>
      <c r="L1230" t="s">
        <v>4375</v>
      </c>
      <c r="M1230" t="s">
        <v>263</v>
      </c>
      <c r="P1230" s="18" t="s">
        <v>9217</v>
      </c>
    </row>
    <row r="1231" spans="1:16" hidden="1" x14ac:dyDescent="0.35">
      <c r="A1231" t="s">
        <v>2403</v>
      </c>
      <c r="B1231" s="3" t="s">
        <v>102</v>
      </c>
      <c r="C1231" s="3" t="s">
        <v>9209</v>
      </c>
      <c r="D1231" s="3"/>
      <c r="E1231" s="3"/>
      <c r="F1231" t="s">
        <v>4192</v>
      </c>
      <c r="H1231" t="s">
        <v>4376</v>
      </c>
      <c r="J1231" t="s">
        <v>4377</v>
      </c>
      <c r="K1231" t="s">
        <v>4378</v>
      </c>
      <c r="L1231" t="s">
        <v>4379</v>
      </c>
      <c r="M1231" t="s">
        <v>241</v>
      </c>
      <c r="P1231" s="18" t="s">
        <v>9217</v>
      </c>
    </row>
    <row r="1232" spans="1:16" hidden="1" x14ac:dyDescent="0.35">
      <c r="A1232" t="s">
        <v>2403</v>
      </c>
      <c r="B1232" s="3" t="s">
        <v>102</v>
      </c>
      <c r="C1232" s="3" t="s">
        <v>9209</v>
      </c>
      <c r="D1232" s="3"/>
      <c r="E1232" s="3"/>
      <c r="F1232" t="s">
        <v>4192</v>
      </c>
      <c r="H1232" t="s">
        <v>4380</v>
      </c>
      <c r="J1232" t="s">
        <v>4381</v>
      </c>
      <c r="K1232" t="s">
        <v>4382</v>
      </c>
      <c r="L1232" t="s">
        <v>4383</v>
      </c>
      <c r="M1232" t="s">
        <v>263</v>
      </c>
      <c r="P1232" s="18" t="s">
        <v>9217</v>
      </c>
    </row>
    <row r="1233" spans="1:16" hidden="1" x14ac:dyDescent="0.35">
      <c r="A1233" t="s">
        <v>2403</v>
      </c>
      <c r="B1233" s="3" t="s">
        <v>102</v>
      </c>
      <c r="C1233" s="3" t="s">
        <v>9209</v>
      </c>
      <c r="D1233" s="3"/>
      <c r="E1233" s="3"/>
      <c r="F1233" t="s">
        <v>4192</v>
      </c>
      <c r="H1233" t="s">
        <v>4384</v>
      </c>
      <c r="J1233" t="s">
        <v>4385</v>
      </c>
      <c r="K1233" t="s">
        <v>4386</v>
      </c>
      <c r="L1233" t="s">
        <v>4387</v>
      </c>
      <c r="M1233" t="s">
        <v>263</v>
      </c>
      <c r="P1233" s="18" t="s">
        <v>9217</v>
      </c>
    </row>
    <row r="1234" spans="1:16" hidden="1" x14ac:dyDescent="0.35">
      <c r="A1234" t="s">
        <v>2403</v>
      </c>
      <c r="B1234" s="3" t="s">
        <v>102</v>
      </c>
      <c r="C1234" s="3" t="s">
        <v>9209</v>
      </c>
      <c r="D1234" s="3"/>
      <c r="E1234" s="3"/>
      <c r="F1234" t="s">
        <v>4192</v>
      </c>
      <c r="H1234" t="s">
        <v>4388</v>
      </c>
      <c r="J1234" t="s">
        <v>4389</v>
      </c>
      <c r="K1234" t="s">
        <v>4378</v>
      </c>
      <c r="L1234" t="s">
        <v>4390</v>
      </c>
      <c r="M1234" t="s">
        <v>241</v>
      </c>
      <c r="P1234" s="18" t="s">
        <v>9217</v>
      </c>
    </row>
    <row r="1235" spans="1:16" hidden="1" x14ac:dyDescent="0.35">
      <c r="A1235" t="s">
        <v>2403</v>
      </c>
      <c r="B1235" s="3" t="s">
        <v>102</v>
      </c>
      <c r="C1235" s="3" t="s">
        <v>9209</v>
      </c>
      <c r="D1235" s="3"/>
      <c r="E1235" s="3"/>
      <c r="F1235" t="s">
        <v>4192</v>
      </c>
      <c r="H1235" t="s">
        <v>4391</v>
      </c>
      <c r="J1235" t="s">
        <v>4392</v>
      </c>
      <c r="K1235" t="s">
        <v>4393</v>
      </c>
      <c r="L1235" t="s">
        <v>4394</v>
      </c>
      <c r="M1235" t="s">
        <v>2374</v>
      </c>
      <c r="P1235" s="18" t="s">
        <v>9217</v>
      </c>
    </row>
    <row r="1236" spans="1:16" hidden="1" x14ac:dyDescent="0.35">
      <c r="A1236" t="s">
        <v>2403</v>
      </c>
      <c r="B1236" s="3" t="s">
        <v>102</v>
      </c>
      <c r="C1236" s="3" t="s">
        <v>9209</v>
      </c>
      <c r="D1236" s="3"/>
      <c r="E1236" s="3"/>
      <c r="F1236" t="s">
        <v>4192</v>
      </c>
      <c r="H1236" t="s">
        <v>4395</v>
      </c>
      <c r="J1236" t="s">
        <v>4396</v>
      </c>
      <c r="K1236" t="s">
        <v>4397</v>
      </c>
      <c r="L1236" t="s">
        <v>4398</v>
      </c>
      <c r="M1236" t="s">
        <v>2374</v>
      </c>
      <c r="P1236" s="18" t="s">
        <v>9217</v>
      </c>
    </row>
    <row r="1237" spans="1:16" hidden="1" x14ac:dyDescent="0.35">
      <c r="A1237" t="s">
        <v>2403</v>
      </c>
      <c r="B1237" s="3" t="s">
        <v>102</v>
      </c>
      <c r="C1237" s="3" t="s">
        <v>9209</v>
      </c>
      <c r="D1237" s="3"/>
      <c r="E1237" s="3"/>
      <c r="F1237" t="s">
        <v>4192</v>
      </c>
      <c r="H1237" t="s">
        <v>4399</v>
      </c>
      <c r="J1237" t="s">
        <v>4400</v>
      </c>
      <c r="K1237" t="s">
        <v>4401</v>
      </c>
      <c r="L1237" t="s">
        <v>4402</v>
      </c>
      <c r="M1237" t="s">
        <v>2759</v>
      </c>
      <c r="P1237" s="18" t="s">
        <v>9217</v>
      </c>
    </row>
    <row r="1238" spans="1:16" hidden="1" x14ac:dyDescent="0.35">
      <c r="A1238" t="s">
        <v>2403</v>
      </c>
      <c r="B1238" s="3" t="s">
        <v>102</v>
      </c>
      <c r="C1238" s="3" t="s">
        <v>9209</v>
      </c>
      <c r="D1238" s="3"/>
      <c r="E1238" s="3"/>
      <c r="F1238" t="s">
        <v>4192</v>
      </c>
      <c r="H1238" t="s">
        <v>4403</v>
      </c>
      <c r="J1238" t="s">
        <v>4404</v>
      </c>
      <c r="K1238" t="s">
        <v>4405</v>
      </c>
      <c r="L1238" t="s">
        <v>4406</v>
      </c>
      <c r="M1238" t="s">
        <v>2759</v>
      </c>
      <c r="P1238" s="18" t="s">
        <v>9217</v>
      </c>
    </row>
    <row r="1239" spans="1:16" hidden="1" x14ac:dyDescent="0.35">
      <c r="A1239" t="s">
        <v>2403</v>
      </c>
      <c r="B1239" s="3" t="s">
        <v>102</v>
      </c>
      <c r="C1239" s="3" t="s">
        <v>9209</v>
      </c>
      <c r="D1239" s="3"/>
      <c r="E1239" s="3"/>
      <c r="F1239" t="s">
        <v>4192</v>
      </c>
      <c r="H1239" t="s">
        <v>4407</v>
      </c>
      <c r="J1239" t="s">
        <v>4408</v>
      </c>
      <c r="K1239" t="s">
        <v>4409</v>
      </c>
      <c r="L1239" t="s">
        <v>4410</v>
      </c>
      <c r="M1239" t="s">
        <v>229</v>
      </c>
      <c r="P1239" s="18" t="s">
        <v>9217</v>
      </c>
    </row>
    <row r="1240" spans="1:16" hidden="1" x14ac:dyDescent="0.35">
      <c r="A1240" t="s">
        <v>2403</v>
      </c>
      <c r="B1240" s="3" t="s">
        <v>102</v>
      </c>
      <c r="C1240" s="3" t="s">
        <v>9209</v>
      </c>
      <c r="D1240" s="3"/>
      <c r="E1240" s="3"/>
      <c r="F1240" t="s">
        <v>4192</v>
      </c>
      <c r="H1240" t="s">
        <v>4411</v>
      </c>
      <c r="J1240" t="s">
        <v>3663</v>
      </c>
      <c r="K1240" t="s">
        <v>4412</v>
      </c>
      <c r="L1240" t="s">
        <v>4413</v>
      </c>
      <c r="M1240" t="s">
        <v>229</v>
      </c>
      <c r="P1240" s="18" t="s">
        <v>9217</v>
      </c>
    </row>
    <row r="1241" spans="1:16" hidden="1" x14ac:dyDescent="0.35">
      <c r="A1241" t="s">
        <v>2403</v>
      </c>
      <c r="B1241" s="3" t="s">
        <v>102</v>
      </c>
      <c r="C1241" s="3" t="s">
        <v>9209</v>
      </c>
      <c r="D1241" s="3"/>
      <c r="E1241" s="3"/>
      <c r="F1241" t="s">
        <v>4192</v>
      </c>
      <c r="H1241" t="s">
        <v>4414</v>
      </c>
      <c r="J1241" t="s">
        <v>4415</v>
      </c>
      <c r="K1241" t="s">
        <v>4416</v>
      </c>
      <c r="L1241" t="s">
        <v>4417</v>
      </c>
      <c r="M1241" t="s">
        <v>229</v>
      </c>
      <c r="P1241" s="18" t="s">
        <v>9217</v>
      </c>
    </row>
    <row r="1242" spans="1:16" hidden="1" x14ac:dyDescent="0.35">
      <c r="A1242" t="s">
        <v>2403</v>
      </c>
      <c r="B1242" s="3" t="s">
        <v>102</v>
      </c>
      <c r="C1242" s="3" t="s">
        <v>9209</v>
      </c>
      <c r="D1242" s="3"/>
      <c r="E1242" s="3"/>
      <c r="F1242" t="s">
        <v>4192</v>
      </c>
      <c r="H1242" t="s">
        <v>4418</v>
      </c>
      <c r="J1242" t="s">
        <v>4419</v>
      </c>
      <c r="K1242" t="s">
        <v>4420</v>
      </c>
      <c r="L1242" t="s">
        <v>4421</v>
      </c>
      <c r="M1242" t="s">
        <v>241</v>
      </c>
      <c r="P1242" s="18" t="s">
        <v>9217</v>
      </c>
    </row>
    <row r="1243" spans="1:16" hidden="1" x14ac:dyDescent="0.35">
      <c r="A1243" t="s">
        <v>2403</v>
      </c>
      <c r="B1243" s="3" t="s">
        <v>102</v>
      </c>
      <c r="C1243" s="3" t="s">
        <v>9209</v>
      </c>
      <c r="D1243" s="3"/>
      <c r="E1243" s="3"/>
      <c r="F1243" t="s">
        <v>4192</v>
      </c>
      <c r="H1243" t="s">
        <v>4422</v>
      </c>
      <c r="J1243" t="s">
        <v>4423</v>
      </c>
      <c r="K1243" t="s">
        <v>4424</v>
      </c>
      <c r="L1243" t="s">
        <v>4425</v>
      </c>
      <c r="M1243" t="s">
        <v>248</v>
      </c>
      <c r="P1243" s="18" t="s">
        <v>9217</v>
      </c>
    </row>
    <row r="1244" spans="1:16" hidden="1" x14ac:dyDescent="0.35">
      <c r="A1244" t="s">
        <v>2403</v>
      </c>
      <c r="B1244" s="3" t="s">
        <v>102</v>
      </c>
      <c r="C1244" s="3" t="s">
        <v>9209</v>
      </c>
      <c r="D1244" s="3"/>
      <c r="E1244" s="3"/>
      <c r="F1244" t="s">
        <v>4192</v>
      </c>
      <c r="H1244" t="s">
        <v>4426</v>
      </c>
      <c r="J1244" t="s">
        <v>4427</v>
      </c>
      <c r="K1244" t="s">
        <v>4428</v>
      </c>
      <c r="L1244" t="s">
        <v>4429</v>
      </c>
      <c r="M1244" t="s">
        <v>229</v>
      </c>
      <c r="P1244" s="18" t="s">
        <v>9217</v>
      </c>
    </row>
    <row r="1245" spans="1:16" hidden="1" x14ac:dyDescent="0.35">
      <c r="A1245" t="s">
        <v>2403</v>
      </c>
      <c r="B1245" s="3" t="s">
        <v>102</v>
      </c>
      <c r="C1245" s="3" t="s">
        <v>9209</v>
      </c>
      <c r="D1245" s="3"/>
      <c r="E1245" s="3"/>
      <c r="F1245" t="s">
        <v>4192</v>
      </c>
      <c r="H1245" t="s">
        <v>4430</v>
      </c>
      <c r="J1245" t="s">
        <v>4431</v>
      </c>
      <c r="K1245" t="s">
        <v>4432</v>
      </c>
      <c r="L1245" t="s">
        <v>4433</v>
      </c>
      <c r="M1245" t="s">
        <v>2759</v>
      </c>
      <c r="P1245" s="18" t="s">
        <v>9217</v>
      </c>
    </row>
    <row r="1246" spans="1:16" hidden="1" x14ac:dyDescent="0.35">
      <c r="A1246" t="s">
        <v>2403</v>
      </c>
      <c r="B1246" s="3" t="s">
        <v>102</v>
      </c>
      <c r="C1246" s="3" t="s">
        <v>9209</v>
      </c>
      <c r="D1246" s="3"/>
      <c r="E1246" s="3"/>
      <c r="F1246" t="s">
        <v>4192</v>
      </c>
      <c r="H1246" t="s">
        <v>4434</v>
      </c>
      <c r="J1246" t="s">
        <v>3663</v>
      </c>
      <c r="K1246" t="s">
        <v>4435</v>
      </c>
      <c r="L1246" t="s">
        <v>4436</v>
      </c>
      <c r="M1246" t="s">
        <v>229</v>
      </c>
      <c r="P1246" s="18" t="s">
        <v>9217</v>
      </c>
    </row>
    <row r="1247" spans="1:16" hidden="1" x14ac:dyDescent="0.35">
      <c r="A1247" t="s">
        <v>2403</v>
      </c>
      <c r="B1247" s="3" t="s">
        <v>102</v>
      </c>
      <c r="C1247" s="3" t="s">
        <v>9209</v>
      </c>
      <c r="D1247" s="3"/>
      <c r="E1247" s="3"/>
      <c r="F1247" t="s">
        <v>4192</v>
      </c>
      <c r="H1247" t="s">
        <v>4437</v>
      </c>
      <c r="J1247" t="s">
        <v>4415</v>
      </c>
      <c r="K1247" t="s">
        <v>4438</v>
      </c>
      <c r="L1247" t="s">
        <v>4439</v>
      </c>
      <c r="M1247" t="s">
        <v>229</v>
      </c>
      <c r="P1247" s="18" t="s">
        <v>9217</v>
      </c>
    </row>
    <row r="1248" spans="1:16" hidden="1" x14ac:dyDescent="0.35">
      <c r="A1248" t="s">
        <v>2403</v>
      </c>
      <c r="B1248" s="3" t="s">
        <v>102</v>
      </c>
      <c r="C1248" s="3" t="s">
        <v>9209</v>
      </c>
      <c r="D1248" s="3"/>
      <c r="E1248" s="3"/>
      <c r="F1248" t="s">
        <v>4192</v>
      </c>
      <c r="H1248" t="s">
        <v>4440</v>
      </c>
      <c r="J1248" t="s">
        <v>4441</v>
      </c>
      <c r="K1248" t="s">
        <v>4442</v>
      </c>
      <c r="L1248" t="s">
        <v>4443</v>
      </c>
      <c r="M1248" t="s">
        <v>241</v>
      </c>
      <c r="P1248" s="18" t="s">
        <v>9217</v>
      </c>
    </row>
    <row r="1249" spans="1:16" hidden="1" x14ac:dyDescent="0.35">
      <c r="A1249" t="s">
        <v>2403</v>
      </c>
      <c r="B1249" s="3" t="s">
        <v>102</v>
      </c>
      <c r="C1249" s="3" t="s">
        <v>9209</v>
      </c>
      <c r="D1249" s="3"/>
      <c r="E1249" s="3"/>
      <c r="F1249" t="s">
        <v>4192</v>
      </c>
      <c r="H1249" t="s">
        <v>4444</v>
      </c>
      <c r="J1249" t="s">
        <v>4445</v>
      </c>
      <c r="K1249" t="s">
        <v>4446</v>
      </c>
      <c r="L1249" t="s">
        <v>4447</v>
      </c>
      <c r="M1249" t="s">
        <v>2374</v>
      </c>
      <c r="P1249" s="18" t="s">
        <v>9217</v>
      </c>
    </row>
    <row r="1250" spans="1:16" hidden="1" x14ac:dyDescent="0.35">
      <c r="A1250" t="s">
        <v>2403</v>
      </c>
      <c r="B1250" s="3" t="s">
        <v>102</v>
      </c>
      <c r="C1250" s="3" t="s">
        <v>9209</v>
      </c>
      <c r="D1250" s="3"/>
      <c r="E1250" s="3"/>
      <c r="F1250" t="s">
        <v>4192</v>
      </c>
      <c r="H1250" t="s">
        <v>4448</v>
      </c>
      <c r="J1250" t="s">
        <v>4449</v>
      </c>
      <c r="K1250" t="s">
        <v>4450</v>
      </c>
      <c r="L1250" t="s">
        <v>4451</v>
      </c>
      <c r="M1250" t="s">
        <v>2374</v>
      </c>
      <c r="P1250" s="18" t="s">
        <v>9217</v>
      </c>
    </row>
    <row r="1251" spans="1:16" hidden="1" x14ac:dyDescent="0.35">
      <c r="A1251" t="s">
        <v>2403</v>
      </c>
      <c r="B1251" s="3" t="s">
        <v>102</v>
      </c>
      <c r="C1251" s="3" t="s">
        <v>9209</v>
      </c>
      <c r="D1251" s="3"/>
      <c r="E1251" s="3"/>
      <c r="F1251" t="s">
        <v>4452</v>
      </c>
      <c r="H1251" t="s">
        <v>4453</v>
      </c>
      <c r="J1251" t="s">
        <v>4454</v>
      </c>
      <c r="K1251" t="s">
        <v>4455</v>
      </c>
      <c r="L1251" t="s">
        <v>4456</v>
      </c>
      <c r="M1251" t="s">
        <v>2759</v>
      </c>
    </row>
    <row r="1252" spans="1:16" hidden="1" x14ac:dyDescent="0.35">
      <c r="A1252" t="s">
        <v>2403</v>
      </c>
      <c r="B1252" s="3" t="s">
        <v>102</v>
      </c>
      <c r="C1252" s="3" t="s">
        <v>9209</v>
      </c>
      <c r="D1252" s="3"/>
      <c r="E1252" s="3"/>
      <c r="F1252" t="s">
        <v>4452</v>
      </c>
      <c r="H1252" t="s">
        <v>4457</v>
      </c>
      <c r="J1252" t="s">
        <v>4458</v>
      </c>
      <c r="K1252" t="s">
        <v>4459</v>
      </c>
      <c r="L1252" t="s">
        <v>4460</v>
      </c>
      <c r="M1252" t="s">
        <v>229</v>
      </c>
      <c r="P1252" s="18" t="s">
        <v>1341</v>
      </c>
    </row>
    <row r="1253" spans="1:16" hidden="1" x14ac:dyDescent="0.35">
      <c r="A1253" t="s">
        <v>2403</v>
      </c>
      <c r="B1253" s="3" t="s">
        <v>102</v>
      </c>
      <c r="C1253" s="3" t="s">
        <v>9209</v>
      </c>
      <c r="D1253" s="3"/>
      <c r="E1253" s="3"/>
      <c r="F1253" t="s">
        <v>4452</v>
      </c>
      <c r="H1253" t="s">
        <v>4461</v>
      </c>
      <c r="J1253" t="s">
        <v>4462</v>
      </c>
      <c r="K1253" t="s">
        <v>4463</v>
      </c>
      <c r="L1253" t="s">
        <v>4464</v>
      </c>
      <c r="M1253" t="s">
        <v>229</v>
      </c>
      <c r="P1253" s="18" t="s">
        <v>9217</v>
      </c>
    </row>
    <row r="1254" spans="1:16" hidden="1" x14ac:dyDescent="0.35">
      <c r="A1254" t="s">
        <v>2403</v>
      </c>
      <c r="B1254" s="3" t="s">
        <v>102</v>
      </c>
      <c r="C1254" s="3" t="s">
        <v>9209</v>
      </c>
      <c r="D1254" s="3"/>
      <c r="E1254" s="3"/>
      <c r="F1254" t="s">
        <v>4452</v>
      </c>
      <c r="H1254" t="s">
        <v>4465</v>
      </c>
      <c r="J1254" t="s">
        <v>4466</v>
      </c>
      <c r="K1254" t="s">
        <v>4467</v>
      </c>
      <c r="L1254" t="s">
        <v>4468</v>
      </c>
      <c r="M1254" t="s">
        <v>2759</v>
      </c>
      <c r="P1254" s="18" t="s">
        <v>1341</v>
      </c>
    </row>
    <row r="1255" spans="1:16" hidden="1" x14ac:dyDescent="0.35">
      <c r="A1255" t="s">
        <v>2403</v>
      </c>
      <c r="B1255" s="3" t="s">
        <v>102</v>
      </c>
      <c r="C1255" s="3" t="s">
        <v>9209</v>
      </c>
      <c r="D1255" s="3"/>
      <c r="E1255" s="3"/>
      <c r="F1255" t="s">
        <v>4452</v>
      </c>
      <c r="H1255" t="s">
        <v>4469</v>
      </c>
      <c r="J1255" t="s">
        <v>4470</v>
      </c>
      <c r="K1255" t="s">
        <v>4471</v>
      </c>
      <c r="L1255" t="s">
        <v>4472</v>
      </c>
      <c r="M1255" t="s">
        <v>2759</v>
      </c>
      <c r="P1255" s="18" t="s">
        <v>9217</v>
      </c>
    </row>
    <row r="1256" spans="1:16" hidden="1" x14ac:dyDescent="0.35">
      <c r="A1256" t="s">
        <v>2403</v>
      </c>
      <c r="B1256" s="3" t="s">
        <v>102</v>
      </c>
      <c r="C1256" s="3" t="s">
        <v>9209</v>
      </c>
      <c r="D1256" s="3"/>
      <c r="E1256" s="3"/>
      <c r="F1256" t="s">
        <v>4452</v>
      </c>
      <c r="H1256" t="s">
        <v>4473</v>
      </c>
      <c r="J1256" t="s">
        <v>4474</v>
      </c>
      <c r="K1256" t="s">
        <v>4475</v>
      </c>
      <c r="L1256" t="s">
        <v>4476</v>
      </c>
      <c r="M1256" t="s">
        <v>229</v>
      </c>
      <c r="P1256" t="s">
        <v>27</v>
      </c>
    </row>
    <row r="1257" spans="1:16" hidden="1" x14ac:dyDescent="0.35">
      <c r="A1257" t="s">
        <v>2403</v>
      </c>
      <c r="B1257" s="3" t="s">
        <v>102</v>
      </c>
      <c r="C1257" s="3" t="s">
        <v>9209</v>
      </c>
      <c r="D1257" s="3"/>
      <c r="E1257" s="3"/>
      <c r="F1257" t="s">
        <v>4452</v>
      </c>
      <c r="H1257" t="s">
        <v>4477</v>
      </c>
      <c r="J1257" t="s">
        <v>4478</v>
      </c>
      <c r="K1257" t="s">
        <v>4479</v>
      </c>
      <c r="L1257" t="s">
        <v>4480</v>
      </c>
      <c r="M1257" t="s">
        <v>229</v>
      </c>
      <c r="P1257" s="18" t="s">
        <v>9217</v>
      </c>
    </row>
    <row r="1258" spans="1:16" hidden="1" x14ac:dyDescent="0.35">
      <c r="A1258" t="s">
        <v>2403</v>
      </c>
      <c r="B1258" s="3" t="s">
        <v>102</v>
      </c>
      <c r="C1258" s="3" t="s">
        <v>9209</v>
      </c>
      <c r="D1258" s="3"/>
      <c r="E1258" s="3"/>
      <c r="F1258" t="s">
        <v>4452</v>
      </c>
      <c r="H1258" t="s">
        <v>4481</v>
      </c>
      <c r="J1258" t="s">
        <v>4482</v>
      </c>
      <c r="K1258" t="s">
        <v>4483</v>
      </c>
      <c r="L1258" t="s">
        <v>4484</v>
      </c>
      <c r="M1258" t="s">
        <v>2759</v>
      </c>
      <c r="P1258" s="18" t="s">
        <v>1341</v>
      </c>
    </row>
    <row r="1259" spans="1:16" hidden="1" x14ac:dyDescent="0.35">
      <c r="A1259" t="s">
        <v>2403</v>
      </c>
      <c r="B1259" s="3" t="s">
        <v>102</v>
      </c>
      <c r="C1259" s="3" t="s">
        <v>9209</v>
      </c>
      <c r="D1259" s="3"/>
      <c r="E1259" s="3"/>
      <c r="F1259" t="s">
        <v>4452</v>
      </c>
      <c r="H1259" t="s">
        <v>4485</v>
      </c>
      <c r="J1259" t="s">
        <v>4486</v>
      </c>
      <c r="K1259" t="s">
        <v>4487</v>
      </c>
      <c r="L1259" t="s">
        <v>4488</v>
      </c>
      <c r="M1259" t="s">
        <v>229</v>
      </c>
      <c r="P1259" s="18" t="s">
        <v>9217</v>
      </c>
    </row>
    <row r="1260" spans="1:16" hidden="1" x14ac:dyDescent="0.35">
      <c r="A1260" t="s">
        <v>2403</v>
      </c>
      <c r="B1260" s="3" t="s">
        <v>102</v>
      </c>
      <c r="C1260" s="3" t="s">
        <v>9209</v>
      </c>
      <c r="D1260" s="3"/>
      <c r="E1260" s="3"/>
      <c r="F1260" t="s">
        <v>4452</v>
      </c>
      <c r="H1260" t="s">
        <v>4489</v>
      </c>
      <c r="J1260" t="s">
        <v>4490</v>
      </c>
      <c r="K1260" t="s">
        <v>4491</v>
      </c>
      <c r="L1260" t="s">
        <v>4492</v>
      </c>
      <c r="M1260" t="s">
        <v>229</v>
      </c>
      <c r="P1260" s="18" t="s">
        <v>1341</v>
      </c>
    </row>
    <row r="1261" spans="1:16" hidden="1" x14ac:dyDescent="0.35">
      <c r="A1261" t="s">
        <v>2403</v>
      </c>
      <c r="B1261" s="3" t="s">
        <v>102</v>
      </c>
      <c r="C1261" s="3" t="s">
        <v>9209</v>
      </c>
      <c r="D1261" s="3"/>
      <c r="E1261" s="3"/>
      <c r="F1261" t="s">
        <v>4452</v>
      </c>
      <c r="H1261" t="s">
        <v>4493</v>
      </c>
      <c r="J1261" t="s">
        <v>4494</v>
      </c>
      <c r="K1261" t="s">
        <v>4495</v>
      </c>
      <c r="L1261" t="s">
        <v>4496</v>
      </c>
      <c r="M1261" t="s">
        <v>229</v>
      </c>
      <c r="P1261" s="18" t="s">
        <v>1341</v>
      </c>
    </row>
    <row r="1262" spans="1:16" hidden="1" x14ac:dyDescent="0.35">
      <c r="A1262" t="s">
        <v>2403</v>
      </c>
      <c r="B1262" s="3" t="s">
        <v>102</v>
      </c>
      <c r="C1262" s="3" t="s">
        <v>9209</v>
      </c>
      <c r="D1262" s="3"/>
      <c r="E1262" s="3"/>
      <c r="F1262" t="s">
        <v>4452</v>
      </c>
      <c r="H1262" t="s">
        <v>4497</v>
      </c>
      <c r="J1262" t="s">
        <v>4498</v>
      </c>
      <c r="K1262" t="s">
        <v>4499</v>
      </c>
      <c r="L1262" t="s">
        <v>4500</v>
      </c>
      <c r="M1262" t="s">
        <v>2759</v>
      </c>
      <c r="P1262" s="18" t="s">
        <v>9217</v>
      </c>
    </row>
    <row r="1263" spans="1:16" hidden="1" x14ac:dyDescent="0.35">
      <c r="A1263" t="s">
        <v>2403</v>
      </c>
      <c r="B1263" s="3" t="s">
        <v>102</v>
      </c>
      <c r="C1263" s="3" t="s">
        <v>9209</v>
      </c>
      <c r="D1263" s="3"/>
      <c r="E1263" s="3"/>
      <c r="F1263" t="s">
        <v>4452</v>
      </c>
      <c r="H1263" t="s">
        <v>4501</v>
      </c>
      <c r="J1263" t="s">
        <v>4502</v>
      </c>
      <c r="K1263" t="s">
        <v>4503</v>
      </c>
      <c r="L1263" t="s">
        <v>4504</v>
      </c>
      <c r="M1263" t="s">
        <v>229</v>
      </c>
      <c r="P1263" s="18" t="s">
        <v>9217</v>
      </c>
    </row>
    <row r="1264" spans="1:16" hidden="1" x14ac:dyDescent="0.35">
      <c r="A1264" t="s">
        <v>2403</v>
      </c>
      <c r="B1264" s="3" t="s">
        <v>102</v>
      </c>
      <c r="C1264" s="3" t="s">
        <v>9209</v>
      </c>
      <c r="D1264" s="3"/>
      <c r="E1264" s="3"/>
      <c r="F1264" t="s">
        <v>4452</v>
      </c>
      <c r="H1264" t="s">
        <v>4505</v>
      </c>
      <c r="J1264" t="s">
        <v>4506</v>
      </c>
      <c r="K1264" t="s">
        <v>4507</v>
      </c>
      <c r="L1264" t="s">
        <v>4508</v>
      </c>
      <c r="M1264" t="s">
        <v>229</v>
      </c>
      <c r="P1264" s="18" t="s">
        <v>9217</v>
      </c>
    </row>
    <row r="1265" spans="1:16" hidden="1" x14ac:dyDescent="0.35">
      <c r="A1265" t="s">
        <v>2403</v>
      </c>
      <c r="B1265" s="3" t="s">
        <v>102</v>
      </c>
      <c r="C1265" s="3" t="s">
        <v>9209</v>
      </c>
      <c r="D1265" s="3"/>
      <c r="E1265" s="3"/>
      <c r="F1265" t="s">
        <v>4452</v>
      </c>
      <c r="H1265" t="s">
        <v>4509</v>
      </c>
      <c r="J1265" t="s">
        <v>4510</v>
      </c>
      <c r="K1265" t="s">
        <v>4511</v>
      </c>
      <c r="L1265" t="s">
        <v>4512</v>
      </c>
      <c r="M1265" t="s">
        <v>229</v>
      </c>
      <c r="P1265" s="18" t="s">
        <v>9217</v>
      </c>
    </row>
    <row r="1266" spans="1:16" hidden="1" x14ac:dyDescent="0.35">
      <c r="A1266" t="s">
        <v>2403</v>
      </c>
      <c r="B1266" s="3" t="s">
        <v>102</v>
      </c>
      <c r="C1266" s="3" t="s">
        <v>9209</v>
      </c>
      <c r="D1266" s="3"/>
      <c r="E1266" s="3"/>
      <c r="F1266" t="s">
        <v>4452</v>
      </c>
      <c r="H1266" t="s">
        <v>4505</v>
      </c>
      <c r="J1266" t="s">
        <v>4513</v>
      </c>
      <c r="K1266" t="s">
        <v>4514</v>
      </c>
      <c r="L1266" t="s">
        <v>4515</v>
      </c>
      <c r="M1266" t="s">
        <v>229</v>
      </c>
      <c r="P1266" s="18" t="s">
        <v>9217</v>
      </c>
    </row>
    <row r="1267" spans="1:16" hidden="1" x14ac:dyDescent="0.35">
      <c r="A1267" t="s">
        <v>2403</v>
      </c>
      <c r="B1267" s="3" t="s">
        <v>102</v>
      </c>
      <c r="C1267" s="3" t="s">
        <v>9209</v>
      </c>
      <c r="D1267" s="3"/>
      <c r="E1267" s="3"/>
      <c r="F1267" t="s">
        <v>4452</v>
      </c>
      <c r="H1267" t="s">
        <v>4516</v>
      </c>
      <c r="J1267" t="s">
        <v>4517</v>
      </c>
      <c r="K1267" t="s">
        <v>4518</v>
      </c>
      <c r="L1267" t="s">
        <v>4519</v>
      </c>
      <c r="M1267" t="s">
        <v>229</v>
      </c>
      <c r="P1267" s="18" t="s">
        <v>9217</v>
      </c>
    </row>
    <row r="1268" spans="1:16" hidden="1" x14ac:dyDescent="0.35">
      <c r="A1268" t="s">
        <v>2403</v>
      </c>
      <c r="B1268" s="3" t="s">
        <v>102</v>
      </c>
      <c r="C1268" s="3" t="s">
        <v>9209</v>
      </c>
      <c r="D1268" s="3"/>
      <c r="E1268" s="3"/>
      <c r="F1268" t="s">
        <v>4452</v>
      </c>
      <c r="H1268" t="s">
        <v>4520</v>
      </c>
      <c r="J1268" t="s">
        <v>4521</v>
      </c>
      <c r="K1268" t="s">
        <v>4522</v>
      </c>
      <c r="L1268" t="s">
        <v>4523</v>
      </c>
      <c r="M1268" t="s">
        <v>229</v>
      </c>
      <c r="P1268" s="18" t="s">
        <v>9217</v>
      </c>
    </row>
    <row r="1269" spans="1:16" hidden="1" x14ac:dyDescent="0.35">
      <c r="A1269" t="s">
        <v>2403</v>
      </c>
      <c r="B1269" s="3" t="s">
        <v>102</v>
      </c>
      <c r="C1269" s="3" t="s">
        <v>9209</v>
      </c>
      <c r="D1269" s="3"/>
      <c r="E1269" s="3"/>
      <c r="F1269" t="s">
        <v>4452</v>
      </c>
      <c r="H1269" t="s">
        <v>4524</v>
      </c>
      <c r="J1269" t="s">
        <v>4525</v>
      </c>
      <c r="K1269" t="s">
        <v>4526</v>
      </c>
      <c r="L1269" t="s">
        <v>4527</v>
      </c>
      <c r="M1269" t="s">
        <v>229</v>
      </c>
      <c r="P1269" s="18" t="s">
        <v>9217</v>
      </c>
    </row>
    <row r="1270" spans="1:16" hidden="1" x14ac:dyDescent="0.35">
      <c r="A1270" t="s">
        <v>2403</v>
      </c>
      <c r="B1270" s="3" t="s">
        <v>102</v>
      </c>
      <c r="C1270" s="3" t="s">
        <v>9209</v>
      </c>
      <c r="D1270" s="3"/>
      <c r="E1270" s="3"/>
      <c r="F1270" t="s">
        <v>4452</v>
      </c>
      <c r="H1270" t="s">
        <v>4528</v>
      </c>
      <c r="J1270" t="s">
        <v>4529</v>
      </c>
      <c r="K1270" t="s">
        <v>1046</v>
      </c>
      <c r="L1270" t="s">
        <v>4530</v>
      </c>
      <c r="M1270" t="s">
        <v>2759</v>
      </c>
      <c r="P1270" s="18" t="s">
        <v>9217</v>
      </c>
    </row>
    <row r="1271" spans="1:16" hidden="1" x14ac:dyDescent="0.35">
      <c r="A1271" t="s">
        <v>2403</v>
      </c>
      <c r="B1271" s="3" t="s">
        <v>102</v>
      </c>
      <c r="C1271" s="3" t="s">
        <v>9209</v>
      </c>
      <c r="D1271" s="3"/>
      <c r="E1271" s="3"/>
      <c r="F1271" t="s">
        <v>4452</v>
      </c>
      <c r="H1271" t="s">
        <v>4531</v>
      </c>
      <c r="J1271" t="s">
        <v>4532</v>
      </c>
      <c r="K1271" t="s">
        <v>4533</v>
      </c>
      <c r="L1271" t="s">
        <v>4534</v>
      </c>
      <c r="M1271" t="s">
        <v>229</v>
      </c>
      <c r="P1271" s="18" t="s">
        <v>9217</v>
      </c>
    </row>
    <row r="1272" spans="1:16" hidden="1" x14ac:dyDescent="0.35">
      <c r="A1272" t="s">
        <v>2403</v>
      </c>
      <c r="B1272" s="3" t="s">
        <v>102</v>
      </c>
      <c r="C1272" s="3" t="s">
        <v>9209</v>
      </c>
      <c r="D1272" s="3"/>
      <c r="E1272" s="3"/>
      <c r="F1272" t="s">
        <v>381</v>
      </c>
      <c r="H1272" t="s">
        <v>4535</v>
      </c>
      <c r="J1272" t="e" cm="1" vm="1">
        <f t="array" aca="1" ref="J1272" ca="1">65:657</f>
        <v>#VALUE!</v>
      </c>
      <c r="K1272" t="s">
        <v>229</v>
      </c>
      <c r="L1272" t="s">
        <v>4536</v>
      </c>
      <c r="M1272" t="s">
        <v>4537</v>
      </c>
      <c r="P1272" s="18" t="s">
        <v>9217</v>
      </c>
    </row>
    <row r="1273" spans="1:16" hidden="1" x14ac:dyDescent="0.35">
      <c r="A1273" t="s">
        <v>2403</v>
      </c>
      <c r="B1273" s="3" t="s">
        <v>102</v>
      </c>
      <c r="C1273" s="3" t="s">
        <v>9209</v>
      </c>
      <c r="D1273" s="3"/>
      <c r="E1273" s="3"/>
      <c r="F1273" t="s">
        <v>381</v>
      </c>
      <c r="H1273" t="s">
        <v>4538</v>
      </c>
      <c r="J1273" t="s">
        <v>4539</v>
      </c>
      <c r="K1273" t="s">
        <v>229</v>
      </c>
      <c r="L1273" t="s">
        <v>4540</v>
      </c>
      <c r="M1273" t="s">
        <v>4541</v>
      </c>
      <c r="P1273" s="18" t="s">
        <v>9217</v>
      </c>
    </row>
    <row r="1274" spans="1:16" hidden="1" x14ac:dyDescent="0.35">
      <c r="A1274" t="s">
        <v>2403</v>
      </c>
      <c r="B1274" s="3" t="s">
        <v>102</v>
      </c>
      <c r="C1274" s="3" t="s">
        <v>9209</v>
      </c>
      <c r="D1274" s="3"/>
      <c r="E1274" s="3"/>
      <c r="F1274" t="s">
        <v>381</v>
      </c>
      <c r="H1274" t="s">
        <v>4542</v>
      </c>
      <c r="J1274" t="s">
        <v>4543</v>
      </c>
      <c r="K1274" t="s">
        <v>253</v>
      </c>
      <c r="L1274" t="s">
        <v>4544</v>
      </c>
      <c r="M1274" t="s">
        <v>4545</v>
      </c>
      <c r="P1274" s="18" t="s">
        <v>9217</v>
      </c>
    </row>
    <row r="1275" spans="1:16" hidden="1" x14ac:dyDescent="0.35">
      <c r="A1275" t="s">
        <v>2403</v>
      </c>
      <c r="B1275" s="3" t="s">
        <v>102</v>
      </c>
      <c r="C1275" s="3" t="s">
        <v>9209</v>
      </c>
      <c r="D1275" s="3"/>
      <c r="E1275" s="3"/>
      <c r="F1275" t="s">
        <v>381</v>
      </c>
      <c r="H1275" t="s">
        <v>4546</v>
      </c>
      <c r="J1275" t="s">
        <v>4547</v>
      </c>
      <c r="K1275" t="s">
        <v>229</v>
      </c>
      <c r="L1275" t="s">
        <v>4548</v>
      </c>
      <c r="M1275" t="s">
        <v>4549</v>
      </c>
      <c r="P1275" s="18" t="s">
        <v>9217</v>
      </c>
    </row>
    <row r="1276" spans="1:16" hidden="1" x14ac:dyDescent="0.35">
      <c r="A1276" t="s">
        <v>2403</v>
      </c>
      <c r="B1276" s="3" t="s">
        <v>102</v>
      </c>
      <c r="C1276" s="3" t="s">
        <v>9209</v>
      </c>
      <c r="D1276" s="3"/>
      <c r="E1276" s="3"/>
      <c r="F1276" t="s">
        <v>381</v>
      </c>
      <c r="H1276" t="s">
        <v>4550</v>
      </c>
      <c r="J1276" t="s">
        <v>4551</v>
      </c>
      <c r="K1276" t="s">
        <v>229</v>
      </c>
      <c r="L1276" t="s">
        <v>4552</v>
      </c>
      <c r="M1276" t="s">
        <v>4553</v>
      </c>
      <c r="P1276" s="18" t="s">
        <v>9217</v>
      </c>
    </row>
    <row r="1277" spans="1:16" hidden="1" x14ac:dyDescent="0.35">
      <c r="A1277" t="s">
        <v>2403</v>
      </c>
      <c r="B1277" s="3" t="s">
        <v>102</v>
      </c>
      <c r="C1277" s="3" t="s">
        <v>9209</v>
      </c>
      <c r="D1277" s="3"/>
      <c r="E1277" s="3"/>
      <c r="F1277" t="s">
        <v>381</v>
      </c>
      <c r="H1277" t="s">
        <v>4554</v>
      </c>
      <c r="J1277" t="s">
        <v>4555</v>
      </c>
      <c r="K1277" t="s">
        <v>229</v>
      </c>
      <c r="L1277" t="s">
        <v>4556</v>
      </c>
      <c r="M1277" t="s">
        <v>4557</v>
      </c>
      <c r="P1277" s="18" t="s">
        <v>9217</v>
      </c>
    </row>
    <row r="1278" spans="1:16" hidden="1" x14ac:dyDescent="0.35">
      <c r="A1278" t="s">
        <v>2403</v>
      </c>
      <c r="B1278" s="3" t="s">
        <v>102</v>
      </c>
      <c r="C1278" s="3" t="s">
        <v>9209</v>
      </c>
      <c r="D1278" s="3"/>
      <c r="E1278" s="3"/>
      <c r="F1278" t="s">
        <v>381</v>
      </c>
      <c r="H1278" t="s">
        <v>4558</v>
      </c>
      <c r="J1278" t="s">
        <v>4559</v>
      </c>
      <c r="K1278" t="s">
        <v>229</v>
      </c>
      <c r="L1278" t="s">
        <v>4560</v>
      </c>
      <c r="M1278" t="s">
        <v>4561</v>
      </c>
      <c r="P1278" s="18" t="s">
        <v>9217</v>
      </c>
    </row>
    <row r="1279" spans="1:16" hidden="1" x14ac:dyDescent="0.35">
      <c r="A1279" t="s">
        <v>2403</v>
      </c>
      <c r="B1279" s="3" t="s">
        <v>102</v>
      </c>
      <c r="C1279" s="3" t="s">
        <v>9209</v>
      </c>
      <c r="D1279" s="3"/>
      <c r="E1279" s="3"/>
      <c r="F1279" t="s">
        <v>381</v>
      </c>
      <c r="H1279" t="s">
        <v>4562</v>
      </c>
      <c r="J1279" t="s">
        <v>4563</v>
      </c>
      <c r="K1279" t="s">
        <v>229</v>
      </c>
      <c r="L1279" t="s">
        <v>4564</v>
      </c>
      <c r="M1279" t="s">
        <v>4565</v>
      </c>
      <c r="P1279" s="18" t="s">
        <v>9217</v>
      </c>
    </row>
    <row r="1280" spans="1:16" hidden="1" x14ac:dyDescent="0.35">
      <c r="A1280" t="s">
        <v>2403</v>
      </c>
      <c r="B1280" s="3" t="s">
        <v>102</v>
      </c>
      <c r="C1280" s="3" t="s">
        <v>9209</v>
      </c>
      <c r="D1280" s="3"/>
      <c r="E1280" s="3"/>
      <c r="F1280" t="s">
        <v>381</v>
      </c>
      <c r="H1280" t="s">
        <v>4566</v>
      </c>
      <c r="J1280" t="s">
        <v>4567</v>
      </c>
      <c r="K1280" t="s">
        <v>229</v>
      </c>
      <c r="L1280" t="s">
        <v>4568</v>
      </c>
      <c r="M1280" t="s">
        <v>4569</v>
      </c>
      <c r="P1280" s="18" t="s">
        <v>9217</v>
      </c>
    </row>
    <row r="1281" spans="1:16" hidden="1" x14ac:dyDescent="0.35">
      <c r="A1281" t="s">
        <v>4570</v>
      </c>
      <c r="B1281" s="3" t="s">
        <v>102</v>
      </c>
      <c r="C1281" s="3"/>
      <c r="D1281" s="3"/>
      <c r="E1281" s="3"/>
      <c r="F1281" t="s">
        <v>381</v>
      </c>
      <c r="H1281" t="s">
        <v>4571</v>
      </c>
      <c r="J1281" t="s">
        <v>4572</v>
      </c>
      <c r="K1281" t="s">
        <v>229</v>
      </c>
      <c r="L1281" t="s">
        <v>790</v>
      </c>
      <c r="M1281" t="s">
        <v>4573</v>
      </c>
      <c r="P1281"/>
    </row>
    <row r="1282" spans="1:16" hidden="1" x14ac:dyDescent="0.35">
      <c r="A1282" t="s">
        <v>4570</v>
      </c>
      <c r="B1282" s="3" t="s">
        <v>102</v>
      </c>
      <c r="C1282" s="3"/>
      <c r="D1282" s="3"/>
      <c r="E1282" s="3"/>
      <c r="F1282" t="s">
        <v>381</v>
      </c>
      <c r="H1282" t="s">
        <v>4574</v>
      </c>
      <c r="J1282" t="s">
        <v>4575</v>
      </c>
      <c r="K1282" t="s">
        <v>4576</v>
      </c>
      <c r="L1282" t="s">
        <v>4577</v>
      </c>
      <c r="M1282" t="s">
        <v>4578</v>
      </c>
      <c r="P1282"/>
    </row>
    <row r="1283" spans="1:16" hidden="1" x14ac:dyDescent="0.35">
      <c r="A1283" t="s">
        <v>4570</v>
      </c>
      <c r="B1283" s="3" t="s">
        <v>102</v>
      </c>
      <c r="C1283" s="3"/>
      <c r="D1283" s="3"/>
      <c r="E1283" s="3"/>
      <c r="F1283" t="s">
        <v>381</v>
      </c>
      <c r="H1283" t="s">
        <v>4579</v>
      </c>
      <c r="J1283" t="s">
        <v>4580</v>
      </c>
      <c r="K1283" t="s">
        <v>229</v>
      </c>
      <c r="L1283" t="s">
        <v>2416</v>
      </c>
      <c r="M1283" t="s">
        <v>4581</v>
      </c>
      <c r="P1283"/>
    </row>
    <row r="1284" spans="1:16" hidden="1" x14ac:dyDescent="0.35">
      <c r="A1284" t="s">
        <v>4570</v>
      </c>
      <c r="B1284" s="3" t="s">
        <v>102</v>
      </c>
      <c r="C1284" s="3"/>
      <c r="D1284" s="3"/>
      <c r="E1284" s="3"/>
      <c r="F1284" t="s">
        <v>381</v>
      </c>
      <c r="H1284" t="s">
        <v>4582</v>
      </c>
      <c r="J1284" t="s">
        <v>4583</v>
      </c>
      <c r="K1284" t="s">
        <v>229</v>
      </c>
      <c r="L1284" t="s">
        <v>4584</v>
      </c>
      <c r="M1284" t="s">
        <v>4585</v>
      </c>
      <c r="P1284"/>
    </row>
    <row r="1285" spans="1:16" hidden="1" x14ac:dyDescent="0.35">
      <c r="A1285" t="s">
        <v>4570</v>
      </c>
      <c r="B1285" s="3" t="s">
        <v>102</v>
      </c>
      <c r="C1285" s="3"/>
      <c r="D1285" s="3"/>
      <c r="E1285" s="3"/>
      <c r="F1285" t="s">
        <v>381</v>
      </c>
      <c r="H1285" t="s">
        <v>4586</v>
      </c>
      <c r="J1285" t="s">
        <v>4587</v>
      </c>
      <c r="K1285" t="s">
        <v>241</v>
      </c>
      <c r="L1285" t="s">
        <v>4588</v>
      </c>
      <c r="M1285" t="s">
        <v>4589</v>
      </c>
      <c r="P1285"/>
    </row>
    <row r="1286" spans="1:16" hidden="1" x14ac:dyDescent="0.35">
      <c r="A1286" t="s">
        <v>4570</v>
      </c>
      <c r="B1286" s="3" t="s">
        <v>102</v>
      </c>
      <c r="C1286" s="3"/>
      <c r="D1286" s="3"/>
      <c r="E1286" s="3"/>
      <c r="F1286" t="s">
        <v>381</v>
      </c>
      <c r="H1286" t="s">
        <v>4590</v>
      </c>
      <c r="J1286" t="s">
        <v>4591</v>
      </c>
      <c r="K1286" t="s">
        <v>229</v>
      </c>
      <c r="L1286" t="s">
        <v>4592</v>
      </c>
      <c r="M1286" t="s">
        <v>4593</v>
      </c>
      <c r="P1286"/>
    </row>
    <row r="1287" spans="1:16" hidden="1" x14ac:dyDescent="0.35">
      <c r="A1287" t="s">
        <v>4570</v>
      </c>
      <c r="B1287" s="3" t="s">
        <v>102</v>
      </c>
      <c r="C1287" s="3"/>
      <c r="D1287" s="3"/>
      <c r="E1287" s="3"/>
      <c r="F1287" t="s">
        <v>381</v>
      </c>
      <c r="H1287" t="s">
        <v>4594</v>
      </c>
      <c r="J1287" t="s">
        <v>4595</v>
      </c>
      <c r="K1287" t="s">
        <v>229</v>
      </c>
      <c r="L1287" t="s">
        <v>4596</v>
      </c>
      <c r="M1287" t="s">
        <v>4597</v>
      </c>
      <c r="P1287"/>
    </row>
    <row r="1288" spans="1:16" hidden="1" x14ac:dyDescent="0.35">
      <c r="A1288" t="s">
        <v>4570</v>
      </c>
      <c r="B1288" s="3" t="s">
        <v>102</v>
      </c>
      <c r="C1288" s="3"/>
      <c r="D1288" s="3"/>
      <c r="E1288" s="3"/>
      <c r="F1288" t="s">
        <v>381</v>
      </c>
      <c r="H1288" t="s">
        <v>4598</v>
      </c>
      <c r="J1288" t="s">
        <v>4599</v>
      </c>
      <c r="K1288" t="s">
        <v>253</v>
      </c>
      <c r="L1288" t="s">
        <v>4600</v>
      </c>
      <c r="M1288" t="s">
        <v>4601</v>
      </c>
      <c r="P1288"/>
    </row>
    <row r="1289" spans="1:16" hidden="1" x14ac:dyDescent="0.35">
      <c r="A1289" t="s">
        <v>4570</v>
      </c>
      <c r="B1289" s="3" t="s">
        <v>102</v>
      </c>
      <c r="C1289" s="3"/>
      <c r="D1289" s="3"/>
      <c r="E1289" s="3"/>
      <c r="F1289" t="s">
        <v>381</v>
      </c>
      <c r="H1289" t="s">
        <v>4602</v>
      </c>
      <c r="J1289" t="s">
        <v>4603</v>
      </c>
      <c r="K1289" t="s">
        <v>229</v>
      </c>
      <c r="L1289" t="s">
        <v>4604</v>
      </c>
      <c r="M1289" t="s">
        <v>4605</v>
      </c>
      <c r="P1289"/>
    </row>
    <row r="1290" spans="1:16" hidden="1" x14ac:dyDescent="0.35">
      <c r="A1290" t="s">
        <v>4570</v>
      </c>
      <c r="B1290" s="3" t="s">
        <v>102</v>
      </c>
      <c r="C1290" s="3"/>
      <c r="D1290" s="3"/>
      <c r="E1290" s="3"/>
      <c r="F1290" t="s">
        <v>381</v>
      </c>
      <c r="H1290" t="s">
        <v>4606</v>
      </c>
      <c r="J1290" t="s">
        <v>4607</v>
      </c>
      <c r="K1290" t="s">
        <v>229</v>
      </c>
      <c r="L1290" t="s">
        <v>4608</v>
      </c>
      <c r="M1290" t="s">
        <v>4609</v>
      </c>
      <c r="P1290"/>
    </row>
    <row r="1291" spans="1:16" hidden="1" x14ac:dyDescent="0.35">
      <c r="A1291" t="s">
        <v>4570</v>
      </c>
      <c r="B1291" s="3" t="s">
        <v>102</v>
      </c>
      <c r="C1291" s="3"/>
      <c r="D1291" s="3"/>
      <c r="E1291" s="3"/>
      <c r="F1291" t="s">
        <v>381</v>
      </c>
      <c r="H1291" t="s">
        <v>4610</v>
      </c>
      <c r="J1291" t="s">
        <v>4611</v>
      </c>
      <c r="K1291" t="s">
        <v>229</v>
      </c>
      <c r="L1291" t="s">
        <v>4612</v>
      </c>
      <c r="M1291" t="s">
        <v>4613</v>
      </c>
      <c r="P1291"/>
    </row>
    <row r="1292" spans="1:16" hidden="1" x14ac:dyDescent="0.35">
      <c r="A1292" t="s">
        <v>4570</v>
      </c>
      <c r="B1292" s="3" t="s">
        <v>102</v>
      </c>
      <c r="C1292" s="3"/>
      <c r="D1292" s="3"/>
      <c r="E1292" s="3"/>
      <c r="F1292" t="s">
        <v>381</v>
      </c>
      <c r="H1292" t="s">
        <v>4614</v>
      </c>
      <c r="J1292" t="s">
        <v>4615</v>
      </c>
      <c r="K1292" t="s">
        <v>253</v>
      </c>
      <c r="L1292" t="s">
        <v>4616</v>
      </c>
      <c r="M1292" t="s">
        <v>4617</v>
      </c>
      <c r="P1292"/>
    </row>
    <row r="1293" spans="1:16" hidden="1" x14ac:dyDescent="0.35">
      <c r="A1293" t="s">
        <v>4570</v>
      </c>
      <c r="B1293" s="3" t="s">
        <v>102</v>
      </c>
      <c r="C1293" s="3"/>
      <c r="D1293" s="3"/>
      <c r="E1293" s="3"/>
      <c r="F1293" t="s">
        <v>381</v>
      </c>
      <c r="H1293" t="s">
        <v>4618</v>
      </c>
      <c r="J1293" t="s">
        <v>4619</v>
      </c>
      <c r="K1293" t="s">
        <v>253</v>
      </c>
      <c r="L1293" t="s">
        <v>4620</v>
      </c>
      <c r="M1293" t="s">
        <v>4621</v>
      </c>
      <c r="P1293"/>
    </row>
    <row r="1294" spans="1:16" hidden="1" x14ac:dyDescent="0.35">
      <c r="A1294" t="s">
        <v>4570</v>
      </c>
      <c r="B1294" s="3" t="s">
        <v>102</v>
      </c>
      <c r="C1294" s="3"/>
      <c r="D1294" s="3"/>
      <c r="E1294" s="3"/>
      <c r="F1294" t="s">
        <v>381</v>
      </c>
      <c r="H1294" t="s">
        <v>4622</v>
      </c>
      <c r="J1294" t="s">
        <v>4623</v>
      </c>
      <c r="K1294" t="s">
        <v>253</v>
      </c>
      <c r="L1294" t="s">
        <v>4624</v>
      </c>
      <c r="M1294" t="s">
        <v>4625</v>
      </c>
      <c r="P1294"/>
    </row>
    <row r="1295" spans="1:16" hidden="1" x14ac:dyDescent="0.35">
      <c r="A1295" t="s">
        <v>4570</v>
      </c>
      <c r="B1295" s="3" t="s">
        <v>102</v>
      </c>
      <c r="C1295" s="3"/>
      <c r="D1295" s="3"/>
      <c r="E1295" s="3"/>
      <c r="F1295" t="s">
        <v>381</v>
      </c>
      <c r="H1295" t="s">
        <v>4626</v>
      </c>
      <c r="J1295" t="s">
        <v>4627</v>
      </c>
      <c r="K1295" t="s">
        <v>253</v>
      </c>
      <c r="L1295" t="s">
        <v>4628</v>
      </c>
      <c r="M1295" t="s">
        <v>4629</v>
      </c>
      <c r="P1295"/>
    </row>
    <row r="1296" spans="1:16" hidden="1" x14ac:dyDescent="0.35">
      <c r="A1296" t="s">
        <v>4570</v>
      </c>
      <c r="B1296" s="3" t="s">
        <v>102</v>
      </c>
      <c r="C1296" s="3"/>
      <c r="D1296" s="3"/>
      <c r="E1296" s="3"/>
      <c r="F1296" t="s">
        <v>381</v>
      </c>
      <c r="H1296" t="s">
        <v>4630</v>
      </c>
      <c r="J1296" t="s">
        <v>4631</v>
      </c>
      <c r="K1296" t="s">
        <v>229</v>
      </c>
      <c r="L1296" t="s">
        <v>4632</v>
      </c>
      <c r="M1296" t="s">
        <v>4633</v>
      </c>
      <c r="P1296"/>
    </row>
    <row r="1297" spans="1:16" hidden="1" x14ac:dyDescent="0.35">
      <c r="A1297" t="s">
        <v>4570</v>
      </c>
      <c r="B1297" s="3" t="s">
        <v>102</v>
      </c>
      <c r="C1297" s="3"/>
      <c r="D1297" s="3"/>
      <c r="E1297" s="3"/>
      <c r="F1297" t="s">
        <v>413</v>
      </c>
      <c r="H1297" t="s">
        <v>4634</v>
      </c>
      <c r="J1297" t="s">
        <v>4635</v>
      </c>
      <c r="K1297" t="s">
        <v>253</v>
      </c>
      <c r="L1297" t="s">
        <v>4636</v>
      </c>
      <c r="M1297" t="s">
        <v>4637</v>
      </c>
      <c r="P1297"/>
    </row>
    <row r="1298" spans="1:16" hidden="1" x14ac:dyDescent="0.35">
      <c r="A1298" t="s">
        <v>4570</v>
      </c>
      <c r="B1298" s="3" t="s">
        <v>102</v>
      </c>
      <c r="C1298" s="3"/>
      <c r="D1298" s="3"/>
      <c r="E1298" s="3"/>
      <c r="F1298" t="s">
        <v>413</v>
      </c>
      <c r="H1298" t="s">
        <v>4638</v>
      </c>
      <c r="J1298" t="s">
        <v>4639</v>
      </c>
      <c r="K1298" t="s">
        <v>253</v>
      </c>
      <c r="L1298" t="s">
        <v>4640</v>
      </c>
      <c r="M1298" t="s">
        <v>4641</v>
      </c>
      <c r="P1298"/>
    </row>
    <row r="1299" spans="1:16" hidden="1" x14ac:dyDescent="0.35">
      <c r="A1299" t="s">
        <v>4570</v>
      </c>
      <c r="B1299" s="3" t="s">
        <v>102</v>
      </c>
      <c r="C1299" s="3"/>
      <c r="D1299" s="3"/>
      <c r="E1299" s="3"/>
      <c r="F1299" t="s">
        <v>413</v>
      </c>
      <c r="H1299" t="s">
        <v>4642</v>
      </c>
      <c r="J1299" t="s">
        <v>4643</v>
      </c>
      <c r="K1299" t="s">
        <v>253</v>
      </c>
      <c r="L1299" t="s">
        <v>4640</v>
      </c>
      <c r="M1299" t="s">
        <v>4644</v>
      </c>
      <c r="P1299"/>
    </row>
    <row r="1300" spans="1:16" hidden="1" x14ac:dyDescent="0.35">
      <c r="A1300" t="s">
        <v>4570</v>
      </c>
      <c r="B1300" s="3" t="s">
        <v>102</v>
      </c>
      <c r="C1300" s="3"/>
      <c r="D1300" s="3"/>
      <c r="E1300" s="3"/>
      <c r="F1300" t="s">
        <v>413</v>
      </c>
      <c r="H1300" t="s">
        <v>4645</v>
      </c>
      <c r="J1300" t="s">
        <v>4646</v>
      </c>
      <c r="K1300" t="s">
        <v>253</v>
      </c>
      <c r="L1300" t="s">
        <v>4647</v>
      </c>
      <c r="M1300" t="s">
        <v>4648</v>
      </c>
      <c r="P1300"/>
    </row>
    <row r="1301" spans="1:16" hidden="1" x14ac:dyDescent="0.35">
      <c r="A1301" t="s">
        <v>4570</v>
      </c>
      <c r="B1301" s="3" t="s">
        <v>102</v>
      </c>
      <c r="C1301" s="3"/>
      <c r="D1301" s="3"/>
      <c r="E1301" s="3"/>
      <c r="F1301" t="s">
        <v>413</v>
      </c>
      <c r="H1301" t="s">
        <v>4649</v>
      </c>
      <c r="J1301" t="s">
        <v>4650</v>
      </c>
      <c r="K1301" t="s">
        <v>253</v>
      </c>
      <c r="L1301" t="s">
        <v>4647</v>
      </c>
      <c r="M1301" t="s">
        <v>4651</v>
      </c>
      <c r="P1301"/>
    </row>
    <row r="1302" spans="1:16" hidden="1" x14ac:dyDescent="0.35">
      <c r="A1302" t="s">
        <v>4570</v>
      </c>
      <c r="B1302" s="3" t="s">
        <v>102</v>
      </c>
      <c r="C1302" s="3"/>
      <c r="D1302" s="3"/>
      <c r="E1302" s="3"/>
      <c r="F1302" t="s">
        <v>413</v>
      </c>
      <c r="H1302" t="s">
        <v>4652</v>
      </c>
      <c r="J1302" t="s">
        <v>4653</v>
      </c>
      <c r="K1302" t="s">
        <v>253</v>
      </c>
      <c r="L1302" t="s">
        <v>4654</v>
      </c>
      <c r="M1302" t="s">
        <v>4655</v>
      </c>
      <c r="P1302"/>
    </row>
    <row r="1303" spans="1:16" hidden="1" x14ac:dyDescent="0.35">
      <c r="A1303" t="s">
        <v>4570</v>
      </c>
      <c r="B1303" s="3" t="s">
        <v>102</v>
      </c>
      <c r="C1303" s="3"/>
      <c r="D1303" s="3"/>
      <c r="E1303" s="3"/>
      <c r="F1303" t="s">
        <v>413</v>
      </c>
      <c r="H1303" t="s">
        <v>4656</v>
      </c>
      <c r="J1303" t="s">
        <v>4657</v>
      </c>
      <c r="K1303" t="s">
        <v>253</v>
      </c>
      <c r="L1303" t="s">
        <v>4658</v>
      </c>
      <c r="M1303" t="s">
        <v>4659</v>
      </c>
      <c r="P1303"/>
    </row>
    <row r="1304" spans="1:16" hidden="1" x14ac:dyDescent="0.35">
      <c r="A1304" t="s">
        <v>4570</v>
      </c>
      <c r="B1304" s="3" t="s">
        <v>102</v>
      </c>
      <c r="C1304" s="3"/>
      <c r="D1304" s="3"/>
      <c r="E1304" s="3"/>
      <c r="F1304" t="s">
        <v>413</v>
      </c>
      <c r="H1304" t="s">
        <v>4660</v>
      </c>
      <c r="J1304" t="s">
        <v>4661</v>
      </c>
      <c r="K1304" t="s">
        <v>253</v>
      </c>
      <c r="L1304" t="s">
        <v>4662</v>
      </c>
      <c r="M1304" t="s">
        <v>4663</v>
      </c>
      <c r="P1304"/>
    </row>
    <row r="1305" spans="1:16" hidden="1" x14ac:dyDescent="0.35">
      <c r="A1305" t="s">
        <v>4570</v>
      </c>
      <c r="B1305" s="3" t="s">
        <v>102</v>
      </c>
      <c r="C1305" s="3"/>
      <c r="D1305" s="3"/>
      <c r="E1305" s="3"/>
      <c r="F1305" t="s">
        <v>413</v>
      </c>
      <c r="H1305" t="s">
        <v>4664</v>
      </c>
      <c r="J1305" t="s">
        <v>4665</v>
      </c>
      <c r="K1305" t="s">
        <v>253</v>
      </c>
      <c r="L1305" t="s">
        <v>4666</v>
      </c>
      <c r="M1305" t="s">
        <v>4667</v>
      </c>
      <c r="P1305"/>
    </row>
    <row r="1306" spans="1:16" hidden="1" x14ac:dyDescent="0.35">
      <c r="A1306" t="s">
        <v>4570</v>
      </c>
      <c r="B1306" s="3" t="s">
        <v>102</v>
      </c>
      <c r="C1306" s="3"/>
      <c r="D1306" s="3"/>
      <c r="E1306" s="3"/>
      <c r="F1306" t="s">
        <v>413</v>
      </c>
      <c r="H1306" t="s">
        <v>4668</v>
      </c>
      <c r="J1306" t="s">
        <v>4669</v>
      </c>
      <c r="K1306" t="s">
        <v>253</v>
      </c>
      <c r="L1306" t="s">
        <v>4670</v>
      </c>
      <c r="M1306" t="s">
        <v>4671</v>
      </c>
      <c r="P1306"/>
    </row>
    <row r="1307" spans="1:16" hidden="1" x14ac:dyDescent="0.35">
      <c r="A1307" t="s">
        <v>4570</v>
      </c>
      <c r="B1307" s="3" t="s">
        <v>102</v>
      </c>
      <c r="C1307" s="3"/>
      <c r="D1307" s="3"/>
      <c r="E1307" s="3"/>
      <c r="F1307" t="s">
        <v>413</v>
      </c>
      <c r="H1307" t="s">
        <v>4672</v>
      </c>
      <c r="J1307" t="s">
        <v>4673</v>
      </c>
      <c r="K1307" t="s">
        <v>253</v>
      </c>
      <c r="L1307" t="s">
        <v>4674</v>
      </c>
      <c r="M1307" t="s">
        <v>4675</v>
      </c>
      <c r="P1307"/>
    </row>
    <row r="1308" spans="1:16" hidden="1" x14ac:dyDescent="0.35">
      <c r="A1308" t="s">
        <v>4570</v>
      </c>
      <c r="B1308" s="3" t="s">
        <v>102</v>
      </c>
      <c r="C1308" s="3"/>
      <c r="D1308" s="3"/>
      <c r="E1308" s="3"/>
      <c r="F1308" t="s">
        <v>413</v>
      </c>
      <c r="H1308" t="s">
        <v>4676</v>
      </c>
      <c r="J1308" t="s">
        <v>4677</v>
      </c>
      <c r="K1308" t="s">
        <v>253</v>
      </c>
      <c r="L1308" t="s">
        <v>4678</v>
      </c>
      <c r="M1308" t="s">
        <v>4679</v>
      </c>
      <c r="P1308"/>
    </row>
    <row r="1309" spans="1:16" hidden="1" x14ac:dyDescent="0.35">
      <c r="A1309" t="s">
        <v>4570</v>
      </c>
      <c r="B1309" s="3" t="s">
        <v>102</v>
      </c>
      <c r="C1309" s="3"/>
      <c r="D1309" s="3"/>
      <c r="E1309" s="3"/>
      <c r="F1309" t="s">
        <v>413</v>
      </c>
      <c r="H1309" t="s">
        <v>4680</v>
      </c>
      <c r="J1309" t="s">
        <v>4681</v>
      </c>
      <c r="K1309" t="s">
        <v>253</v>
      </c>
      <c r="L1309" t="s">
        <v>4682</v>
      </c>
      <c r="M1309" t="s">
        <v>4683</v>
      </c>
      <c r="P1309"/>
    </row>
    <row r="1310" spans="1:16" hidden="1" x14ac:dyDescent="0.35">
      <c r="A1310" t="s">
        <v>4570</v>
      </c>
      <c r="B1310" s="3" t="s">
        <v>102</v>
      </c>
      <c r="C1310" s="3"/>
      <c r="D1310" s="3"/>
      <c r="E1310" s="3"/>
      <c r="F1310" t="s">
        <v>413</v>
      </c>
      <c r="H1310" t="s">
        <v>4684</v>
      </c>
      <c r="J1310" t="s">
        <v>4685</v>
      </c>
      <c r="K1310" t="s">
        <v>253</v>
      </c>
      <c r="L1310" t="s">
        <v>4686</v>
      </c>
      <c r="M1310" t="s">
        <v>4687</v>
      </c>
      <c r="P1310"/>
    </row>
    <row r="1311" spans="1:16" hidden="1" x14ac:dyDescent="0.35">
      <c r="A1311" t="s">
        <v>4570</v>
      </c>
      <c r="B1311" s="3" t="s">
        <v>102</v>
      </c>
      <c r="C1311" s="3"/>
      <c r="D1311" s="3"/>
      <c r="E1311" s="3"/>
      <c r="F1311" t="s">
        <v>413</v>
      </c>
      <c r="H1311" t="s">
        <v>4688</v>
      </c>
      <c r="J1311" t="s">
        <v>4689</v>
      </c>
      <c r="K1311" t="s">
        <v>253</v>
      </c>
      <c r="L1311" t="s">
        <v>4690</v>
      </c>
      <c r="M1311" t="s">
        <v>4691</v>
      </c>
      <c r="P1311"/>
    </row>
    <row r="1312" spans="1:16" hidden="1" x14ac:dyDescent="0.35">
      <c r="A1312" t="s">
        <v>4570</v>
      </c>
      <c r="B1312" s="3" t="s">
        <v>102</v>
      </c>
      <c r="C1312" s="3"/>
      <c r="D1312" s="3"/>
      <c r="E1312" s="3"/>
      <c r="F1312" t="s">
        <v>413</v>
      </c>
      <c r="H1312" t="s">
        <v>4692</v>
      </c>
      <c r="J1312" t="s">
        <v>4693</v>
      </c>
      <c r="K1312" t="s">
        <v>253</v>
      </c>
      <c r="L1312" t="s">
        <v>4694</v>
      </c>
      <c r="M1312" t="s">
        <v>4695</v>
      </c>
      <c r="P1312"/>
    </row>
    <row r="1313" spans="1:16" hidden="1" x14ac:dyDescent="0.35">
      <c r="A1313" t="s">
        <v>4570</v>
      </c>
      <c r="B1313" s="3" t="s">
        <v>102</v>
      </c>
      <c r="C1313" s="3"/>
      <c r="D1313" s="3"/>
      <c r="E1313" s="3"/>
      <c r="F1313" t="s">
        <v>413</v>
      </c>
      <c r="H1313" t="s">
        <v>4696</v>
      </c>
      <c r="J1313" t="s">
        <v>4697</v>
      </c>
      <c r="K1313" t="s">
        <v>1590</v>
      </c>
      <c r="L1313" t="s">
        <v>4698</v>
      </c>
      <c r="M1313" t="s">
        <v>4699</v>
      </c>
      <c r="P1313"/>
    </row>
    <row r="1314" spans="1:16" hidden="1" x14ac:dyDescent="0.35">
      <c r="A1314" t="s">
        <v>4570</v>
      </c>
      <c r="B1314" s="3" t="s">
        <v>102</v>
      </c>
      <c r="C1314" s="3"/>
      <c r="D1314" s="3"/>
      <c r="E1314" s="3"/>
      <c r="F1314" t="s">
        <v>413</v>
      </c>
      <c r="H1314" t="s">
        <v>4700</v>
      </c>
      <c r="J1314" t="s">
        <v>4701</v>
      </c>
      <c r="K1314" t="s">
        <v>253</v>
      </c>
      <c r="L1314" t="s">
        <v>4702</v>
      </c>
      <c r="M1314" t="s">
        <v>4703</v>
      </c>
      <c r="P1314"/>
    </row>
    <row r="1315" spans="1:16" hidden="1" x14ac:dyDescent="0.35">
      <c r="A1315" t="s">
        <v>4570</v>
      </c>
      <c r="B1315" s="3" t="s">
        <v>102</v>
      </c>
      <c r="C1315" s="3"/>
      <c r="D1315" s="3"/>
      <c r="E1315" s="3"/>
      <c r="F1315" t="s">
        <v>413</v>
      </c>
      <c r="H1315" t="s">
        <v>4704</v>
      </c>
      <c r="J1315" t="s">
        <v>4705</v>
      </c>
      <c r="K1315" t="s">
        <v>253</v>
      </c>
      <c r="L1315" t="s">
        <v>4706</v>
      </c>
      <c r="M1315" t="s">
        <v>4707</v>
      </c>
      <c r="P1315"/>
    </row>
    <row r="1316" spans="1:16" hidden="1" x14ac:dyDescent="0.35">
      <c r="A1316" t="s">
        <v>4570</v>
      </c>
      <c r="B1316" s="3" t="s">
        <v>102</v>
      </c>
      <c r="C1316" s="3"/>
      <c r="D1316" s="3"/>
      <c r="E1316" s="3"/>
      <c r="F1316" t="s">
        <v>413</v>
      </c>
      <c r="H1316" t="s">
        <v>4708</v>
      </c>
      <c r="J1316" t="s">
        <v>4709</v>
      </c>
      <c r="K1316" t="s">
        <v>253</v>
      </c>
      <c r="L1316" t="s">
        <v>4710</v>
      </c>
      <c r="M1316" t="s">
        <v>4711</v>
      </c>
      <c r="P1316"/>
    </row>
    <row r="1317" spans="1:16" hidden="1" x14ac:dyDescent="0.35">
      <c r="A1317" t="s">
        <v>4570</v>
      </c>
      <c r="B1317" s="3" t="s">
        <v>102</v>
      </c>
      <c r="C1317" s="3"/>
      <c r="D1317" s="3"/>
      <c r="E1317" s="3"/>
      <c r="F1317" t="s">
        <v>413</v>
      </c>
      <c r="H1317" t="s">
        <v>4712</v>
      </c>
      <c r="J1317" t="s">
        <v>4713</v>
      </c>
      <c r="K1317" t="s">
        <v>253</v>
      </c>
      <c r="L1317" t="s">
        <v>4714</v>
      </c>
      <c r="M1317" t="s">
        <v>4715</v>
      </c>
      <c r="P1317"/>
    </row>
    <row r="1318" spans="1:16" hidden="1" x14ac:dyDescent="0.35">
      <c r="A1318" t="s">
        <v>4570</v>
      </c>
      <c r="B1318" s="3" t="s">
        <v>102</v>
      </c>
      <c r="C1318" s="3"/>
      <c r="D1318" s="3"/>
      <c r="E1318" s="3"/>
      <c r="F1318" t="s">
        <v>413</v>
      </c>
      <c r="H1318" t="s">
        <v>4716</v>
      </c>
      <c r="J1318" t="s">
        <v>4717</v>
      </c>
      <c r="K1318" t="s">
        <v>1590</v>
      </c>
      <c r="L1318" t="s">
        <v>4718</v>
      </c>
      <c r="M1318" t="s">
        <v>4719</v>
      </c>
      <c r="P1318"/>
    </row>
    <row r="1319" spans="1:16" hidden="1" x14ac:dyDescent="0.35">
      <c r="A1319" t="s">
        <v>4570</v>
      </c>
      <c r="B1319" s="3" t="s">
        <v>102</v>
      </c>
      <c r="C1319" s="3"/>
      <c r="D1319" s="3"/>
      <c r="E1319" s="3"/>
      <c r="F1319" t="s">
        <v>413</v>
      </c>
      <c r="H1319" t="s">
        <v>4720</v>
      </c>
      <c r="J1319" t="s">
        <v>4721</v>
      </c>
      <c r="K1319" t="s">
        <v>253</v>
      </c>
      <c r="L1319" t="s">
        <v>4722</v>
      </c>
      <c r="M1319" t="s">
        <v>4723</v>
      </c>
      <c r="P1319"/>
    </row>
    <row r="1320" spans="1:16" hidden="1" x14ac:dyDescent="0.35">
      <c r="A1320" t="s">
        <v>4570</v>
      </c>
      <c r="B1320" s="3" t="s">
        <v>102</v>
      </c>
      <c r="C1320" s="3"/>
      <c r="D1320" s="3"/>
      <c r="E1320" s="3"/>
      <c r="F1320" t="s">
        <v>423</v>
      </c>
      <c r="H1320" t="s">
        <v>4724</v>
      </c>
      <c r="J1320" t="s">
        <v>4725</v>
      </c>
      <c r="K1320" t="s">
        <v>4726</v>
      </c>
      <c r="L1320" t="s">
        <v>4727</v>
      </c>
      <c r="M1320" t="s">
        <v>4728</v>
      </c>
      <c r="P1320"/>
    </row>
    <row r="1321" spans="1:16" hidden="1" x14ac:dyDescent="0.35">
      <c r="A1321" t="s">
        <v>4570</v>
      </c>
      <c r="B1321" s="3" t="s">
        <v>102</v>
      </c>
      <c r="C1321" s="3"/>
      <c r="D1321" s="3"/>
      <c r="E1321" s="3"/>
      <c r="F1321" t="s">
        <v>423</v>
      </c>
      <c r="H1321" t="s">
        <v>4729</v>
      </c>
      <c r="J1321" t="s">
        <v>4730</v>
      </c>
      <c r="K1321" t="s">
        <v>2494</v>
      </c>
      <c r="L1321" t="s">
        <v>4731</v>
      </c>
      <c r="M1321" t="s">
        <v>4732</v>
      </c>
      <c r="P1321"/>
    </row>
    <row r="1322" spans="1:16" hidden="1" x14ac:dyDescent="0.35">
      <c r="A1322" t="s">
        <v>4570</v>
      </c>
      <c r="B1322" s="3" t="s">
        <v>102</v>
      </c>
      <c r="C1322" s="3"/>
      <c r="D1322" s="3"/>
      <c r="E1322" s="3"/>
      <c r="F1322" t="s">
        <v>423</v>
      </c>
      <c r="H1322" t="s">
        <v>4733</v>
      </c>
      <c r="J1322" t="s">
        <v>4734</v>
      </c>
      <c r="K1322" t="s">
        <v>4735</v>
      </c>
      <c r="L1322" t="s">
        <v>4736</v>
      </c>
      <c r="M1322" t="s">
        <v>4737</v>
      </c>
      <c r="P1322"/>
    </row>
    <row r="1323" spans="1:16" hidden="1" x14ac:dyDescent="0.35">
      <c r="A1323" t="s">
        <v>4570</v>
      </c>
      <c r="B1323" s="3" t="s">
        <v>102</v>
      </c>
      <c r="C1323" s="3"/>
      <c r="D1323" s="3"/>
      <c r="E1323" s="3"/>
      <c r="F1323" t="s">
        <v>423</v>
      </c>
      <c r="H1323" t="s">
        <v>4738</v>
      </c>
      <c r="J1323" t="s">
        <v>4739</v>
      </c>
      <c r="K1323" t="s">
        <v>4726</v>
      </c>
      <c r="L1323" t="s">
        <v>4740</v>
      </c>
      <c r="M1323" t="s">
        <v>4741</v>
      </c>
      <c r="P1323"/>
    </row>
    <row r="1324" spans="1:16" hidden="1" x14ac:dyDescent="0.35">
      <c r="A1324" t="s">
        <v>4570</v>
      </c>
      <c r="B1324" s="3" t="s">
        <v>102</v>
      </c>
      <c r="C1324" s="3"/>
      <c r="D1324" s="3"/>
      <c r="E1324" s="3"/>
      <c r="F1324" t="s">
        <v>423</v>
      </c>
      <c r="H1324" t="s">
        <v>4742</v>
      </c>
      <c r="J1324" t="s">
        <v>4743</v>
      </c>
      <c r="K1324" t="s">
        <v>229</v>
      </c>
      <c r="L1324" t="s">
        <v>4744</v>
      </c>
      <c r="M1324" t="s">
        <v>4745</v>
      </c>
      <c r="P1324"/>
    </row>
    <row r="1325" spans="1:16" hidden="1" x14ac:dyDescent="0.35">
      <c r="A1325" t="s">
        <v>4570</v>
      </c>
      <c r="B1325" s="3" t="s">
        <v>102</v>
      </c>
      <c r="C1325" s="3"/>
      <c r="D1325" s="3"/>
      <c r="E1325" s="3"/>
      <c r="F1325" t="s">
        <v>423</v>
      </c>
      <c r="H1325" t="s">
        <v>4746</v>
      </c>
      <c r="J1325" t="s">
        <v>4747</v>
      </c>
      <c r="K1325" t="s">
        <v>229</v>
      </c>
      <c r="L1325" t="s">
        <v>4748</v>
      </c>
      <c r="M1325" t="s">
        <v>4749</v>
      </c>
      <c r="P1325"/>
    </row>
    <row r="1326" spans="1:16" hidden="1" x14ac:dyDescent="0.35">
      <c r="A1326" t="s">
        <v>4570</v>
      </c>
      <c r="B1326" s="3" t="s">
        <v>102</v>
      </c>
      <c r="C1326" s="3"/>
      <c r="D1326" s="3"/>
      <c r="E1326" s="3"/>
      <c r="F1326" t="s">
        <v>423</v>
      </c>
      <c r="H1326" t="s">
        <v>4750</v>
      </c>
      <c r="J1326" t="s">
        <v>4730</v>
      </c>
      <c r="K1326" t="s">
        <v>2494</v>
      </c>
      <c r="L1326" t="s">
        <v>4731</v>
      </c>
      <c r="M1326" t="s">
        <v>4751</v>
      </c>
      <c r="P1326"/>
    </row>
    <row r="1327" spans="1:16" hidden="1" x14ac:dyDescent="0.35">
      <c r="A1327" t="s">
        <v>4570</v>
      </c>
      <c r="B1327" s="3" t="s">
        <v>102</v>
      </c>
      <c r="C1327" s="3"/>
      <c r="D1327" s="3"/>
      <c r="E1327" s="3"/>
      <c r="F1327" t="s">
        <v>433</v>
      </c>
      <c r="H1327" t="s">
        <v>4752</v>
      </c>
      <c r="J1327" t="s">
        <v>4753</v>
      </c>
      <c r="K1327" t="s">
        <v>4754</v>
      </c>
      <c r="L1327" t="s">
        <v>4755</v>
      </c>
      <c r="M1327" t="s">
        <v>4756</v>
      </c>
      <c r="P1327"/>
    </row>
    <row r="1328" spans="1:16" hidden="1" x14ac:dyDescent="0.35">
      <c r="A1328" t="s">
        <v>4570</v>
      </c>
      <c r="B1328" s="3" t="s">
        <v>102</v>
      </c>
      <c r="C1328" s="3"/>
      <c r="D1328" s="3"/>
      <c r="E1328" s="3"/>
      <c r="F1328" t="s">
        <v>433</v>
      </c>
      <c r="H1328" t="s">
        <v>4757</v>
      </c>
      <c r="J1328" t="s">
        <v>4758</v>
      </c>
      <c r="K1328" t="s">
        <v>2494</v>
      </c>
      <c r="L1328" t="s">
        <v>4759</v>
      </c>
      <c r="M1328" t="s">
        <v>4760</v>
      </c>
      <c r="P1328"/>
    </row>
    <row r="1329" spans="1:16" hidden="1" x14ac:dyDescent="0.35">
      <c r="A1329" t="s">
        <v>4570</v>
      </c>
      <c r="B1329" s="3" t="s">
        <v>102</v>
      </c>
      <c r="C1329" s="3"/>
      <c r="D1329" s="3"/>
      <c r="E1329" s="3"/>
      <c r="F1329" t="s">
        <v>433</v>
      </c>
      <c r="H1329" t="s">
        <v>4761</v>
      </c>
      <c r="J1329" t="s">
        <v>4762</v>
      </c>
      <c r="K1329" t="s">
        <v>4763</v>
      </c>
      <c r="L1329" t="s">
        <v>4764</v>
      </c>
      <c r="M1329" t="s">
        <v>4765</v>
      </c>
      <c r="P1329"/>
    </row>
    <row r="1330" spans="1:16" hidden="1" x14ac:dyDescent="0.35">
      <c r="A1330" t="s">
        <v>4570</v>
      </c>
      <c r="B1330" s="3" t="s">
        <v>102</v>
      </c>
      <c r="C1330" s="3"/>
      <c r="D1330" s="3"/>
      <c r="E1330" s="3"/>
      <c r="F1330" t="s">
        <v>433</v>
      </c>
      <c r="H1330" t="s">
        <v>4766</v>
      </c>
      <c r="J1330" t="s">
        <v>4767</v>
      </c>
      <c r="K1330" t="s">
        <v>2494</v>
      </c>
      <c r="L1330" t="s">
        <v>4768</v>
      </c>
      <c r="M1330" t="s">
        <v>4769</v>
      </c>
      <c r="P1330"/>
    </row>
    <row r="1331" spans="1:16" hidden="1" x14ac:dyDescent="0.35">
      <c r="A1331" t="s">
        <v>4570</v>
      </c>
      <c r="B1331" s="3" t="s">
        <v>102</v>
      </c>
      <c r="C1331" s="3"/>
      <c r="D1331" s="3"/>
      <c r="E1331" s="3"/>
      <c r="F1331" t="s">
        <v>451</v>
      </c>
      <c r="H1331" t="s">
        <v>4770</v>
      </c>
      <c r="J1331" t="s">
        <v>4771</v>
      </c>
      <c r="K1331" t="s">
        <v>241</v>
      </c>
      <c r="L1331" t="s">
        <v>4772</v>
      </c>
      <c r="M1331" t="s">
        <v>4773</v>
      </c>
      <c r="P1331"/>
    </row>
    <row r="1332" spans="1:16" hidden="1" x14ac:dyDescent="0.35">
      <c r="A1332" t="s">
        <v>4570</v>
      </c>
      <c r="B1332" s="3" t="s">
        <v>102</v>
      </c>
      <c r="C1332" s="3"/>
      <c r="D1332" s="3"/>
      <c r="E1332" s="3"/>
      <c r="F1332" t="s">
        <v>451</v>
      </c>
      <c r="H1332" t="s">
        <v>4774</v>
      </c>
      <c r="J1332" t="s">
        <v>4775</v>
      </c>
      <c r="K1332" t="s">
        <v>241</v>
      </c>
      <c r="L1332" t="s">
        <v>4776</v>
      </c>
      <c r="M1332" t="s">
        <v>4777</v>
      </c>
      <c r="P1332"/>
    </row>
    <row r="1333" spans="1:16" hidden="1" x14ac:dyDescent="0.35">
      <c r="A1333" t="s">
        <v>4570</v>
      </c>
      <c r="B1333" s="3" t="s">
        <v>102</v>
      </c>
      <c r="C1333" s="3"/>
      <c r="D1333" s="3"/>
      <c r="E1333" s="3"/>
      <c r="F1333" t="s">
        <v>451</v>
      </c>
      <c r="H1333" t="s">
        <v>4778</v>
      </c>
      <c r="J1333" t="s">
        <v>4779</v>
      </c>
      <c r="K1333" t="s">
        <v>241</v>
      </c>
      <c r="L1333" t="s">
        <v>4780</v>
      </c>
      <c r="M1333" t="s">
        <v>4781</v>
      </c>
      <c r="P1333"/>
    </row>
    <row r="1334" spans="1:16" hidden="1" x14ac:dyDescent="0.35">
      <c r="A1334" t="s">
        <v>4570</v>
      </c>
      <c r="B1334" s="3" t="s">
        <v>102</v>
      </c>
      <c r="C1334" s="3"/>
      <c r="D1334" s="3"/>
      <c r="E1334" s="3"/>
      <c r="F1334" t="s">
        <v>451</v>
      </c>
      <c r="H1334" t="s">
        <v>4782</v>
      </c>
      <c r="J1334" t="s">
        <v>4783</v>
      </c>
      <c r="K1334" t="s">
        <v>241</v>
      </c>
      <c r="L1334" t="s">
        <v>4784</v>
      </c>
      <c r="M1334" t="s">
        <v>4785</v>
      </c>
      <c r="P1334"/>
    </row>
    <row r="1335" spans="1:16" hidden="1" x14ac:dyDescent="0.35">
      <c r="A1335" t="s">
        <v>4570</v>
      </c>
      <c r="B1335" s="3" t="s">
        <v>102</v>
      </c>
      <c r="C1335" s="3"/>
      <c r="D1335" s="3"/>
      <c r="E1335" s="3"/>
      <c r="F1335" t="s">
        <v>451</v>
      </c>
      <c r="H1335" t="s">
        <v>4786</v>
      </c>
      <c r="J1335" t="s">
        <v>4787</v>
      </c>
      <c r="K1335" t="s">
        <v>241</v>
      </c>
      <c r="L1335" t="s">
        <v>4788</v>
      </c>
      <c r="M1335" t="s">
        <v>4789</v>
      </c>
      <c r="P1335"/>
    </row>
    <row r="1336" spans="1:16" hidden="1" x14ac:dyDescent="0.35">
      <c r="A1336" t="s">
        <v>4570</v>
      </c>
      <c r="B1336" s="3" t="s">
        <v>102</v>
      </c>
      <c r="C1336" s="3"/>
      <c r="D1336" s="3"/>
      <c r="E1336" s="3"/>
      <c r="F1336" t="s">
        <v>451</v>
      </c>
      <c r="H1336" t="s">
        <v>4790</v>
      </c>
      <c r="J1336" t="s">
        <v>4791</v>
      </c>
      <c r="K1336" t="s">
        <v>241</v>
      </c>
      <c r="L1336" t="s">
        <v>4792</v>
      </c>
      <c r="M1336" t="s">
        <v>4793</v>
      </c>
      <c r="P1336"/>
    </row>
    <row r="1337" spans="1:16" hidden="1" x14ac:dyDescent="0.35">
      <c r="A1337" t="s">
        <v>4570</v>
      </c>
      <c r="B1337" s="3" t="s">
        <v>102</v>
      </c>
      <c r="C1337" s="3"/>
      <c r="D1337" s="3"/>
      <c r="E1337" s="3"/>
      <c r="F1337" t="s">
        <v>451</v>
      </c>
      <c r="H1337" t="s">
        <v>4794</v>
      </c>
      <c r="J1337" t="s">
        <v>4795</v>
      </c>
      <c r="K1337" t="s">
        <v>241</v>
      </c>
      <c r="L1337" t="s">
        <v>4796</v>
      </c>
      <c r="M1337" t="s">
        <v>4797</v>
      </c>
      <c r="P1337"/>
    </row>
    <row r="1338" spans="1:16" hidden="1" x14ac:dyDescent="0.35">
      <c r="A1338" t="s">
        <v>4570</v>
      </c>
      <c r="B1338" s="3" t="s">
        <v>102</v>
      </c>
      <c r="C1338" s="3"/>
      <c r="D1338" s="3"/>
      <c r="E1338" s="3"/>
      <c r="F1338" t="s">
        <v>451</v>
      </c>
      <c r="H1338" t="s">
        <v>4798</v>
      </c>
      <c r="J1338" t="s">
        <v>4799</v>
      </c>
      <c r="K1338" t="s">
        <v>241</v>
      </c>
      <c r="L1338" t="s">
        <v>4800</v>
      </c>
      <c r="M1338" t="s">
        <v>4801</v>
      </c>
      <c r="P1338"/>
    </row>
    <row r="1339" spans="1:16" hidden="1" x14ac:dyDescent="0.35">
      <c r="A1339" t="s">
        <v>4570</v>
      </c>
      <c r="B1339" s="3" t="s">
        <v>102</v>
      </c>
      <c r="C1339" s="3"/>
      <c r="D1339" s="3"/>
      <c r="E1339" s="3"/>
      <c r="F1339" t="s">
        <v>451</v>
      </c>
      <c r="H1339" t="s">
        <v>4802</v>
      </c>
      <c r="J1339" t="s">
        <v>4803</v>
      </c>
      <c r="K1339" t="s">
        <v>1198</v>
      </c>
      <c r="L1339" t="s">
        <v>4804</v>
      </c>
      <c r="M1339" t="s">
        <v>4805</v>
      </c>
      <c r="P1339"/>
    </row>
    <row r="1340" spans="1:16" hidden="1" x14ac:dyDescent="0.35">
      <c r="A1340" t="s">
        <v>4570</v>
      </c>
      <c r="B1340" s="3" t="s">
        <v>102</v>
      </c>
      <c r="C1340" s="3"/>
      <c r="D1340" s="3"/>
      <c r="E1340" s="3"/>
      <c r="F1340" t="s">
        <v>451</v>
      </c>
      <c r="H1340" t="s">
        <v>4806</v>
      </c>
      <c r="J1340" t="s">
        <v>4807</v>
      </c>
      <c r="P1340"/>
    </row>
    <row r="1341" spans="1:16" hidden="1" x14ac:dyDescent="0.35">
      <c r="A1341" t="s">
        <v>4570</v>
      </c>
      <c r="B1341" s="3" t="s">
        <v>102</v>
      </c>
      <c r="C1341" s="3"/>
      <c r="D1341" s="3"/>
      <c r="E1341" s="3"/>
      <c r="F1341" t="s">
        <v>451</v>
      </c>
      <c r="H1341" t="s">
        <v>4808</v>
      </c>
      <c r="J1341" t="s">
        <v>4809</v>
      </c>
      <c r="K1341" t="s">
        <v>229</v>
      </c>
      <c r="L1341" t="s">
        <v>4810</v>
      </c>
      <c r="M1341" t="s">
        <v>4811</v>
      </c>
      <c r="P1341"/>
    </row>
    <row r="1342" spans="1:16" hidden="1" x14ac:dyDescent="0.35">
      <c r="A1342" t="s">
        <v>4570</v>
      </c>
      <c r="B1342" s="3" t="s">
        <v>102</v>
      </c>
      <c r="C1342" s="3"/>
      <c r="D1342" s="3"/>
      <c r="E1342" s="3"/>
      <c r="F1342" t="s">
        <v>451</v>
      </c>
      <c r="H1342" t="s">
        <v>4812</v>
      </c>
      <c r="J1342" t="s">
        <v>4813</v>
      </c>
      <c r="K1342" t="s">
        <v>241</v>
      </c>
      <c r="L1342" t="s">
        <v>4814</v>
      </c>
      <c r="M1342" t="s">
        <v>4815</v>
      </c>
      <c r="P1342"/>
    </row>
    <row r="1343" spans="1:16" hidden="1" x14ac:dyDescent="0.35">
      <c r="A1343" t="s">
        <v>4570</v>
      </c>
      <c r="B1343" s="3" t="s">
        <v>102</v>
      </c>
      <c r="C1343" s="3"/>
      <c r="D1343" s="3"/>
      <c r="E1343" s="3"/>
      <c r="F1343" t="s">
        <v>451</v>
      </c>
      <c r="H1343" t="s">
        <v>4816</v>
      </c>
      <c r="J1343" t="s">
        <v>4817</v>
      </c>
      <c r="K1343" t="s">
        <v>253</v>
      </c>
      <c r="L1343" t="s">
        <v>4818</v>
      </c>
      <c r="M1343" t="s">
        <v>4819</v>
      </c>
      <c r="P1343"/>
    </row>
    <row r="1344" spans="1:16" hidden="1" x14ac:dyDescent="0.35">
      <c r="A1344" t="s">
        <v>4570</v>
      </c>
      <c r="B1344" s="3" t="s">
        <v>102</v>
      </c>
      <c r="C1344" s="3"/>
      <c r="D1344" s="3"/>
      <c r="E1344" s="3"/>
      <c r="F1344" t="s">
        <v>451</v>
      </c>
      <c r="H1344" t="s">
        <v>4820</v>
      </c>
      <c r="J1344" t="s">
        <v>4821</v>
      </c>
      <c r="K1344" t="s">
        <v>263</v>
      </c>
      <c r="L1344" t="s">
        <v>4822</v>
      </c>
      <c r="M1344" t="s">
        <v>4823</v>
      </c>
      <c r="P1344"/>
    </row>
    <row r="1345" spans="1:16" hidden="1" x14ac:dyDescent="0.35">
      <c r="A1345" t="s">
        <v>4570</v>
      </c>
      <c r="B1345" s="3" t="s">
        <v>102</v>
      </c>
      <c r="C1345" s="3"/>
      <c r="D1345" s="3"/>
      <c r="E1345" s="3"/>
      <c r="F1345" t="s">
        <v>451</v>
      </c>
      <c r="H1345" t="s">
        <v>4824</v>
      </c>
      <c r="J1345" t="s">
        <v>4825</v>
      </c>
      <c r="K1345" t="s">
        <v>253</v>
      </c>
      <c r="L1345" t="s">
        <v>4826</v>
      </c>
      <c r="M1345" t="s">
        <v>4827</v>
      </c>
      <c r="P1345"/>
    </row>
    <row r="1346" spans="1:16" hidden="1" x14ac:dyDescent="0.35">
      <c r="A1346" t="s">
        <v>4570</v>
      </c>
      <c r="B1346" s="3" t="s">
        <v>102</v>
      </c>
      <c r="C1346" s="3"/>
      <c r="D1346" s="3"/>
      <c r="E1346" s="3"/>
      <c r="F1346" t="s">
        <v>451</v>
      </c>
      <c r="H1346" t="s">
        <v>4828</v>
      </c>
      <c r="J1346" t="s">
        <v>4829</v>
      </c>
      <c r="K1346" t="s">
        <v>253</v>
      </c>
      <c r="L1346" t="s">
        <v>4830</v>
      </c>
      <c r="M1346" t="s">
        <v>4831</v>
      </c>
      <c r="P1346"/>
    </row>
    <row r="1347" spans="1:16" hidden="1" x14ac:dyDescent="0.35">
      <c r="A1347" t="s">
        <v>4570</v>
      </c>
      <c r="B1347" s="3" t="s">
        <v>102</v>
      </c>
      <c r="C1347" s="3"/>
      <c r="D1347" s="3"/>
      <c r="E1347" s="3"/>
      <c r="F1347" t="s">
        <v>451</v>
      </c>
      <c r="H1347" t="s">
        <v>4832</v>
      </c>
      <c r="J1347" t="s">
        <v>4833</v>
      </c>
      <c r="K1347" t="s">
        <v>253</v>
      </c>
      <c r="L1347" t="s">
        <v>4834</v>
      </c>
      <c r="M1347" t="s">
        <v>4835</v>
      </c>
      <c r="P1347"/>
    </row>
    <row r="1348" spans="1:16" hidden="1" x14ac:dyDescent="0.35">
      <c r="A1348" t="s">
        <v>4570</v>
      </c>
      <c r="B1348" s="3" t="s">
        <v>102</v>
      </c>
      <c r="C1348" s="3"/>
      <c r="D1348" s="3"/>
      <c r="E1348" s="3"/>
      <c r="F1348" t="s">
        <v>451</v>
      </c>
      <c r="H1348" t="s">
        <v>4836</v>
      </c>
      <c r="J1348" t="s">
        <v>4837</v>
      </c>
      <c r="K1348" t="s">
        <v>253</v>
      </c>
      <c r="L1348" t="s">
        <v>4838</v>
      </c>
      <c r="M1348" t="s">
        <v>4839</v>
      </c>
      <c r="P1348"/>
    </row>
    <row r="1349" spans="1:16" hidden="1" x14ac:dyDescent="0.35">
      <c r="A1349" t="s">
        <v>4570</v>
      </c>
      <c r="B1349" s="3" t="s">
        <v>102</v>
      </c>
      <c r="C1349" s="3"/>
      <c r="D1349" s="3"/>
      <c r="E1349" s="3"/>
      <c r="F1349" t="s">
        <v>451</v>
      </c>
      <c r="H1349" t="s">
        <v>4840</v>
      </c>
      <c r="J1349" t="s">
        <v>4841</v>
      </c>
      <c r="K1349" t="s">
        <v>253</v>
      </c>
      <c r="L1349" t="s">
        <v>4842</v>
      </c>
      <c r="M1349" t="s">
        <v>4843</v>
      </c>
      <c r="P1349"/>
    </row>
    <row r="1350" spans="1:16" hidden="1" x14ac:dyDescent="0.35">
      <c r="A1350" t="s">
        <v>4570</v>
      </c>
      <c r="B1350" s="3" t="s">
        <v>102</v>
      </c>
      <c r="C1350" s="3"/>
      <c r="D1350" s="3"/>
      <c r="E1350" s="3"/>
      <c r="F1350" t="s">
        <v>451</v>
      </c>
      <c r="H1350" t="s">
        <v>4844</v>
      </c>
      <c r="J1350" t="s">
        <v>4845</v>
      </c>
      <c r="K1350" t="s">
        <v>253</v>
      </c>
      <c r="L1350" t="s">
        <v>4845</v>
      </c>
      <c r="M1350" t="s">
        <v>4846</v>
      </c>
      <c r="P1350"/>
    </row>
    <row r="1351" spans="1:16" hidden="1" x14ac:dyDescent="0.35">
      <c r="A1351" t="s">
        <v>4570</v>
      </c>
      <c r="B1351" s="3" t="s">
        <v>102</v>
      </c>
      <c r="C1351" s="3"/>
      <c r="D1351" s="3"/>
      <c r="E1351" s="3"/>
      <c r="F1351" t="s">
        <v>451</v>
      </c>
      <c r="H1351" t="s">
        <v>4847</v>
      </c>
      <c r="J1351" t="s">
        <v>4848</v>
      </c>
      <c r="K1351" t="s">
        <v>253</v>
      </c>
      <c r="L1351" t="s">
        <v>4849</v>
      </c>
      <c r="M1351" t="s">
        <v>4850</v>
      </c>
      <c r="P1351"/>
    </row>
    <row r="1352" spans="1:16" hidden="1" x14ac:dyDescent="0.35">
      <c r="A1352" t="s">
        <v>4570</v>
      </c>
      <c r="B1352" s="3" t="s">
        <v>102</v>
      </c>
      <c r="C1352" s="3"/>
      <c r="D1352" s="3"/>
      <c r="E1352" s="3"/>
      <c r="F1352" t="s">
        <v>451</v>
      </c>
      <c r="H1352" t="s">
        <v>4851</v>
      </c>
      <c r="J1352" t="s">
        <v>4852</v>
      </c>
      <c r="K1352" t="s">
        <v>4576</v>
      </c>
      <c r="L1352" t="s">
        <v>4853</v>
      </c>
      <c r="M1352" t="s">
        <v>4854</v>
      </c>
      <c r="P1352"/>
    </row>
    <row r="1353" spans="1:16" hidden="1" x14ac:dyDescent="0.35">
      <c r="A1353" t="s">
        <v>4570</v>
      </c>
      <c r="B1353" s="3" t="s">
        <v>102</v>
      </c>
      <c r="C1353" s="3"/>
      <c r="D1353" s="3"/>
      <c r="E1353" s="3"/>
      <c r="F1353" t="s">
        <v>451</v>
      </c>
      <c r="H1353" t="s">
        <v>4855</v>
      </c>
      <c r="J1353" t="s">
        <v>4856</v>
      </c>
      <c r="K1353" t="s">
        <v>253</v>
      </c>
      <c r="L1353" t="s">
        <v>4857</v>
      </c>
      <c r="M1353" t="s">
        <v>4858</v>
      </c>
      <c r="P1353"/>
    </row>
    <row r="1354" spans="1:16" hidden="1" x14ac:dyDescent="0.35">
      <c r="A1354" t="s">
        <v>4570</v>
      </c>
      <c r="B1354" s="3" t="s">
        <v>102</v>
      </c>
      <c r="C1354" s="3"/>
      <c r="D1354" s="3"/>
      <c r="E1354" s="3"/>
      <c r="F1354" t="s">
        <v>451</v>
      </c>
      <c r="H1354" t="s">
        <v>4859</v>
      </c>
      <c r="J1354" t="s">
        <v>4860</v>
      </c>
      <c r="K1354" t="s">
        <v>4861</v>
      </c>
      <c r="L1354" t="s">
        <v>4862</v>
      </c>
      <c r="M1354" t="s">
        <v>4863</v>
      </c>
      <c r="P1354"/>
    </row>
    <row r="1355" spans="1:16" hidden="1" x14ac:dyDescent="0.35">
      <c r="A1355" t="s">
        <v>4570</v>
      </c>
      <c r="B1355" s="3" t="s">
        <v>102</v>
      </c>
      <c r="C1355" s="3"/>
      <c r="D1355" s="3"/>
      <c r="E1355" s="3"/>
      <c r="F1355" t="s">
        <v>451</v>
      </c>
      <c r="H1355" t="s">
        <v>4864</v>
      </c>
      <c r="J1355" t="s">
        <v>4865</v>
      </c>
      <c r="K1355" t="s">
        <v>4861</v>
      </c>
      <c r="L1355" t="s">
        <v>4866</v>
      </c>
      <c r="M1355" t="s">
        <v>4867</v>
      </c>
      <c r="P1355"/>
    </row>
    <row r="1356" spans="1:16" hidden="1" x14ac:dyDescent="0.35">
      <c r="A1356" t="s">
        <v>4570</v>
      </c>
      <c r="B1356" s="3" t="s">
        <v>102</v>
      </c>
      <c r="C1356" s="3"/>
      <c r="D1356" s="3"/>
      <c r="E1356" s="3"/>
      <c r="F1356" t="s">
        <v>451</v>
      </c>
      <c r="H1356" t="s">
        <v>4868</v>
      </c>
      <c r="J1356" t="s">
        <v>4869</v>
      </c>
      <c r="K1356" t="s">
        <v>4861</v>
      </c>
      <c r="L1356" t="s">
        <v>4870</v>
      </c>
      <c r="M1356" t="s">
        <v>4871</v>
      </c>
      <c r="P1356"/>
    </row>
    <row r="1357" spans="1:16" hidden="1" x14ac:dyDescent="0.35">
      <c r="A1357" t="s">
        <v>4570</v>
      </c>
      <c r="B1357" s="3" t="s">
        <v>102</v>
      </c>
      <c r="C1357" s="3"/>
      <c r="D1357" s="3"/>
      <c r="E1357" s="3"/>
      <c r="F1357" t="s">
        <v>451</v>
      </c>
      <c r="H1357" t="s">
        <v>4872</v>
      </c>
      <c r="J1357" t="s">
        <v>4873</v>
      </c>
      <c r="K1357" t="s">
        <v>4861</v>
      </c>
      <c r="L1357" t="s">
        <v>4874</v>
      </c>
      <c r="M1357" t="s">
        <v>4875</v>
      </c>
      <c r="P1357"/>
    </row>
    <row r="1358" spans="1:16" hidden="1" x14ac:dyDescent="0.35">
      <c r="A1358" t="s">
        <v>4570</v>
      </c>
      <c r="B1358" s="3" t="s">
        <v>102</v>
      </c>
      <c r="C1358" s="3"/>
      <c r="D1358" s="3"/>
      <c r="E1358" s="3"/>
      <c r="F1358" t="s">
        <v>451</v>
      </c>
      <c r="H1358" t="s">
        <v>4876</v>
      </c>
      <c r="J1358" t="s">
        <v>4877</v>
      </c>
      <c r="K1358" t="s">
        <v>263</v>
      </c>
      <c r="L1358" t="s">
        <v>4878</v>
      </c>
      <c r="M1358" t="s">
        <v>4879</v>
      </c>
      <c r="P1358"/>
    </row>
    <row r="1359" spans="1:16" hidden="1" x14ac:dyDescent="0.35">
      <c r="A1359" t="s">
        <v>4570</v>
      </c>
      <c r="B1359" s="3" t="s">
        <v>102</v>
      </c>
      <c r="C1359" s="3"/>
      <c r="D1359" s="3"/>
      <c r="E1359" s="3"/>
      <c r="F1359" t="s">
        <v>451</v>
      </c>
      <c r="H1359" t="s">
        <v>4880</v>
      </c>
      <c r="J1359" t="s">
        <v>4881</v>
      </c>
      <c r="K1359" t="s">
        <v>253</v>
      </c>
      <c r="L1359" t="s">
        <v>4882</v>
      </c>
      <c r="M1359" t="s">
        <v>4883</v>
      </c>
      <c r="P1359"/>
    </row>
    <row r="1360" spans="1:16" hidden="1" x14ac:dyDescent="0.35">
      <c r="A1360" t="s">
        <v>4570</v>
      </c>
      <c r="B1360" s="3" t="s">
        <v>102</v>
      </c>
      <c r="C1360" s="3"/>
      <c r="D1360" s="3"/>
      <c r="E1360" s="3"/>
      <c r="F1360" t="s">
        <v>451</v>
      </c>
      <c r="H1360" t="s">
        <v>4884</v>
      </c>
      <c r="J1360" t="s">
        <v>4885</v>
      </c>
      <c r="K1360" t="s">
        <v>253</v>
      </c>
      <c r="L1360" t="s">
        <v>4886</v>
      </c>
      <c r="M1360" t="s">
        <v>4887</v>
      </c>
      <c r="P1360"/>
    </row>
    <row r="1361" spans="1:16" hidden="1" x14ac:dyDescent="0.35">
      <c r="A1361" t="s">
        <v>4570</v>
      </c>
      <c r="B1361" s="3" t="s">
        <v>102</v>
      </c>
      <c r="C1361" s="3"/>
      <c r="D1361" s="3"/>
      <c r="E1361" s="3"/>
      <c r="F1361" t="s">
        <v>451</v>
      </c>
      <c r="H1361" t="s">
        <v>4888</v>
      </c>
      <c r="J1361" t="s">
        <v>4889</v>
      </c>
      <c r="K1361" t="s">
        <v>253</v>
      </c>
      <c r="L1361" t="s">
        <v>4890</v>
      </c>
      <c r="M1361" t="s">
        <v>4891</v>
      </c>
      <c r="P1361"/>
    </row>
    <row r="1362" spans="1:16" hidden="1" x14ac:dyDescent="0.35">
      <c r="A1362" t="s">
        <v>4570</v>
      </c>
      <c r="B1362" s="3" t="s">
        <v>102</v>
      </c>
      <c r="C1362" s="3"/>
      <c r="D1362" s="3"/>
      <c r="E1362" s="3"/>
      <c r="F1362" t="s">
        <v>451</v>
      </c>
      <c r="H1362" t="s">
        <v>4892</v>
      </c>
      <c r="J1362" t="s">
        <v>4893</v>
      </c>
      <c r="K1362" t="s">
        <v>253</v>
      </c>
      <c r="L1362" t="s">
        <v>4894</v>
      </c>
      <c r="M1362" t="s">
        <v>4895</v>
      </c>
      <c r="P1362"/>
    </row>
    <row r="1363" spans="1:16" hidden="1" x14ac:dyDescent="0.35">
      <c r="A1363" t="s">
        <v>4570</v>
      </c>
      <c r="B1363" s="3" t="s">
        <v>102</v>
      </c>
      <c r="C1363" s="3"/>
      <c r="D1363" s="3"/>
      <c r="E1363" s="3"/>
      <c r="F1363" t="s">
        <v>451</v>
      </c>
      <c r="H1363" t="s">
        <v>4896</v>
      </c>
      <c r="J1363" t="s">
        <v>4897</v>
      </c>
      <c r="K1363" t="s">
        <v>253</v>
      </c>
      <c r="L1363" t="s">
        <v>4898</v>
      </c>
      <c r="M1363" t="s">
        <v>4899</v>
      </c>
      <c r="P1363"/>
    </row>
    <row r="1364" spans="1:16" hidden="1" x14ac:dyDescent="0.35">
      <c r="A1364" t="s">
        <v>4570</v>
      </c>
      <c r="B1364" s="3" t="s">
        <v>102</v>
      </c>
      <c r="C1364" s="3"/>
      <c r="D1364" s="3"/>
      <c r="E1364" s="3"/>
      <c r="F1364" t="s">
        <v>451</v>
      </c>
      <c r="H1364" t="s">
        <v>4900</v>
      </c>
      <c r="J1364" t="s">
        <v>4901</v>
      </c>
      <c r="K1364" t="s">
        <v>253</v>
      </c>
      <c r="L1364" t="s">
        <v>4902</v>
      </c>
      <c r="M1364" t="s">
        <v>4903</v>
      </c>
      <c r="P1364"/>
    </row>
    <row r="1365" spans="1:16" hidden="1" x14ac:dyDescent="0.35">
      <c r="A1365" t="s">
        <v>4570</v>
      </c>
      <c r="B1365" s="3" t="s">
        <v>102</v>
      </c>
      <c r="C1365" s="3"/>
      <c r="D1365" s="3"/>
      <c r="E1365" s="3"/>
      <c r="F1365" t="s">
        <v>451</v>
      </c>
      <c r="H1365" t="s">
        <v>4904</v>
      </c>
      <c r="J1365" t="s">
        <v>4905</v>
      </c>
      <c r="K1365" t="s">
        <v>253</v>
      </c>
      <c r="L1365" t="s">
        <v>4906</v>
      </c>
      <c r="M1365" t="s">
        <v>4907</v>
      </c>
      <c r="P1365"/>
    </row>
    <row r="1366" spans="1:16" hidden="1" x14ac:dyDescent="0.35">
      <c r="A1366" t="s">
        <v>4570</v>
      </c>
      <c r="B1366" s="3" t="s">
        <v>102</v>
      </c>
      <c r="C1366" s="3"/>
      <c r="D1366" s="3"/>
      <c r="E1366" s="3"/>
      <c r="F1366" t="s">
        <v>451</v>
      </c>
      <c r="H1366" t="s">
        <v>4908</v>
      </c>
      <c r="J1366" t="s">
        <v>4909</v>
      </c>
      <c r="K1366" t="s">
        <v>253</v>
      </c>
      <c r="L1366" t="s">
        <v>4910</v>
      </c>
      <c r="M1366" t="s">
        <v>4911</v>
      </c>
      <c r="P1366"/>
    </row>
    <row r="1367" spans="1:16" hidden="1" x14ac:dyDescent="0.35">
      <c r="A1367" t="s">
        <v>4570</v>
      </c>
      <c r="B1367" s="3" t="s">
        <v>102</v>
      </c>
      <c r="C1367" s="3"/>
      <c r="D1367" s="3"/>
      <c r="E1367" s="3"/>
      <c r="F1367" t="s">
        <v>451</v>
      </c>
      <c r="H1367" t="s">
        <v>4912</v>
      </c>
      <c r="J1367" t="s">
        <v>4913</v>
      </c>
      <c r="K1367" t="s">
        <v>253</v>
      </c>
      <c r="L1367" t="s">
        <v>4914</v>
      </c>
      <c r="M1367" t="s">
        <v>4915</v>
      </c>
      <c r="P1367"/>
    </row>
    <row r="1368" spans="1:16" hidden="1" x14ac:dyDescent="0.35">
      <c r="A1368" t="s">
        <v>4570</v>
      </c>
      <c r="B1368" s="3" t="s">
        <v>102</v>
      </c>
      <c r="C1368" s="3"/>
      <c r="D1368" s="3"/>
      <c r="E1368" s="3"/>
      <c r="F1368" t="s">
        <v>451</v>
      </c>
      <c r="H1368" t="s">
        <v>4916</v>
      </c>
      <c r="J1368" t="s">
        <v>4917</v>
      </c>
      <c r="K1368" t="s">
        <v>253</v>
      </c>
      <c r="L1368" t="s">
        <v>4918</v>
      </c>
      <c r="M1368" t="s">
        <v>4919</v>
      </c>
      <c r="P1368"/>
    </row>
    <row r="1369" spans="1:16" hidden="1" x14ac:dyDescent="0.35">
      <c r="A1369" t="s">
        <v>4570</v>
      </c>
      <c r="B1369" s="3" t="s">
        <v>102</v>
      </c>
      <c r="C1369" s="3"/>
      <c r="D1369" s="3"/>
      <c r="E1369" s="3"/>
      <c r="F1369" t="s">
        <v>451</v>
      </c>
      <c r="H1369" t="s">
        <v>4920</v>
      </c>
      <c r="J1369" t="s">
        <v>4921</v>
      </c>
      <c r="K1369" t="s">
        <v>253</v>
      </c>
      <c r="L1369" t="s">
        <v>4922</v>
      </c>
      <c r="M1369" t="s">
        <v>4923</v>
      </c>
      <c r="P1369"/>
    </row>
    <row r="1370" spans="1:16" hidden="1" x14ac:dyDescent="0.35">
      <c r="A1370" t="s">
        <v>4570</v>
      </c>
      <c r="B1370" s="3" t="s">
        <v>102</v>
      </c>
      <c r="C1370" s="3"/>
      <c r="D1370" s="3"/>
      <c r="E1370" s="3"/>
      <c r="F1370" t="s">
        <v>451</v>
      </c>
      <c r="H1370" t="s">
        <v>4924</v>
      </c>
      <c r="J1370" t="s">
        <v>4925</v>
      </c>
      <c r="K1370" t="s">
        <v>253</v>
      </c>
      <c r="L1370" t="s">
        <v>4926</v>
      </c>
      <c r="M1370" t="s">
        <v>4927</v>
      </c>
      <c r="P1370"/>
    </row>
    <row r="1371" spans="1:16" hidden="1" x14ac:dyDescent="0.35">
      <c r="A1371" t="s">
        <v>4570</v>
      </c>
      <c r="B1371" s="3" t="s">
        <v>102</v>
      </c>
      <c r="C1371" s="3"/>
      <c r="D1371" s="3"/>
      <c r="E1371" s="3"/>
      <c r="F1371" t="s">
        <v>451</v>
      </c>
      <c r="H1371" t="s">
        <v>4928</v>
      </c>
      <c r="J1371" t="s">
        <v>4852</v>
      </c>
      <c r="K1371" t="s">
        <v>4576</v>
      </c>
      <c r="L1371" t="s">
        <v>4929</v>
      </c>
      <c r="M1371" t="s">
        <v>4930</v>
      </c>
      <c r="P1371"/>
    </row>
    <row r="1372" spans="1:16" hidden="1" x14ac:dyDescent="0.35">
      <c r="A1372" t="s">
        <v>4570</v>
      </c>
      <c r="B1372" s="3" t="s">
        <v>102</v>
      </c>
      <c r="C1372" s="3"/>
      <c r="D1372" s="3"/>
      <c r="E1372" s="3"/>
      <c r="F1372" t="s">
        <v>451</v>
      </c>
      <c r="H1372" t="s">
        <v>4931</v>
      </c>
      <c r="J1372" t="s">
        <v>4932</v>
      </c>
      <c r="K1372" t="s">
        <v>4735</v>
      </c>
      <c r="L1372" t="s">
        <v>4933</v>
      </c>
      <c r="M1372" t="s">
        <v>4934</v>
      </c>
      <c r="P1372"/>
    </row>
    <row r="1373" spans="1:16" hidden="1" x14ac:dyDescent="0.35">
      <c r="A1373" t="s">
        <v>4570</v>
      </c>
      <c r="B1373" s="3" t="s">
        <v>102</v>
      </c>
      <c r="C1373" s="3"/>
      <c r="D1373" s="3"/>
      <c r="E1373" s="3"/>
      <c r="F1373" t="s">
        <v>451</v>
      </c>
      <c r="H1373" t="s">
        <v>4935</v>
      </c>
      <c r="J1373" t="s">
        <v>4936</v>
      </c>
      <c r="K1373" t="s">
        <v>4735</v>
      </c>
      <c r="L1373" t="s">
        <v>4937</v>
      </c>
      <c r="M1373" t="s">
        <v>4938</v>
      </c>
      <c r="P1373"/>
    </row>
    <row r="1374" spans="1:16" hidden="1" x14ac:dyDescent="0.35">
      <c r="A1374" t="s">
        <v>4570</v>
      </c>
      <c r="B1374" s="3" t="s">
        <v>102</v>
      </c>
      <c r="C1374" s="3"/>
      <c r="D1374" s="3"/>
      <c r="E1374" s="3"/>
      <c r="F1374" t="s">
        <v>451</v>
      </c>
      <c r="H1374" t="s">
        <v>4939</v>
      </c>
      <c r="J1374" t="s">
        <v>4940</v>
      </c>
      <c r="K1374" t="s">
        <v>253</v>
      </c>
      <c r="L1374" t="s">
        <v>4941</v>
      </c>
      <c r="M1374" t="s">
        <v>4942</v>
      </c>
      <c r="P1374"/>
    </row>
    <row r="1375" spans="1:16" hidden="1" x14ac:dyDescent="0.35">
      <c r="A1375" t="s">
        <v>4570</v>
      </c>
      <c r="B1375" s="3" t="s">
        <v>102</v>
      </c>
      <c r="C1375" s="3"/>
      <c r="D1375" s="3"/>
      <c r="E1375" s="3"/>
      <c r="F1375" t="s">
        <v>451</v>
      </c>
      <c r="H1375" t="s">
        <v>4943</v>
      </c>
      <c r="J1375" t="s">
        <v>4944</v>
      </c>
      <c r="P1375"/>
    </row>
    <row r="1376" spans="1:16" hidden="1" x14ac:dyDescent="0.35">
      <c r="A1376" t="s">
        <v>4570</v>
      </c>
      <c r="B1376" s="3" t="s">
        <v>102</v>
      </c>
      <c r="C1376" s="3"/>
      <c r="D1376" s="3"/>
      <c r="E1376" s="3"/>
      <c r="F1376" t="s">
        <v>451</v>
      </c>
      <c r="H1376" t="s">
        <v>4945</v>
      </c>
      <c r="J1376" t="s">
        <v>4946</v>
      </c>
      <c r="K1376" t="s">
        <v>263</v>
      </c>
      <c r="L1376" t="s">
        <v>4947</v>
      </c>
      <c r="M1376" t="s">
        <v>4948</v>
      </c>
      <c r="P1376"/>
    </row>
    <row r="1377" spans="1:16" hidden="1" x14ac:dyDescent="0.35">
      <c r="A1377" t="s">
        <v>4570</v>
      </c>
      <c r="B1377" s="3" t="s">
        <v>102</v>
      </c>
      <c r="C1377" s="3"/>
      <c r="D1377" s="3"/>
      <c r="E1377" s="3"/>
      <c r="F1377" t="s">
        <v>451</v>
      </c>
      <c r="H1377" t="s">
        <v>4949</v>
      </c>
      <c r="J1377" t="s">
        <v>4950</v>
      </c>
      <c r="K1377" t="s">
        <v>263</v>
      </c>
      <c r="L1377" t="s">
        <v>4951</v>
      </c>
      <c r="M1377" t="s">
        <v>4952</v>
      </c>
      <c r="P1377"/>
    </row>
    <row r="1378" spans="1:16" hidden="1" x14ac:dyDescent="0.35">
      <c r="A1378" t="s">
        <v>4570</v>
      </c>
      <c r="B1378" s="3" t="s">
        <v>102</v>
      </c>
      <c r="C1378" s="3"/>
      <c r="D1378" s="3"/>
      <c r="E1378" s="3"/>
      <c r="F1378" t="s">
        <v>451</v>
      </c>
      <c r="H1378" t="s">
        <v>4953</v>
      </c>
      <c r="J1378" t="s">
        <v>4954</v>
      </c>
      <c r="K1378" t="s">
        <v>263</v>
      </c>
      <c r="L1378" t="s">
        <v>4955</v>
      </c>
      <c r="M1378" t="s">
        <v>4956</v>
      </c>
      <c r="P1378"/>
    </row>
    <row r="1379" spans="1:16" hidden="1" x14ac:dyDescent="0.35">
      <c r="A1379" t="s">
        <v>4570</v>
      </c>
      <c r="B1379" s="3" t="s">
        <v>102</v>
      </c>
      <c r="C1379" s="3"/>
      <c r="D1379" s="3"/>
      <c r="E1379" s="3"/>
      <c r="F1379" t="s">
        <v>451</v>
      </c>
      <c r="H1379" t="s">
        <v>4957</v>
      </c>
      <c r="J1379" t="s">
        <v>4958</v>
      </c>
      <c r="K1379" t="s">
        <v>253</v>
      </c>
      <c r="L1379" t="s">
        <v>4959</v>
      </c>
      <c r="M1379" t="s">
        <v>4960</v>
      </c>
      <c r="P1379"/>
    </row>
    <row r="1380" spans="1:16" hidden="1" x14ac:dyDescent="0.35">
      <c r="A1380" t="s">
        <v>4570</v>
      </c>
      <c r="B1380" s="3" t="s">
        <v>102</v>
      </c>
      <c r="C1380" s="3"/>
      <c r="D1380" s="3"/>
      <c r="E1380" s="3"/>
      <c r="F1380" t="s">
        <v>451</v>
      </c>
      <c r="H1380" t="s">
        <v>4961</v>
      </c>
      <c r="J1380" t="s">
        <v>4962</v>
      </c>
      <c r="K1380" t="s">
        <v>253</v>
      </c>
      <c r="L1380" t="s">
        <v>4963</v>
      </c>
      <c r="M1380" t="s">
        <v>4964</v>
      </c>
      <c r="P1380"/>
    </row>
    <row r="1381" spans="1:16" hidden="1" x14ac:dyDescent="0.35">
      <c r="A1381" t="s">
        <v>4570</v>
      </c>
      <c r="B1381" s="3" t="s">
        <v>102</v>
      </c>
      <c r="C1381" s="3"/>
      <c r="D1381" s="3"/>
      <c r="E1381" s="3"/>
      <c r="F1381" t="s">
        <v>451</v>
      </c>
      <c r="H1381" t="s">
        <v>4965</v>
      </c>
      <c r="J1381" t="s">
        <v>4966</v>
      </c>
      <c r="K1381" t="s">
        <v>253</v>
      </c>
      <c r="L1381" t="s">
        <v>4967</v>
      </c>
      <c r="M1381" t="s">
        <v>4968</v>
      </c>
      <c r="P1381"/>
    </row>
    <row r="1382" spans="1:16" hidden="1" x14ac:dyDescent="0.35">
      <c r="A1382" t="s">
        <v>4570</v>
      </c>
      <c r="B1382" s="3" t="s">
        <v>102</v>
      </c>
      <c r="C1382" s="3"/>
      <c r="D1382" s="3"/>
      <c r="E1382" s="3"/>
      <c r="F1382" t="s">
        <v>451</v>
      </c>
      <c r="H1382" t="s">
        <v>4969</v>
      </c>
      <c r="J1382" t="s">
        <v>4970</v>
      </c>
      <c r="K1382" t="s">
        <v>253</v>
      </c>
      <c r="L1382" t="s">
        <v>4971</v>
      </c>
      <c r="M1382" t="s">
        <v>4972</v>
      </c>
      <c r="P1382"/>
    </row>
    <row r="1383" spans="1:16" hidden="1" x14ac:dyDescent="0.35">
      <c r="A1383" t="s">
        <v>4570</v>
      </c>
      <c r="B1383" s="3" t="s">
        <v>102</v>
      </c>
      <c r="C1383" s="3"/>
      <c r="D1383" s="3"/>
      <c r="E1383" s="3"/>
      <c r="F1383" t="s">
        <v>451</v>
      </c>
      <c r="H1383" t="s">
        <v>4973</v>
      </c>
      <c r="J1383" t="s">
        <v>4974</v>
      </c>
      <c r="K1383" t="s">
        <v>253</v>
      </c>
      <c r="L1383" t="s">
        <v>4975</v>
      </c>
      <c r="M1383" t="s">
        <v>4976</v>
      </c>
      <c r="P1383"/>
    </row>
    <row r="1384" spans="1:16" hidden="1" x14ac:dyDescent="0.35">
      <c r="A1384" t="s">
        <v>4570</v>
      </c>
      <c r="B1384" s="3" t="s">
        <v>102</v>
      </c>
      <c r="C1384" s="3"/>
      <c r="D1384" s="3"/>
      <c r="E1384" s="3"/>
      <c r="F1384" t="s">
        <v>451</v>
      </c>
      <c r="H1384" t="s">
        <v>4977</v>
      </c>
      <c r="J1384" t="s">
        <v>4978</v>
      </c>
      <c r="K1384" t="s">
        <v>253</v>
      </c>
      <c r="L1384" t="s">
        <v>4979</v>
      </c>
      <c r="M1384" t="s">
        <v>4980</v>
      </c>
      <c r="P1384"/>
    </row>
    <row r="1385" spans="1:16" hidden="1" x14ac:dyDescent="0.35">
      <c r="A1385" t="s">
        <v>4570</v>
      </c>
      <c r="B1385" s="3" t="s">
        <v>102</v>
      </c>
      <c r="C1385" s="3"/>
      <c r="D1385" s="3"/>
      <c r="E1385" s="3"/>
      <c r="F1385" t="s">
        <v>451</v>
      </c>
      <c r="H1385" t="s">
        <v>4981</v>
      </c>
      <c r="J1385" t="s">
        <v>4982</v>
      </c>
      <c r="K1385" t="s">
        <v>253</v>
      </c>
      <c r="L1385" t="s">
        <v>4983</v>
      </c>
      <c r="M1385" t="s">
        <v>4984</v>
      </c>
      <c r="P1385"/>
    </row>
    <row r="1386" spans="1:16" hidden="1" x14ac:dyDescent="0.35">
      <c r="A1386" t="s">
        <v>4570</v>
      </c>
      <c r="B1386" s="3" t="s">
        <v>102</v>
      </c>
      <c r="C1386" s="3"/>
      <c r="D1386" s="3"/>
      <c r="E1386" s="3"/>
      <c r="F1386" t="s">
        <v>451</v>
      </c>
      <c r="H1386" t="s">
        <v>4985</v>
      </c>
      <c r="J1386" t="s">
        <v>4986</v>
      </c>
      <c r="K1386" t="s">
        <v>253</v>
      </c>
      <c r="L1386" t="s">
        <v>4987</v>
      </c>
      <c r="M1386" t="s">
        <v>4988</v>
      </c>
      <c r="P1386"/>
    </row>
    <row r="1387" spans="1:16" hidden="1" x14ac:dyDescent="0.35">
      <c r="A1387" t="s">
        <v>4570</v>
      </c>
      <c r="B1387" s="3" t="s">
        <v>102</v>
      </c>
      <c r="C1387" s="3"/>
      <c r="D1387" s="3"/>
      <c r="E1387" s="3"/>
      <c r="F1387" t="s">
        <v>451</v>
      </c>
      <c r="H1387" t="s">
        <v>4989</v>
      </c>
      <c r="J1387" t="s">
        <v>4990</v>
      </c>
      <c r="K1387" t="s">
        <v>253</v>
      </c>
      <c r="L1387" t="s">
        <v>4991</v>
      </c>
      <c r="M1387" t="s">
        <v>4992</v>
      </c>
      <c r="P1387"/>
    </row>
    <row r="1388" spans="1:16" hidden="1" x14ac:dyDescent="0.35">
      <c r="A1388" t="s">
        <v>4570</v>
      </c>
      <c r="B1388" s="3" t="s">
        <v>102</v>
      </c>
      <c r="C1388" s="3"/>
      <c r="D1388" s="3"/>
      <c r="E1388" s="3"/>
      <c r="F1388" t="s">
        <v>451</v>
      </c>
      <c r="H1388" t="s">
        <v>4993</v>
      </c>
      <c r="J1388" t="s">
        <v>4994</v>
      </c>
      <c r="K1388" t="s">
        <v>253</v>
      </c>
      <c r="L1388" t="s">
        <v>4995</v>
      </c>
      <c r="M1388" t="s">
        <v>4996</v>
      </c>
      <c r="P1388"/>
    </row>
    <row r="1389" spans="1:16" hidden="1" x14ac:dyDescent="0.35">
      <c r="A1389" t="s">
        <v>4570</v>
      </c>
      <c r="B1389" s="3" t="s">
        <v>102</v>
      </c>
      <c r="C1389" s="3"/>
      <c r="D1389" s="3"/>
      <c r="E1389" s="3"/>
      <c r="F1389" t="s">
        <v>451</v>
      </c>
      <c r="H1389" t="s">
        <v>4997</v>
      </c>
      <c r="J1389" t="s">
        <v>4998</v>
      </c>
      <c r="K1389" t="s">
        <v>253</v>
      </c>
      <c r="L1389" t="s">
        <v>4999</v>
      </c>
      <c r="M1389" t="s">
        <v>5000</v>
      </c>
      <c r="P1389"/>
    </row>
    <row r="1390" spans="1:16" hidden="1" x14ac:dyDescent="0.35">
      <c r="A1390" t="s">
        <v>4570</v>
      </c>
      <c r="B1390" s="3" t="s">
        <v>102</v>
      </c>
      <c r="C1390" s="3"/>
      <c r="D1390" s="3"/>
      <c r="E1390" s="3"/>
      <c r="F1390" t="s">
        <v>451</v>
      </c>
      <c r="H1390" t="s">
        <v>5001</v>
      </c>
      <c r="J1390" t="s">
        <v>5002</v>
      </c>
      <c r="K1390" t="s">
        <v>253</v>
      </c>
      <c r="L1390" t="s">
        <v>5003</v>
      </c>
      <c r="M1390" t="s">
        <v>5004</v>
      </c>
      <c r="P1390"/>
    </row>
    <row r="1391" spans="1:16" hidden="1" x14ac:dyDescent="0.35">
      <c r="A1391" t="s">
        <v>4570</v>
      </c>
      <c r="B1391" s="3" t="s">
        <v>102</v>
      </c>
      <c r="C1391" s="3"/>
      <c r="D1391" s="3"/>
      <c r="E1391" s="3"/>
      <c r="F1391" t="s">
        <v>451</v>
      </c>
      <c r="H1391" t="s">
        <v>5005</v>
      </c>
      <c r="J1391" t="s">
        <v>5006</v>
      </c>
      <c r="K1391" t="s">
        <v>253</v>
      </c>
      <c r="L1391" t="s">
        <v>5007</v>
      </c>
      <c r="M1391" t="s">
        <v>5008</v>
      </c>
      <c r="P1391"/>
    </row>
    <row r="1392" spans="1:16" hidden="1" x14ac:dyDescent="0.35">
      <c r="A1392" t="s">
        <v>4570</v>
      </c>
      <c r="B1392" s="3" t="s">
        <v>102</v>
      </c>
      <c r="C1392" s="3"/>
      <c r="D1392" s="3"/>
      <c r="E1392" s="3"/>
      <c r="F1392" t="s">
        <v>451</v>
      </c>
      <c r="H1392" t="s">
        <v>5009</v>
      </c>
      <c r="J1392" t="s">
        <v>5010</v>
      </c>
      <c r="K1392" t="s">
        <v>253</v>
      </c>
      <c r="L1392" t="s">
        <v>5011</v>
      </c>
      <c r="M1392" t="s">
        <v>5012</v>
      </c>
      <c r="P1392"/>
    </row>
    <row r="1393" spans="1:16" hidden="1" x14ac:dyDescent="0.35">
      <c r="A1393" t="s">
        <v>4570</v>
      </c>
      <c r="B1393" s="3" t="s">
        <v>102</v>
      </c>
      <c r="C1393" s="3"/>
      <c r="D1393" s="3"/>
      <c r="E1393" s="3"/>
      <c r="F1393" t="s">
        <v>451</v>
      </c>
      <c r="H1393" t="s">
        <v>5013</v>
      </c>
      <c r="J1393" t="s">
        <v>5014</v>
      </c>
      <c r="K1393" t="s">
        <v>253</v>
      </c>
      <c r="L1393" t="s">
        <v>5015</v>
      </c>
      <c r="M1393" t="s">
        <v>5016</v>
      </c>
      <c r="P1393"/>
    </row>
    <row r="1394" spans="1:16" hidden="1" x14ac:dyDescent="0.35">
      <c r="A1394" t="s">
        <v>4570</v>
      </c>
      <c r="B1394" s="3" t="s">
        <v>102</v>
      </c>
      <c r="C1394" s="3"/>
      <c r="D1394" s="3"/>
      <c r="E1394" s="3"/>
      <c r="F1394" t="s">
        <v>468</v>
      </c>
      <c r="H1394" t="s">
        <v>5017</v>
      </c>
      <c r="J1394" t="s">
        <v>5018</v>
      </c>
      <c r="K1394" t="s">
        <v>253</v>
      </c>
      <c r="L1394" t="s">
        <v>5019</v>
      </c>
      <c r="M1394" t="s">
        <v>5020</v>
      </c>
      <c r="P1394"/>
    </row>
    <row r="1395" spans="1:16" hidden="1" x14ac:dyDescent="0.35">
      <c r="A1395" t="s">
        <v>4570</v>
      </c>
      <c r="B1395" s="3" t="s">
        <v>102</v>
      </c>
      <c r="C1395" s="3"/>
      <c r="D1395" s="3"/>
      <c r="E1395" s="3"/>
      <c r="F1395" t="s">
        <v>468</v>
      </c>
      <c r="H1395" t="s">
        <v>5021</v>
      </c>
      <c r="J1395" t="s">
        <v>5022</v>
      </c>
      <c r="K1395" t="s">
        <v>253</v>
      </c>
      <c r="L1395" t="s">
        <v>5023</v>
      </c>
      <c r="M1395" t="s">
        <v>5024</v>
      </c>
      <c r="P1395"/>
    </row>
    <row r="1396" spans="1:16" hidden="1" x14ac:dyDescent="0.35">
      <c r="A1396" t="s">
        <v>4570</v>
      </c>
      <c r="B1396" s="3" t="s">
        <v>102</v>
      </c>
      <c r="C1396" s="3"/>
      <c r="D1396" s="3"/>
      <c r="E1396" s="3"/>
      <c r="F1396" t="s">
        <v>468</v>
      </c>
      <c r="H1396" t="s">
        <v>5025</v>
      </c>
      <c r="J1396" t="s">
        <v>5026</v>
      </c>
      <c r="K1396" t="s">
        <v>253</v>
      </c>
      <c r="L1396" t="s">
        <v>5027</v>
      </c>
      <c r="M1396" t="s">
        <v>5028</v>
      </c>
      <c r="P1396"/>
    </row>
    <row r="1397" spans="1:16" hidden="1" x14ac:dyDescent="0.35">
      <c r="A1397" t="s">
        <v>4570</v>
      </c>
      <c r="B1397" s="3" t="s">
        <v>102</v>
      </c>
      <c r="C1397" s="3"/>
      <c r="D1397" s="3"/>
      <c r="E1397" s="3"/>
      <c r="F1397" t="s">
        <v>468</v>
      </c>
      <c r="H1397" t="s">
        <v>5029</v>
      </c>
      <c r="J1397" t="s">
        <v>5030</v>
      </c>
      <c r="K1397" t="s">
        <v>253</v>
      </c>
      <c r="L1397" t="s">
        <v>5031</v>
      </c>
      <c r="M1397" t="s">
        <v>5032</v>
      </c>
      <c r="P1397"/>
    </row>
    <row r="1398" spans="1:16" hidden="1" x14ac:dyDescent="0.35">
      <c r="A1398" t="s">
        <v>4570</v>
      </c>
      <c r="B1398" s="3" t="s">
        <v>102</v>
      </c>
      <c r="C1398" s="3"/>
      <c r="D1398" s="3"/>
      <c r="E1398" s="3"/>
      <c r="F1398" t="s">
        <v>468</v>
      </c>
      <c r="H1398" t="s">
        <v>5033</v>
      </c>
      <c r="J1398" t="s">
        <v>5034</v>
      </c>
      <c r="K1398" t="s">
        <v>253</v>
      </c>
      <c r="L1398" t="s">
        <v>5035</v>
      </c>
      <c r="M1398" t="s">
        <v>5036</v>
      </c>
      <c r="P1398"/>
    </row>
    <row r="1399" spans="1:16" hidden="1" x14ac:dyDescent="0.35">
      <c r="A1399" t="s">
        <v>4570</v>
      </c>
      <c r="B1399" s="3" t="s">
        <v>102</v>
      </c>
      <c r="C1399" s="3"/>
      <c r="D1399" s="3"/>
      <c r="E1399" s="3"/>
      <c r="F1399" t="s">
        <v>468</v>
      </c>
      <c r="H1399" t="s">
        <v>5037</v>
      </c>
      <c r="J1399" t="s">
        <v>5038</v>
      </c>
      <c r="K1399" t="s">
        <v>253</v>
      </c>
      <c r="L1399" t="s">
        <v>5039</v>
      </c>
      <c r="M1399" t="s">
        <v>5040</v>
      </c>
      <c r="P1399"/>
    </row>
    <row r="1400" spans="1:16" hidden="1" x14ac:dyDescent="0.35">
      <c r="A1400" t="s">
        <v>4570</v>
      </c>
      <c r="B1400" s="3" t="s">
        <v>102</v>
      </c>
      <c r="C1400" s="3"/>
      <c r="D1400" s="3"/>
      <c r="E1400" s="3"/>
      <c r="F1400" t="s">
        <v>468</v>
      </c>
      <c r="H1400" t="s">
        <v>5041</v>
      </c>
      <c r="J1400" t="s">
        <v>5042</v>
      </c>
      <c r="K1400" t="s">
        <v>253</v>
      </c>
      <c r="L1400" t="s">
        <v>5043</v>
      </c>
      <c r="M1400" t="s">
        <v>5044</v>
      </c>
      <c r="P1400"/>
    </row>
    <row r="1401" spans="1:16" hidden="1" x14ac:dyDescent="0.35">
      <c r="A1401" t="s">
        <v>4570</v>
      </c>
      <c r="B1401" s="3" t="s">
        <v>102</v>
      </c>
      <c r="C1401" s="3"/>
      <c r="D1401" s="3"/>
      <c r="E1401" s="3"/>
      <c r="F1401" t="s">
        <v>468</v>
      </c>
      <c r="H1401" t="s">
        <v>5045</v>
      </c>
      <c r="J1401" t="s">
        <v>5046</v>
      </c>
      <c r="K1401" t="s">
        <v>253</v>
      </c>
      <c r="L1401" t="s">
        <v>5047</v>
      </c>
      <c r="M1401" t="s">
        <v>5048</v>
      </c>
      <c r="P1401"/>
    </row>
    <row r="1402" spans="1:16" hidden="1" x14ac:dyDescent="0.35">
      <c r="A1402" t="s">
        <v>4570</v>
      </c>
      <c r="B1402" s="3" t="s">
        <v>102</v>
      </c>
      <c r="C1402" s="3"/>
      <c r="D1402" s="3"/>
      <c r="E1402" s="3"/>
      <c r="F1402" t="s">
        <v>468</v>
      </c>
      <c r="H1402" t="s">
        <v>5049</v>
      </c>
      <c r="J1402" t="s">
        <v>5050</v>
      </c>
      <c r="K1402" t="s">
        <v>253</v>
      </c>
      <c r="L1402" t="s">
        <v>5051</v>
      </c>
      <c r="M1402" t="s">
        <v>5052</v>
      </c>
      <c r="P1402"/>
    </row>
    <row r="1403" spans="1:16" hidden="1" x14ac:dyDescent="0.35">
      <c r="A1403" t="s">
        <v>4570</v>
      </c>
      <c r="B1403" s="3" t="s">
        <v>102</v>
      </c>
      <c r="C1403" s="3"/>
      <c r="D1403" s="3"/>
      <c r="E1403" s="3"/>
      <c r="F1403" t="s">
        <v>468</v>
      </c>
      <c r="H1403" t="s">
        <v>5053</v>
      </c>
      <c r="J1403" t="s">
        <v>5054</v>
      </c>
      <c r="K1403" t="s">
        <v>253</v>
      </c>
      <c r="L1403" t="s">
        <v>5055</v>
      </c>
      <c r="M1403" t="s">
        <v>5056</v>
      </c>
      <c r="P1403"/>
    </row>
    <row r="1404" spans="1:16" hidden="1" x14ac:dyDescent="0.35">
      <c r="A1404" t="s">
        <v>4570</v>
      </c>
      <c r="B1404" s="3" t="s">
        <v>102</v>
      </c>
      <c r="C1404" s="3"/>
      <c r="D1404" s="3"/>
      <c r="E1404" s="3"/>
      <c r="F1404" t="s">
        <v>468</v>
      </c>
      <c r="H1404" t="s">
        <v>5057</v>
      </c>
      <c r="J1404" t="s">
        <v>5058</v>
      </c>
      <c r="K1404" t="s">
        <v>253</v>
      </c>
      <c r="L1404" t="s">
        <v>5059</v>
      </c>
      <c r="M1404" t="s">
        <v>5060</v>
      </c>
      <c r="P1404"/>
    </row>
    <row r="1405" spans="1:16" hidden="1" x14ac:dyDescent="0.35">
      <c r="A1405" t="s">
        <v>4570</v>
      </c>
      <c r="B1405" s="3" t="s">
        <v>102</v>
      </c>
      <c r="C1405" s="3"/>
      <c r="D1405" s="3"/>
      <c r="E1405" s="3"/>
      <c r="F1405" t="s">
        <v>468</v>
      </c>
      <c r="H1405" t="s">
        <v>5061</v>
      </c>
      <c r="J1405" t="s">
        <v>5062</v>
      </c>
      <c r="K1405" t="s">
        <v>253</v>
      </c>
      <c r="L1405" t="s">
        <v>5063</v>
      </c>
      <c r="M1405" t="s">
        <v>5064</v>
      </c>
      <c r="P1405"/>
    </row>
    <row r="1406" spans="1:16" hidden="1" x14ac:dyDescent="0.35">
      <c r="A1406" t="s">
        <v>4570</v>
      </c>
      <c r="B1406" s="3" t="s">
        <v>102</v>
      </c>
      <c r="C1406" s="3"/>
      <c r="D1406" s="3"/>
      <c r="E1406" s="3"/>
      <c r="F1406" t="s">
        <v>468</v>
      </c>
      <c r="H1406" t="s">
        <v>5065</v>
      </c>
      <c r="J1406" t="s">
        <v>5066</v>
      </c>
      <c r="K1406" t="s">
        <v>253</v>
      </c>
      <c r="L1406" t="s">
        <v>5067</v>
      </c>
      <c r="M1406" t="s">
        <v>5068</v>
      </c>
      <c r="P1406"/>
    </row>
    <row r="1407" spans="1:16" hidden="1" x14ac:dyDescent="0.35">
      <c r="A1407" t="s">
        <v>4570</v>
      </c>
      <c r="B1407" s="3" t="s">
        <v>102</v>
      </c>
      <c r="C1407" s="3"/>
      <c r="D1407" s="3"/>
      <c r="E1407" s="3"/>
      <c r="F1407" t="s">
        <v>468</v>
      </c>
      <c r="H1407" t="s">
        <v>5069</v>
      </c>
      <c r="J1407" t="s">
        <v>5070</v>
      </c>
      <c r="K1407" t="s">
        <v>253</v>
      </c>
      <c r="L1407" t="s">
        <v>5071</v>
      </c>
      <c r="M1407" t="s">
        <v>5072</v>
      </c>
      <c r="P1407"/>
    </row>
    <row r="1408" spans="1:16" hidden="1" x14ac:dyDescent="0.35">
      <c r="A1408" t="s">
        <v>4570</v>
      </c>
      <c r="B1408" s="3" t="s">
        <v>102</v>
      </c>
      <c r="C1408" s="3"/>
      <c r="D1408" s="3"/>
      <c r="E1408" s="3"/>
      <c r="F1408" t="s">
        <v>468</v>
      </c>
      <c r="H1408" t="s">
        <v>5073</v>
      </c>
      <c r="J1408" t="s">
        <v>5074</v>
      </c>
      <c r="K1408" t="s">
        <v>4576</v>
      </c>
      <c r="L1408" t="s">
        <v>5075</v>
      </c>
      <c r="M1408" t="s">
        <v>5076</v>
      </c>
      <c r="P1408"/>
    </row>
    <row r="1409" spans="1:16" hidden="1" x14ac:dyDescent="0.35">
      <c r="A1409" t="s">
        <v>4570</v>
      </c>
      <c r="B1409" s="3" t="s">
        <v>102</v>
      </c>
      <c r="C1409" s="3"/>
      <c r="D1409" s="3"/>
      <c r="E1409" s="3"/>
      <c r="F1409" t="s">
        <v>468</v>
      </c>
      <c r="H1409" t="s">
        <v>5077</v>
      </c>
      <c r="J1409" t="s">
        <v>5078</v>
      </c>
      <c r="K1409" t="s">
        <v>5079</v>
      </c>
      <c r="L1409" t="s">
        <v>5080</v>
      </c>
      <c r="M1409" t="s">
        <v>5081</v>
      </c>
      <c r="P1409"/>
    </row>
    <row r="1410" spans="1:16" hidden="1" x14ac:dyDescent="0.35">
      <c r="A1410" t="s">
        <v>4570</v>
      </c>
      <c r="B1410" s="3" t="s">
        <v>102</v>
      </c>
      <c r="C1410" s="3"/>
      <c r="D1410" s="3"/>
      <c r="E1410" s="3"/>
      <c r="F1410" t="s">
        <v>468</v>
      </c>
      <c r="H1410" t="s">
        <v>5082</v>
      </c>
      <c r="J1410" t="s">
        <v>5083</v>
      </c>
      <c r="K1410" t="s">
        <v>253</v>
      </c>
      <c r="L1410" t="s">
        <v>5084</v>
      </c>
      <c r="M1410" t="s">
        <v>5085</v>
      </c>
      <c r="P1410"/>
    </row>
    <row r="1411" spans="1:16" hidden="1" x14ac:dyDescent="0.35">
      <c r="A1411" t="s">
        <v>4570</v>
      </c>
      <c r="B1411" s="3" t="s">
        <v>102</v>
      </c>
      <c r="C1411" s="3"/>
      <c r="D1411" s="3"/>
      <c r="E1411" s="3"/>
      <c r="F1411" t="s">
        <v>468</v>
      </c>
      <c r="H1411" t="s">
        <v>5086</v>
      </c>
      <c r="J1411" t="s">
        <v>5087</v>
      </c>
      <c r="K1411" t="s">
        <v>253</v>
      </c>
      <c r="L1411" t="s">
        <v>5088</v>
      </c>
      <c r="M1411" t="s">
        <v>5089</v>
      </c>
      <c r="P1411"/>
    </row>
    <row r="1412" spans="1:16" hidden="1" x14ac:dyDescent="0.35">
      <c r="A1412" t="s">
        <v>4570</v>
      </c>
      <c r="B1412" s="3" t="s">
        <v>102</v>
      </c>
      <c r="C1412" s="3"/>
      <c r="D1412" s="3"/>
      <c r="E1412" s="3"/>
      <c r="F1412" t="s">
        <v>468</v>
      </c>
      <c r="H1412" t="s">
        <v>5090</v>
      </c>
      <c r="J1412" t="s">
        <v>5091</v>
      </c>
      <c r="K1412" t="s">
        <v>5079</v>
      </c>
      <c r="L1412" t="s">
        <v>5092</v>
      </c>
      <c r="M1412" t="s">
        <v>5093</v>
      </c>
      <c r="P1412"/>
    </row>
    <row r="1413" spans="1:16" hidden="1" x14ac:dyDescent="0.35">
      <c r="A1413" t="s">
        <v>4570</v>
      </c>
      <c r="B1413" s="3" t="s">
        <v>102</v>
      </c>
      <c r="C1413" s="3"/>
      <c r="D1413" s="3"/>
      <c r="E1413" s="3"/>
      <c r="F1413" t="s">
        <v>468</v>
      </c>
      <c r="H1413" t="s">
        <v>5094</v>
      </c>
      <c r="J1413" t="s">
        <v>5095</v>
      </c>
      <c r="K1413" t="s">
        <v>253</v>
      </c>
      <c r="L1413" t="s">
        <v>5096</v>
      </c>
      <c r="M1413" t="s">
        <v>5097</v>
      </c>
      <c r="P1413"/>
    </row>
    <row r="1414" spans="1:16" hidden="1" x14ac:dyDescent="0.35">
      <c r="A1414" t="s">
        <v>4570</v>
      </c>
      <c r="B1414" s="3" t="s">
        <v>102</v>
      </c>
      <c r="C1414" s="3"/>
      <c r="D1414" s="3"/>
      <c r="E1414" s="3"/>
      <c r="F1414" t="s">
        <v>468</v>
      </c>
      <c r="H1414" t="s">
        <v>5098</v>
      </c>
      <c r="J1414" t="s">
        <v>5099</v>
      </c>
      <c r="K1414" t="s">
        <v>5079</v>
      </c>
      <c r="L1414" t="s">
        <v>5100</v>
      </c>
      <c r="M1414" t="s">
        <v>5101</v>
      </c>
      <c r="P1414"/>
    </row>
    <row r="1415" spans="1:16" hidden="1" x14ac:dyDescent="0.35">
      <c r="A1415" t="s">
        <v>4570</v>
      </c>
      <c r="B1415" s="3" t="s">
        <v>102</v>
      </c>
      <c r="C1415" s="3"/>
      <c r="D1415" s="3"/>
      <c r="E1415" s="3"/>
      <c r="F1415" t="s">
        <v>484</v>
      </c>
      <c r="H1415" t="s">
        <v>5102</v>
      </c>
      <c r="J1415" t="s">
        <v>5103</v>
      </c>
      <c r="K1415" t="s">
        <v>253</v>
      </c>
      <c r="P1415"/>
    </row>
    <row r="1416" spans="1:16" hidden="1" x14ac:dyDescent="0.35">
      <c r="A1416" t="s">
        <v>4570</v>
      </c>
      <c r="B1416" s="3" t="s">
        <v>102</v>
      </c>
      <c r="C1416" s="3"/>
      <c r="D1416" s="3"/>
      <c r="E1416" s="3"/>
      <c r="F1416" t="s">
        <v>484</v>
      </c>
      <c r="H1416" t="s">
        <v>5104</v>
      </c>
      <c r="J1416" t="s">
        <v>5105</v>
      </c>
      <c r="L1416" t="s">
        <v>5106</v>
      </c>
      <c r="M1416" t="s">
        <v>5107</v>
      </c>
      <c r="P1416"/>
    </row>
    <row r="1417" spans="1:16" hidden="1" x14ac:dyDescent="0.35">
      <c r="A1417" t="s">
        <v>4570</v>
      </c>
      <c r="B1417" s="3" t="s">
        <v>102</v>
      </c>
      <c r="C1417" s="3"/>
      <c r="D1417" s="3"/>
      <c r="E1417" s="3"/>
      <c r="F1417" t="s">
        <v>484</v>
      </c>
      <c r="H1417" t="s">
        <v>5108</v>
      </c>
      <c r="J1417" t="s">
        <v>5109</v>
      </c>
      <c r="K1417" t="s">
        <v>253</v>
      </c>
      <c r="L1417" t="s">
        <v>5110</v>
      </c>
      <c r="M1417" t="s">
        <v>5111</v>
      </c>
      <c r="P1417"/>
    </row>
    <row r="1418" spans="1:16" hidden="1" x14ac:dyDescent="0.35">
      <c r="A1418" t="s">
        <v>4570</v>
      </c>
      <c r="B1418" s="3" t="s">
        <v>102</v>
      </c>
      <c r="C1418" s="3"/>
      <c r="D1418" s="3"/>
      <c r="E1418" s="3"/>
      <c r="F1418" t="s">
        <v>484</v>
      </c>
      <c r="H1418" t="s">
        <v>5112</v>
      </c>
      <c r="J1418" t="s">
        <v>5113</v>
      </c>
      <c r="K1418" t="s">
        <v>253</v>
      </c>
      <c r="L1418" t="s">
        <v>5114</v>
      </c>
      <c r="M1418" t="s">
        <v>5115</v>
      </c>
      <c r="P1418"/>
    </row>
    <row r="1419" spans="1:16" hidden="1" x14ac:dyDescent="0.35">
      <c r="A1419" t="s">
        <v>4570</v>
      </c>
      <c r="B1419" s="3" t="s">
        <v>102</v>
      </c>
      <c r="C1419" s="3"/>
      <c r="D1419" s="3"/>
      <c r="E1419" s="3"/>
      <c r="F1419" t="s">
        <v>484</v>
      </c>
      <c r="H1419" t="s">
        <v>5116</v>
      </c>
      <c r="J1419" t="s">
        <v>5054</v>
      </c>
      <c r="K1419" t="s">
        <v>253</v>
      </c>
      <c r="L1419" t="s">
        <v>5117</v>
      </c>
      <c r="M1419" t="s">
        <v>5118</v>
      </c>
      <c r="P1419"/>
    </row>
    <row r="1420" spans="1:16" hidden="1" x14ac:dyDescent="0.35">
      <c r="A1420" t="s">
        <v>4570</v>
      </c>
      <c r="B1420" s="3" t="s">
        <v>102</v>
      </c>
      <c r="C1420" s="3"/>
      <c r="D1420" s="3"/>
      <c r="E1420" s="3"/>
      <c r="F1420" t="s">
        <v>484</v>
      </c>
      <c r="H1420" t="s">
        <v>5119</v>
      </c>
      <c r="I1420" t="s">
        <v>5120</v>
      </c>
      <c r="J1420" t="s">
        <v>5058</v>
      </c>
      <c r="K1420" t="s">
        <v>253</v>
      </c>
      <c r="L1420" t="s">
        <v>5121</v>
      </c>
      <c r="M1420" t="s">
        <v>5122</v>
      </c>
      <c r="P1420"/>
    </row>
    <row r="1421" spans="1:16" hidden="1" x14ac:dyDescent="0.35">
      <c r="A1421" t="s">
        <v>4570</v>
      </c>
      <c r="B1421" s="3" t="s">
        <v>102</v>
      </c>
      <c r="C1421" s="3"/>
      <c r="D1421" s="3"/>
      <c r="E1421" s="3"/>
      <c r="F1421" t="s">
        <v>484</v>
      </c>
      <c r="H1421" t="s">
        <v>5123</v>
      </c>
      <c r="I1421" t="s">
        <v>5120</v>
      </c>
      <c r="J1421" t="s">
        <v>5062</v>
      </c>
      <c r="K1421" t="s">
        <v>253</v>
      </c>
      <c r="L1421" t="s">
        <v>5124</v>
      </c>
      <c r="M1421" t="s">
        <v>5125</v>
      </c>
      <c r="P1421"/>
    </row>
    <row r="1422" spans="1:16" hidden="1" x14ac:dyDescent="0.35">
      <c r="A1422" t="s">
        <v>4570</v>
      </c>
      <c r="B1422" s="3" t="s">
        <v>102</v>
      </c>
      <c r="C1422" s="3"/>
      <c r="D1422" s="3"/>
      <c r="E1422" s="3"/>
      <c r="F1422" t="s">
        <v>484</v>
      </c>
      <c r="H1422" t="s">
        <v>5126</v>
      </c>
      <c r="I1422" t="s">
        <v>5120</v>
      </c>
      <c r="J1422" t="s">
        <v>5030</v>
      </c>
      <c r="K1422" t="s">
        <v>253</v>
      </c>
      <c r="L1422" t="s">
        <v>5127</v>
      </c>
      <c r="M1422" t="s">
        <v>5128</v>
      </c>
      <c r="P1422"/>
    </row>
    <row r="1423" spans="1:16" hidden="1" x14ac:dyDescent="0.35">
      <c r="A1423" t="s">
        <v>4570</v>
      </c>
      <c r="B1423" s="3" t="s">
        <v>102</v>
      </c>
      <c r="C1423" s="3"/>
      <c r="D1423" s="3"/>
      <c r="E1423" s="3"/>
      <c r="F1423" t="s">
        <v>484</v>
      </c>
      <c r="H1423" t="s">
        <v>5129</v>
      </c>
      <c r="I1423" t="s">
        <v>5120</v>
      </c>
      <c r="J1423" t="s">
        <v>5034</v>
      </c>
      <c r="K1423" t="s">
        <v>253</v>
      </c>
      <c r="L1423" t="s">
        <v>5130</v>
      </c>
      <c r="M1423" t="s">
        <v>5131</v>
      </c>
      <c r="P1423"/>
    </row>
    <row r="1424" spans="1:16" hidden="1" x14ac:dyDescent="0.35">
      <c r="A1424" t="s">
        <v>4570</v>
      </c>
      <c r="B1424" s="3" t="s">
        <v>102</v>
      </c>
      <c r="C1424" s="3"/>
      <c r="D1424" s="3"/>
      <c r="E1424" s="3"/>
      <c r="F1424" t="s">
        <v>484</v>
      </c>
      <c r="H1424" t="s">
        <v>5132</v>
      </c>
      <c r="I1424" t="s">
        <v>5120</v>
      </c>
      <c r="J1424" t="s">
        <v>5133</v>
      </c>
      <c r="K1424" t="s">
        <v>253</v>
      </c>
      <c r="L1424" t="s">
        <v>5134</v>
      </c>
      <c r="M1424" t="s">
        <v>5135</v>
      </c>
      <c r="P1424"/>
    </row>
    <row r="1425" spans="1:16" hidden="1" x14ac:dyDescent="0.35">
      <c r="A1425" t="s">
        <v>4570</v>
      </c>
      <c r="B1425" s="3" t="s">
        <v>102</v>
      </c>
      <c r="C1425" s="3"/>
      <c r="D1425" s="3"/>
      <c r="E1425" s="3"/>
      <c r="F1425" t="s">
        <v>484</v>
      </c>
      <c r="H1425" t="s">
        <v>5136</v>
      </c>
      <c r="I1425" t="s">
        <v>5120</v>
      </c>
      <c r="J1425" t="s">
        <v>5050</v>
      </c>
      <c r="K1425" t="s">
        <v>253</v>
      </c>
      <c r="L1425" t="s">
        <v>5137</v>
      </c>
      <c r="M1425" t="s">
        <v>5138</v>
      </c>
      <c r="P1425"/>
    </row>
    <row r="1426" spans="1:16" hidden="1" x14ac:dyDescent="0.35">
      <c r="A1426" t="s">
        <v>4570</v>
      </c>
      <c r="B1426" s="3" t="s">
        <v>102</v>
      </c>
      <c r="C1426" s="3"/>
      <c r="D1426" s="3"/>
      <c r="E1426" s="3"/>
      <c r="F1426" t="s">
        <v>484</v>
      </c>
      <c r="H1426" t="s">
        <v>5139</v>
      </c>
      <c r="I1426" t="s">
        <v>5120</v>
      </c>
      <c r="J1426" t="s">
        <v>5066</v>
      </c>
      <c r="K1426" t="s">
        <v>253</v>
      </c>
      <c r="L1426" t="s">
        <v>5140</v>
      </c>
      <c r="M1426" t="s">
        <v>5141</v>
      </c>
      <c r="P1426"/>
    </row>
    <row r="1427" spans="1:16" hidden="1" x14ac:dyDescent="0.35">
      <c r="A1427" t="s">
        <v>4570</v>
      </c>
      <c r="B1427" s="3" t="s">
        <v>102</v>
      </c>
      <c r="C1427" s="3"/>
      <c r="D1427" s="3"/>
      <c r="E1427" s="3"/>
      <c r="F1427" t="s">
        <v>484</v>
      </c>
      <c r="H1427" t="s">
        <v>5142</v>
      </c>
      <c r="I1427" t="s">
        <v>5120</v>
      </c>
      <c r="J1427" t="s">
        <v>5070</v>
      </c>
      <c r="K1427" t="s">
        <v>253</v>
      </c>
      <c r="L1427" t="s">
        <v>5143</v>
      </c>
      <c r="M1427" t="s">
        <v>5144</v>
      </c>
      <c r="P1427"/>
    </row>
    <row r="1428" spans="1:16" hidden="1" x14ac:dyDescent="0.35">
      <c r="A1428" t="s">
        <v>4570</v>
      </c>
      <c r="B1428" s="3" t="s">
        <v>102</v>
      </c>
      <c r="C1428" s="3"/>
      <c r="D1428" s="3"/>
      <c r="E1428" s="3"/>
      <c r="F1428" t="s">
        <v>484</v>
      </c>
      <c r="H1428" t="s">
        <v>5145</v>
      </c>
      <c r="I1428" t="s">
        <v>5120</v>
      </c>
      <c r="J1428" t="s">
        <v>5146</v>
      </c>
      <c r="K1428" t="s">
        <v>253</v>
      </c>
      <c r="L1428" t="s">
        <v>5147</v>
      </c>
      <c r="M1428" t="s">
        <v>5148</v>
      </c>
      <c r="P1428"/>
    </row>
    <row r="1429" spans="1:16" hidden="1" x14ac:dyDescent="0.35">
      <c r="A1429" t="s">
        <v>4570</v>
      </c>
      <c r="B1429" s="3" t="s">
        <v>102</v>
      </c>
      <c r="C1429" s="3"/>
      <c r="D1429" s="3"/>
      <c r="E1429" s="3"/>
      <c r="F1429" t="s">
        <v>484</v>
      </c>
      <c r="H1429" t="s">
        <v>5149</v>
      </c>
      <c r="I1429" t="s">
        <v>5120</v>
      </c>
      <c r="J1429" t="s">
        <v>5150</v>
      </c>
      <c r="K1429" t="s">
        <v>253</v>
      </c>
      <c r="L1429" t="s">
        <v>5151</v>
      </c>
      <c r="M1429" t="s">
        <v>5152</v>
      </c>
      <c r="P1429"/>
    </row>
    <row r="1430" spans="1:16" hidden="1" x14ac:dyDescent="0.35">
      <c r="A1430" t="s">
        <v>4570</v>
      </c>
      <c r="B1430" s="3" t="s">
        <v>102</v>
      </c>
      <c r="C1430" s="3"/>
      <c r="D1430" s="3"/>
      <c r="E1430" s="3"/>
      <c r="F1430" t="s">
        <v>484</v>
      </c>
      <c r="H1430" t="s">
        <v>5153</v>
      </c>
      <c r="I1430" t="s">
        <v>5120</v>
      </c>
      <c r="J1430" t="s">
        <v>5154</v>
      </c>
      <c r="K1430" t="s">
        <v>253</v>
      </c>
      <c r="L1430" t="s">
        <v>5155</v>
      </c>
      <c r="M1430" t="s">
        <v>5156</v>
      </c>
      <c r="P1430"/>
    </row>
    <row r="1431" spans="1:16" hidden="1" x14ac:dyDescent="0.35">
      <c r="A1431" t="s">
        <v>4570</v>
      </c>
      <c r="B1431" s="3" t="s">
        <v>102</v>
      </c>
      <c r="C1431" s="3"/>
      <c r="D1431" s="3"/>
      <c r="E1431" s="3"/>
      <c r="F1431" t="s">
        <v>484</v>
      </c>
      <c r="H1431" t="s">
        <v>5157</v>
      </c>
      <c r="I1431" t="s">
        <v>5158</v>
      </c>
      <c r="J1431" t="s">
        <v>5159</v>
      </c>
      <c r="K1431" t="s">
        <v>253</v>
      </c>
      <c r="L1431" t="s">
        <v>5160</v>
      </c>
      <c r="M1431" t="s">
        <v>5161</v>
      </c>
      <c r="P1431"/>
    </row>
    <row r="1432" spans="1:16" hidden="1" x14ac:dyDescent="0.35">
      <c r="A1432" t="s">
        <v>4570</v>
      </c>
      <c r="B1432" s="3" t="s">
        <v>102</v>
      </c>
      <c r="C1432" s="3"/>
      <c r="D1432" s="3"/>
      <c r="E1432" s="3"/>
      <c r="F1432" t="s">
        <v>484</v>
      </c>
      <c r="H1432" t="s">
        <v>5162</v>
      </c>
      <c r="I1432" t="s">
        <v>5158</v>
      </c>
      <c r="J1432" t="s">
        <v>5163</v>
      </c>
      <c r="K1432" t="s">
        <v>253</v>
      </c>
      <c r="L1432" t="s">
        <v>5164</v>
      </c>
      <c r="M1432" t="s">
        <v>5165</v>
      </c>
      <c r="P1432"/>
    </row>
    <row r="1433" spans="1:16" hidden="1" x14ac:dyDescent="0.35">
      <c r="A1433" t="s">
        <v>4570</v>
      </c>
      <c r="B1433" s="3" t="s">
        <v>102</v>
      </c>
      <c r="C1433" s="3"/>
      <c r="D1433" s="3"/>
      <c r="E1433" s="3"/>
      <c r="F1433" t="s">
        <v>484</v>
      </c>
      <c r="H1433" t="s">
        <v>5166</v>
      </c>
      <c r="I1433" t="s">
        <v>5158</v>
      </c>
      <c r="J1433" t="s">
        <v>5167</v>
      </c>
      <c r="K1433" t="s">
        <v>253</v>
      </c>
      <c r="L1433" t="s">
        <v>5168</v>
      </c>
      <c r="M1433" t="s">
        <v>5169</v>
      </c>
      <c r="P1433"/>
    </row>
    <row r="1434" spans="1:16" hidden="1" x14ac:dyDescent="0.35">
      <c r="A1434" t="s">
        <v>4570</v>
      </c>
      <c r="B1434" s="3" t="s">
        <v>102</v>
      </c>
      <c r="C1434" s="3"/>
      <c r="D1434" s="3"/>
      <c r="E1434" s="3"/>
      <c r="F1434" t="s">
        <v>494</v>
      </c>
      <c r="H1434" t="s">
        <v>5170</v>
      </c>
      <c r="I1434" t="s">
        <v>5158</v>
      </c>
      <c r="J1434" t="s">
        <v>5171</v>
      </c>
      <c r="K1434" t="s">
        <v>253</v>
      </c>
      <c r="L1434" t="s">
        <v>5172</v>
      </c>
      <c r="M1434" t="s">
        <v>5173</v>
      </c>
      <c r="P1434"/>
    </row>
    <row r="1435" spans="1:16" hidden="1" x14ac:dyDescent="0.35">
      <c r="A1435" t="s">
        <v>4570</v>
      </c>
      <c r="B1435" s="3" t="s">
        <v>102</v>
      </c>
      <c r="C1435" s="3"/>
      <c r="D1435" s="3"/>
      <c r="E1435" s="3"/>
      <c r="F1435" t="s">
        <v>494</v>
      </c>
      <c r="H1435" t="s">
        <v>5174</v>
      </c>
      <c r="I1435" t="s">
        <v>5158</v>
      </c>
      <c r="J1435" t="s">
        <v>5175</v>
      </c>
      <c r="K1435" t="s">
        <v>253</v>
      </c>
      <c r="L1435" t="s">
        <v>5176</v>
      </c>
      <c r="M1435" t="s">
        <v>5177</v>
      </c>
      <c r="P1435"/>
    </row>
    <row r="1436" spans="1:16" hidden="1" x14ac:dyDescent="0.35">
      <c r="A1436" t="s">
        <v>4570</v>
      </c>
      <c r="B1436" s="3" t="s">
        <v>102</v>
      </c>
      <c r="C1436" s="3"/>
      <c r="D1436" s="3"/>
      <c r="E1436" s="3"/>
      <c r="F1436" t="s">
        <v>494</v>
      </c>
      <c r="H1436" t="s">
        <v>5178</v>
      </c>
      <c r="I1436" t="s">
        <v>5158</v>
      </c>
      <c r="J1436" t="s">
        <v>5179</v>
      </c>
      <c r="K1436" t="s">
        <v>253</v>
      </c>
      <c r="L1436" t="s">
        <v>5180</v>
      </c>
      <c r="M1436" t="s">
        <v>5181</v>
      </c>
      <c r="P1436"/>
    </row>
    <row r="1437" spans="1:16" hidden="1" x14ac:dyDescent="0.35">
      <c r="A1437" t="s">
        <v>4570</v>
      </c>
      <c r="B1437" s="3" t="s">
        <v>102</v>
      </c>
      <c r="C1437" s="3"/>
      <c r="D1437" s="3"/>
      <c r="E1437" s="3"/>
      <c r="F1437" t="s">
        <v>494</v>
      </c>
      <c r="H1437" t="s">
        <v>5182</v>
      </c>
      <c r="I1437" t="s">
        <v>5158</v>
      </c>
      <c r="J1437" t="s">
        <v>5183</v>
      </c>
      <c r="K1437" t="s">
        <v>253</v>
      </c>
      <c r="L1437" t="s">
        <v>5184</v>
      </c>
      <c r="M1437" t="s">
        <v>5185</v>
      </c>
      <c r="P1437"/>
    </row>
    <row r="1438" spans="1:16" hidden="1" x14ac:dyDescent="0.35">
      <c r="A1438" t="s">
        <v>4570</v>
      </c>
      <c r="B1438" s="3" t="s">
        <v>102</v>
      </c>
      <c r="C1438" s="3"/>
      <c r="D1438" s="3"/>
      <c r="E1438" s="3"/>
      <c r="F1438" t="s">
        <v>494</v>
      </c>
      <c r="H1438" t="s">
        <v>5186</v>
      </c>
      <c r="J1438" t="s">
        <v>5171</v>
      </c>
      <c r="K1438" t="s">
        <v>253</v>
      </c>
      <c r="L1438" t="s">
        <v>5187</v>
      </c>
      <c r="M1438" t="s">
        <v>5188</v>
      </c>
      <c r="P1438"/>
    </row>
    <row r="1439" spans="1:16" hidden="1" x14ac:dyDescent="0.35">
      <c r="A1439" t="s">
        <v>4570</v>
      </c>
      <c r="B1439" s="3" t="s">
        <v>102</v>
      </c>
      <c r="C1439" s="3"/>
      <c r="D1439" s="3"/>
      <c r="E1439" s="3"/>
      <c r="F1439" t="s">
        <v>494</v>
      </c>
      <c r="H1439" t="s">
        <v>5189</v>
      </c>
      <c r="J1439" t="s">
        <v>5190</v>
      </c>
      <c r="K1439" t="s">
        <v>253</v>
      </c>
      <c r="L1439" t="s">
        <v>5191</v>
      </c>
      <c r="M1439" t="s">
        <v>5192</v>
      </c>
      <c r="P1439"/>
    </row>
    <row r="1440" spans="1:16" hidden="1" x14ac:dyDescent="0.35">
      <c r="A1440" t="s">
        <v>4570</v>
      </c>
      <c r="B1440" s="3" t="s">
        <v>102</v>
      </c>
      <c r="C1440" s="3"/>
      <c r="D1440" s="3"/>
      <c r="E1440" s="3"/>
      <c r="F1440" t="s">
        <v>494</v>
      </c>
      <c r="H1440" t="s">
        <v>5193</v>
      </c>
      <c r="J1440" t="s">
        <v>5194</v>
      </c>
      <c r="K1440" t="s">
        <v>253</v>
      </c>
      <c r="L1440" t="s">
        <v>5195</v>
      </c>
      <c r="M1440" t="s">
        <v>5196</v>
      </c>
      <c r="P1440"/>
    </row>
    <row r="1441" spans="1:16" hidden="1" x14ac:dyDescent="0.35">
      <c r="A1441" t="s">
        <v>4570</v>
      </c>
      <c r="B1441" s="3" t="s">
        <v>102</v>
      </c>
      <c r="C1441" s="3"/>
      <c r="D1441" s="3"/>
      <c r="E1441" s="3"/>
      <c r="F1441" t="s">
        <v>494</v>
      </c>
      <c r="H1441" t="s">
        <v>5197</v>
      </c>
      <c r="J1441" t="s">
        <v>5198</v>
      </c>
      <c r="K1441" t="s">
        <v>253</v>
      </c>
      <c r="L1441" t="s">
        <v>5199</v>
      </c>
      <c r="M1441" t="s">
        <v>5200</v>
      </c>
      <c r="P1441"/>
    </row>
    <row r="1442" spans="1:16" hidden="1" x14ac:dyDescent="0.35">
      <c r="A1442" t="s">
        <v>4570</v>
      </c>
      <c r="B1442" s="3" t="s">
        <v>102</v>
      </c>
      <c r="C1442" s="3"/>
      <c r="D1442" s="3"/>
      <c r="E1442" s="3"/>
      <c r="F1442" t="s">
        <v>494</v>
      </c>
      <c r="H1442" t="s">
        <v>5201</v>
      </c>
      <c r="J1442" t="s">
        <v>5202</v>
      </c>
      <c r="K1442" t="s">
        <v>253</v>
      </c>
      <c r="L1442" t="s">
        <v>5203</v>
      </c>
      <c r="M1442" t="s">
        <v>5204</v>
      </c>
      <c r="P1442"/>
    </row>
    <row r="1443" spans="1:16" hidden="1" x14ac:dyDescent="0.35">
      <c r="A1443" t="s">
        <v>4570</v>
      </c>
      <c r="B1443" s="3" t="s">
        <v>102</v>
      </c>
      <c r="C1443" s="3"/>
      <c r="D1443" s="3"/>
      <c r="E1443" s="3"/>
      <c r="F1443" t="s">
        <v>494</v>
      </c>
      <c r="H1443" t="s">
        <v>5205</v>
      </c>
      <c r="J1443" t="s">
        <v>5206</v>
      </c>
      <c r="K1443" t="s">
        <v>253</v>
      </c>
      <c r="L1443" t="s">
        <v>5207</v>
      </c>
      <c r="M1443" t="s">
        <v>5208</v>
      </c>
      <c r="P1443"/>
    </row>
    <row r="1444" spans="1:16" hidden="1" x14ac:dyDescent="0.35">
      <c r="A1444" t="s">
        <v>4570</v>
      </c>
      <c r="B1444" s="3" t="s">
        <v>102</v>
      </c>
      <c r="C1444" s="3"/>
      <c r="D1444" s="3"/>
      <c r="E1444" s="3"/>
      <c r="F1444" t="s">
        <v>494</v>
      </c>
      <c r="H1444" t="s">
        <v>5209</v>
      </c>
      <c r="I1444" s="3" t="s">
        <v>5210</v>
      </c>
      <c r="J1444" t="s">
        <v>5211</v>
      </c>
      <c r="K1444" t="s">
        <v>253</v>
      </c>
      <c r="L1444" t="s">
        <v>5212</v>
      </c>
      <c r="M1444" t="s">
        <v>5213</v>
      </c>
      <c r="P1444"/>
    </row>
    <row r="1445" spans="1:16" hidden="1" x14ac:dyDescent="0.35">
      <c r="A1445" t="s">
        <v>4570</v>
      </c>
      <c r="B1445" s="3" t="s">
        <v>102</v>
      </c>
      <c r="C1445" s="3"/>
      <c r="D1445" s="3"/>
      <c r="E1445" s="3"/>
      <c r="F1445" t="s">
        <v>494</v>
      </c>
      <c r="H1445" t="s">
        <v>5214</v>
      </c>
      <c r="I1445" s="3" t="s">
        <v>5210</v>
      </c>
      <c r="J1445" t="s">
        <v>5215</v>
      </c>
      <c r="K1445" t="s">
        <v>253</v>
      </c>
      <c r="L1445" t="s">
        <v>5216</v>
      </c>
      <c r="M1445" t="s">
        <v>5217</v>
      </c>
      <c r="P1445"/>
    </row>
    <row r="1446" spans="1:16" hidden="1" x14ac:dyDescent="0.35">
      <c r="A1446" t="s">
        <v>4570</v>
      </c>
      <c r="B1446" s="3" t="s">
        <v>102</v>
      </c>
      <c r="C1446" s="3"/>
      <c r="D1446" s="3"/>
      <c r="E1446" s="3"/>
      <c r="F1446" t="s">
        <v>494</v>
      </c>
      <c r="H1446" t="s">
        <v>5218</v>
      </c>
      <c r="I1446" s="3" t="s">
        <v>5210</v>
      </c>
      <c r="J1446" t="s">
        <v>5219</v>
      </c>
      <c r="K1446" t="s">
        <v>253</v>
      </c>
      <c r="L1446" t="s">
        <v>5220</v>
      </c>
      <c r="M1446" t="s">
        <v>5221</v>
      </c>
      <c r="P1446"/>
    </row>
    <row r="1447" spans="1:16" hidden="1" x14ac:dyDescent="0.35">
      <c r="A1447" t="s">
        <v>4570</v>
      </c>
      <c r="B1447" s="3" t="s">
        <v>102</v>
      </c>
      <c r="C1447" s="3"/>
      <c r="D1447" s="3"/>
      <c r="E1447" s="3"/>
      <c r="F1447" t="s">
        <v>494</v>
      </c>
      <c r="H1447" t="s">
        <v>5222</v>
      </c>
      <c r="I1447" s="3" t="s">
        <v>5223</v>
      </c>
      <c r="J1447" t="s">
        <v>5224</v>
      </c>
      <c r="K1447" t="s">
        <v>253</v>
      </c>
      <c r="L1447" t="s">
        <v>5225</v>
      </c>
      <c r="M1447" t="s">
        <v>5226</v>
      </c>
      <c r="P1447"/>
    </row>
    <row r="1448" spans="1:16" hidden="1" x14ac:dyDescent="0.35">
      <c r="A1448" t="s">
        <v>4570</v>
      </c>
      <c r="B1448" s="3" t="s">
        <v>102</v>
      </c>
      <c r="C1448" s="3"/>
      <c r="D1448" s="3"/>
      <c r="E1448" s="3"/>
      <c r="F1448" t="s">
        <v>494</v>
      </c>
      <c r="H1448" t="s">
        <v>5227</v>
      </c>
      <c r="I1448" s="3" t="s">
        <v>5223</v>
      </c>
      <c r="J1448" t="s">
        <v>5228</v>
      </c>
      <c r="K1448" t="s">
        <v>253</v>
      </c>
      <c r="L1448" t="s">
        <v>5229</v>
      </c>
      <c r="M1448" t="s">
        <v>5230</v>
      </c>
      <c r="P1448"/>
    </row>
    <row r="1449" spans="1:16" hidden="1" x14ac:dyDescent="0.35">
      <c r="A1449" t="s">
        <v>4570</v>
      </c>
      <c r="B1449" s="3" t="s">
        <v>102</v>
      </c>
      <c r="C1449" s="3"/>
      <c r="D1449" s="3"/>
      <c r="E1449" s="3"/>
      <c r="F1449" t="s">
        <v>494</v>
      </c>
      <c r="H1449" t="s">
        <v>5231</v>
      </c>
      <c r="I1449" s="3" t="s">
        <v>5223</v>
      </c>
      <c r="J1449" t="s">
        <v>5232</v>
      </c>
      <c r="K1449" t="s">
        <v>253</v>
      </c>
      <c r="L1449" t="s">
        <v>5233</v>
      </c>
      <c r="M1449" t="s">
        <v>5234</v>
      </c>
      <c r="P1449"/>
    </row>
    <row r="1450" spans="1:16" ht="29" hidden="1" x14ac:dyDescent="0.35">
      <c r="A1450" t="s">
        <v>4570</v>
      </c>
      <c r="B1450" s="3" t="s">
        <v>102</v>
      </c>
      <c r="C1450" s="3"/>
      <c r="D1450" s="3"/>
      <c r="E1450" s="3"/>
      <c r="F1450" t="s">
        <v>494</v>
      </c>
      <c r="H1450" t="s">
        <v>5235</v>
      </c>
      <c r="I1450" s="3" t="s">
        <v>5236</v>
      </c>
      <c r="J1450" t="s">
        <v>5237</v>
      </c>
      <c r="K1450" t="s">
        <v>253</v>
      </c>
      <c r="L1450" t="s">
        <v>5238</v>
      </c>
      <c r="M1450" t="s">
        <v>5239</v>
      </c>
      <c r="P1450"/>
    </row>
    <row r="1451" spans="1:16" ht="29" hidden="1" x14ac:dyDescent="0.35">
      <c r="A1451" t="s">
        <v>4570</v>
      </c>
      <c r="B1451" s="3" t="s">
        <v>102</v>
      </c>
      <c r="C1451" s="3"/>
      <c r="D1451" s="3"/>
      <c r="E1451" s="3"/>
      <c r="F1451" t="s">
        <v>494</v>
      </c>
      <c r="H1451" t="s">
        <v>5240</v>
      </c>
      <c r="I1451" s="3" t="s">
        <v>5236</v>
      </c>
      <c r="J1451" t="s">
        <v>5241</v>
      </c>
      <c r="K1451" t="s">
        <v>253</v>
      </c>
      <c r="L1451" t="s">
        <v>5242</v>
      </c>
      <c r="M1451" t="s">
        <v>5243</v>
      </c>
      <c r="P1451"/>
    </row>
    <row r="1452" spans="1:16" ht="29" hidden="1" x14ac:dyDescent="0.35">
      <c r="A1452" t="s">
        <v>4570</v>
      </c>
      <c r="B1452" s="3" t="s">
        <v>102</v>
      </c>
      <c r="C1452" s="3"/>
      <c r="D1452" s="3"/>
      <c r="E1452" s="3"/>
      <c r="F1452" t="s">
        <v>494</v>
      </c>
      <c r="H1452" t="s">
        <v>5244</v>
      </c>
      <c r="I1452" s="3" t="s">
        <v>5236</v>
      </c>
      <c r="J1452" t="s">
        <v>5245</v>
      </c>
      <c r="K1452" t="s">
        <v>253</v>
      </c>
      <c r="L1452" t="s">
        <v>5246</v>
      </c>
      <c r="M1452" t="s">
        <v>5247</v>
      </c>
      <c r="P1452"/>
    </row>
    <row r="1453" spans="1:16" ht="58" hidden="1" x14ac:dyDescent="0.35">
      <c r="A1453" t="s">
        <v>4570</v>
      </c>
      <c r="B1453" s="3" t="s">
        <v>102</v>
      </c>
      <c r="C1453" s="3"/>
      <c r="D1453" s="3"/>
      <c r="E1453" s="3"/>
      <c r="F1453" t="s">
        <v>494</v>
      </c>
      <c r="H1453" t="s">
        <v>5248</v>
      </c>
      <c r="I1453" s="3" t="s">
        <v>5249</v>
      </c>
      <c r="J1453" t="s">
        <v>5250</v>
      </c>
      <c r="K1453" t="s">
        <v>253</v>
      </c>
      <c r="L1453" t="s">
        <v>5251</v>
      </c>
      <c r="M1453" t="s">
        <v>5252</v>
      </c>
      <c r="P1453"/>
    </row>
    <row r="1454" spans="1:16" ht="58" hidden="1" x14ac:dyDescent="0.35">
      <c r="A1454" t="s">
        <v>4570</v>
      </c>
      <c r="B1454" s="3" t="s">
        <v>102</v>
      </c>
      <c r="C1454" s="3"/>
      <c r="D1454" s="3"/>
      <c r="E1454" s="3"/>
      <c r="F1454" t="s">
        <v>494</v>
      </c>
      <c r="H1454" t="s">
        <v>5253</v>
      </c>
      <c r="I1454" s="3" t="s">
        <v>5249</v>
      </c>
      <c r="J1454" t="s">
        <v>5254</v>
      </c>
      <c r="K1454" t="s">
        <v>253</v>
      </c>
      <c r="L1454" t="s">
        <v>5255</v>
      </c>
      <c r="M1454" t="s">
        <v>5256</v>
      </c>
      <c r="P1454"/>
    </row>
    <row r="1455" spans="1:16" ht="58" hidden="1" x14ac:dyDescent="0.35">
      <c r="A1455" t="s">
        <v>4570</v>
      </c>
      <c r="B1455" s="3" t="s">
        <v>102</v>
      </c>
      <c r="C1455" s="3"/>
      <c r="D1455" s="3"/>
      <c r="E1455" s="3"/>
      <c r="F1455" t="s">
        <v>494</v>
      </c>
      <c r="H1455" t="s">
        <v>5257</v>
      </c>
      <c r="I1455" s="3" t="s">
        <v>5249</v>
      </c>
      <c r="J1455" t="s">
        <v>5258</v>
      </c>
      <c r="K1455" t="s">
        <v>2494</v>
      </c>
      <c r="L1455" t="s">
        <v>5259</v>
      </c>
      <c r="M1455" t="s">
        <v>5260</v>
      </c>
      <c r="P1455"/>
    </row>
    <row r="1456" spans="1:16" ht="29" hidden="1" x14ac:dyDescent="0.35">
      <c r="A1456" t="s">
        <v>4570</v>
      </c>
      <c r="B1456" s="3" t="s">
        <v>102</v>
      </c>
      <c r="C1456" s="3"/>
      <c r="D1456" s="3"/>
      <c r="E1456" s="3"/>
      <c r="F1456" t="s">
        <v>494</v>
      </c>
      <c r="H1456" t="s">
        <v>5261</v>
      </c>
      <c r="I1456" s="3" t="s">
        <v>5262</v>
      </c>
      <c r="J1456" t="s">
        <v>5263</v>
      </c>
      <c r="K1456" t="s">
        <v>2494</v>
      </c>
      <c r="L1456" t="s">
        <v>5264</v>
      </c>
      <c r="M1456" t="s">
        <v>5265</v>
      </c>
      <c r="P1456"/>
    </row>
    <row r="1457" spans="1:16" ht="29" hidden="1" x14ac:dyDescent="0.35">
      <c r="A1457" t="s">
        <v>4570</v>
      </c>
      <c r="B1457" s="3" t="s">
        <v>102</v>
      </c>
      <c r="C1457" s="3"/>
      <c r="D1457" s="3"/>
      <c r="E1457" s="3"/>
      <c r="F1457" t="s">
        <v>502</v>
      </c>
      <c r="H1457" t="s">
        <v>5266</v>
      </c>
      <c r="I1457" s="3" t="s">
        <v>5262</v>
      </c>
      <c r="J1457" t="s">
        <v>5267</v>
      </c>
      <c r="K1457" t="s">
        <v>253</v>
      </c>
      <c r="L1457" t="s">
        <v>5268</v>
      </c>
      <c r="M1457" t="s">
        <v>5269</v>
      </c>
      <c r="P1457"/>
    </row>
    <row r="1458" spans="1:16" ht="29" hidden="1" x14ac:dyDescent="0.35">
      <c r="A1458" t="s">
        <v>4570</v>
      </c>
      <c r="B1458" s="3" t="s">
        <v>102</v>
      </c>
      <c r="C1458" s="3"/>
      <c r="D1458" s="3"/>
      <c r="E1458" s="3"/>
      <c r="F1458" t="s">
        <v>502</v>
      </c>
      <c r="H1458" t="s">
        <v>5270</v>
      </c>
      <c r="I1458" s="3" t="s">
        <v>5262</v>
      </c>
      <c r="J1458" t="s">
        <v>5271</v>
      </c>
      <c r="K1458" t="s">
        <v>253</v>
      </c>
      <c r="L1458" t="s">
        <v>5272</v>
      </c>
      <c r="M1458" t="s">
        <v>5273</v>
      </c>
      <c r="P1458"/>
    </row>
    <row r="1459" spans="1:16" hidden="1" x14ac:dyDescent="0.35">
      <c r="A1459" t="s">
        <v>4570</v>
      </c>
      <c r="B1459" s="3" t="s">
        <v>102</v>
      </c>
      <c r="C1459" s="3"/>
      <c r="D1459" s="3"/>
      <c r="E1459" s="3"/>
      <c r="F1459" t="s">
        <v>502</v>
      </c>
      <c r="H1459" t="s">
        <v>5274</v>
      </c>
      <c r="I1459" s="3" t="s">
        <v>5275</v>
      </c>
      <c r="J1459" t="s">
        <v>5276</v>
      </c>
      <c r="K1459" t="s">
        <v>253</v>
      </c>
      <c r="L1459" t="s">
        <v>5277</v>
      </c>
      <c r="M1459" t="s">
        <v>5278</v>
      </c>
      <c r="P1459"/>
    </row>
    <row r="1460" spans="1:16" ht="29" hidden="1" x14ac:dyDescent="0.35">
      <c r="A1460" t="s">
        <v>4570</v>
      </c>
      <c r="B1460" s="3" t="s">
        <v>102</v>
      </c>
      <c r="C1460" s="3"/>
      <c r="D1460" s="3"/>
      <c r="E1460" s="3"/>
      <c r="F1460" t="s">
        <v>502</v>
      </c>
      <c r="H1460" t="s">
        <v>5279</v>
      </c>
      <c r="I1460" s="3" t="s">
        <v>5280</v>
      </c>
      <c r="J1460" t="s">
        <v>5281</v>
      </c>
      <c r="P1460"/>
    </row>
    <row r="1461" spans="1:16" ht="29" hidden="1" x14ac:dyDescent="0.35">
      <c r="A1461" t="s">
        <v>4570</v>
      </c>
      <c r="B1461" s="3" t="s">
        <v>102</v>
      </c>
      <c r="C1461" s="3"/>
      <c r="D1461" s="3"/>
      <c r="E1461" s="3"/>
      <c r="F1461" t="s">
        <v>502</v>
      </c>
      <c r="H1461" t="s">
        <v>5282</v>
      </c>
      <c r="I1461" s="3" t="s">
        <v>5280</v>
      </c>
      <c r="J1461" t="s">
        <v>5283</v>
      </c>
      <c r="K1461" t="s">
        <v>263</v>
      </c>
      <c r="L1461" t="s">
        <v>5284</v>
      </c>
      <c r="M1461" t="s">
        <v>5285</v>
      </c>
      <c r="P1461"/>
    </row>
    <row r="1462" spans="1:16" ht="29" hidden="1" x14ac:dyDescent="0.35">
      <c r="A1462" t="s">
        <v>4570</v>
      </c>
      <c r="B1462" s="3" t="s">
        <v>102</v>
      </c>
      <c r="C1462" s="3"/>
      <c r="D1462" s="3"/>
      <c r="E1462" s="3"/>
      <c r="F1462" t="s">
        <v>502</v>
      </c>
      <c r="H1462" t="s">
        <v>5286</v>
      </c>
      <c r="I1462" s="3" t="s">
        <v>5280</v>
      </c>
      <c r="J1462" t="s">
        <v>5287</v>
      </c>
      <c r="K1462" t="s">
        <v>241</v>
      </c>
      <c r="L1462" t="s">
        <v>5288</v>
      </c>
      <c r="M1462" t="s">
        <v>5289</v>
      </c>
      <c r="P1462"/>
    </row>
    <row r="1463" spans="1:16" ht="43.5" hidden="1" x14ac:dyDescent="0.35">
      <c r="A1463" t="s">
        <v>4570</v>
      </c>
      <c r="B1463" s="3" t="s">
        <v>102</v>
      </c>
      <c r="C1463" s="3"/>
      <c r="D1463" s="3"/>
      <c r="E1463" s="3"/>
      <c r="F1463" t="s">
        <v>502</v>
      </c>
      <c r="H1463" t="s">
        <v>5290</v>
      </c>
      <c r="I1463" s="3" t="s">
        <v>5291</v>
      </c>
      <c r="J1463" t="s">
        <v>5292</v>
      </c>
      <c r="K1463" t="s">
        <v>253</v>
      </c>
      <c r="L1463" t="s">
        <v>5293</v>
      </c>
      <c r="M1463" t="s">
        <v>5294</v>
      </c>
      <c r="P1463"/>
    </row>
    <row r="1464" spans="1:16" ht="43.5" hidden="1" x14ac:dyDescent="0.35">
      <c r="A1464" t="s">
        <v>4570</v>
      </c>
      <c r="B1464" s="3" t="s">
        <v>102</v>
      </c>
      <c r="C1464" s="3"/>
      <c r="D1464" s="3"/>
      <c r="E1464" s="3"/>
      <c r="F1464" t="s">
        <v>502</v>
      </c>
      <c r="H1464" t="s">
        <v>5295</v>
      </c>
      <c r="I1464" s="3" t="s">
        <v>5291</v>
      </c>
      <c r="J1464" t="s">
        <v>5271</v>
      </c>
      <c r="K1464" t="s">
        <v>253</v>
      </c>
      <c r="L1464" t="s">
        <v>5296</v>
      </c>
      <c r="M1464" t="s">
        <v>5297</v>
      </c>
      <c r="P1464"/>
    </row>
    <row r="1465" spans="1:16" ht="43.5" hidden="1" x14ac:dyDescent="0.35">
      <c r="A1465" t="s">
        <v>4570</v>
      </c>
      <c r="B1465" s="3" t="s">
        <v>102</v>
      </c>
      <c r="C1465" s="3"/>
      <c r="D1465" s="3"/>
      <c r="E1465" s="3"/>
      <c r="F1465" t="s">
        <v>502</v>
      </c>
      <c r="H1465" t="s">
        <v>5298</v>
      </c>
      <c r="I1465" s="3" t="s">
        <v>5291</v>
      </c>
      <c r="J1465" t="s">
        <v>5276</v>
      </c>
      <c r="K1465" t="s">
        <v>253</v>
      </c>
      <c r="L1465" t="s">
        <v>5299</v>
      </c>
      <c r="M1465" t="s">
        <v>5300</v>
      </c>
      <c r="P1465"/>
    </row>
    <row r="1466" spans="1:16" ht="43.5" hidden="1" x14ac:dyDescent="0.35">
      <c r="A1466" t="s">
        <v>4570</v>
      </c>
      <c r="B1466" s="3" t="s">
        <v>102</v>
      </c>
      <c r="C1466" s="3"/>
      <c r="D1466" s="3"/>
      <c r="E1466" s="3"/>
      <c r="F1466" t="s">
        <v>502</v>
      </c>
      <c r="H1466" t="s">
        <v>5301</v>
      </c>
      <c r="I1466" s="3" t="s">
        <v>5302</v>
      </c>
      <c r="J1466" t="s">
        <v>5303</v>
      </c>
      <c r="P1466"/>
    </row>
    <row r="1467" spans="1:16" ht="43.5" hidden="1" x14ac:dyDescent="0.35">
      <c r="A1467" t="s">
        <v>4570</v>
      </c>
      <c r="B1467" s="3" t="s">
        <v>102</v>
      </c>
      <c r="C1467" s="3"/>
      <c r="D1467" s="3"/>
      <c r="E1467" s="3"/>
      <c r="F1467" t="s">
        <v>502</v>
      </c>
      <c r="H1467" t="s">
        <v>5304</v>
      </c>
      <c r="I1467" s="3" t="s">
        <v>5302</v>
      </c>
      <c r="J1467" t="s">
        <v>5283</v>
      </c>
      <c r="K1467" t="s">
        <v>263</v>
      </c>
      <c r="L1467" t="s">
        <v>5305</v>
      </c>
      <c r="M1467" t="s">
        <v>5306</v>
      </c>
      <c r="P1467"/>
    </row>
    <row r="1468" spans="1:16" ht="29" hidden="1" x14ac:dyDescent="0.35">
      <c r="A1468" t="s">
        <v>4570</v>
      </c>
      <c r="B1468" s="3" t="s">
        <v>102</v>
      </c>
      <c r="C1468" s="3"/>
      <c r="D1468" s="3"/>
      <c r="E1468" s="3"/>
      <c r="F1468" t="s">
        <v>502</v>
      </c>
      <c r="H1468" t="s">
        <v>5307</v>
      </c>
      <c r="I1468" s="3" t="s">
        <v>5308</v>
      </c>
      <c r="J1468" t="s">
        <v>5287</v>
      </c>
      <c r="K1468" t="s">
        <v>241</v>
      </c>
      <c r="L1468" t="s">
        <v>5309</v>
      </c>
      <c r="M1468" t="s">
        <v>5310</v>
      </c>
      <c r="P1468"/>
    </row>
    <row r="1469" spans="1:16" ht="29" hidden="1" x14ac:dyDescent="0.35">
      <c r="A1469" t="s">
        <v>4570</v>
      </c>
      <c r="B1469" s="3" t="s">
        <v>102</v>
      </c>
      <c r="C1469" s="3"/>
      <c r="D1469" s="3"/>
      <c r="E1469" s="3"/>
      <c r="F1469" t="s">
        <v>502</v>
      </c>
      <c r="H1469" t="s">
        <v>5311</v>
      </c>
      <c r="I1469" s="3" t="s">
        <v>5308</v>
      </c>
      <c r="J1469" t="s">
        <v>5312</v>
      </c>
      <c r="K1469" t="s">
        <v>253</v>
      </c>
      <c r="L1469" t="s">
        <v>5313</v>
      </c>
      <c r="M1469" t="s">
        <v>5314</v>
      </c>
      <c r="P1469"/>
    </row>
    <row r="1470" spans="1:16" ht="29" hidden="1" x14ac:dyDescent="0.35">
      <c r="A1470" t="s">
        <v>4570</v>
      </c>
      <c r="B1470" s="3" t="s">
        <v>102</v>
      </c>
      <c r="C1470" s="3"/>
      <c r="D1470" s="3"/>
      <c r="E1470" s="3"/>
      <c r="F1470" t="s">
        <v>502</v>
      </c>
      <c r="H1470" t="s">
        <v>5315</v>
      </c>
      <c r="I1470" s="3" t="s">
        <v>5308</v>
      </c>
      <c r="J1470" t="s">
        <v>5316</v>
      </c>
      <c r="K1470" t="s">
        <v>253</v>
      </c>
      <c r="L1470" t="s">
        <v>5317</v>
      </c>
      <c r="M1470" t="s">
        <v>5318</v>
      </c>
      <c r="P1470"/>
    </row>
    <row r="1471" spans="1:16" ht="29" hidden="1" x14ac:dyDescent="0.35">
      <c r="A1471" t="s">
        <v>4570</v>
      </c>
      <c r="B1471" s="3" t="s">
        <v>102</v>
      </c>
      <c r="C1471" s="3"/>
      <c r="D1471" s="3"/>
      <c r="E1471" s="3"/>
      <c r="F1471" t="s">
        <v>502</v>
      </c>
      <c r="H1471" t="s">
        <v>5319</v>
      </c>
      <c r="I1471" s="3" t="s">
        <v>5308</v>
      </c>
      <c r="J1471" t="s">
        <v>5320</v>
      </c>
      <c r="K1471" t="s">
        <v>253</v>
      </c>
      <c r="L1471" t="s">
        <v>5321</v>
      </c>
      <c r="M1471" t="s">
        <v>5322</v>
      </c>
      <c r="P1471"/>
    </row>
    <row r="1472" spans="1:16" hidden="1" x14ac:dyDescent="0.35">
      <c r="A1472" t="s">
        <v>4570</v>
      </c>
      <c r="B1472" s="3" t="s">
        <v>102</v>
      </c>
      <c r="C1472" s="3"/>
      <c r="D1472" s="3"/>
      <c r="E1472" s="3"/>
      <c r="F1472" t="s">
        <v>502</v>
      </c>
      <c r="H1472" t="s">
        <v>5323</v>
      </c>
      <c r="I1472" s="3" t="s">
        <v>574</v>
      </c>
      <c r="J1472" t="s">
        <v>5324</v>
      </c>
      <c r="K1472" t="s">
        <v>253</v>
      </c>
      <c r="L1472" t="s">
        <v>5325</v>
      </c>
      <c r="M1472" t="s">
        <v>5326</v>
      </c>
      <c r="P1472"/>
    </row>
    <row r="1473" spans="1:16" hidden="1" x14ac:dyDescent="0.35">
      <c r="A1473" t="s">
        <v>4570</v>
      </c>
      <c r="B1473" s="3" t="s">
        <v>102</v>
      </c>
      <c r="C1473" s="3"/>
      <c r="D1473" s="3"/>
      <c r="E1473" s="3"/>
      <c r="F1473" t="s">
        <v>502</v>
      </c>
      <c r="H1473" t="s">
        <v>5327</v>
      </c>
      <c r="I1473" s="3" t="s">
        <v>574</v>
      </c>
      <c r="J1473" t="s">
        <v>5328</v>
      </c>
      <c r="K1473" t="s">
        <v>253</v>
      </c>
      <c r="L1473" t="s">
        <v>5329</v>
      </c>
      <c r="M1473" t="s">
        <v>5330</v>
      </c>
      <c r="P1473"/>
    </row>
    <row r="1474" spans="1:16" hidden="1" x14ac:dyDescent="0.35">
      <c r="A1474" t="s">
        <v>4570</v>
      </c>
      <c r="B1474" s="3" t="s">
        <v>102</v>
      </c>
      <c r="C1474" s="3"/>
      <c r="D1474" s="3"/>
      <c r="E1474" s="3"/>
      <c r="F1474" t="s">
        <v>502</v>
      </c>
      <c r="H1474" t="s">
        <v>5331</v>
      </c>
      <c r="I1474" s="3" t="s">
        <v>574</v>
      </c>
      <c r="J1474" t="s">
        <v>5332</v>
      </c>
      <c r="K1474" t="s">
        <v>253</v>
      </c>
      <c r="L1474" t="s">
        <v>5333</v>
      </c>
      <c r="M1474" t="s">
        <v>5334</v>
      </c>
      <c r="P1474"/>
    </row>
    <row r="1475" spans="1:16" hidden="1" x14ac:dyDescent="0.35">
      <c r="A1475" t="s">
        <v>4570</v>
      </c>
      <c r="B1475" s="3" t="s">
        <v>102</v>
      </c>
      <c r="C1475" s="3"/>
      <c r="D1475" s="3"/>
      <c r="E1475" s="3"/>
      <c r="F1475" t="s">
        <v>502</v>
      </c>
      <c r="H1475" t="s">
        <v>5335</v>
      </c>
      <c r="I1475" s="3" t="s">
        <v>574</v>
      </c>
      <c r="J1475" t="s">
        <v>5336</v>
      </c>
      <c r="K1475" t="s">
        <v>253</v>
      </c>
      <c r="L1475" t="s">
        <v>5337</v>
      </c>
      <c r="M1475" t="s">
        <v>5338</v>
      </c>
      <c r="P1475"/>
    </row>
    <row r="1476" spans="1:16" hidden="1" x14ac:dyDescent="0.35">
      <c r="A1476" t="s">
        <v>4570</v>
      </c>
      <c r="B1476" s="3" t="s">
        <v>102</v>
      </c>
      <c r="C1476" s="3"/>
      <c r="D1476" s="3"/>
      <c r="E1476" s="3"/>
      <c r="F1476" t="s">
        <v>502</v>
      </c>
      <c r="H1476" t="s">
        <v>5339</v>
      </c>
      <c r="I1476" s="3" t="s">
        <v>574</v>
      </c>
      <c r="J1476" t="s">
        <v>5340</v>
      </c>
      <c r="K1476" t="s">
        <v>253</v>
      </c>
      <c r="L1476" t="s">
        <v>5341</v>
      </c>
      <c r="M1476" t="s">
        <v>5342</v>
      </c>
      <c r="P1476"/>
    </row>
    <row r="1477" spans="1:16" hidden="1" x14ac:dyDescent="0.35">
      <c r="A1477" t="s">
        <v>4570</v>
      </c>
      <c r="B1477" s="3" t="s">
        <v>102</v>
      </c>
      <c r="C1477" s="3"/>
      <c r="D1477" s="3"/>
      <c r="E1477" s="3"/>
      <c r="F1477" t="s">
        <v>502</v>
      </c>
      <c r="H1477" t="s">
        <v>5343</v>
      </c>
      <c r="I1477" s="3" t="s">
        <v>5344</v>
      </c>
      <c r="J1477" t="s">
        <v>5345</v>
      </c>
      <c r="K1477" t="s">
        <v>248</v>
      </c>
      <c r="L1477" t="s">
        <v>5346</v>
      </c>
      <c r="M1477" t="s">
        <v>5347</v>
      </c>
      <c r="P1477"/>
    </row>
    <row r="1478" spans="1:16" hidden="1" x14ac:dyDescent="0.35">
      <c r="A1478" t="s">
        <v>4570</v>
      </c>
      <c r="B1478" s="3" t="s">
        <v>102</v>
      </c>
      <c r="C1478" s="3"/>
      <c r="D1478" s="3"/>
      <c r="E1478" s="3"/>
      <c r="F1478" t="s">
        <v>502</v>
      </c>
      <c r="H1478" t="s">
        <v>5348</v>
      </c>
      <c r="I1478" s="3" t="s">
        <v>5344</v>
      </c>
      <c r="J1478" t="s">
        <v>5349</v>
      </c>
      <c r="K1478" t="s">
        <v>241</v>
      </c>
      <c r="L1478" t="s">
        <v>5350</v>
      </c>
      <c r="M1478" t="s">
        <v>5351</v>
      </c>
      <c r="P1478"/>
    </row>
    <row r="1479" spans="1:16" hidden="1" x14ac:dyDescent="0.35">
      <c r="A1479" t="s">
        <v>4570</v>
      </c>
      <c r="B1479" s="3" t="s">
        <v>102</v>
      </c>
      <c r="C1479" s="3"/>
      <c r="D1479" s="3"/>
      <c r="E1479" s="3"/>
      <c r="F1479" t="s">
        <v>700</v>
      </c>
      <c r="H1479" t="s">
        <v>5352</v>
      </c>
      <c r="I1479" s="3" t="s">
        <v>5353</v>
      </c>
      <c r="J1479" t="s">
        <v>5354</v>
      </c>
      <c r="K1479" t="s">
        <v>253</v>
      </c>
      <c r="L1479" t="s">
        <v>5355</v>
      </c>
      <c r="M1479" t="s">
        <v>5356</v>
      </c>
      <c r="P1479"/>
    </row>
    <row r="1480" spans="1:16" hidden="1" x14ac:dyDescent="0.35">
      <c r="A1480" t="s">
        <v>4570</v>
      </c>
      <c r="B1480" s="3" t="s">
        <v>102</v>
      </c>
      <c r="C1480" s="3"/>
      <c r="D1480" s="3"/>
      <c r="E1480" s="3"/>
      <c r="F1480" t="s">
        <v>700</v>
      </c>
      <c r="H1480" t="s">
        <v>5357</v>
      </c>
      <c r="I1480" s="3" t="s">
        <v>5353</v>
      </c>
      <c r="J1480" t="s">
        <v>5358</v>
      </c>
      <c r="K1480" t="s">
        <v>2494</v>
      </c>
      <c r="L1480" t="s">
        <v>5359</v>
      </c>
      <c r="M1480" t="s">
        <v>5360</v>
      </c>
      <c r="P1480"/>
    </row>
    <row r="1481" spans="1:16" hidden="1" x14ac:dyDescent="0.35">
      <c r="A1481" t="s">
        <v>4570</v>
      </c>
      <c r="B1481" s="3" t="s">
        <v>102</v>
      </c>
      <c r="C1481" s="3"/>
      <c r="D1481" s="3"/>
      <c r="E1481" s="3"/>
      <c r="F1481" t="s">
        <v>700</v>
      </c>
      <c r="H1481" t="s">
        <v>5361</v>
      </c>
      <c r="I1481" s="3" t="s">
        <v>5353</v>
      </c>
      <c r="J1481" t="s">
        <v>5362</v>
      </c>
      <c r="K1481" t="s">
        <v>253</v>
      </c>
      <c r="L1481" t="s">
        <v>4624</v>
      </c>
      <c r="M1481" t="s">
        <v>5363</v>
      </c>
      <c r="P1481"/>
    </row>
    <row r="1482" spans="1:16" hidden="1" x14ac:dyDescent="0.35">
      <c r="A1482" t="s">
        <v>4570</v>
      </c>
      <c r="B1482" s="3" t="s">
        <v>102</v>
      </c>
      <c r="C1482" s="3"/>
      <c r="D1482" s="3"/>
      <c r="E1482" s="3"/>
      <c r="F1482" t="s">
        <v>532</v>
      </c>
      <c r="H1482">
        <v>11</v>
      </c>
      <c r="I1482" s="3" t="s">
        <v>5353</v>
      </c>
      <c r="J1482" t="s">
        <v>5364</v>
      </c>
      <c r="K1482" t="s">
        <v>253</v>
      </c>
      <c r="L1482" t="s">
        <v>5365</v>
      </c>
      <c r="M1482" t="s">
        <v>5366</v>
      </c>
      <c r="P1482"/>
    </row>
    <row r="1483" spans="1:16" hidden="1" x14ac:dyDescent="0.35">
      <c r="A1483" t="s">
        <v>4570</v>
      </c>
      <c r="B1483" s="3" t="s">
        <v>102</v>
      </c>
      <c r="C1483" s="3"/>
      <c r="D1483" s="3"/>
      <c r="E1483" s="3"/>
      <c r="F1483" t="s">
        <v>532</v>
      </c>
      <c r="H1483" t="s">
        <v>5367</v>
      </c>
      <c r="I1483" s="3" t="s">
        <v>5353</v>
      </c>
      <c r="J1483" t="s">
        <v>5368</v>
      </c>
      <c r="P1483"/>
    </row>
    <row r="1484" spans="1:16" hidden="1" x14ac:dyDescent="0.35">
      <c r="A1484" t="s">
        <v>4570</v>
      </c>
      <c r="B1484" s="3" t="s">
        <v>102</v>
      </c>
      <c r="C1484" s="3"/>
      <c r="D1484" s="3"/>
      <c r="E1484" s="3"/>
      <c r="F1484" t="s">
        <v>532</v>
      </c>
      <c r="H1484" t="s">
        <v>5369</v>
      </c>
      <c r="I1484" s="3" t="s">
        <v>5353</v>
      </c>
      <c r="J1484" t="s">
        <v>5370</v>
      </c>
      <c r="K1484" t="s">
        <v>253</v>
      </c>
      <c r="L1484" t="s">
        <v>5371</v>
      </c>
      <c r="M1484" t="s">
        <v>5372</v>
      </c>
      <c r="P1484"/>
    </row>
    <row r="1485" spans="1:16" hidden="1" x14ac:dyDescent="0.35">
      <c r="A1485" t="s">
        <v>4570</v>
      </c>
      <c r="B1485" s="3" t="s">
        <v>102</v>
      </c>
      <c r="C1485" s="3"/>
      <c r="D1485" s="3"/>
      <c r="E1485" s="3"/>
      <c r="F1485" t="s">
        <v>532</v>
      </c>
      <c r="H1485" t="s">
        <v>5373</v>
      </c>
      <c r="I1485" s="3" t="s">
        <v>5353</v>
      </c>
      <c r="J1485" t="s">
        <v>5374</v>
      </c>
      <c r="K1485" t="s">
        <v>253</v>
      </c>
      <c r="L1485" t="s">
        <v>5375</v>
      </c>
      <c r="M1485" t="s">
        <v>5376</v>
      </c>
      <c r="P1485"/>
    </row>
    <row r="1486" spans="1:16" hidden="1" x14ac:dyDescent="0.35">
      <c r="A1486" t="s">
        <v>4570</v>
      </c>
      <c r="B1486" s="3" t="s">
        <v>102</v>
      </c>
      <c r="C1486" s="3"/>
      <c r="D1486" s="3"/>
      <c r="E1486" s="3"/>
      <c r="F1486" t="s">
        <v>532</v>
      </c>
      <c r="H1486" t="s">
        <v>5377</v>
      </c>
      <c r="I1486" s="3" t="s">
        <v>5353</v>
      </c>
      <c r="J1486" t="s">
        <v>5368</v>
      </c>
      <c r="P1486"/>
    </row>
    <row r="1487" spans="1:16" hidden="1" x14ac:dyDescent="0.35">
      <c r="A1487" t="s">
        <v>4570</v>
      </c>
      <c r="B1487" s="3" t="s">
        <v>102</v>
      </c>
      <c r="C1487" s="3"/>
      <c r="D1487" s="3"/>
      <c r="E1487" s="3"/>
      <c r="F1487" t="s">
        <v>532</v>
      </c>
      <c r="H1487" t="s">
        <v>5378</v>
      </c>
      <c r="I1487" s="3" t="s">
        <v>5353</v>
      </c>
      <c r="J1487" t="s">
        <v>5379</v>
      </c>
      <c r="K1487" t="s">
        <v>253</v>
      </c>
      <c r="L1487" t="s">
        <v>5380</v>
      </c>
      <c r="M1487" t="s">
        <v>5381</v>
      </c>
      <c r="P1487"/>
    </row>
    <row r="1488" spans="1:16" hidden="1" x14ac:dyDescent="0.35">
      <c r="A1488" t="s">
        <v>4570</v>
      </c>
      <c r="B1488" s="3" t="s">
        <v>102</v>
      </c>
      <c r="C1488" s="3"/>
      <c r="D1488" s="3"/>
      <c r="E1488" s="3"/>
      <c r="F1488" t="s">
        <v>532</v>
      </c>
      <c r="H1488" t="s">
        <v>5382</v>
      </c>
      <c r="I1488" s="3" t="s">
        <v>5353</v>
      </c>
      <c r="J1488" t="s">
        <v>5383</v>
      </c>
      <c r="K1488" t="s">
        <v>253</v>
      </c>
      <c r="L1488" t="s">
        <v>5384</v>
      </c>
      <c r="M1488" t="s">
        <v>5385</v>
      </c>
      <c r="P1488"/>
    </row>
    <row r="1489" spans="1:16" hidden="1" x14ac:dyDescent="0.35">
      <c r="A1489" t="s">
        <v>4570</v>
      </c>
      <c r="B1489" s="3" t="s">
        <v>102</v>
      </c>
      <c r="C1489" s="3"/>
      <c r="D1489" s="3"/>
      <c r="E1489" s="3"/>
      <c r="F1489" t="s">
        <v>532</v>
      </c>
      <c r="H1489" t="s">
        <v>5386</v>
      </c>
      <c r="I1489" s="3" t="s">
        <v>5353</v>
      </c>
      <c r="J1489" t="s">
        <v>5387</v>
      </c>
      <c r="P1489"/>
    </row>
    <row r="1490" spans="1:16" hidden="1" x14ac:dyDescent="0.35">
      <c r="A1490" t="s">
        <v>4570</v>
      </c>
      <c r="B1490" s="3" t="s">
        <v>102</v>
      </c>
      <c r="C1490" s="3"/>
      <c r="D1490" s="3"/>
      <c r="E1490" s="3"/>
      <c r="F1490" t="s">
        <v>532</v>
      </c>
      <c r="H1490" t="s">
        <v>5388</v>
      </c>
      <c r="I1490" s="3" t="s">
        <v>5353</v>
      </c>
      <c r="J1490" t="s">
        <v>5389</v>
      </c>
      <c r="K1490" t="s">
        <v>253</v>
      </c>
      <c r="L1490" t="s">
        <v>5390</v>
      </c>
      <c r="M1490" t="s">
        <v>5391</v>
      </c>
      <c r="P1490"/>
    </row>
    <row r="1491" spans="1:16" hidden="1" x14ac:dyDescent="0.35">
      <c r="A1491" t="s">
        <v>4570</v>
      </c>
      <c r="B1491" s="3" t="s">
        <v>102</v>
      </c>
      <c r="C1491" s="3"/>
      <c r="D1491" s="3"/>
      <c r="E1491" s="3"/>
      <c r="F1491" t="s">
        <v>532</v>
      </c>
      <c r="H1491" t="s">
        <v>5392</v>
      </c>
      <c r="I1491" s="3" t="s">
        <v>5353</v>
      </c>
      <c r="J1491" t="s">
        <v>5393</v>
      </c>
      <c r="K1491" t="s">
        <v>253</v>
      </c>
      <c r="L1491" t="s">
        <v>5394</v>
      </c>
      <c r="M1491" t="s">
        <v>5395</v>
      </c>
      <c r="P1491"/>
    </row>
    <row r="1492" spans="1:16" ht="29" hidden="1" x14ac:dyDescent="0.35">
      <c r="A1492" t="s">
        <v>4570</v>
      </c>
      <c r="B1492" s="3" t="s">
        <v>102</v>
      </c>
      <c r="C1492" s="3"/>
      <c r="D1492" s="3"/>
      <c r="E1492" s="3"/>
      <c r="F1492" t="s">
        <v>532</v>
      </c>
      <c r="H1492" t="s">
        <v>5396</v>
      </c>
      <c r="I1492" s="3" t="s">
        <v>5397</v>
      </c>
      <c r="J1492" t="s">
        <v>5398</v>
      </c>
      <c r="K1492" t="s">
        <v>253</v>
      </c>
      <c r="L1492" t="s">
        <v>5399</v>
      </c>
      <c r="M1492" t="s">
        <v>5400</v>
      </c>
      <c r="P1492"/>
    </row>
    <row r="1493" spans="1:16" ht="29" hidden="1" x14ac:dyDescent="0.35">
      <c r="A1493" t="s">
        <v>4570</v>
      </c>
      <c r="B1493" s="3" t="s">
        <v>102</v>
      </c>
      <c r="C1493" s="3"/>
      <c r="D1493" s="3"/>
      <c r="E1493" s="3"/>
      <c r="F1493" t="s">
        <v>532</v>
      </c>
      <c r="H1493" t="s">
        <v>5401</v>
      </c>
      <c r="I1493" s="3" t="s">
        <v>5397</v>
      </c>
      <c r="J1493" t="s">
        <v>5402</v>
      </c>
      <c r="K1493" t="s">
        <v>253</v>
      </c>
      <c r="L1493" t="s">
        <v>5403</v>
      </c>
      <c r="M1493" t="s">
        <v>5404</v>
      </c>
      <c r="P1493"/>
    </row>
    <row r="1494" spans="1:16" ht="29" hidden="1" x14ac:dyDescent="0.35">
      <c r="A1494" t="s">
        <v>4570</v>
      </c>
      <c r="B1494" s="3" t="s">
        <v>102</v>
      </c>
      <c r="C1494" s="3"/>
      <c r="D1494" s="3"/>
      <c r="E1494" s="3"/>
      <c r="F1494" t="s">
        <v>532</v>
      </c>
      <c r="H1494" t="s">
        <v>5405</v>
      </c>
      <c r="I1494" s="3" t="s">
        <v>5397</v>
      </c>
      <c r="J1494" t="s">
        <v>5406</v>
      </c>
      <c r="K1494" t="s">
        <v>253</v>
      </c>
      <c r="L1494" t="s">
        <v>5407</v>
      </c>
      <c r="M1494" t="s">
        <v>5408</v>
      </c>
      <c r="P1494"/>
    </row>
    <row r="1495" spans="1:16" ht="29" hidden="1" x14ac:dyDescent="0.35">
      <c r="A1495" t="s">
        <v>4570</v>
      </c>
      <c r="B1495" s="3" t="s">
        <v>102</v>
      </c>
      <c r="C1495" s="3"/>
      <c r="D1495" s="3"/>
      <c r="E1495" s="3"/>
      <c r="F1495" t="s">
        <v>532</v>
      </c>
      <c r="H1495" t="s">
        <v>5409</v>
      </c>
      <c r="I1495" s="3" t="s">
        <v>5397</v>
      </c>
      <c r="J1495" t="s">
        <v>5410</v>
      </c>
      <c r="P1495"/>
    </row>
    <row r="1496" spans="1:16" ht="29" hidden="1" x14ac:dyDescent="0.35">
      <c r="A1496" t="s">
        <v>4570</v>
      </c>
      <c r="B1496" s="3" t="s">
        <v>102</v>
      </c>
      <c r="C1496" s="3"/>
      <c r="D1496" s="3"/>
      <c r="E1496" s="3"/>
      <c r="F1496" t="s">
        <v>532</v>
      </c>
      <c r="H1496" t="s">
        <v>5411</v>
      </c>
      <c r="I1496" s="3" t="s">
        <v>5397</v>
      </c>
      <c r="J1496" t="s">
        <v>5412</v>
      </c>
      <c r="K1496" t="s">
        <v>253</v>
      </c>
      <c r="L1496" t="s">
        <v>5413</v>
      </c>
      <c r="M1496" t="s">
        <v>5414</v>
      </c>
      <c r="P1496"/>
    </row>
    <row r="1497" spans="1:16" ht="29" hidden="1" x14ac:dyDescent="0.35">
      <c r="A1497" t="s">
        <v>4570</v>
      </c>
      <c r="B1497" s="3" t="s">
        <v>102</v>
      </c>
      <c r="C1497" s="3"/>
      <c r="D1497" s="3"/>
      <c r="E1497" s="3"/>
      <c r="F1497" t="s">
        <v>532</v>
      </c>
      <c r="H1497" t="s">
        <v>5415</v>
      </c>
      <c r="I1497" s="3" t="s">
        <v>5397</v>
      </c>
      <c r="J1497" t="s">
        <v>5416</v>
      </c>
      <c r="K1497" t="s">
        <v>253</v>
      </c>
      <c r="L1497" t="s">
        <v>5417</v>
      </c>
      <c r="M1497" t="s">
        <v>5418</v>
      </c>
      <c r="P1497"/>
    </row>
    <row r="1498" spans="1:16" ht="29" hidden="1" x14ac:dyDescent="0.35">
      <c r="A1498" t="s">
        <v>4570</v>
      </c>
      <c r="B1498" s="3" t="s">
        <v>102</v>
      </c>
      <c r="C1498" s="3"/>
      <c r="D1498" s="3"/>
      <c r="E1498" s="3"/>
      <c r="F1498" t="s">
        <v>532</v>
      </c>
      <c r="H1498" t="s">
        <v>5419</v>
      </c>
      <c r="I1498" s="3" t="s">
        <v>5397</v>
      </c>
      <c r="J1498" t="s">
        <v>5420</v>
      </c>
      <c r="K1498" t="s">
        <v>253</v>
      </c>
      <c r="L1498" t="s">
        <v>5421</v>
      </c>
      <c r="M1498" t="s">
        <v>5422</v>
      </c>
      <c r="P1498"/>
    </row>
    <row r="1499" spans="1:16" ht="29" hidden="1" x14ac:dyDescent="0.35">
      <c r="A1499" t="s">
        <v>4570</v>
      </c>
      <c r="B1499" s="3" t="s">
        <v>102</v>
      </c>
      <c r="C1499" s="3"/>
      <c r="D1499" s="3"/>
      <c r="E1499" s="3"/>
      <c r="F1499" t="s">
        <v>532</v>
      </c>
      <c r="H1499" t="s">
        <v>5423</v>
      </c>
      <c r="I1499" s="3" t="s">
        <v>5397</v>
      </c>
      <c r="J1499" t="s">
        <v>5424</v>
      </c>
      <c r="K1499" t="s">
        <v>253</v>
      </c>
      <c r="L1499" t="s">
        <v>5425</v>
      </c>
      <c r="M1499" t="s">
        <v>5426</v>
      </c>
      <c r="P1499"/>
    </row>
    <row r="1500" spans="1:16" ht="29" hidden="1" x14ac:dyDescent="0.35">
      <c r="A1500" t="s">
        <v>4570</v>
      </c>
      <c r="B1500" s="3" t="s">
        <v>102</v>
      </c>
      <c r="C1500" s="3"/>
      <c r="D1500" s="3"/>
      <c r="E1500" s="3"/>
      <c r="F1500" t="s">
        <v>532</v>
      </c>
      <c r="H1500" t="s">
        <v>5427</v>
      </c>
      <c r="I1500" s="3" t="s">
        <v>5397</v>
      </c>
      <c r="J1500" t="s">
        <v>5428</v>
      </c>
      <c r="K1500" t="s">
        <v>253</v>
      </c>
      <c r="L1500" t="s">
        <v>5429</v>
      </c>
      <c r="M1500" t="s">
        <v>5430</v>
      </c>
      <c r="P1500"/>
    </row>
    <row r="1501" spans="1:16" ht="29" hidden="1" x14ac:dyDescent="0.35">
      <c r="A1501" t="s">
        <v>4570</v>
      </c>
      <c r="B1501" s="3" t="s">
        <v>102</v>
      </c>
      <c r="C1501" s="3"/>
      <c r="D1501" s="3"/>
      <c r="E1501" s="3"/>
      <c r="F1501" t="s">
        <v>532</v>
      </c>
      <c r="H1501" t="s">
        <v>5431</v>
      </c>
      <c r="I1501" s="3" t="s">
        <v>5397</v>
      </c>
      <c r="J1501" t="s">
        <v>5432</v>
      </c>
      <c r="P1501"/>
    </row>
    <row r="1502" spans="1:16" ht="29" hidden="1" x14ac:dyDescent="0.35">
      <c r="A1502" t="s">
        <v>4570</v>
      </c>
      <c r="B1502" s="3" t="s">
        <v>102</v>
      </c>
      <c r="C1502" s="3"/>
      <c r="D1502" s="3"/>
      <c r="E1502" s="3"/>
      <c r="F1502" t="s">
        <v>532</v>
      </c>
      <c r="H1502" t="s">
        <v>5433</v>
      </c>
      <c r="I1502" s="3" t="s">
        <v>5397</v>
      </c>
      <c r="J1502" t="s">
        <v>5389</v>
      </c>
      <c r="K1502" t="s">
        <v>253</v>
      </c>
      <c r="L1502" t="s">
        <v>5434</v>
      </c>
      <c r="M1502" t="s">
        <v>5435</v>
      </c>
      <c r="P1502"/>
    </row>
    <row r="1503" spans="1:16" ht="29" hidden="1" x14ac:dyDescent="0.35">
      <c r="A1503" t="s">
        <v>4570</v>
      </c>
      <c r="B1503" s="3" t="s">
        <v>102</v>
      </c>
      <c r="C1503" s="3"/>
      <c r="D1503" s="3"/>
      <c r="E1503" s="3"/>
      <c r="F1503" t="s">
        <v>532</v>
      </c>
      <c r="H1503" t="s">
        <v>5436</v>
      </c>
      <c r="I1503" s="3" t="s">
        <v>5397</v>
      </c>
      <c r="J1503" t="s">
        <v>5437</v>
      </c>
      <c r="K1503" t="s">
        <v>253</v>
      </c>
      <c r="L1503" t="s">
        <v>5438</v>
      </c>
      <c r="M1503" t="s">
        <v>5439</v>
      </c>
      <c r="P1503"/>
    </row>
    <row r="1504" spans="1:16" ht="29" hidden="1" x14ac:dyDescent="0.35">
      <c r="A1504" t="s">
        <v>4570</v>
      </c>
      <c r="B1504" s="3" t="s">
        <v>102</v>
      </c>
      <c r="C1504" s="3"/>
      <c r="D1504" s="3"/>
      <c r="E1504" s="3"/>
      <c r="F1504" t="s">
        <v>532</v>
      </c>
      <c r="H1504" t="s">
        <v>5440</v>
      </c>
      <c r="I1504" s="3" t="s">
        <v>5397</v>
      </c>
      <c r="J1504" t="s">
        <v>5441</v>
      </c>
      <c r="K1504" t="s">
        <v>253</v>
      </c>
      <c r="L1504" t="s">
        <v>5442</v>
      </c>
      <c r="M1504" t="s">
        <v>5443</v>
      </c>
      <c r="P1504"/>
    </row>
    <row r="1505" spans="1:16" ht="29" hidden="1" x14ac:dyDescent="0.35">
      <c r="A1505" t="s">
        <v>4570</v>
      </c>
      <c r="B1505" s="3" t="s">
        <v>102</v>
      </c>
      <c r="C1505" s="3"/>
      <c r="D1505" s="3"/>
      <c r="E1505" s="3"/>
      <c r="F1505" t="s">
        <v>532</v>
      </c>
      <c r="H1505" t="s">
        <v>5444</v>
      </c>
      <c r="I1505" s="3" t="s">
        <v>5397</v>
      </c>
      <c r="J1505" t="s">
        <v>5445</v>
      </c>
      <c r="K1505" t="s">
        <v>253</v>
      </c>
      <c r="L1505" t="s">
        <v>5446</v>
      </c>
      <c r="M1505" t="s">
        <v>5447</v>
      </c>
      <c r="P1505"/>
    </row>
    <row r="1506" spans="1:16" ht="29" hidden="1" x14ac:dyDescent="0.35">
      <c r="A1506" t="s">
        <v>4570</v>
      </c>
      <c r="B1506" s="3" t="s">
        <v>102</v>
      </c>
      <c r="C1506" s="3"/>
      <c r="D1506" s="3"/>
      <c r="E1506" s="3"/>
      <c r="F1506" t="s">
        <v>532</v>
      </c>
      <c r="H1506" t="s">
        <v>5448</v>
      </c>
      <c r="I1506" s="3" t="s">
        <v>5397</v>
      </c>
      <c r="J1506" t="s">
        <v>5449</v>
      </c>
      <c r="K1506" t="s">
        <v>253</v>
      </c>
      <c r="L1506" t="s">
        <v>5450</v>
      </c>
      <c r="M1506" t="s">
        <v>5451</v>
      </c>
      <c r="P1506"/>
    </row>
    <row r="1507" spans="1:16" ht="29" hidden="1" x14ac:dyDescent="0.35">
      <c r="A1507" t="s">
        <v>4570</v>
      </c>
      <c r="B1507" s="3" t="s">
        <v>102</v>
      </c>
      <c r="C1507" s="3"/>
      <c r="D1507" s="3"/>
      <c r="E1507" s="3"/>
      <c r="F1507" t="s">
        <v>532</v>
      </c>
      <c r="H1507" t="s">
        <v>5452</v>
      </c>
      <c r="I1507" s="3" t="s">
        <v>5397</v>
      </c>
      <c r="J1507" t="s">
        <v>5453</v>
      </c>
      <c r="K1507" t="s">
        <v>253</v>
      </c>
      <c r="L1507" t="s">
        <v>5454</v>
      </c>
      <c r="M1507" t="s">
        <v>5455</v>
      </c>
      <c r="P1507"/>
    </row>
    <row r="1508" spans="1:16" hidden="1" x14ac:dyDescent="0.35">
      <c r="A1508" t="s">
        <v>4570</v>
      </c>
      <c r="B1508" s="3" t="s">
        <v>102</v>
      </c>
      <c r="C1508" s="3"/>
      <c r="D1508" s="3"/>
      <c r="E1508" s="3"/>
      <c r="F1508" t="s">
        <v>532</v>
      </c>
      <c r="H1508" t="s">
        <v>5456</v>
      </c>
      <c r="I1508" s="3" t="s">
        <v>5457</v>
      </c>
      <c r="J1508" t="s">
        <v>5458</v>
      </c>
      <c r="P1508"/>
    </row>
    <row r="1509" spans="1:16" hidden="1" x14ac:dyDescent="0.35">
      <c r="A1509" t="s">
        <v>4570</v>
      </c>
      <c r="B1509" s="3" t="s">
        <v>102</v>
      </c>
      <c r="C1509" s="3"/>
      <c r="D1509" s="3"/>
      <c r="E1509" s="3"/>
      <c r="F1509" t="s">
        <v>532</v>
      </c>
      <c r="H1509" t="s">
        <v>5459</v>
      </c>
      <c r="I1509" s="3" t="s">
        <v>5457</v>
      </c>
      <c r="J1509" t="s">
        <v>5460</v>
      </c>
      <c r="K1509" t="s">
        <v>253</v>
      </c>
      <c r="L1509" t="s">
        <v>5461</v>
      </c>
      <c r="M1509" t="s">
        <v>5462</v>
      </c>
      <c r="P1509"/>
    </row>
    <row r="1510" spans="1:16" hidden="1" x14ac:dyDescent="0.35">
      <c r="A1510" t="s">
        <v>4570</v>
      </c>
      <c r="B1510" s="3" t="s">
        <v>102</v>
      </c>
      <c r="C1510" s="3"/>
      <c r="D1510" s="3"/>
      <c r="E1510" s="3"/>
      <c r="F1510" t="s">
        <v>532</v>
      </c>
      <c r="H1510" t="s">
        <v>5463</v>
      </c>
      <c r="I1510" s="3" t="s">
        <v>5457</v>
      </c>
      <c r="J1510" t="s">
        <v>5464</v>
      </c>
      <c r="K1510" t="s">
        <v>253</v>
      </c>
      <c r="L1510" t="s">
        <v>5465</v>
      </c>
      <c r="M1510" t="s">
        <v>5466</v>
      </c>
      <c r="P1510"/>
    </row>
    <row r="1511" spans="1:16" hidden="1" x14ac:dyDescent="0.35">
      <c r="A1511" t="s">
        <v>4570</v>
      </c>
      <c r="B1511" s="3" t="s">
        <v>102</v>
      </c>
      <c r="C1511" s="3"/>
      <c r="D1511" s="3"/>
      <c r="E1511" s="3"/>
      <c r="F1511" t="s">
        <v>532</v>
      </c>
      <c r="H1511" t="s">
        <v>5467</v>
      </c>
      <c r="I1511" s="3" t="s">
        <v>5457</v>
      </c>
      <c r="J1511" t="s">
        <v>5468</v>
      </c>
      <c r="K1511" t="s">
        <v>253</v>
      </c>
      <c r="L1511" t="s">
        <v>5469</v>
      </c>
      <c r="M1511" t="s">
        <v>5470</v>
      </c>
      <c r="P1511"/>
    </row>
    <row r="1512" spans="1:16" hidden="1" x14ac:dyDescent="0.35">
      <c r="A1512" t="s">
        <v>4570</v>
      </c>
      <c r="B1512" s="3" t="s">
        <v>102</v>
      </c>
      <c r="C1512" s="3"/>
      <c r="D1512" s="3"/>
      <c r="E1512" s="3"/>
      <c r="F1512" t="s">
        <v>532</v>
      </c>
      <c r="H1512" t="s">
        <v>5471</v>
      </c>
      <c r="I1512" s="3" t="s">
        <v>5457</v>
      </c>
      <c r="J1512" t="s">
        <v>5472</v>
      </c>
      <c r="K1512" t="s">
        <v>253</v>
      </c>
      <c r="L1512" t="s">
        <v>5473</v>
      </c>
      <c r="M1512" t="s">
        <v>5474</v>
      </c>
      <c r="P1512"/>
    </row>
    <row r="1513" spans="1:16" hidden="1" x14ac:dyDescent="0.35">
      <c r="A1513" t="s">
        <v>4570</v>
      </c>
      <c r="B1513" s="3" t="s">
        <v>102</v>
      </c>
      <c r="C1513" s="3"/>
      <c r="D1513" s="3"/>
      <c r="E1513" s="3"/>
      <c r="F1513" t="s">
        <v>537</v>
      </c>
      <c r="H1513">
        <v>12</v>
      </c>
      <c r="I1513" s="3" t="s">
        <v>5457</v>
      </c>
      <c r="J1513" t="s">
        <v>5475</v>
      </c>
      <c r="K1513" t="s">
        <v>253</v>
      </c>
      <c r="L1513" t="s">
        <v>5476</v>
      </c>
      <c r="M1513" t="s">
        <v>5477</v>
      </c>
      <c r="P1513"/>
    </row>
    <row r="1514" spans="1:16" hidden="1" x14ac:dyDescent="0.35">
      <c r="A1514" t="s">
        <v>4570</v>
      </c>
      <c r="B1514" s="3" t="s">
        <v>102</v>
      </c>
      <c r="C1514" s="3"/>
      <c r="D1514" s="3"/>
      <c r="E1514" s="3"/>
      <c r="F1514" t="s">
        <v>537</v>
      </c>
      <c r="H1514" t="s">
        <v>5478</v>
      </c>
      <c r="I1514" s="3" t="s">
        <v>5457</v>
      </c>
      <c r="J1514" t="s">
        <v>5479</v>
      </c>
      <c r="K1514" t="s">
        <v>2494</v>
      </c>
      <c r="L1514" t="s">
        <v>5480</v>
      </c>
      <c r="M1514" t="s">
        <v>5481</v>
      </c>
      <c r="P1514"/>
    </row>
    <row r="1515" spans="1:16" hidden="1" x14ac:dyDescent="0.35">
      <c r="A1515" t="s">
        <v>4570</v>
      </c>
      <c r="B1515" s="3" t="s">
        <v>102</v>
      </c>
      <c r="C1515" s="3"/>
      <c r="D1515" s="3"/>
      <c r="E1515" s="3"/>
      <c r="F1515" t="s">
        <v>537</v>
      </c>
      <c r="H1515" t="s">
        <v>5482</v>
      </c>
      <c r="I1515" s="3" t="s">
        <v>5483</v>
      </c>
      <c r="J1515" t="s">
        <v>5484</v>
      </c>
      <c r="L1515" t="s">
        <v>5485</v>
      </c>
      <c r="M1515" t="s">
        <v>5486</v>
      </c>
      <c r="P1515"/>
    </row>
    <row r="1516" spans="1:16" hidden="1" x14ac:dyDescent="0.35">
      <c r="A1516" t="s">
        <v>4570</v>
      </c>
      <c r="B1516" s="3" t="s">
        <v>102</v>
      </c>
      <c r="C1516" s="3"/>
      <c r="D1516" s="3"/>
      <c r="E1516" s="3"/>
      <c r="F1516" t="s">
        <v>537</v>
      </c>
      <c r="H1516" t="s">
        <v>5487</v>
      </c>
      <c r="I1516" s="3" t="s">
        <v>5483</v>
      </c>
      <c r="J1516" t="s">
        <v>5488</v>
      </c>
      <c r="L1516" t="s">
        <v>5489</v>
      </c>
      <c r="M1516" t="s">
        <v>5490</v>
      </c>
      <c r="P1516"/>
    </row>
    <row r="1517" spans="1:16" hidden="1" x14ac:dyDescent="0.35">
      <c r="A1517" t="s">
        <v>4570</v>
      </c>
      <c r="B1517" s="3" t="s">
        <v>102</v>
      </c>
      <c r="C1517" s="3"/>
      <c r="D1517" s="3"/>
      <c r="E1517" s="3"/>
      <c r="F1517" t="s">
        <v>537</v>
      </c>
      <c r="H1517" t="s">
        <v>5491</v>
      </c>
      <c r="I1517" s="3" t="s">
        <v>5483</v>
      </c>
      <c r="J1517" t="s">
        <v>5492</v>
      </c>
      <c r="K1517" t="s">
        <v>253</v>
      </c>
      <c r="L1517" t="s">
        <v>5493</v>
      </c>
      <c r="M1517" t="s">
        <v>5494</v>
      </c>
      <c r="P1517"/>
    </row>
    <row r="1518" spans="1:16" hidden="1" x14ac:dyDescent="0.35">
      <c r="A1518" t="s">
        <v>4570</v>
      </c>
      <c r="B1518" s="3" t="s">
        <v>102</v>
      </c>
      <c r="C1518" s="3"/>
      <c r="D1518" s="3"/>
      <c r="E1518" s="3"/>
      <c r="F1518" t="s">
        <v>537</v>
      </c>
      <c r="H1518" t="s">
        <v>5495</v>
      </c>
      <c r="I1518" s="3" t="s">
        <v>5496</v>
      </c>
      <c r="J1518" t="s">
        <v>5497</v>
      </c>
      <c r="K1518" t="s">
        <v>2494</v>
      </c>
      <c r="L1518" t="s">
        <v>5498</v>
      </c>
      <c r="M1518" t="s">
        <v>5499</v>
      </c>
      <c r="P1518"/>
    </row>
    <row r="1519" spans="1:16" hidden="1" x14ac:dyDescent="0.35">
      <c r="A1519" t="s">
        <v>4570</v>
      </c>
      <c r="B1519" s="3" t="s">
        <v>102</v>
      </c>
      <c r="C1519" s="3"/>
      <c r="D1519" s="3"/>
      <c r="E1519" s="3"/>
      <c r="F1519" t="s">
        <v>537</v>
      </c>
      <c r="H1519" t="s">
        <v>5500</v>
      </c>
      <c r="I1519" s="3" t="s">
        <v>5496</v>
      </c>
      <c r="J1519" t="s">
        <v>5501</v>
      </c>
      <c r="K1519" t="s">
        <v>253</v>
      </c>
      <c r="L1519" t="s">
        <v>5502</v>
      </c>
      <c r="M1519" t="s">
        <v>5503</v>
      </c>
      <c r="P1519"/>
    </row>
    <row r="1520" spans="1:16" hidden="1" x14ac:dyDescent="0.35">
      <c r="A1520" t="s">
        <v>4570</v>
      </c>
      <c r="B1520" s="3" t="s">
        <v>102</v>
      </c>
      <c r="C1520" s="3"/>
      <c r="D1520" s="3"/>
      <c r="E1520" s="3"/>
      <c r="F1520" t="s">
        <v>537</v>
      </c>
      <c r="H1520" t="s">
        <v>5504</v>
      </c>
      <c r="I1520" s="3" t="s">
        <v>5496</v>
      </c>
      <c r="J1520" t="s">
        <v>5505</v>
      </c>
      <c r="K1520" t="s">
        <v>253</v>
      </c>
      <c r="L1520" t="s">
        <v>5506</v>
      </c>
      <c r="M1520" t="s">
        <v>5507</v>
      </c>
      <c r="P1520"/>
    </row>
    <row r="1521" spans="1:16" hidden="1" x14ac:dyDescent="0.35">
      <c r="A1521" t="s">
        <v>4570</v>
      </c>
      <c r="B1521" s="3" t="s">
        <v>102</v>
      </c>
      <c r="C1521" s="3"/>
      <c r="D1521" s="3"/>
      <c r="E1521" s="3"/>
      <c r="F1521" t="s">
        <v>537</v>
      </c>
      <c r="H1521" t="s">
        <v>5508</v>
      </c>
      <c r="I1521" s="3" t="s">
        <v>5496</v>
      </c>
      <c r="J1521" t="s">
        <v>5509</v>
      </c>
      <c r="K1521" t="s">
        <v>253</v>
      </c>
      <c r="L1521" t="s">
        <v>5510</v>
      </c>
      <c r="M1521" t="s">
        <v>5511</v>
      </c>
      <c r="P1521"/>
    </row>
    <row r="1522" spans="1:16" hidden="1" x14ac:dyDescent="0.35">
      <c r="A1522" t="s">
        <v>4570</v>
      </c>
      <c r="B1522" s="3" t="s">
        <v>102</v>
      </c>
      <c r="C1522" s="3"/>
      <c r="D1522" s="3"/>
      <c r="E1522" s="3"/>
      <c r="F1522" t="s">
        <v>537</v>
      </c>
      <c r="H1522" t="s">
        <v>5512</v>
      </c>
      <c r="I1522" s="3" t="s">
        <v>5496</v>
      </c>
      <c r="J1522" t="s">
        <v>5513</v>
      </c>
      <c r="K1522" t="s">
        <v>253</v>
      </c>
      <c r="L1522" t="s">
        <v>5514</v>
      </c>
      <c r="M1522" t="s">
        <v>5515</v>
      </c>
      <c r="P1522"/>
    </row>
    <row r="1523" spans="1:16" hidden="1" x14ac:dyDescent="0.35">
      <c r="A1523" t="s">
        <v>4570</v>
      </c>
      <c r="B1523" s="3" t="s">
        <v>204</v>
      </c>
      <c r="C1523" s="3"/>
      <c r="D1523" s="3"/>
      <c r="E1523" s="3"/>
      <c r="F1523" t="s">
        <v>573</v>
      </c>
      <c r="G1523" t="s">
        <v>1012</v>
      </c>
      <c r="H1523" t="s">
        <v>5516</v>
      </c>
      <c r="I1523" s="3" t="s">
        <v>5496</v>
      </c>
      <c r="J1523" t="s">
        <v>5517</v>
      </c>
      <c r="K1523" t="s">
        <v>229</v>
      </c>
      <c r="L1523" t="s">
        <v>230</v>
      </c>
      <c r="M1523" t="s">
        <v>5518</v>
      </c>
      <c r="O1523" t="s">
        <v>5519</v>
      </c>
      <c r="P1523"/>
    </row>
    <row r="1524" spans="1:16" hidden="1" x14ac:dyDescent="0.35">
      <c r="A1524" t="s">
        <v>4570</v>
      </c>
      <c r="B1524" s="3" t="s">
        <v>204</v>
      </c>
      <c r="C1524" s="3"/>
      <c r="D1524" s="3"/>
      <c r="E1524" s="3"/>
      <c r="F1524" t="s">
        <v>573</v>
      </c>
      <c r="G1524" t="s">
        <v>1012</v>
      </c>
      <c r="H1524" t="s">
        <v>5520</v>
      </c>
      <c r="I1524" s="3" t="s">
        <v>5521</v>
      </c>
      <c r="J1524" t="s">
        <v>5522</v>
      </c>
      <c r="K1524" t="s">
        <v>229</v>
      </c>
      <c r="L1524" t="s">
        <v>5523</v>
      </c>
      <c r="M1524" t="s">
        <v>5524</v>
      </c>
      <c r="O1524" t="s">
        <v>5525</v>
      </c>
      <c r="P1524"/>
    </row>
    <row r="1525" spans="1:16" hidden="1" x14ac:dyDescent="0.35">
      <c r="A1525" t="s">
        <v>4570</v>
      </c>
      <c r="B1525" s="3" t="s">
        <v>204</v>
      </c>
      <c r="C1525" s="3"/>
      <c r="D1525" s="3"/>
      <c r="E1525" s="3"/>
      <c r="F1525" t="s">
        <v>573</v>
      </c>
      <c r="G1525" t="s">
        <v>1012</v>
      </c>
      <c r="H1525" t="s">
        <v>5526</v>
      </c>
      <c r="I1525" s="3" t="s">
        <v>5521</v>
      </c>
      <c r="J1525" t="s">
        <v>5527</v>
      </c>
      <c r="K1525" t="s">
        <v>229</v>
      </c>
      <c r="L1525" t="s">
        <v>5528</v>
      </c>
      <c r="M1525" t="s">
        <v>5529</v>
      </c>
      <c r="O1525" t="s">
        <v>5530</v>
      </c>
      <c r="P1525"/>
    </row>
    <row r="1526" spans="1:16" hidden="1" x14ac:dyDescent="0.35">
      <c r="A1526" t="s">
        <v>4570</v>
      </c>
      <c r="B1526" s="3" t="s">
        <v>204</v>
      </c>
      <c r="C1526" s="3"/>
      <c r="D1526" s="3"/>
      <c r="E1526" s="3"/>
      <c r="F1526" t="s">
        <v>573</v>
      </c>
      <c r="G1526" t="s">
        <v>1012</v>
      </c>
      <c r="H1526" t="s">
        <v>5531</v>
      </c>
      <c r="I1526" s="3" t="s">
        <v>5521</v>
      </c>
      <c r="J1526" t="s">
        <v>5532</v>
      </c>
      <c r="K1526" t="s">
        <v>248</v>
      </c>
      <c r="L1526" t="s">
        <v>5533</v>
      </c>
      <c r="M1526" t="s">
        <v>5534</v>
      </c>
      <c r="O1526" t="s">
        <v>5535</v>
      </c>
      <c r="P1526"/>
    </row>
    <row r="1527" spans="1:16" ht="58" hidden="1" x14ac:dyDescent="0.35">
      <c r="A1527" t="s">
        <v>4570</v>
      </c>
      <c r="B1527" s="3" t="s">
        <v>204</v>
      </c>
      <c r="C1527" s="3"/>
      <c r="D1527" s="3"/>
      <c r="E1527" s="3"/>
      <c r="F1527" t="s">
        <v>573</v>
      </c>
      <c r="G1527" t="s">
        <v>1012</v>
      </c>
      <c r="H1527" t="s">
        <v>5536</v>
      </c>
      <c r="I1527" s="3" t="s">
        <v>5537</v>
      </c>
      <c r="J1527" s="5" t="s">
        <v>5538</v>
      </c>
      <c r="K1527" t="s">
        <v>253</v>
      </c>
      <c r="L1527" t="s">
        <v>5539</v>
      </c>
      <c r="M1527" t="s">
        <v>5540</v>
      </c>
      <c r="O1527" t="s">
        <v>5541</v>
      </c>
      <c r="P1527"/>
    </row>
    <row r="1528" spans="1:16" hidden="1" x14ac:dyDescent="0.35">
      <c r="A1528" t="s">
        <v>4570</v>
      </c>
      <c r="B1528" s="3" t="s">
        <v>204</v>
      </c>
      <c r="C1528" s="3"/>
      <c r="D1528" s="3"/>
      <c r="E1528" s="3"/>
      <c r="F1528" t="s">
        <v>5542</v>
      </c>
      <c r="G1528" t="s">
        <v>5543</v>
      </c>
      <c r="H1528">
        <v>1</v>
      </c>
      <c r="I1528" s="3" t="s">
        <v>5537</v>
      </c>
      <c r="J1528" t="s">
        <v>5544</v>
      </c>
      <c r="K1528" t="s">
        <v>229</v>
      </c>
      <c r="L1528" t="s">
        <v>5545</v>
      </c>
      <c r="M1528" t="s">
        <v>5546</v>
      </c>
      <c r="O1528" t="s">
        <v>5547</v>
      </c>
      <c r="P1528"/>
    </row>
    <row r="1529" spans="1:16" hidden="1" x14ac:dyDescent="0.35">
      <c r="A1529" t="s">
        <v>4570</v>
      </c>
      <c r="B1529" s="3" t="s">
        <v>204</v>
      </c>
      <c r="C1529" s="3"/>
      <c r="D1529" s="3"/>
      <c r="E1529" s="3"/>
      <c r="F1529" t="s">
        <v>5542</v>
      </c>
      <c r="G1529" t="s">
        <v>5543</v>
      </c>
      <c r="H1529" t="s">
        <v>5548</v>
      </c>
      <c r="I1529" s="3" t="s">
        <v>5549</v>
      </c>
      <c r="J1529" t="s">
        <v>5550</v>
      </c>
      <c r="K1529" t="s">
        <v>253</v>
      </c>
      <c r="L1529" t="s">
        <v>5551</v>
      </c>
      <c r="M1529" t="s">
        <v>5552</v>
      </c>
      <c r="O1529" t="s">
        <v>5553</v>
      </c>
      <c r="P1529"/>
    </row>
    <row r="1530" spans="1:16" hidden="1" x14ac:dyDescent="0.35">
      <c r="A1530" t="s">
        <v>4570</v>
      </c>
      <c r="B1530" s="3" t="s">
        <v>204</v>
      </c>
      <c r="C1530" s="3"/>
      <c r="D1530" s="3"/>
      <c r="E1530" s="3"/>
      <c r="F1530" t="s">
        <v>5542</v>
      </c>
      <c r="G1530" t="s">
        <v>5543</v>
      </c>
      <c r="H1530" t="s">
        <v>5554</v>
      </c>
      <c r="I1530" s="3" t="s">
        <v>5549</v>
      </c>
      <c r="J1530" t="s">
        <v>5555</v>
      </c>
      <c r="K1530" t="s">
        <v>253</v>
      </c>
      <c r="L1530" t="s">
        <v>5556</v>
      </c>
      <c r="M1530" t="s">
        <v>5557</v>
      </c>
      <c r="O1530" t="s">
        <v>13</v>
      </c>
      <c r="P1530"/>
    </row>
    <row r="1531" spans="1:16" hidden="1" x14ac:dyDescent="0.35">
      <c r="A1531" t="s">
        <v>4570</v>
      </c>
      <c r="B1531" s="3" t="s">
        <v>204</v>
      </c>
      <c r="C1531" s="3"/>
      <c r="D1531" s="3"/>
      <c r="E1531" s="3"/>
      <c r="F1531" t="s">
        <v>5542</v>
      </c>
      <c r="G1531" t="s">
        <v>5543</v>
      </c>
      <c r="H1531">
        <v>3</v>
      </c>
      <c r="I1531" s="3" t="s">
        <v>5549</v>
      </c>
      <c r="J1531" t="s">
        <v>5558</v>
      </c>
      <c r="K1531" t="s">
        <v>229</v>
      </c>
      <c r="L1531" t="s">
        <v>5558</v>
      </c>
      <c r="M1531" t="s">
        <v>5559</v>
      </c>
      <c r="O1531" s="6" t="s">
        <v>5560</v>
      </c>
      <c r="P1531"/>
    </row>
    <row r="1532" spans="1:16" hidden="1" x14ac:dyDescent="0.35">
      <c r="A1532" t="s">
        <v>5561</v>
      </c>
      <c r="B1532" s="3" t="s">
        <v>204</v>
      </c>
      <c r="C1532" s="3"/>
      <c r="D1532" s="3"/>
      <c r="E1532" s="3"/>
      <c r="F1532" t="s">
        <v>5542</v>
      </c>
      <c r="G1532" t="s">
        <v>5543</v>
      </c>
      <c r="H1532">
        <v>4</v>
      </c>
      <c r="I1532" s="3" t="s">
        <v>5549</v>
      </c>
      <c r="J1532" t="s">
        <v>5562</v>
      </c>
      <c r="K1532" t="s">
        <v>229</v>
      </c>
      <c r="L1532" t="s">
        <v>5563</v>
      </c>
      <c r="M1532" t="s">
        <v>5564</v>
      </c>
      <c r="O1532" t="s">
        <v>5565</v>
      </c>
      <c r="P1532"/>
    </row>
    <row r="1533" spans="1:16" ht="29" hidden="1" x14ac:dyDescent="0.35">
      <c r="A1533" t="s">
        <v>5561</v>
      </c>
      <c r="B1533" s="3" t="s">
        <v>204</v>
      </c>
      <c r="C1533" s="3"/>
      <c r="D1533" s="3"/>
      <c r="E1533" s="3"/>
      <c r="F1533" t="s">
        <v>5542</v>
      </c>
      <c r="G1533" t="s">
        <v>5543</v>
      </c>
      <c r="H1533">
        <v>5</v>
      </c>
      <c r="I1533" s="3" t="s">
        <v>5566</v>
      </c>
      <c r="J1533" t="s">
        <v>5567</v>
      </c>
      <c r="K1533" t="s">
        <v>241</v>
      </c>
      <c r="L1533" t="s">
        <v>5567</v>
      </c>
      <c r="M1533" t="s">
        <v>5568</v>
      </c>
      <c r="O1533" t="s">
        <v>5569</v>
      </c>
      <c r="P1533"/>
    </row>
    <row r="1534" spans="1:16" ht="29" hidden="1" x14ac:dyDescent="0.35">
      <c r="A1534" t="s">
        <v>5561</v>
      </c>
      <c r="B1534" s="3" t="s">
        <v>204</v>
      </c>
      <c r="C1534" s="3"/>
      <c r="D1534" s="3"/>
      <c r="E1534" s="3"/>
      <c r="F1534" t="s">
        <v>5542</v>
      </c>
      <c r="G1534" t="s">
        <v>5543</v>
      </c>
      <c r="H1534">
        <v>6</v>
      </c>
      <c r="I1534" s="3" t="s">
        <v>5566</v>
      </c>
      <c r="J1534" t="s">
        <v>5570</v>
      </c>
      <c r="K1534" t="s">
        <v>241</v>
      </c>
      <c r="L1534" t="s">
        <v>5570</v>
      </c>
      <c r="M1534" t="s">
        <v>5571</v>
      </c>
      <c r="O1534" t="s">
        <v>5572</v>
      </c>
      <c r="P1534"/>
    </row>
    <row r="1535" spans="1:16" ht="29" hidden="1" x14ac:dyDescent="0.35">
      <c r="A1535" t="s">
        <v>5561</v>
      </c>
      <c r="B1535" s="3" t="s">
        <v>204</v>
      </c>
      <c r="C1535" s="3"/>
      <c r="D1535" s="3"/>
      <c r="E1535" s="3"/>
      <c r="F1535" t="s">
        <v>5542</v>
      </c>
      <c r="G1535" t="s">
        <v>5543</v>
      </c>
      <c r="H1535">
        <v>7</v>
      </c>
      <c r="I1535" s="3" t="s">
        <v>5566</v>
      </c>
      <c r="J1535" t="s">
        <v>5573</v>
      </c>
      <c r="K1535" t="s">
        <v>241</v>
      </c>
      <c r="L1535" t="s">
        <v>5573</v>
      </c>
      <c r="M1535" t="s">
        <v>5574</v>
      </c>
      <c r="O1535" t="s">
        <v>5575</v>
      </c>
      <c r="P1535"/>
    </row>
    <row r="1536" spans="1:16" ht="29" hidden="1" x14ac:dyDescent="0.35">
      <c r="A1536" t="s">
        <v>5561</v>
      </c>
      <c r="B1536" s="3" t="s">
        <v>204</v>
      </c>
      <c r="C1536" s="3"/>
      <c r="D1536" s="3"/>
      <c r="E1536" s="3"/>
      <c r="F1536" t="s">
        <v>5542</v>
      </c>
      <c r="G1536" t="s">
        <v>5543</v>
      </c>
      <c r="H1536">
        <v>8</v>
      </c>
      <c r="I1536" s="3" t="s">
        <v>5566</v>
      </c>
      <c r="J1536" t="s">
        <v>5576</v>
      </c>
      <c r="K1536" t="s">
        <v>241</v>
      </c>
      <c r="L1536" t="s">
        <v>5576</v>
      </c>
      <c r="M1536" t="s">
        <v>5577</v>
      </c>
      <c r="O1536" t="s">
        <v>5578</v>
      </c>
      <c r="P1536"/>
    </row>
    <row r="1537" spans="1:16" ht="29" hidden="1" x14ac:dyDescent="0.35">
      <c r="A1537" t="s">
        <v>5561</v>
      </c>
      <c r="B1537" s="3" t="s">
        <v>204</v>
      </c>
      <c r="C1537" s="3"/>
      <c r="D1537" s="3"/>
      <c r="E1537" s="3"/>
      <c r="F1537" t="s">
        <v>5542</v>
      </c>
      <c r="G1537" t="s">
        <v>5543</v>
      </c>
      <c r="H1537">
        <v>9</v>
      </c>
      <c r="I1537" s="3" t="s">
        <v>5566</v>
      </c>
      <c r="J1537" t="s">
        <v>5579</v>
      </c>
      <c r="K1537" t="s">
        <v>241</v>
      </c>
      <c r="L1537" t="s">
        <v>5580</v>
      </c>
      <c r="M1537" t="s">
        <v>5581</v>
      </c>
      <c r="O1537" t="s">
        <v>5582</v>
      </c>
      <c r="P1537"/>
    </row>
    <row r="1538" spans="1:16" ht="29" hidden="1" x14ac:dyDescent="0.35">
      <c r="A1538" t="s">
        <v>5561</v>
      </c>
      <c r="B1538" s="3" t="s">
        <v>204</v>
      </c>
      <c r="C1538" s="3"/>
      <c r="D1538" s="3"/>
      <c r="E1538" s="3"/>
      <c r="F1538" t="s">
        <v>5542</v>
      </c>
      <c r="G1538" t="s">
        <v>5543</v>
      </c>
      <c r="H1538">
        <v>10</v>
      </c>
      <c r="I1538" s="3" t="s">
        <v>5566</v>
      </c>
      <c r="J1538" t="s">
        <v>5583</v>
      </c>
      <c r="K1538" t="s">
        <v>253</v>
      </c>
      <c r="L1538" t="s">
        <v>5584</v>
      </c>
      <c r="M1538" t="s">
        <v>5585</v>
      </c>
      <c r="O1538" t="s">
        <v>5586</v>
      </c>
      <c r="P1538"/>
    </row>
    <row r="1539" spans="1:16" ht="29" hidden="1" x14ac:dyDescent="0.35">
      <c r="A1539" t="s">
        <v>5561</v>
      </c>
      <c r="B1539" s="3" t="s">
        <v>204</v>
      </c>
      <c r="C1539" s="3"/>
      <c r="D1539" s="3"/>
      <c r="E1539" s="3"/>
      <c r="F1539" t="s">
        <v>5542</v>
      </c>
      <c r="G1539" t="s">
        <v>5543</v>
      </c>
      <c r="H1539">
        <v>11</v>
      </c>
      <c r="I1539" s="3" t="s">
        <v>5566</v>
      </c>
      <c r="J1539" t="s">
        <v>5587</v>
      </c>
      <c r="K1539" t="s">
        <v>1198</v>
      </c>
      <c r="L1539" t="s">
        <v>5588</v>
      </c>
      <c r="M1539" t="s">
        <v>5589</v>
      </c>
      <c r="O1539" t="s">
        <v>5590</v>
      </c>
      <c r="P1539"/>
    </row>
    <row r="1540" spans="1:16" ht="29" hidden="1" x14ac:dyDescent="0.35">
      <c r="A1540" t="s">
        <v>5561</v>
      </c>
      <c r="B1540" s="3" t="s">
        <v>204</v>
      </c>
      <c r="C1540" s="3"/>
      <c r="D1540" s="3"/>
      <c r="E1540" s="3"/>
      <c r="F1540" t="s">
        <v>5542</v>
      </c>
      <c r="G1540" t="s">
        <v>5543</v>
      </c>
      <c r="H1540">
        <v>12</v>
      </c>
      <c r="I1540" s="3" t="s">
        <v>5566</v>
      </c>
      <c r="J1540" t="s">
        <v>5591</v>
      </c>
      <c r="K1540" t="s">
        <v>229</v>
      </c>
      <c r="L1540" t="s">
        <v>5592</v>
      </c>
      <c r="M1540" t="s">
        <v>5593</v>
      </c>
      <c r="O1540" t="s">
        <v>5547</v>
      </c>
      <c r="P1540"/>
    </row>
    <row r="1541" spans="1:16" ht="29" hidden="1" x14ac:dyDescent="0.35">
      <c r="A1541" t="s">
        <v>5561</v>
      </c>
      <c r="B1541" s="3" t="s">
        <v>204</v>
      </c>
      <c r="C1541" s="3"/>
      <c r="D1541" s="3"/>
      <c r="E1541" s="3"/>
      <c r="F1541" t="s">
        <v>381</v>
      </c>
      <c r="H1541" t="s">
        <v>5594</v>
      </c>
      <c r="I1541" s="3" t="s">
        <v>5566</v>
      </c>
      <c r="J1541" t="s">
        <v>5595</v>
      </c>
      <c r="K1541" t="s">
        <v>229</v>
      </c>
      <c r="L1541" t="s">
        <v>230</v>
      </c>
      <c r="M1541" t="s">
        <v>5518</v>
      </c>
      <c r="O1541" t="s">
        <v>5519</v>
      </c>
      <c r="P1541"/>
    </row>
    <row r="1542" spans="1:16" ht="29" hidden="1" x14ac:dyDescent="0.35">
      <c r="A1542" t="s">
        <v>5561</v>
      </c>
      <c r="B1542" s="3" t="s">
        <v>204</v>
      </c>
      <c r="C1542" s="3"/>
      <c r="D1542" s="3"/>
      <c r="E1542" s="3"/>
      <c r="F1542" t="s">
        <v>381</v>
      </c>
      <c r="H1542" t="s">
        <v>5596</v>
      </c>
      <c r="I1542" s="3" t="s">
        <v>5566</v>
      </c>
      <c r="J1542" t="s">
        <v>5597</v>
      </c>
      <c r="K1542" t="s">
        <v>229</v>
      </c>
      <c r="L1542" t="s">
        <v>233</v>
      </c>
      <c r="M1542" t="s">
        <v>5598</v>
      </c>
      <c r="O1542" t="s">
        <v>5599</v>
      </c>
      <c r="P1542"/>
    </row>
    <row r="1543" spans="1:16" ht="29" hidden="1" x14ac:dyDescent="0.35">
      <c r="A1543" t="s">
        <v>5561</v>
      </c>
      <c r="B1543" s="3" t="s">
        <v>204</v>
      </c>
      <c r="C1543" s="3"/>
      <c r="D1543" s="3"/>
      <c r="E1543" s="3"/>
      <c r="F1543" t="s">
        <v>413</v>
      </c>
      <c r="H1543" t="s">
        <v>5600</v>
      </c>
      <c r="I1543" s="3" t="s">
        <v>5566</v>
      </c>
      <c r="J1543" t="s">
        <v>5601</v>
      </c>
      <c r="K1543" t="s">
        <v>229</v>
      </c>
      <c r="L1543" t="s">
        <v>5602</v>
      </c>
      <c r="M1543" t="s">
        <v>5603</v>
      </c>
      <c r="O1543" t="s">
        <v>5604</v>
      </c>
      <c r="P1543"/>
    </row>
    <row r="1544" spans="1:16" hidden="1" x14ac:dyDescent="0.35">
      <c r="A1544" t="s">
        <v>5561</v>
      </c>
      <c r="B1544" s="3" t="s">
        <v>204</v>
      </c>
      <c r="C1544" s="3"/>
      <c r="D1544" s="3"/>
      <c r="E1544" s="3"/>
      <c r="F1544" t="s">
        <v>413</v>
      </c>
      <c r="H1544" t="s">
        <v>5605</v>
      </c>
      <c r="I1544" s="3" t="s">
        <v>5483</v>
      </c>
      <c r="J1544" t="s">
        <v>5606</v>
      </c>
      <c r="K1544" t="s">
        <v>229</v>
      </c>
      <c r="L1544" t="s">
        <v>5607</v>
      </c>
      <c r="M1544" t="s">
        <v>5608</v>
      </c>
      <c r="O1544" t="s">
        <v>5609</v>
      </c>
      <c r="P1544"/>
    </row>
    <row r="1545" spans="1:16" hidden="1" x14ac:dyDescent="0.35">
      <c r="A1545" t="s">
        <v>5561</v>
      </c>
      <c r="B1545" s="3" t="s">
        <v>204</v>
      </c>
      <c r="C1545" s="3"/>
      <c r="D1545" s="3"/>
      <c r="E1545" s="3"/>
      <c r="F1545" t="s">
        <v>413</v>
      </c>
      <c r="H1545" t="s">
        <v>5610</v>
      </c>
      <c r="I1545" s="3" t="s">
        <v>5483</v>
      </c>
      <c r="J1545" t="s">
        <v>5611</v>
      </c>
      <c r="K1545" t="s">
        <v>229</v>
      </c>
      <c r="L1545" t="s">
        <v>5612</v>
      </c>
      <c r="M1545" t="s">
        <v>5613</v>
      </c>
      <c r="P1545"/>
    </row>
    <row r="1546" spans="1:16" hidden="1" x14ac:dyDescent="0.35">
      <c r="A1546" t="s">
        <v>5561</v>
      </c>
      <c r="B1546" s="3" t="s">
        <v>204</v>
      </c>
      <c r="C1546" s="3"/>
      <c r="D1546" s="3"/>
      <c r="E1546" s="3"/>
      <c r="F1546" t="s">
        <v>413</v>
      </c>
      <c r="H1546" t="s">
        <v>5614</v>
      </c>
      <c r="I1546" s="3" t="s">
        <v>5483</v>
      </c>
      <c r="J1546" t="s">
        <v>5615</v>
      </c>
      <c r="K1546" t="s">
        <v>229</v>
      </c>
      <c r="L1546" t="s">
        <v>5523</v>
      </c>
      <c r="M1546" t="s">
        <v>5524</v>
      </c>
      <c r="O1546" t="s">
        <v>5525</v>
      </c>
      <c r="P1546"/>
    </row>
    <row r="1547" spans="1:16" hidden="1" x14ac:dyDescent="0.35">
      <c r="A1547" t="s">
        <v>5561</v>
      </c>
      <c r="B1547" s="3" t="s">
        <v>204</v>
      </c>
      <c r="C1547" s="3"/>
      <c r="D1547" s="3"/>
      <c r="E1547" s="3"/>
      <c r="F1547" t="s">
        <v>413</v>
      </c>
      <c r="H1547" t="s">
        <v>5616</v>
      </c>
      <c r="I1547" s="3" t="s">
        <v>5483</v>
      </c>
      <c r="J1547" t="s">
        <v>5617</v>
      </c>
      <c r="K1547" t="s">
        <v>229</v>
      </c>
      <c r="L1547" t="s">
        <v>5528</v>
      </c>
      <c r="M1547" t="s">
        <v>5529</v>
      </c>
      <c r="O1547" t="s">
        <v>5530</v>
      </c>
      <c r="P1547"/>
    </row>
    <row r="1548" spans="1:16" ht="261" hidden="1" x14ac:dyDescent="0.35">
      <c r="A1548" t="s">
        <v>5561</v>
      </c>
      <c r="B1548" s="3" t="s">
        <v>204</v>
      </c>
      <c r="C1548" s="3"/>
      <c r="D1548" s="3"/>
      <c r="E1548" s="3"/>
      <c r="F1548" t="s">
        <v>423</v>
      </c>
      <c r="H1548">
        <v>3</v>
      </c>
      <c r="I1548" s="3" t="s">
        <v>570</v>
      </c>
      <c r="J1548" s="5" t="s">
        <v>5618</v>
      </c>
      <c r="K1548" t="s">
        <v>5619</v>
      </c>
      <c r="L1548" t="s">
        <v>5620</v>
      </c>
      <c r="M1548" t="s">
        <v>5621</v>
      </c>
      <c r="P1548"/>
    </row>
    <row r="1549" spans="1:16" hidden="1" x14ac:dyDescent="0.35">
      <c r="A1549" t="s">
        <v>5561</v>
      </c>
      <c r="B1549" s="3" t="s">
        <v>204</v>
      </c>
      <c r="C1549" s="3"/>
      <c r="D1549" s="3"/>
      <c r="E1549" s="3"/>
      <c r="F1549" t="s">
        <v>423</v>
      </c>
      <c r="H1549" t="s">
        <v>5622</v>
      </c>
      <c r="I1549" s="3" t="s">
        <v>570</v>
      </c>
      <c r="J1549" t="s">
        <v>5623</v>
      </c>
      <c r="K1549" t="s">
        <v>253</v>
      </c>
      <c r="L1549" t="s">
        <v>5624</v>
      </c>
      <c r="M1549" t="s">
        <v>5625</v>
      </c>
      <c r="P1549"/>
    </row>
    <row r="1550" spans="1:16" hidden="1" x14ac:dyDescent="0.35">
      <c r="A1550" t="s">
        <v>5561</v>
      </c>
      <c r="B1550" s="3" t="s">
        <v>204</v>
      </c>
      <c r="C1550" s="3"/>
      <c r="D1550" s="3"/>
      <c r="E1550" s="3"/>
      <c r="F1550" t="s">
        <v>423</v>
      </c>
      <c r="H1550" t="s">
        <v>5626</v>
      </c>
      <c r="I1550" s="3" t="s">
        <v>5627</v>
      </c>
      <c r="J1550" t="s">
        <v>5628</v>
      </c>
      <c r="K1550" t="s">
        <v>253</v>
      </c>
      <c r="L1550" t="s">
        <v>5629</v>
      </c>
      <c r="M1550" t="s">
        <v>5630</v>
      </c>
      <c r="P1550"/>
    </row>
    <row r="1551" spans="1:16" hidden="1" x14ac:dyDescent="0.35">
      <c r="A1551" t="s">
        <v>5561</v>
      </c>
      <c r="B1551" s="3" t="s">
        <v>204</v>
      </c>
      <c r="C1551" s="3"/>
      <c r="D1551" s="3"/>
      <c r="E1551" s="3"/>
      <c r="F1551" t="s">
        <v>423</v>
      </c>
      <c r="H1551" t="s">
        <v>5631</v>
      </c>
      <c r="I1551" s="3" t="s">
        <v>5627</v>
      </c>
      <c r="J1551" t="s">
        <v>5632</v>
      </c>
      <c r="K1551" t="s">
        <v>253</v>
      </c>
      <c r="L1551" t="s">
        <v>5633</v>
      </c>
      <c r="M1551" t="s">
        <v>5634</v>
      </c>
      <c r="P1551"/>
    </row>
    <row r="1552" spans="1:16" hidden="1" x14ac:dyDescent="0.35">
      <c r="A1552" t="s">
        <v>5561</v>
      </c>
      <c r="B1552" s="3" t="s">
        <v>204</v>
      </c>
      <c r="C1552" s="3"/>
      <c r="D1552" s="3"/>
      <c r="E1552" s="3"/>
      <c r="F1552" t="s">
        <v>423</v>
      </c>
      <c r="H1552" t="s">
        <v>5635</v>
      </c>
      <c r="I1552" s="3" t="s">
        <v>5627</v>
      </c>
      <c r="J1552" t="s">
        <v>5636</v>
      </c>
      <c r="K1552" t="s">
        <v>253</v>
      </c>
      <c r="L1552" t="s">
        <v>5637</v>
      </c>
      <c r="M1552" t="s">
        <v>5638</v>
      </c>
      <c r="P1552"/>
    </row>
    <row r="1553" spans="1:16" hidden="1" x14ac:dyDescent="0.35">
      <c r="A1553" t="s">
        <v>5561</v>
      </c>
      <c r="B1553" s="3" t="s">
        <v>204</v>
      </c>
      <c r="C1553" s="3"/>
      <c r="D1553" s="3"/>
      <c r="E1553" s="3"/>
      <c r="F1553" t="s">
        <v>423</v>
      </c>
      <c r="H1553" t="s">
        <v>5639</v>
      </c>
      <c r="I1553" s="3" t="s">
        <v>5640</v>
      </c>
      <c r="J1553" t="s">
        <v>5641</v>
      </c>
      <c r="K1553" t="s">
        <v>253</v>
      </c>
      <c r="L1553" t="s">
        <v>5642</v>
      </c>
      <c r="M1553" t="s">
        <v>5643</v>
      </c>
      <c r="P1553"/>
    </row>
    <row r="1554" spans="1:16" hidden="1" x14ac:dyDescent="0.35">
      <c r="A1554" t="s">
        <v>5561</v>
      </c>
      <c r="B1554" s="3" t="s">
        <v>204</v>
      </c>
      <c r="C1554" s="3"/>
      <c r="D1554" s="3"/>
      <c r="E1554" s="3"/>
      <c r="F1554" t="s">
        <v>423</v>
      </c>
      <c r="H1554" t="s">
        <v>5644</v>
      </c>
      <c r="I1554" s="3" t="s">
        <v>5640</v>
      </c>
      <c r="J1554" t="s">
        <v>5645</v>
      </c>
      <c r="K1554" t="s">
        <v>253</v>
      </c>
      <c r="L1554" t="s">
        <v>5646</v>
      </c>
      <c r="M1554" t="s">
        <v>5647</v>
      </c>
      <c r="P1554"/>
    </row>
    <row r="1555" spans="1:16" hidden="1" x14ac:dyDescent="0.35">
      <c r="A1555" t="s">
        <v>5561</v>
      </c>
      <c r="B1555" s="3" t="s">
        <v>204</v>
      </c>
      <c r="C1555" s="3"/>
      <c r="D1555" s="3"/>
      <c r="E1555" s="3"/>
      <c r="F1555" t="s">
        <v>423</v>
      </c>
      <c r="H1555" t="s">
        <v>5648</v>
      </c>
      <c r="I1555" s="3" t="s">
        <v>5640</v>
      </c>
      <c r="J1555" t="s">
        <v>5649</v>
      </c>
      <c r="K1555" t="s">
        <v>253</v>
      </c>
      <c r="L1555" t="s">
        <v>5650</v>
      </c>
      <c r="M1555" t="s">
        <v>5651</v>
      </c>
      <c r="P1555"/>
    </row>
    <row r="1556" spans="1:16" hidden="1" x14ac:dyDescent="0.35">
      <c r="A1556" t="s">
        <v>5561</v>
      </c>
      <c r="B1556" s="3" t="s">
        <v>204</v>
      </c>
      <c r="C1556" s="3"/>
      <c r="D1556" s="3"/>
      <c r="E1556" s="3"/>
      <c r="F1556" t="s">
        <v>423</v>
      </c>
      <c r="H1556" t="s">
        <v>5652</v>
      </c>
      <c r="I1556" s="3" t="s">
        <v>5640</v>
      </c>
      <c r="J1556" t="s">
        <v>5653</v>
      </c>
      <c r="K1556" t="s">
        <v>253</v>
      </c>
      <c r="L1556" t="s">
        <v>5654</v>
      </c>
      <c r="M1556" t="s">
        <v>5655</v>
      </c>
      <c r="P1556"/>
    </row>
    <row r="1557" spans="1:16" hidden="1" x14ac:dyDescent="0.35">
      <c r="A1557" t="s">
        <v>5561</v>
      </c>
      <c r="B1557" s="3" t="s">
        <v>204</v>
      </c>
      <c r="C1557" s="3"/>
      <c r="D1557" s="3"/>
      <c r="E1557" s="3"/>
      <c r="F1557" t="s">
        <v>423</v>
      </c>
      <c r="H1557" t="s">
        <v>5656</v>
      </c>
      <c r="I1557" s="3" t="s">
        <v>5537</v>
      </c>
      <c r="J1557" t="s">
        <v>5657</v>
      </c>
      <c r="K1557" t="s">
        <v>253</v>
      </c>
      <c r="L1557" t="s">
        <v>5658</v>
      </c>
      <c r="M1557" t="s">
        <v>5659</v>
      </c>
      <c r="P1557"/>
    </row>
    <row r="1558" spans="1:16" hidden="1" x14ac:dyDescent="0.35">
      <c r="A1558" t="s">
        <v>5561</v>
      </c>
      <c r="B1558" s="3" t="s">
        <v>204</v>
      </c>
      <c r="C1558" s="3"/>
      <c r="D1558" s="3"/>
      <c r="E1558" s="3"/>
      <c r="F1558" t="s">
        <v>423</v>
      </c>
      <c r="H1558" t="s">
        <v>5660</v>
      </c>
      <c r="I1558" s="3" t="s">
        <v>5537</v>
      </c>
      <c r="J1558" t="s">
        <v>5661</v>
      </c>
      <c r="K1558" t="s">
        <v>253</v>
      </c>
      <c r="L1558" t="s">
        <v>5662</v>
      </c>
      <c r="M1558" t="s">
        <v>5663</v>
      </c>
      <c r="P1558"/>
    </row>
    <row r="1559" spans="1:16" hidden="1" x14ac:dyDescent="0.35">
      <c r="A1559" t="s">
        <v>5561</v>
      </c>
      <c r="B1559" s="3" t="s">
        <v>204</v>
      </c>
      <c r="C1559" s="3"/>
      <c r="D1559" s="3"/>
      <c r="E1559" s="3"/>
      <c r="F1559" t="s">
        <v>433</v>
      </c>
      <c r="H1559">
        <v>4</v>
      </c>
      <c r="I1559" s="3" t="s">
        <v>5549</v>
      </c>
      <c r="J1559" t="s">
        <v>5664</v>
      </c>
      <c r="K1559" t="s">
        <v>229</v>
      </c>
      <c r="L1559" t="s">
        <v>5665</v>
      </c>
      <c r="M1559" t="s">
        <v>5666</v>
      </c>
      <c r="P1559"/>
    </row>
    <row r="1560" spans="1:16" hidden="1" x14ac:dyDescent="0.35">
      <c r="A1560" t="s">
        <v>5561</v>
      </c>
      <c r="B1560" s="3" t="s">
        <v>204</v>
      </c>
      <c r="C1560" s="3"/>
      <c r="D1560" s="3"/>
      <c r="E1560" s="3"/>
      <c r="F1560" t="s">
        <v>433</v>
      </c>
      <c r="H1560" t="s">
        <v>5667</v>
      </c>
      <c r="I1560" s="3" t="s">
        <v>5549</v>
      </c>
      <c r="J1560" t="s">
        <v>5668</v>
      </c>
      <c r="K1560" t="s">
        <v>241</v>
      </c>
      <c r="L1560" t="s">
        <v>5669</v>
      </c>
      <c r="M1560" t="s">
        <v>5670</v>
      </c>
      <c r="P1560"/>
    </row>
    <row r="1561" spans="1:16" hidden="1" x14ac:dyDescent="0.35">
      <c r="A1561" t="s">
        <v>5561</v>
      </c>
      <c r="B1561" s="3" t="s">
        <v>204</v>
      </c>
      <c r="C1561" s="3"/>
      <c r="D1561" s="3"/>
      <c r="E1561" s="3"/>
      <c r="F1561" t="s">
        <v>433</v>
      </c>
      <c r="H1561" t="s">
        <v>5671</v>
      </c>
      <c r="I1561" s="3" t="s">
        <v>5549</v>
      </c>
      <c r="J1561" t="s">
        <v>5672</v>
      </c>
      <c r="K1561" t="s">
        <v>1198</v>
      </c>
      <c r="L1561" t="s">
        <v>5588</v>
      </c>
      <c r="M1561" t="s">
        <v>5673</v>
      </c>
      <c r="P1561"/>
    </row>
    <row r="1562" spans="1:16" hidden="1" x14ac:dyDescent="0.35">
      <c r="A1562" t="s">
        <v>5561</v>
      </c>
      <c r="B1562" s="3" t="s">
        <v>204</v>
      </c>
      <c r="C1562" s="3"/>
      <c r="D1562" s="3"/>
      <c r="E1562" s="3"/>
      <c r="F1562" t="s">
        <v>433</v>
      </c>
      <c r="H1562" t="s">
        <v>5674</v>
      </c>
      <c r="I1562" s="3" t="s">
        <v>5549</v>
      </c>
      <c r="J1562" t="s">
        <v>5675</v>
      </c>
      <c r="K1562" t="s">
        <v>229</v>
      </c>
      <c r="L1562" t="s">
        <v>5676</v>
      </c>
      <c r="M1562" t="s">
        <v>5677</v>
      </c>
      <c r="P1562"/>
    </row>
    <row r="1563" spans="1:16" ht="29" hidden="1" x14ac:dyDescent="0.35">
      <c r="A1563" t="s">
        <v>5561</v>
      </c>
      <c r="B1563" s="3" t="s">
        <v>204</v>
      </c>
      <c r="C1563" s="3"/>
      <c r="D1563" s="3"/>
      <c r="E1563" s="3"/>
      <c r="F1563" t="s">
        <v>433</v>
      </c>
      <c r="H1563" t="s">
        <v>5678</v>
      </c>
      <c r="I1563" s="3" t="s">
        <v>5679</v>
      </c>
      <c r="J1563" t="s">
        <v>5680</v>
      </c>
      <c r="K1563" t="s">
        <v>241</v>
      </c>
      <c r="L1563" t="s">
        <v>5567</v>
      </c>
      <c r="M1563" t="s">
        <v>5681</v>
      </c>
      <c r="P1563"/>
    </row>
    <row r="1564" spans="1:16" ht="29" hidden="1" x14ac:dyDescent="0.35">
      <c r="A1564" t="s">
        <v>5561</v>
      </c>
      <c r="B1564" s="3" t="s">
        <v>204</v>
      </c>
      <c r="C1564" s="3"/>
      <c r="D1564" s="3"/>
      <c r="E1564" s="3"/>
      <c r="F1564" t="s">
        <v>433</v>
      </c>
      <c r="H1564" t="s">
        <v>5682</v>
      </c>
      <c r="I1564" s="3" t="s">
        <v>5679</v>
      </c>
      <c r="J1564" t="s">
        <v>5683</v>
      </c>
      <c r="K1564" t="s">
        <v>241</v>
      </c>
      <c r="L1564" t="s">
        <v>5570</v>
      </c>
      <c r="M1564" t="s">
        <v>5684</v>
      </c>
      <c r="P1564"/>
    </row>
    <row r="1565" spans="1:16" ht="29" hidden="1" x14ac:dyDescent="0.35">
      <c r="A1565" t="s">
        <v>5561</v>
      </c>
      <c r="B1565" s="3" t="s">
        <v>204</v>
      </c>
      <c r="C1565" s="3"/>
      <c r="D1565" s="3"/>
      <c r="E1565" s="3"/>
      <c r="F1565" t="s">
        <v>433</v>
      </c>
      <c r="H1565" t="s">
        <v>5685</v>
      </c>
      <c r="I1565" s="3" t="s">
        <v>5679</v>
      </c>
      <c r="J1565" t="s">
        <v>5686</v>
      </c>
      <c r="K1565" t="s">
        <v>241</v>
      </c>
      <c r="L1565" t="s">
        <v>5573</v>
      </c>
      <c r="P1565"/>
    </row>
    <row r="1566" spans="1:16" ht="58" hidden="1" x14ac:dyDescent="0.35">
      <c r="A1566" t="s">
        <v>5561</v>
      </c>
      <c r="B1566" s="3" t="s">
        <v>204</v>
      </c>
      <c r="C1566" s="3"/>
      <c r="D1566" s="3"/>
      <c r="E1566" s="3"/>
      <c r="F1566" t="s">
        <v>451</v>
      </c>
      <c r="G1566" s="5" t="s">
        <v>5687</v>
      </c>
      <c r="I1566" s="3" t="s">
        <v>5679</v>
      </c>
      <c r="J1566" s="5" t="s">
        <v>5688</v>
      </c>
      <c r="K1566" t="s">
        <v>253</v>
      </c>
      <c r="L1566" t="s">
        <v>5689</v>
      </c>
      <c r="M1566" t="s">
        <v>5690</v>
      </c>
      <c r="P1566"/>
    </row>
    <row r="1567" spans="1:16" ht="130.5" hidden="1" x14ac:dyDescent="0.35">
      <c r="A1567" t="s">
        <v>5561</v>
      </c>
      <c r="B1567" s="3" t="s">
        <v>204</v>
      </c>
      <c r="C1567" s="3"/>
      <c r="D1567" s="3"/>
      <c r="E1567" s="3"/>
      <c r="F1567" t="s">
        <v>468</v>
      </c>
      <c r="G1567" s="5" t="s">
        <v>5691</v>
      </c>
      <c r="I1567" s="3" t="s">
        <v>5679</v>
      </c>
      <c r="J1567" s="5" t="s">
        <v>5692</v>
      </c>
      <c r="K1567" t="s">
        <v>5693</v>
      </c>
      <c r="L1567" t="s">
        <v>5694</v>
      </c>
      <c r="M1567" t="s">
        <v>5695</v>
      </c>
      <c r="P1567"/>
    </row>
    <row r="1568" spans="1:16" ht="101.5" hidden="1" x14ac:dyDescent="0.35">
      <c r="A1568" t="s">
        <v>5561</v>
      </c>
      <c r="B1568" s="3" t="s">
        <v>204</v>
      </c>
      <c r="C1568" s="3"/>
      <c r="D1568" s="3"/>
      <c r="E1568" s="3"/>
      <c r="F1568" t="s">
        <v>484</v>
      </c>
      <c r="G1568" s="5" t="s">
        <v>5696</v>
      </c>
      <c r="I1568" s="3" t="s">
        <v>5679</v>
      </c>
      <c r="J1568" s="5" t="s">
        <v>5697</v>
      </c>
      <c r="K1568" t="s">
        <v>5693</v>
      </c>
      <c r="L1568" t="s">
        <v>5698</v>
      </c>
      <c r="M1568" t="s">
        <v>5696</v>
      </c>
      <c r="P1568"/>
    </row>
    <row r="1569" spans="1:16" ht="72.5" hidden="1" x14ac:dyDescent="0.35">
      <c r="A1569" t="s">
        <v>5561</v>
      </c>
      <c r="B1569" s="3" t="s">
        <v>204</v>
      </c>
      <c r="C1569" s="3"/>
      <c r="D1569" s="3"/>
      <c r="E1569" s="3"/>
      <c r="F1569" t="s">
        <v>494</v>
      </c>
      <c r="G1569" s="5" t="s">
        <v>5699</v>
      </c>
      <c r="I1569" s="3" t="s">
        <v>5679</v>
      </c>
      <c r="J1569" s="5" t="s">
        <v>5700</v>
      </c>
      <c r="K1569" t="s">
        <v>5693</v>
      </c>
      <c r="L1569" t="s">
        <v>5701</v>
      </c>
      <c r="M1569" t="s">
        <v>5699</v>
      </c>
      <c r="P1569"/>
    </row>
    <row r="1570" spans="1:16" ht="72.5" hidden="1" x14ac:dyDescent="0.35">
      <c r="A1570" t="s">
        <v>5561</v>
      </c>
      <c r="B1570" s="3" t="s">
        <v>204</v>
      </c>
      <c r="C1570" s="3"/>
      <c r="D1570" s="3"/>
      <c r="E1570" s="3"/>
      <c r="F1570" t="s">
        <v>502</v>
      </c>
      <c r="G1570" s="5" t="s">
        <v>5702</v>
      </c>
      <c r="I1570" s="3" t="s">
        <v>5679</v>
      </c>
      <c r="J1570" s="5" t="s">
        <v>5703</v>
      </c>
      <c r="K1570" t="s">
        <v>5693</v>
      </c>
      <c r="L1570" t="s">
        <v>5704</v>
      </c>
      <c r="M1570" t="s">
        <v>5705</v>
      </c>
      <c r="P1570"/>
    </row>
    <row r="1571" spans="1:16" ht="290" hidden="1" x14ac:dyDescent="0.35">
      <c r="A1571" t="s">
        <v>5561</v>
      </c>
      <c r="B1571" s="3" t="s">
        <v>204</v>
      </c>
      <c r="C1571" s="3"/>
      <c r="D1571" s="3"/>
      <c r="E1571" s="3"/>
      <c r="F1571" t="s">
        <v>700</v>
      </c>
      <c r="G1571" t="s">
        <v>5706</v>
      </c>
      <c r="H1571" t="s">
        <v>5707</v>
      </c>
      <c r="I1571" s="3" t="s">
        <v>5679</v>
      </c>
      <c r="J1571" s="5" t="s">
        <v>5708</v>
      </c>
      <c r="K1571" t="s">
        <v>5709</v>
      </c>
      <c r="L1571" t="s">
        <v>5710</v>
      </c>
      <c r="M1571" t="s">
        <v>5711</v>
      </c>
      <c r="P1571"/>
    </row>
    <row r="1572" spans="1:16" ht="58" hidden="1" x14ac:dyDescent="0.35">
      <c r="A1572" t="s">
        <v>5561</v>
      </c>
      <c r="B1572" s="3" t="s">
        <v>102</v>
      </c>
      <c r="C1572" s="3"/>
      <c r="D1572" s="3"/>
      <c r="E1572" s="3"/>
      <c r="F1572" s="7">
        <v>1</v>
      </c>
      <c r="G1572" s="3" t="s">
        <v>345</v>
      </c>
      <c r="H1572" s="7" t="s">
        <v>346</v>
      </c>
      <c r="I1572" s="3" t="s">
        <v>5679</v>
      </c>
      <c r="J1572" s="3" t="s">
        <v>5712</v>
      </c>
      <c r="K1572" s="3" t="s">
        <v>229</v>
      </c>
      <c r="L1572" s="3" t="s">
        <v>5713</v>
      </c>
      <c r="M1572" s="3" t="s">
        <v>5714</v>
      </c>
      <c r="O1572" s="3"/>
      <c r="P1572"/>
    </row>
    <row r="1573" spans="1:16" ht="58" hidden="1" x14ac:dyDescent="0.35">
      <c r="A1573" t="s">
        <v>5561</v>
      </c>
      <c r="B1573" s="3" t="s">
        <v>102</v>
      </c>
      <c r="C1573" s="3"/>
      <c r="D1573" s="3"/>
      <c r="E1573" s="3"/>
      <c r="F1573" s="7">
        <v>1</v>
      </c>
      <c r="G1573" s="3" t="s">
        <v>345</v>
      </c>
      <c r="H1573" s="7" t="s">
        <v>350</v>
      </c>
      <c r="I1573" s="3" t="s">
        <v>5679</v>
      </c>
      <c r="J1573" s="3" t="s">
        <v>5715</v>
      </c>
      <c r="K1573" s="3" t="s">
        <v>229</v>
      </c>
      <c r="L1573" s="3" t="s">
        <v>5716</v>
      </c>
      <c r="M1573" s="3" t="s">
        <v>5717</v>
      </c>
      <c r="O1573" s="3" t="s">
        <v>5718</v>
      </c>
      <c r="P1573"/>
    </row>
    <row r="1574" spans="1:16" ht="58" hidden="1" x14ac:dyDescent="0.35">
      <c r="A1574" t="s">
        <v>5561</v>
      </c>
      <c r="B1574" s="3" t="s">
        <v>102</v>
      </c>
      <c r="C1574" s="3"/>
      <c r="D1574" s="3"/>
      <c r="E1574" s="3"/>
      <c r="F1574" s="7">
        <v>1</v>
      </c>
      <c r="G1574" s="3" t="s">
        <v>345</v>
      </c>
      <c r="H1574" s="7" t="s">
        <v>354</v>
      </c>
      <c r="I1574" s="3" t="s">
        <v>5679</v>
      </c>
      <c r="J1574" s="3" t="s">
        <v>5719</v>
      </c>
      <c r="K1574" s="3" t="s">
        <v>229</v>
      </c>
      <c r="L1574" s="3" t="s">
        <v>5720</v>
      </c>
      <c r="M1574" s="3" t="s">
        <v>5721</v>
      </c>
      <c r="O1574" s="3"/>
      <c r="P1574"/>
    </row>
    <row r="1575" spans="1:16" ht="58" hidden="1" x14ac:dyDescent="0.35">
      <c r="A1575" t="s">
        <v>5561</v>
      </c>
      <c r="B1575" s="3" t="s">
        <v>102</v>
      </c>
      <c r="C1575" s="3"/>
      <c r="D1575" s="3"/>
      <c r="E1575" s="3"/>
      <c r="F1575" s="7">
        <v>2</v>
      </c>
      <c r="G1575" s="3" t="s">
        <v>345</v>
      </c>
      <c r="H1575" s="7" t="s">
        <v>346</v>
      </c>
      <c r="I1575" s="3" t="s">
        <v>5679</v>
      </c>
      <c r="J1575" s="3" t="s">
        <v>5722</v>
      </c>
      <c r="K1575" s="3" t="s">
        <v>229</v>
      </c>
      <c r="L1575" s="3" t="s">
        <v>5723</v>
      </c>
      <c r="M1575" s="3" t="s">
        <v>5724</v>
      </c>
      <c r="O1575" s="3"/>
      <c r="P1575"/>
    </row>
    <row r="1576" spans="1:16" ht="58" hidden="1" x14ac:dyDescent="0.35">
      <c r="A1576" t="s">
        <v>5561</v>
      </c>
      <c r="B1576" s="3" t="s">
        <v>102</v>
      </c>
      <c r="C1576" s="3"/>
      <c r="D1576" s="3"/>
      <c r="E1576" s="3"/>
      <c r="F1576" s="7">
        <v>2</v>
      </c>
      <c r="G1576" s="3" t="s">
        <v>345</v>
      </c>
      <c r="H1576" s="7" t="s">
        <v>350</v>
      </c>
      <c r="I1576" s="3" t="s">
        <v>5679</v>
      </c>
      <c r="J1576" s="3" t="s">
        <v>5725</v>
      </c>
      <c r="K1576" s="3" t="s">
        <v>229</v>
      </c>
      <c r="L1576" s="3" t="s">
        <v>5726</v>
      </c>
      <c r="M1576" s="3" t="s">
        <v>5727</v>
      </c>
      <c r="O1576" s="3" t="s">
        <v>5728</v>
      </c>
      <c r="P1576"/>
    </row>
    <row r="1577" spans="1:16" ht="58" hidden="1" x14ac:dyDescent="0.35">
      <c r="A1577" t="s">
        <v>5561</v>
      </c>
      <c r="B1577" s="3" t="s">
        <v>102</v>
      </c>
      <c r="C1577" s="3"/>
      <c r="D1577" s="3"/>
      <c r="E1577" s="3"/>
      <c r="F1577" s="7">
        <v>2</v>
      </c>
      <c r="G1577" s="3" t="s">
        <v>345</v>
      </c>
      <c r="H1577" s="7" t="s">
        <v>354</v>
      </c>
      <c r="I1577" s="3" t="s">
        <v>5729</v>
      </c>
      <c r="J1577" s="3" t="s">
        <v>5730</v>
      </c>
      <c r="K1577" s="3" t="s">
        <v>229</v>
      </c>
      <c r="L1577" s="3" t="s">
        <v>5731</v>
      </c>
      <c r="M1577" s="3" t="s">
        <v>5732</v>
      </c>
      <c r="O1577" s="3" t="s">
        <v>5733</v>
      </c>
      <c r="P1577"/>
    </row>
    <row r="1578" spans="1:16" ht="58" hidden="1" x14ac:dyDescent="0.35">
      <c r="A1578" t="s">
        <v>5561</v>
      </c>
      <c r="B1578" s="3" t="s">
        <v>102</v>
      </c>
      <c r="C1578" s="3"/>
      <c r="D1578" s="3"/>
      <c r="E1578" s="3"/>
      <c r="F1578" s="7">
        <v>3</v>
      </c>
      <c r="G1578" s="3" t="s">
        <v>345</v>
      </c>
      <c r="H1578" s="7" t="s">
        <v>346</v>
      </c>
      <c r="I1578" s="3" t="s">
        <v>5483</v>
      </c>
      <c r="J1578" s="3" t="s">
        <v>5734</v>
      </c>
      <c r="K1578" s="3" t="s">
        <v>229</v>
      </c>
      <c r="L1578" s="3" t="s">
        <v>5735</v>
      </c>
      <c r="M1578" s="3" t="s">
        <v>5736</v>
      </c>
      <c r="O1578" s="3"/>
      <c r="P1578"/>
    </row>
    <row r="1579" spans="1:16" ht="58" hidden="1" x14ac:dyDescent="0.35">
      <c r="A1579" t="s">
        <v>5561</v>
      </c>
      <c r="B1579" s="3" t="s">
        <v>102</v>
      </c>
      <c r="C1579" s="3"/>
      <c r="D1579" s="3"/>
      <c r="E1579" s="3"/>
      <c r="F1579" s="7">
        <v>3</v>
      </c>
      <c r="G1579" s="3" t="s">
        <v>345</v>
      </c>
      <c r="H1579" s="7" t="s">
        <v>350</v>
      </c>
      <c r="I1579" s="3" t="s">
        <v>5483</v>
      </c>
      <c r="J1579" s="3" t="s">
        <v>5737</v>
      </c>
      <c r="K1579" s="3" t="s">
        <v>229</v>
      </c>
      <c r="L1579" s="3" t="s">
        <v>5738</v>
      </c>
      <c r="M1579" s="3" t="s">
        <v>5739</v>
      </c>
      <c r="O1579" s="3"/>
      <c r="P1579"/>
    </row>
    <row r="1580" spans="1:16" ht="58" hidden="1" x14ac:dyDescent="0.35">
      <c r="A1580" t="s">
        <v>5561</v>
      </c>
      <c r="B1580" s="3" t="s">
        <v>102</v>
      </c>
      <c r="C1580" s="3"/>
      <c r="D1580" s="3"/>
      <c r="E1580" s="3"/>
      <c r="F1580" s="7">
        <v>3</v>
      </c>
      <c r="G1580" s="3" t="s">
        <v>345</v>
      </c>
      <c r="H1580" s="7" t="s">
        <v>354</v>
      </c>
      <c r="I1580" s="3" t="s">
        <v>5483</v>
      </c>
      <c r="J1580" s="3" t="s">
        <v>5740</v>
      </c>
      <c r="K1580" s="3" t="s">
        <v>229</v>
      </c>
      <c r="L1580" s="3" t="s">
        <v>5741</v>
      </c>
      <c r="M1580" s="3" t="s">
        <v>5742</v>
      </c>
      <c r="O1580" s="3" t="s">
        <v>5743</v>
      </c>
      <c r="P1580"/>
    </row>
    <row r="1581" spans="1:16" ht="58" hidden="1" x14ac:dyDescent="0.35">
      <c r="A1581" s="3" t="s">
        <v>5744</v>
      </c>
      <c r="B1581" s="3" t="s">
        <v>102</v>
      </c>
      <c r="C1581" s="3"/>
      <c r="D1581" s="3"/>
      <c r="E1581" s="3"/>
      <c r="F1581" s="7">
        <v>4</v>
      </c>
      <c r="G1581" s="3" t="s">
        <v>345</v>
      </c>
      <c r="H1581" s="7" t="s">
        <v>346</v>
      </c>
      <c r="I1581" s="3" t="s">
        <v>5483</v>
      </c>
      <c r="J1581" s="3" t="s">
        <v>5745</v>
      </c>
      <c r="K1581" s="3" t="s">
        <v>229</v>
      </c>
      <c r="L1581" s="3" t="s">
        <v>5746</v>
      </c>
      <c r="M1581" s="3" t="s">
        <v>5747</v>
      </c>
      <c r="O1581" s="3"/>
      <c r="P1581"/>
    </row>
    <row r="1582" spans="1:16" ht="58" hidden="1" x14ac:dyDescent="0.35">
      <c r="A1582" s="3" t="s">
        <v>5744</v>
      </c>
      <c r="B1582" s="3" t="s">
        <v>102</v>
      </c>
      <c r="C1582" s="3"/>
      <c r="D1582" s="3"/>
      <c r="E1582" s="3"/>
      <c r="F1582" s="7">
        <v>4</v>
      </c>
      <c r="G1582" s="3" t="s">
        <v>345</v>
      </c>
      <c r="H1582" s="7" t="s">
        <v>350</v>
      </c>
      <c r="I1582" s="3" t="s">
        <v>570</v>
      </c>
      <c r="J1582" s="3" t="s">
        <v>5748</v>
      </c>
      <c r="K1582" s="3" t="s">
        <v>229</v>
      </c>
      <c r="L1582" s="3" t="s">
        <v>5749</v>
      </c>
      <c r="M1582" s="3" t="s">
        <v>5750</v>
      </c>
      <c r="O1582" s="3" t="s">
        <v>5751</v>
      </c>
      <c r="P1582"/>
    </row>
    <row r="1583" spans="1:16" ht="58" hidden="1" x14ac:dyDescent="0.35">
      <c r="A1583" s="3" t="s">
        <v>5744</v>
      </c>
      <c r="B1583" s="3" t="s">
        <v>102</v>
      </c>
      <c r="C1583" s="3"/>
      <c r="D1583" s="3"/>
      <c r="E1583" s="3"/>
      <c r="F1583" s="7">
        <v>4</v>
      </c>
      <c r="G1583" s="3" t="s">
        <v>345</v>
      </c>
      <c r="H1583" s="7" t="s">
        <v>354</v>
      </c>
      <c r="I1583" s="3" t="s">
        <v>570</v>
      </c>
      <c r="J1583" s="3" t="s">
        <v>5752</v>
      </c>
      <c r="K1583" s="3" t="s">
        <v>229</v>
      </c>
      <c r="L1583" s="3" t="s">
        <v>5753</v>
      </c>
      <c r="M1583" s="3" t="s">
        <v>5754</v>
      </c>
      <c r="O1583" s="3" t="s">
        <v>5755</v>
      </c>
      <c r="P1583"/>
    </row>
    <row r="1584" spans="1:16" ht="58" hidden="1" x14ac:dyDescent="0.35">
      <c r="A1584" s="3" t="s">
        <v>5744</v>
      </c>
      <c r="B1584" s="3" t="s">
        <v>102</v>
      </c>
      <c r="C1584" s="3"/>
      <c r="D1584" s="3"/>
      <c r="E1584" s="3"/>
      <c r="F1584" s="7">
        <v>5</v>
      </c>
      <c r="G1584" s="3" t="s">
        <v>345</v>
      </c>
      <c r="H1584" s="7" t="s">
        <v>346</v>
      </c>
      <c r="I1584" s="3" t="s">
        <v>5756</v>
      </c>
      <c r="J1584" s="3" t="s">
        <v>5757</v>
      </c>
      <c r="K1584" s="3" t="s">
        <v>229</v>
      </c>
      <c r="L1584" s="3" t="s">
        <v>5758</v>
      </c>
      <c r="M1584" s="3" t="s">
        <v>5759</v>
      </c>
      <c r="O1584" s="3" t="s">
        <v>5760</v>
      </c>
      <c r="P1584"/>
    </row>
    <row r="1585" spans="1:16" ht="58" hidden="1" x14ac:dyDescent="0.35">
      <c r="A1585" s="3" t="s">
        <v>5744</v>
      </c>
      <c r="B1585" s="3" t="s">
        <v>102</v>
      </c>
      <c r="C1585" s="3"/>
      <c r="D1585" s="3"/>
      <c r="E1585" s="3"/>
      <c r="F1585" s="7">
        <v>5</v>
      </c>
      <c r="G1585" s="3" t="s">
        <v>345</v>
      </c>
      <c r="H1585" s="7" t="s">
        <v>350</v>
      </c>
      <c r="I1585" s="3" t="s">
        <v>5627</v>
      </c>
      <c r="J1585" s="3" t="s">
        <v>5761</v>
      </c>
      <c r="K1585" s="3" t="s">
        <v>229</v>
      </c>
      <c r="L1585" s="3" t="s">
        <v>5762</v>
      </c>
      <c r="M1585" s="3" t="s">
        <v>5763</v>
      </c>
      <c r="O1585" s="3" t="s">
        <v>5764</v>
      </c>
      <c r="P1585"/>
    </row>
    <row r="1586" spans="1:16" ht="58" hidden="1" x14ac:dyDescent="0.35">
      <c r="A1586" s="3" t="s">
        <v>5744</v>
      </c>
      <c r="B1586" s="3" t="s">
        <v>102</v>
      </c>
      <c r="C1586" s="3"/>
      <c r="D1586" s="3"/>
      <c r="E1586" s="3"/>
      <c r="F1586" s="7">
        <v>5</v>
      </c>
      <c r="G1586" s="3" t="s">
        <v>345</v>
      </c>
      <c r="H1586" s="7" t="s">
        <v>354</v>
      </c>
      <c r="I1586" s="3" t="s">
        <v>5627</v>
      </c>
      <c r="J1586" s="3" t="s">
        <v>5765</v>
      </c>
      <c r="K1586" s="3" t="s">
        <v>229</v>
      </c>
      <c r="L1586" s="3" t="s">
        <v>5766</v>
      </c>
      <c r="M1586" s="3" t="s">
        <v>5767</v>
      </c>
      <c r="O1586" s="3" t="s">
        <v>5768</v>
      </c>
      <c r="P1586"/>
    </row>
    <row r="1587" spans="1:16" ht="58" hidden="1" x14ac:dyDescent="0.35">
      <c r="A1587" s="3" t="s">
        <v>5744</v>
      </c>
      <c r="B1587" s="3" t="s">
        <v>102</v>
      </c>
      <c r="C1587" s="3"/>
      <c r="D1587" s="3"/>
      <c r="E1587" s="3"/>
      <c r="F1587" s="7">
        <v>6</v>
      </c>
      <c r="G1587" s="3" t="s">
        <v>345</v>
      </c>
      <c r="H1587" s="7" t="s">
        <v>346</v>
      </c>
      <c r="I1587" s="3" t="s">
        <v>5627</v>
      </c>
      <c r="J1587" s="3" t="s">
        <v>5769</v>
      </c>
      <c r="K1587" s="3" t="s">
        <v>229</v>
      </c>
      <c r="L1587" s="3" t="s">
        <v>5770</v>
      </c>
      <c r="M1587" s="3" t="s">
        <v>5771</v>
      </c>
      <c r="O1587" s="3" t="s">
        <v>5772</v>
      </c>
      <c r="P1587"/>
    </row>
    <row r="1588" spans="1:16" ht="58" hidden="1" x14ac:dyDescent="0.35">
      <c r="A1588" s="3" t="s">
        <v>5744</v>
      </c>
      <c r="B1588" s="3" t="s">
        <v>102</v>
      </c>
      <c r="C1588" s="3"/>
      <c r="D1588" s="3"/>
      <c r="E1588" s="3"/>
      <c r="F1588" s="7">
        <v>7</v>
      </c>
      <c r="G1588" s="3" t="s">
        <v>345</v>
      </c>
      <c r="H1588" s="7" t="s">
        <v>346</v>
      </c>
      <c r="I1588" s="3" t="s">
        <v>5773</v>
      </c>
      <c r="J1588" s="3" t="s">
        <v>5774</v>
      </c>
      <c r="K1588" s="3" t="s">
        <v>229</v>
      </c>
      <c r="L1588" s="3" t="s">
        <v>5775</v>
      </c>
      <c r="M1588" s="3" t="s">
        <v>5776</v>
      </c>
      <c r="O1588" s="3" t="s">
        <v>5777</v>
      </c>
      <c r="P1588"/>
    </row>
    <row r="1589" spans="1:16" ht="58" hidden="1" x14ac:dyDescent="0.35">
      <c r="A1589" s="3" t="s">
        <v>5744</v>
      </c>
      <c r="B1589" s="3" t="s">
        <v>102</v>
      </c>
      <c r="C1589" s="3"/>
      <c r="D1589" s="3"/>
      <c r="E1589" s="3"/>
      <c r="F1589" s="7">
        <v>7</v>
      </c>
      <c r="G1589" s="3" t="s">
        <v>345</v>
      </c>
      <c r="H1589" s="7" t="s">
        <v>350</v>
      </c>
      <c r="I1589" s="3" t="s">
        <v>5640</v>
      </c>
      <c r="J1589" s="3" t="s">
        <v>5778</v>
      </c>
      <c r="K1589" s="3" t="s">
        <v>229</v>
      </c>
      <c r="L1589" s="3" t="s">
        <v>5779</v>
      </c>
      <c r="M1589" s="3" t="s">
        <v>5780</v>
      </c>
      <c r="O1589" s="3" t="s">
        <v>5781</v>
      </c>
      <c r="P1589"/>
    </row>
    <row r="1590" spans="1:16" ht="58" hidden="1" x14ac:dyDescent="0.35">
      <c r="A1590" s="3" t="s">
        <v>5744</v>
      </c>
      <c r="B1590" s="3" t="s">
        <v>102</v>
      </c>
      <c r="C1590" s="3"/>
      <c r="D1590" s="3"/>
      <c r="E1590" s="3"/>
      <c r="F1590" s="7">
        <v>7</v>
      </c>
      <c r="G1590" s="3" t="s">
        <v>345</v>
      </c>
      <c r="H1590" s="7" t="s">
        <v>354</v>
      </c>
      <c r="I1590" s="3" t="s">
        <v>5640</v>
      </c>
      <c r="J1590" s="3" t="s">
        <v>5782</v>
      </c>
      <c r="K1590" s="3" t="s">
        <v>229</v>
      </c>
      <c r="L1590" s="3" t="s">
        <v>5783</v>
      </c>
      <c r="M1590" s="3" t="s">
        <v>5784</v>
      </c>
      <c r="O1590" s="3" t="s">
        <v>5785</v>
      </c>
      <c r="P1590"/>
    </row>
    <row r="1591" spans="1:16" ht="58" hidden="1" x14ac:dyDescent="0.35">
      <c r="A1591" s="3" t="s">
        <v>5744</v>
      </c>
      <c r="B1591" s="3" t="s">
        <v>102</v>
      </c>
      <c r="C1591" s="3"/>
      <c r="D1591" s="3"/>
      <c r="E1591" s="3"/>
      <c r="F1591" s="7">
        <v>8</v>
      </c>
      <c r="G1591" s="3" t="s">
        <v>345</v>
      </c>
      <c r="H1591" s="7" t="s">
        <v>346</v>
      </c>
      <c r="I1591" s="3" t="s">
        <v>5640</v>
      </c>
      <c r="J1591" s="3" t="s">
        <v>5786</v>
      </c>
      <c r="K1591" s="3" t="s">
        <v>229</v>
      </c>
      <c r="L1591" s="3" t="s">
        <v>5787</v>
      </c>
      <c r="M1591" s="3" t="s">
        <v>5788</v>
      </c>
      <c r="O1591" s="3" t="s">
        <v>5789</v>
      </c>
      <c r="P1591"/>
    </row>
    <row r="1592" spans="1:16" ht="58" hidden="1" x14ac:dyDescent="0.35">
      <c r="A1592" s="3" t="s">
        <v>5744</v>
      </c>
      <c r="B1592" s="3" t="s">
        <v>102</v>
      </c>
      <c r="C1592" s="3"/>
      <c r="D1592" s="3"/>
      <c r="E1592" s="3"/>
      <c r="F1592" s="7">
        <v>8</v>
      </c>
      <c r="G1592" s="3" t="s">
        <v>345</v>
      </c>
      <c r="H1592" s="7" t="s">
        <v>350</v>
      </c>
      <c r="I1592" s="3" t="s">
        <v>5640</v>
      </c>
      <c r="J1592" s="3" t="s">
        <v>5790</v>
      </c>
      <c r="K1592" s="3" t="s">
        <v>229</v>
      </c>
      <c r="L1592" s="3" t="s">
        <v>5791</v>
      </c>
      <c r="M1592" s="3" t="s">
        <v>5792</v>
      </c>
      <c r="O1592" s="3"/>
      <c r="P1592"/>
    </row>
    <row r="1593" spans="1:16" ht="58" hidden="1" x14ac:dyDescent="0.35">
      <c r="A1593" s="3" t="s">
        <v>5744</v>
      </c>
      <c r="B1593" s="3" t="s">
        <v>102</v>
      </c>
      <c r="C1593" s="3"/>
      <c r="D1593" s="3"/>
      <c r="E1593" s="3"/>
      <c r="F1593" s="7">
        <v>8</v>
      </c>
      <c r="G1593" s="3" t="s">
        <v>345</v>
      </c>
      <c r="H1593" s="7" t="s">
        <v>354</v>
      </c>
      <c r="I1593" s="3" t="s">
        <v>5537</v>
      </c>
      <c r="J1593" s="3" t="s">
        <v>5793</v>
      </c>
      <c r="K1593" s="3" t="s">
        <v>229</v>
      </c>
      <c r="L1593" s="3" t="s">
        <v>5794</v>
      </c>
      <c r="M1593" s="3" t="s">
        <v>5795</v>
      </c>
      <c r="O1593" s="3" t="s">
        <v>5796</v>
      </c>
      <c r="P1593"/>
    </row>
    <row r="1594" spans="1:16" ht="58" hidden="1" x14ac:dyDescent="0.35">
      <c r="A1594" s="3" t="s">
        <v>5744</v>
      </c>
      <c r="B1594" s="3" t="s">
        <v>102</v>
      </c>
      <c r="C1594" s="3"/>
      <c r="D1594" s="3"/>
      <c r="E1594" s="3"/>
      <c r="F1594" s="7">
        <v>9</v>
      </c>
      <c r="G1594" s="3" t="s">
        <v>345</v>
      </c>
      <c r="H1594" s="7" t="s">
        <v>346</v>
      </c>
      <c r="I1594" s="3" t="s">
        <v>5537</v>
      </c>
      <c r="J1594" s="3" t="s">
        <v>5797</v>
      </c>
      <c r="K1594" s="3" t="s">
        <v>229</v>
      </c>
      <c r="L1594" s="3" t="s">
        <v>5798</v>
      </c>
      <c r="M1594" s="3" t="s">
        <v>5799</v>
      </c>
      <c r="O1594" s="3" t="s">
        <v>5800</v>
      </c>
      <c r="P1594"/>
    </row>
    <row r="1595" spans="1:16" ht="58" hidden="1" x14ac:dyDescent="0.35">
      <c r="A1595" s="3" t="s">
        <v>5744</v>
      </c>
      <c r="B1595" s="3" t="s">
        <v>102</v>
      </c>
      <c r="C1595" s="3"/>
      <c r="D1595" s="3"/>
      <c r="E1595" s="3"/>
      <c r="F1595" s="7">
        <v>9</v>
      </c>
      <c r="G1595" s="3" t="s">
        <v>345</v>
      </c>
      <c r="H1595" s="7" t="s">
        <v>350</v>
      </c>
      <c r="I1595" s="3" t="s">
        <v>5549</v>
      </c>
      <c r="J1595" s="3" t="s">
        <v>5801</v>
      </c>
      <c r="K1595" s="3" t="s">
        <v>229</v>
      </c>
      <c r="L1595" s="3" t="s">
        <v>5802</v>
      </c>
      <c r="M1595" s="3" t="s">
        <v>5803</v>
      </c>
      <c r="O1595" s="3" t="s">
        <v>5804</v>
      </c>
      <c r="P1595"/>
    </row>
    <row r="1596" spans="1:16" ht="58" hidden="1" x14ac:dyDescent="0.35">
      <c r="A1596" s="3" t="s">
        <v>5744</v>
      </c>
      <c r="B1596" s="3" t="s">
        <v>102</v>
      </c>
      <c r="C1596" s="3"/>
      <c r="D1596" s="3"/>
      <c r="E1596" s="3"/>
      <c r="F1596" s="7">
        <v>10</v>
      </c>
      <c r="G1596" s="3" t="s">
        <v>345</v>
      </c>
      <c r="H1596" s="7" t="s">
        <v>346</v>
      </c>
      <c r="I1596" s="3" t="s">
        <v>5549</v>
      </c>
      <c r="J1596" s="3" t="s">
        <v>5805</v>
      </c>
      <c r="K1596" s="3" t="s">
        <v>229</v>
      </c>
      <c r="L1596" s="3" t="s">
        <v>5806</v>
      </c>
      <c r="M1596" s="3" t="s">
        <v>5807</v>
      </c>
      <c r="O1596" s="3" t="s">
        <v>5808</v>
      </c>
      <c r="P1596"/>
    </row>
    <row r="1597" spans="1:16" ht="58" hidden="1" x14ac:dyDescent="0.35">
      <c r="A1597" s="3" t="s">
        <v>5744</v>
      </c>
      <c r="B1597" s="3" t="s">
        <v>102</v>
      </c>
      <c r="C1597" s="3"/>
      <c r="D1597" s="3"/>
      <c r="E1597" s="3"/>
      <c r="F1597" s="7">
        <v>10</v>
      </c>
      <c r="G1597" s="3" t="s">
        <v>345</v>
      </c>
      <c r="H1597" s="7" t="s">
        <v>350</v>
      </c>
      <c r="I1597" s="3" t="s">
        <v>5549</v>
      </c>
      <c r="J1597" s="3" t="s">
        <v>5809</v>
      </c>
      <c r="K1597" s="3" t="s">
        <v>229</v>
      </c>
      <c r="L1597" s="3" t="s">
        <v>5810</v>
      </c>
      <c r="M1597" s="3" t="s">
        <v>5811</v>
      </c>
      <c r="O1597" s="3" t="s">
        <v>5812</v>
      </c>
      <c r="P1597"/>
    </row>
    <row r="1598" spans="1:16" ht="58" hidden="1" x14ac:dyDescent="0.35">
      <c r="A1598" s="3" t="s">
        <v>5744</v>
      </c>
      <c r="B1598" s="3" t="s">
        <v>102</v>
      </c>
      <c r="C1598" s="3"/>
      <c r="D1598" s="3"/>
      <c r="E1598" s="3"/>
      <c r="F1598" s="7">
        <v>10</v>
      </c>
      <c r="G1598" s="3" t="s">
        <v>345</v>
      </c>
      <c r="H1598" s="7" t="s">
        <v>354</v>
      </c>
      <c r="I1598" s="3" t="s">
        <v>5549</v>
      </c>
      <c r="J1598" s="3" t="s">
        <v>5813</v>
      </c>
      <c r="K1598" s="3" t="s">
        <v>229</v>
      </c>
      <c r="L1598" s="3" t="s">
        <v>5814</v>
      </c>
      <c r="M1598" s="3" t="s">
        <v>5815</v>
      </c>
      <c r="O1598" s="3" t="s">
        <v>5816</v>
      </c>
      <c r="P1598"/>
    </row>
    <row r="1599" spans="1:16" ht="58" hidden="1" x14ac:dyDescent="0.35">
      <c r="A1599" s="3" t="s">
        <v>5744</v>
      </c>
      <c r="B1599" s="3" t="s">
        <v>102</v>
      </c>
      <c r="C1599" s="3"/>
      <c r="D1599" s="3"/>
      <c r="E1599" s="3"/>
      <c r="F1599" s="7">
        <v>10</v>
      </c>
      <c r="G1599" s="3" t="s">
        <v>345</v>
      </c>
      <c r="H1599" s="7" t="s">
        <v>358</v>
      </c>
      <c r="I1599" s="3" t="s">
        <v>5817</v>
      </c>
      <c r="J1599" s="3" t="s">
        <v>5818</v>
      </c>
      <c r="K1599" s="3" t="s">
        <v>229</v>
      </c>
      <c r="L1599" s="3" t="s">
        <v>5819</v>
      </c>
      <c r="M1599" s="3" t="s">
        <v>5820</v>
      </c>
      <c r="O1599" s="3"/>
      <c r="P1599"/>
    </row>
    <row r="1600" spans="1:16" ht="58" hidden="1" x14ac:dyDescent="0.35">
      <c r="A1600" s="3" t="s">
        <v>5744</v>
      </c>
      <c r="B1600" s="3" t="s">
        <v>102</v>
      </c>
      <c r="C1600" s="3"/>
      <c r="D1600" s="3"/>
      <c r="E1600" s="3"/>
      <c r="F1600" s="7">
        <v>11</v>
      </c>
      <c r="G1600" s="3" t="s">
        <v>345</v>
      </c>
      <c r="H1600" s="7" t="s">
        <v>346</v>
      </c>
      <c r="I1600" s="3" t="s">
        <v>5817</v>
      </c>
      <c r="J1600" s="3" t="s">
        <v>5821</v>
      </c>
      <c r="K1600" s="3" t="s">
        <v>229</v>
      </c>
      <c r="L1600" s="3" t="s">
        <v>5822</v>
      </c>
      <c r="M1600" s="3" t="s">
        <v>5823</v>
      </c>
      <c r="O1600" s="3" t="s">
        <v>5824</v>
      </c>
      <c r="P1600"/>
    </row>
    <row r="1601" spans="1:16" ht="58" hidden="1" x14ac:dyDescent="0.35">
      <c r="A1601" s="3" t="s">
        <v>5744</v>
      </c>
      <c r="B1601" s="3" t="s">
        <v>102</v>
      </c>
      <c r="C1601" s="3"/>
      <c r="D1601" s="3"/>
      <c r="E1601" s="3"/>
      <c r="F1601" s="7">
        <v>11</v>
      </c>
      <c r="G1601" s="3" t="s">
        <v>345</v>
      </c>
      <c r="H1601" s="7" t="s">
        <v>350</v>
      </c>
      <c r="I1601" s="3" t="s">
        <v>5817</v>
      </c>
      <c r="J1601" s="3" t="s">
        <v>5825</v>
      </c>
      <c r="K1601" s="3" t="s">
        <v>229</v>
      </c>
      <c r="L1601" s="3" t="s">
        <v>5826</v>
      </c>
      <c r="M1601" s="3" t="s">
        <v>5827</v>
      </c>
      <c r="O1601" s="3" t="s">
        <v>5828</v>
      </c>
      <c r="P1601"/>
    </row>
    <row r="1602" spans="1:16" ht="58" hidden="1" x14ac:dyDescent="0.35">
      <c r="A1602" s="3" t="s">
        <v>5744</v>
      </c>
      <c r="B1602" s="3" t="s">
        <v>102</v>
      </c>
      <c r="C1602" s="3"/>
      <c r="D1602" s="3"/>
      <c r="E1602" s="3"/>
      <c r="F1602" s="7">
        <v>11</v>
      </c>
      <c r="G1602" s="3" t="s">
        <v>345</v>
      </c>
      <c r="H1602" s="7" t="s">
        <v>354</v>
      </c>
      <c r="I1602" s="3" t="s">
        <v>5817</v>
      </c>
      <c r="J1602" s="3" t="s">
        <v>5829</v>
      </c>
      <c r="K1602" s="3" t="s">
        <v>229</v>
      </c>
      <c r="L1602" s="3" t="s">
        <v>5830</v>
      </c>
      <c r="M1602" s="3" t="s">
        <v>5831</v>
      </c>
      <c r="O1602" s="3" t="s">
        <v>5832</v>
      </c>
      <c r="P1602"/>
    </row>
    <row r="1603" spans="1:16" ht="58" hidden="1" x14ac:dyDescent="0.35">
      <c r="A1603" s="3" t="s">
        <v>5744</v>
      </c>
      <c r="B1603" s="3" t="s">
        <v>102</v>
      </c>
      <c r="C1603" s="3"/>
      <c r="D1603" s="3"/>
      <c r="E1603" s="3"/>
      <c r="F1603" s="7">
        <v>11</v>
      </c>
      <c r="G1603" s="3" t="s">
        <v>345</v>
      </c>
      <c r="H1603" s="7" t="s">
        <v>358</v>
      </c>
      <c r="I1603" s="3" t="s">
        <v>5817</v>
      </c>
      <c r="J1603" s="3" t="s">
        <v>5833</v>
      </c>
      <c r="K1603" s="3" t="s">
        <v>229</v>
      </c>
      <c r="L1603" s="3" t="s">
        <v>5834</v>
      </c>
      <c r="M1603" s="3" t="s">
        <v>5835</v>
      </c>
      <c r="O1603" s="3" t="s">
        <v>5836</v>
      </c>
      <c r="P1603"/>
    </row>
    <row r="1604" spans="1:16" ht="58" hidden="1" x14ac:dyDescent="0.35">
      <c r="A1604" s="3" t="s">
        <v>5744</v>
      </c>
      <c r="B1604" s="3" t="s">
        <v>102</v>
      </c>
      <c r="C1604" s="3"/>
      <c r="D1604" s="3"/>
      <c r="E1604" s="3"/>
      <c r="F1604" s="7">
        <v>11</v>
      </c>
      <c r="G1604" s="3" t="s">
        <v>345</v>
      </c>
      <c r="H1604" s="7" t="s">
        <v>362</v>
      </c>
      <c r="I1604" s="3" t="s">
        <v>5817</v>
      </c>
      <c r="J1604" s="3" t="s">
        <v>5837</v>
      </c>
      <c r="K1604" s="3" t="s">
        <v>229</v>
      </c>
      <c r="L1604" s="3" t="s">
        <v>5838</v>
      </c>
      <c r="M1604" s="3" t="s">
        <v>5839</v>
      </c>
      <c r="O1604" s="3" t="s">
        <v>5840</v>
      </c>
      <c r="P1604"/>
    </row>
    <row r="1605" spans="1:16" ht="58" hidden="1" x14ac:dyDescent="0.35">
      <c r="A1605" s="3" t="s">
        <v>5744</v>
      </c>
      <c r="B1605" s="3" t="s">
        <v>102</v>
      </c>
      <c r="C1605" s="3"/>
      <c r="D1605" s="3"/>
      <c r="E1605" s="3"/>
      <c r="F1605" s="7">
        <v>1</v>
      </c>
      <c r="G1605" s="3" t="s">
        <v>5841</v>
      </c>
      <c r="H1605" s="7" t="s">
        <v>346</v>
      </c>
      <c r="I1605" s="3" t="s">
        <v>5817</v>
      </c>
      <c r="J1605" s="3" t="s">
        <v>5842</v>
      </c>
      <c r="K1605" s="3" t="s">
        <v>229</v>
      </c>
      <c r="L1605" s="3" t="s">
        <v>5843</v>
      </c>
      <c r="M1605" s="3" t="s">
        <v>5844</v>
      </c>
      <c r="O1605" s="3" t="s">
        <v>5845</v>
      </c>
      <c r="P1605"/>
    </row>
    <row r="1606" spans="1:16" ht="58" hidden="1" x14ac:dyDescent="0.35">
      <c r="A1606" s="3" t="s">
        <v>5744</v>
      </c>
      <c r="B1606" s="3" t="s">
        <v>102</v>
      </c>
      <c r="C1606" s="3"/>
      <c r="D1606" s="3"/>
      <c r="E1606" s="3"/>
      <c r="F1606" s="7">
        <v>1</v>
      </c>
      <c r="G1606" s="3" t="s">
        <v>5841</v>
      </c>
      <c r="H1606" s="7" t="s">
        <v>350</v>
      </c>
      <c r="I1606" s="3" t="s">
        <v>5817</v>
      </c>
      <c r="J1606" s="3" t="s">
        <v>5846</v>
      </c>
      <c r="K1606" s="3" t="s">
        <v>229</v>
      </c>
      <c r="L1606" s="3" t="s">
        <v>5847</v>
      </c>
      <c r="M1606" s="3" t="s">
        <v>5848</v>
      </c>
      <c r="O1606" s="3" t="s">
        <v>5849</v>
      </c>
      <c r="P1606"/>
    </row>
    <row r="1607" spans="1:16" ht="58" hidden="1" x14ac:dyDescent="0.35">
      <c r="A1607" s="3" t="s">
        <v>5744</v>
      </c>
      <c r="B1607" s="3" t="s">
        <v>102</v>
      </c>
      <c r="C1607" s="3"/>
      <c r="D1607" s="3"/>
      <c r="E1607" s="3"/>
      <c r="F1607" s="7">
        <v>2</v>
      </c>
      <c r="G1607" s="3" t="s">
        <v>5841</v>
      </c>
      <c r="H1607" s="7" t="s">
        <v>346</v>
      </c>
      <c r="I1607" s="3" t="s">
        <v>5817</v>
      </c>
      <c r="J1607" s="3" t="s">
        <v>5850</v>
      </c>
      <c r="K1607" s="3" t="s">
        <v>229</v>
      </c>
      <c r="L1607" s="3" t="s">
        <v>5851</v>
      </c>
      <c r="M1607" s="3" t="s">
        <v>5852</v>
      </c>
      <c r="O1607" s="3" t="s">
        <v>5853</v>
      </c>
      <c r="P1607"/>
    </row>
    <row r="1608" spans="1:16" ht="58" hidden="1" x14ac:dyDescent="0.35">
      <c r="A1608" s="3" t="s">
        <v>5744</v>
      </c>
      <c r="B1608" s="3" t="s">
        <v>102</v>
      </c>
      <c r="C1608" s="3"/>
      <c r="D1608" s="3"/>
      <c r="E1608" s="3"/>
      <c r="F1608" s="7">
        <v>2</v>
      </c>
      <c r="G1608" s="3" t="s">
        <v>5841</v>
      </c>
      <c r="H1608" s="7" t="s">
        <v>350</v>
      </c>
      <c r="I1608" s="3" t="s">
        <v>5817</v>
      </c>
      <c r="J1608" s="3" t="s">
        <v>5854</v>
      </c>
      <c r="K1608" s="3" t="s">
        <v>229</v>
      </c>
      <c r="L1608" s="3" t="s">
        <v>5855</v>
      </c>
      <c r="M1608" s="3" t="s">
        <v>5856</v>
      </c>
      <c r="O1608" s="3" t="s">
        <v>5857</v>
      </c>
      <c r="P1608"/>
    </row>
    <row r="1609" spans="1:16" ht="58" hidden="1" x14ac:dyDescent="0.35">
      <c r="A1609" s="3" t="s">
        <v>5744</v>
      </c>
      <c r="B1609" s="3" t="s">
        <v>102</v>
      </c>
      <c r="C1609" s="3"/>
      <c r="D1609" s="3"/>
      <c r="E1609" s="3"/>
      <c r="F1609" s="7">
        <v>2</v>
      </c>
      <c r="G1609" s="3" t="s">
        <v>5841</v>
      </c>
      <c r="H1609" s="7" t="s">
        <v>5858</v>
      </c>
      <c r="I1609" s="3" t="s">
        <v>5817</v>
      </c>
      <c r="J1609" s="3" t="s">
        <v>5859</v>
      </c>
      <c r="K1609" s="3" t="s">
        <v>229</v>
      </c>
      <c r="L1609" s="3" t="s">
        <v>5860</v>
      </c>
      <c r="M1609" s="3" t="s">
        <v>5861</v>
      </c>
      <c r="O1609" s="3" t="s">
        <v>5862</v>
      </c>
      <c r="P1609"/>
    </row>
    <row r="1610" spans="1:16" ht="58" hidden="1" x14ac:dyDescent="0.35">
      <c r="A1610" s="3" t="s">
        <v>5744</v>
      </c>
      <c r="B1610" s="3" t="s">
        <v>102</v>
      </c>
      <c r="C1610" s="3"/>
      <c r="D1610" s="3"/>
      <c r="E1610" s="3"/>
      <c r="F1610" s="7">
        <v>2</v>
      </c>
      <c r="G1610" s="3" t="s">
        <v>5841</v>
      </c>
      <c r="H1610" s="7" t="s">
        <v>5863</v>
      </c>
      <c r="I1610" s="3" t="s">
        <v>5817</v>
      </c>
      <c r="J1610" s="3" t="s">
        <v>5864</v>
      </c>
      <c r="K1610" s="3" t="s">
        <v>229</v>
      </c>
      <c r="L1610" s="3" t="s">
        <v>5865</v>
      </c>
      <c r="M1610" s="3" t="s">
        <v>5866</v>
      </c>
      <c r="O1610" s="3" t="s">
        <v>5867</v>
      </c>
      <c r="P1610"/>
    </row>
    <row r="1611" spans="1:16" ht="58" hidden="1" x14ac:dyDescent="0.35">
      <c r="A1611" s="3" t="s">
        <v>5744</v>
      </c>
      <c r="B1611" s="3" t="s">
        <v>102</v>
      </c>
      <c r="C1611" s="3"/>
      <c r="D1611" s="3"/>
      <c r="E1611" s="3"/>
      <c r="F1611" s="7">
        <v>2</v>
      </c>
      <c r="G1611" s="3" t="s">
        <v>5841</v>
      </c>
      <c r="H1611" s="7" t="s">
        <v>5868</v>
      </c>
      <c r="I1611" s="3" t="s">
        <v>5817</v>
      </c>
      <c r="J1611" s="3" t="s">
        <v>5869</v>
      </c>
      <c r="K1611" s="3" t="s">
        <v>229</v>
      </c>
      <c r="L1611" s="3" t="s">
        <v>5870</v>
      </c>
      <c r="M1611" s="3" t="s">
        <v>5871</v>
      </c>
      <c r="O1611" s="3" t="s">
        <v>5872</v>
      </c>
      <c r="P1611"/>
    </row>
    <row r="1612" spans="1:16" ht="58" hidden="1" x14ac:dyDescent="0.35">
      <c r="A1612" s="3" t="s">
        <v>5744</v>
      </c>
      <c r="B1612" s="3" t="s">
        <v>102</v>
      </c>
      <c r="C1612" s="3"/>
      <c r="D1612" s="3"/>
      <c r="E1612" s="3"/>
      <c r="F1612" s="7">
        <v>2</v>
      </c>
      <c r="G1612" s="3" t="s">
        <v>5841</v>
      </c>
      <c r="H1612" s="7" t="s">
        <v>5873</v>
      </c>
      <c r="I1612" s="3" t="s">
        <v>5817</v>
      </c>
      <c r="J1612" s="3" t="s">
        <v>5874</v>
      </c>
      <c r="K1612" s="3" t="s">
        <v>229</v>
      </c>
      <c r="L1612" s="3" t="s">
        <v>5875</v>
      </c>
      <c r="M1612" s="3" t="s">
        <v>5876</v>
      </c>
      <c r="O1612" s="3" t="s">
        <v>5877</v>
      </c>
      <c r="P1612"/>
    </row>
    <row r="1613" spans="1:16" ht="58" hidden="1" x14ac:dyDescent="0.35">
      <c r="A1613" s="3" t="s">
        <v>5744</v>
      </c>
      <c r="B1613" s="3" t="s">
        <v>102</v>
      </c>
      <c r="C1613" s="3"/>
      <c r="D1613" s="3"/>
      <c r="E1613" s="3"/>
      <c r="F1613" s="7">
        <v>2</v>
      </c>
      <c r="G1613" s="3" t="s">
        <v>5841</v>
      </c>
      <c r="H1613" s="7" t="s">
        <v>354</v>
      </c>
      <c r="I1613" s="3" t="s">
        <v>5817</v>
      </c>
      <c r="J1613" s="3" t="s">
        <v>5878</v>
      </c>
      <c r="K1613" s="3" t="s">
        <v>229</v>
      </c>
      <c r="L1613" s="3" t="s">
        <v>5879</v>
      </c>
      <c r="M1613" s="3" t="s">
        <v>5880</v>
      </c>
      <c r="O1613" s="3" t="s">
        <v>5881</v>
      </c>
      <c r="P1613"/>
    </row>
    <row r="1614" spans="1:16" ht="58" hidden="1" x14ac:dyDescent="0.35">
      <c r="A1614" s="3" t="s">
        <v>5744</v>
      </c>
      <c r="B1614" s="3" t="s">
        <v>102</v>
      </c>
      <c r="C1614" s="3"/>
      <c r="D1614" s="3"/>
      <c r="E1614" s="3"/>
      <c r="F1614" s="7">
        <v>2</v>
      </c>
      <c r="G1614" s="3" t="s">
        <v>5841</v>
      </c>
      <c r="H1614" s="7" t="s">
        <v>358</v>
      </c>
      <c r="I1614" s="3" t="s">
        <v>5729</v>
      </c>
      <c r="J1614" s="3" t="s">
        <v>5882</v>
      </c>
      <c r="K1614" s="3" t="s">
        <v>229</v>
      </c>
      <c r="L1614" s="3" t="s">
        <v>5883</v>
      </c>
      <c r="M1614" s="3" t="s">
        <v>5884</v>
      </c>
      <c r="O1614" s="3" t="s">
        <v>5885</v>
      </c>
      <c r="P1614"/>
    </row>
    <row r="1615" spans="1:16" ht="58" hidden="1" x14ac:dyDescent="0.35">
      <c r="A1615" s="3" t="s">
        <v>5744</v>
      </c>
      <c r="B1615" s="3" t="s">
        <v>102</v>
      </c>
      <c r="C1615" s="3"/>
      <c r="D1615" s="3"/>
      <c r="E1615" s="3"/>
      <c r="F1615" s="7">
        <v>2</v>
      </c>
      <c r="G1615" s="3" t="s">
        <v>5841</v>
      </c>
      <c r="H1615" s="7" t="s">
        <v>5886</v>
      </c>
      <c r="I1615" s="3" t="s">
        <v>5729</v>
      </c>
      <c r="J1615" s="3" t="s">
        <v>5887</v>
      </c>
      <c r="K1615" s="3" t="s">
        <v>229</v>
      </c>
      <c r="L1615" s="3" t="s">
        <v>5888</v>
      </c>
      <c r="M1615" s="3" t="s">
        <v>5889</v>
      </c>
      <c r="O1615" s="3" t="s">
        <v>5890</v>
      </c>
      <c r="P1615"/>
    </row>
    <row r="1616" spans="1:16" ht="58" hidden="1" x14ac:dyDescent="0.35">
      <c r="A1616" s="3" t="s">
        <v>5744</v>
      </c>
      <c r="B1616" s="3" t="s">
        <v>102</v>
      </c>
      <c r="C1616" s="3"/>
      <c r="D1616" s="3"/>
      <c r="E1616" s="3"/>
      <c r="F1616" s="7">
        <v>2</v>
      </c>
      <c r="G1616" s="3" t="s">
        <v>5841</v>
      </c>
      <c r="H1616" s="7" t="s">
        <v>5891</v>
      </c>
      <c r="I1616" s="3" t="s">
        <v>5483</v>
      </c>
      <c r="J1616" s="3" t="s">
        <v>5892</v>
      </c>
      <c r="K1616" s="3" t="s">
        <v>229</v>
      </c>
      <c r="L1616" s="3" t="s">
        <v>5888</v>
      </c>
      <c r="M1616" s="3" t="s">
        <v>5893</v>
      </c>
      <c r="O1616" s="3" t="s">
        <v>5894</v>
      </c>
      <c r="P1616"/>
    </row>
    <row r="1617" spans="1:16" ht="58" hidden="1" x14ac:dyDescent="0.35">
      <c r="A1617" s="3" t="s">
        <v>5744</v>
      </c>
      <c r="B1617" s="3" t="s">
        <v>102</v>
      </c>
      <c r="C1617" s="3"/>
      <c r="D1617" s="3"/>
      <c r="E1617" s="3"/>
      <c r="F1617" s="7">
        <v>2</v>
      </c>
      <c r="G1617" s="3" t="s">
        <v>5841</v>
      </c>
      <c r="H1617" s="7" t="s">
        <v>5895</v>
      </c>
      <c r="I1617" s="3" t="s">
        <v>5483</v>
      </c>
      <c r="J1617" s="3" t="s">
        <v>5896</v>
      </c>
      <c r="K1617" s="3" t="s">
        <v>229</v>
      </c>
      <c r="L1617" s="3" t="s">
        <v>5888</v>
      </c>
      <c r="M1617" s="3" t="s">
        <v>5897</v>
      </c>
      <c r="O1617" s="3" t="s">
        <v>5898</v>
      </c>
      <c r="P1617"/>
    </row>
    <row r="1618" spans="1:16" ht="58" hidden="1" x14ac:dyDescent="0.35">
      <c r="A1618" s="3" t="s">
        <v>5744</v>
      </c>
      <c r="B1618" s="3" t="s">
        <v>102</v>
      </c>
      <c r="C1618" s="3"/>
      <c r="D1618" s="3"/>
      <c r="E1618" s="3"/>
      <c r="F1618" s="7">
        <v>2</v>
      </c>
      <c r="G1618" s="3" t="s">
        <v>5841</v>
      </c>
      <c r="H1618" s="7" t="s">
        <v>5899</v>
      </c>
      <c r="I1618" s="3" t="s">
        <v>5483</v>
      </c>
      <c r="J1618" s="3" t="s">
        <v>5900</v>
      </c>
      <c r="K1618" s="3" t="s">
        <v>229</v>
      </c>
      <c r="L1618" s="3" t="s">
        <v>5901</v>
      </c>
      <c r="M1618" s="3" t="s">
        <v>5902</v>
      </c>
      <c r="O1618" s="3" t="s">
        <v>5903</v>
      </c>
      <c r="P1618"/>
    </row>
    <row r="1619" spans="1:16" ht="58" hidden="1" x14ac:dyDescent="0.35">
      <c r="A1619" s="3" t="s">
        <v>5744</v>
      </c>
      <c r="B1619" s="3" t="s">
        <v>102</v>
      </c>
      <c r="C1619" s="3"/>
      <c r="D1619" s="3"/>
      <c r="E1619" s="3"/>
      <c r="F1619" s="7">
        <v>2</v>
      </c>
      <c r="G1619" s="3" t="s">
        <v>5841</v>
      </c>
      <c r="H1619" s="7" t="s">
        <v>5904</v>
      </c>
      <c r="I1619" s="3" t="s">
        <v>5483</v>
      </c>
      <c r="J1619" s="3" t="s">
        <v>5905</v>
      </c>
      <c r="K1619" s="3" t="s">
        <v>229</v>
      </c>
      <c r="L1619" s="3" t="s">
        <v>5906</v>
      </c>
      <c r="M1619" s="3" t="s">
        <v>5907</v>
      </c>
      <c r="O1619" s="3" t="s">
        <v>5908</v>
      </c>
      <c r="P1619"/>
    </row>
    <row r="1620" spans="1:16" ht="58" hidden="1" x14ac:dyDescent="0.35">
      <c r="A1620" s="3" t="s">
        <v>5744</v>
      </c>
      <c r="B1620" s="3" t="s">
        <v>102</v>
      </c>
      <c r="C1620" s="3"/>
      <c r="D1620" s="3"/>
      <c r="E1620" s="3"/>
      <c r="F1620" s="7">
        <v>3</v>
      </c>
      <c r="G1620" s="3" t="s">
        <v>5841</v>
      </c>
      <c r="H1620" s="7" t="s">
        <v>346</v>
      </c>
      <c r="I1620" s="3" t="s">
        <v>570</v>
      </c>
      <c r="J1620" s="3" t="s">
        <v>5909</v>
      </c>
      <c r="K1620" s="3" t="s">
        <v>229</v>
      </c>
      <c r="L1620" s="3" t="s">
        <v>5910</v>
      </c>
      <c r="M1620" s="3" t="s">
        <v>5911</v>
      </c>
      <c r="O1620" s="3" t="s">
        <v>5912</v>
      </c>
      <c r="P1620"/>
    </row>
    <row r="1621" spans="1:16" ht="58" hidden="1" x14ac:dyDescent="0.35">
      <c r="A1621" s="3" t="s">
        <v>5744</v>
      </c>
      <c r="B1621" s="3" t="s">
        <v>102</v>
      </c>
      <c r="C1621" s="3"/>
      <c r="D1621" s="3"/>
      <c r="E1621" s="3"/>
      <c r="F1621" s="7">
        <v>3</v>
      </c>
      <c r="G1621" s="3" t="s">
        <v>5841</v>
      </c>
      <c r="H1621" s="7" t="s">
        <v>5913</v>
      </c>
      <c r="I1621" s="3" t="s">
        <v>570</v>
      </c>
      <c r="J1621" s="3" t="s">
        <v>5914</v>
      </c>
      <c r="K1621" s="3" t="s">
        <v>229</v>
      </c>
      <c r="L1621" s="3" t="s">
        <v>5915</v>
      </c>
      <c r="M1621" s="3" t="s">
        <v>5916</v>
      </c>
      <c r="O1621" s="3" t="s">
        <v>5917</v>
      </c>
      <c r="P1621"/>
    </row>
    <row r="1622" spans="1:16" ht="58" hidden="1" x14ac:dyDescent="0.35">
      <c r="A1622" s="3" t="s">
        <v>5744</v>
      </c>
      <c r="B1622" s="3" t="s">
        <v>102</v>
      </c>
      <c r="C1622" s="3"/>
      <c r="D1622" s="3"/>
      <c r="E1622" s="3"/>
      <c r="F1622" s="7">
        <v>3</v>
      </c>
      <c r="G1622" s="3" t="s">
        <v>5841</v>
      </c>
      <c r="H1622" s="7" t="s">
        <v>5918</v>
      </c>
      <c r="I1622" s="3" t="s">
        <v>5756</v>
      </c>
      <c r="J1622" s="3" t="s">
        <v>5919</v>
      </c>
      <c r="K1622" s="3" t="s">
        <v>229</v>
      </c>
      <c r="L1622" s="3" t="s">
        <v>5920</v>
      </c>
      <c r="M1622" s="3" t="s">
        <v>5921</v>
      </c>
      <c r="O1622" s="3" t="s">
        <v>5922</v>
      </c>
      <c r="P1622"/>
    </row>
    <row r="1623" spans="1:16" ht="58" hidden="1" x14ac:dyDescent="0.35">
      <c r="A1623" s="3" t="s">
        <v>5744</v>
      </c>
      <c r="B1623" s="3" t="s">
        <v>102</v>
      </c>
      <c r="C1623" s="3"/>
      <c r="D1623" s="3"/>
      <c r="E1623" s="3"/>
      <c r="F1623" s="7">
        <v>3</v>
      </c>
      <c r="G1623" s="3" t="s">
        <v>5841</v>
      </c>
      <c r="H1623" s="7" t="s">
        <v>5923</v>
      </c>
      <c r="I1623" s="3" t="s">
        <v>5627</v>
      </c>
      <c r="J1623" s="3" t="s">
        <v>5924</v>
      </c>
      <c r="K1623" s="3" t="s">
        <v>229</v>
      </c>
      <c r="L1623" s="3" t="s">
        <v>5925</v>
      </c>
      <c r="M1623" s="3" t="s">
        <v>5926</v>
      </c>
      <c r="O1623" s="3" t="s">
        <v>5927</v>
      </c>
      <c r="P1623"/>
    </row>
    <row r="1624" spans="1:16" ht="58" hidden="1" x14ac:dyDescent="0.35">
      <c r="A1624" s="3" t="s">
        <v>5744</v>
      </c>
      <c r="B1624" s="3" t="s">
        <v>102</v>
      </c>
      <c r="C1624" s="3"/>
      <c r="D1624" s="3"/>
      <c r="E1624" s="3"/>
      <c r="F1624" s="7">
        <v>3</v>
      </c>
      <c r="G1624" s="3" t="s">
        <v>5841</v>
      </c>
      <c r="H1624" s="7" t="s">
        <v>5928</v>
      </c>
      <c r="I1624" s="3" t="s">
        <v>5627</v>
      </c>
      <c r="J1624" s="3" t="s">
        <v>5929</v>
      </c>
      <c r="K1624" s="3" t="s">
        <v>229</v>
      </c>
      <c r="L1624" s="3" t="s">
        <v>5930</v>
      </c>
      <c r="M1624" s="3" t="s">
        <v>5931</v>
      </c>
      <c r="O1624" s="3" t="s">
        <v>5932</v>
      </c>
      <c r="P1624"/>
    </row>
    <row r="1625" spans="1:16" ht="58" hidden="1" x14ac:dyDescent="0.35">
      <c r="A1625" s="3" t="s">
        <v>5744</v>
      </c>
      <c r="B1625" s="3" t="s">
        <v>102</v>
      </c>
      <c r="C1625" s="3"/>
      <c r="D1625" s="3"/>
      <c r="E1625" s="3"/>
      <c r="F1625" s="7">
        <v>3</v>
      </c>
      <c r="G1625" s="3" t="s">
        <v>5841</v>
      </c>
      <c r="H1625" s="7" t="s">
        <v>350</v>
      </c>
      <c r="I1625" s="3" t="s">
        <v>5627</v>
      </c>
      <c r="J1625" s="3" t="s">
        <v>5933</v>
      </c>
      <c r="K1625" s="3" t="s">
        <v>229</v>
      </c>
      <c r="L1625" s="3" t="s">
        <v>5934</v>
      </c>
      <c r="M1625" s="3" t="s">
        <v>5935</v>
      </c>
      <c r="O1625" s="3" t="s">
        <v>5936</v>
      </c>
      <c r="P1625"/>
    </row>
    <row r="1626" spans="1:16" ht="58" hidden="1" x14ac:dyDescent="0.35">
      <c r="A1626" s="3" t="s">
        <v>5744</v>
      </c>
      <c r="B1626" s="3" t="s">
        <v>102</v>
      </c>
      <c r="C1626" s="3"/>
      <c r="D1626" s="3"/>
      <c r="E1626" s="3"/>
      <c r="F1626" s="7">
        <v>3</v>
      </c>
      <c r="G1626" s="3" t="s">
        <v>5841</v>
      </c>
      <c r="H1626" s="7" t="s">
        <v>5858</v>
      </c>
      <c r="I1626" s="3" t="s">
        <v>5773</v>
      </c>
      <c r="J1626" s="3" t="s">
        <v>5937</v>
      </c>
      <c r="K1626" s="3" t="s">
        <v>229</v>
      </c>
      <c r="L1626" s="3" t="s">
        <v>5938</v>
      </c>
      <c r="M1626" s="3" t="s">
        <v>5939</v>
      </c>
      <c r="O1626" s="3" t="s">
        <v>5940</v>
      </c>
      <c r="P1626"/>
    </row>
    <row r="1627" spans="1:16" ht="58" hidden="1" x14ac:dyDescent="0.35">
      <c r="A1627" s="3" t="s">
        <v>5744</v>
      </c>
      <c r="B1627" s="3" t="s">
        <v>102</v>
      </c>
      <c r="C1627" s="3"/>
      <c r="D1627" s="3"/>
      <c r="E1627" s="3"/>
      <c r="F1627" s="7">
        <v>3</v>
      </c>
      <c r="G1627" s="3" t="s">
        <v>5841</v>
      </c>
      <c r="H1627" s="7" t="s">
        <v>5863</v>
      </c>
      <c r="I1627" s="3"/>
      <c r="J1627" s="3" t="s">
        <v>5941</v>
      </c>
      <c r="K1627" s="3" t="s">
        <v>229</v>
      </c>
      <c r="L1627" s="3" t="s">
        <v>5942</v>
      </c>
      <c r="M1627" s="3" t="s">
        <v>5943</v>
      </c>
      <c r="O1627" s="3" t="s">
        <v>5944</v>
      </c>
      <c r="P1627"/>
    </row>
    <row r="1628" spans="1:16" ht="58" hidden="1" x14ac:dyDescent="0.35">
      <c r="A1628" s="3" t="s">
        <v>5744</v>
      </c>
      <c r="B1628" s="3" t="s">
        <v>102</v>
      </c>
      <c r="C1628" s="3"/>
      <c r="D1628" s="3"/>
      <c r="E1628" s="3"/>
      <c r="F1628" s="7">
        <v>3</v>
      </c>
      <c r="G1628" s="3" t="s">
        <v>5841</v>
      </c>
      <c r="H1628" s="7" t="s">
        <v>5945</v>
      </c>
      <c r="I1628" s="3"/>
      <c r="J1628" s="3" t="s">
        <v>5946</v>
      </c>
      <c r="K1628" s="3" t="s">
        <v>229</v>
      </c>
      <c r="L1628" s="3" t="s">
        <v>5947</v>
      </c>
      <c r="M1628" s="3" t="s">
        <v>5948</v>
      </c>
      <c r="O1628" s="3" t="s">
        <v>5949</v>
      </c>
      <c r="P1628"/>
    </row>
    <row r="1629" spans="1:16" ht="58" hidden="1" x14ac:dyDescent="0.35">
      <c r="A1629" s="3" t="s">
        <v>5744</v>
      </c>
      <c r="B1629" s="3" t="s">
        <v>102</v>
      </c>
      <c r="C1629" s="3"/>
      <c r="D1629" s="3"/>
      <c r="E1629" s="3"/>
      <c r="F1629" s="7">
        <v>3</v>
      </c>
      <c r="G1629" s="3" t="s">
        <v>5841</v>
      </c>
      <c r="H1629" s="7" t="s">
        <v>5950</v>
      </c>
      <c r="I1629" s="3"/>
      <c r="J1629" s="3" t="s">
        <v>5951</v>
      </c>
      <c r="K1629" s="3" t="s">
        <v>229</v>
      </c>
      <c r="L1629" s="3" t="s">
        <v>5952</v>
      </c>
      <c r="M1629" s="3" t="s">
        <v>5953</v>
      </c>
      <c r="O1629" s="3" t="s">
        <v>5954</v>
      </c>
      <c r="P1629"/>
    </row>
    <row r="1630" spans="1:16" ht="58" hidden="1" x14ac:dyDescent="0.35">
      <c r="A1630" s="3" t="s">
        <v>5744</v>
      </c>
      <c r="B1630" s="3" t="s">
        <v>102</v>
      </c>
      <c r="C1630" s="3"/>
      <c r="D1630" s="3"/>
      <c r="E1630" s="3"/>
      <c r="F1630" s="7">
        <v>3</v>
      </c>
      <c r="G1630" s="3" t="s">
        <v>5841</v>
      </c>
      <c r="H1630" s="7" t="s">
        <v>5955</v>
      </c>
      <c r="I1630" s="3"/>
      <c r="J1630" s="3" t="s">
        <v>5956</v>
      </c>
      <c r="K1630" s="3" t="s">
        <v>229</v>
      </c>
      <c r="L1630" s="3" t="s">
        <v>5957</v>
      </c>
      <c r="M1630" s="3" t="s">
        <v>5958</v>
      </c>
      <c r="O1630" s="3" t="s">
        <v>5959</v>
      </c>
      <c r="P1630"/>
    </row>
    <row r="1631" spans="1:16" ht="58" hidden="1" x14ac:dyDescent="0.35">
      <c r="A1631" s="3" t="s">
        <v>5744</v>
      </c>
      <c r="B1631" s="3" t="s">
        <v>102</v>
      </c>
      <c r="C1631" s="3"/>
      <c r="D1631" s="3"/>
      <c r="E1631" s="3"/>
      <c r="F1631" s="7">
        <v>3</v>
      </c>
      <c r="G1631" s="3" t="s">
        <v>5841</v>
      </c>
      <c r="H1631" s="7" t="s">
        <v>5960</v>
      </c>
      <c r="I1631" s="3" t="s">
        <v>5961</v>
      </c>
      <c r="J1631" s="3" t="s">
        <v>5962</v>
      </c>
      <c r="K1631" s="3" t="s">
        <v>229</v>
      </c>
      <c r="L1631" s="3" t="s">
        <v>5963</v>
      </c>
      <c r="M1631" s="3" t="s">
        <v>5964</v>
      </c>
      <c r="O1631" s="3" t="s">
        <v>5965</v>
      </c>
      <c r="P1631"/>
    </row>
    <row r="1632" spans="1:16" ht="58" hidden="1" x14ac:dyDescent="0.35">
      <c r="A1632" s="3" t="s">
        <v>5744</v>
      </c>
      <c r="B1632" s="3" t="s">
        <v>102</v>
      </c>
      <c r="C1632" s="3"/>
      <c r="D1632" s="3"/>
      <c r="E1632" s="3"/>
      <c r="F1632" s="7">
        <v>3</v>
      </c>
      <c r="G1632" s="3" t="s">
        <v>5841</v>
      </c>
      <c r="H1632" s="7" t="s">
        <v>5868</v>
      </c>
      <c r="I1632" s="3" t="s">
        <v>5966</v>
      </c>
      <c r="J1632" s="3" t="s">
        <v>5967</v>
      </c>
      <c r="K1632" s="3" t="s">
        <v>229</v>
      </c>
      <c r="L1632" s="3" t="s">
        <v>5968</v>
      </c>
      <c r="M1632" s="3" t="s">
        <v>5969</v>
      </c>
      <c r="O1632" s="3" t="s">
        <v>5970</v>
      </c>
      <c r="P1632"/>
    </row>
    <row r="1633" spans="1:16" ht="58" hidden="1" x14ac:dyDescent="0.35">
      <c r="A1633" s="3" t="s">
        <v>5744</v>
      </c>
      <c r="B1633" s="3" t="s">
        <v>102</v>
      </c>
      <c r="C1633" s="3"/>
      <c r="D1633" s="3"/>
      <c r="E1633" s="3"/>
      <c r="F1633" s="7">
        <v>3</v>
      </c>
      <c r="G1633" s="3" t="s">
        <v>5841</v>
      </c>
      <c r="H1633" s="7" t="s">
        <v>5873</v>
      </c>
      <c r="I1633" s="3" t="s">
        <v>5971</v>
      </c>
      <c r="J1633" s="3" t="s">
        <v>5972</v>
      </c>
      <c r="K1633" s="3" t="s">
        <v>229</v>
      </c>
      <c r="L1633" s="3" t="s">
        <v>5973</v>
      </c>
      <c r="M1633" s="3" t="s">
        <v>5974</v>
      </c>
      <c r="O1633" s="3" t="s">
        <v>5975</v>
      </c>
      <c r="P1633"/>
    </row>
    <row r="1634" spans="1:16" ht="58" hidden="1" x14ac:dyDescent="0.35">
      <c r="A1634" s="3" t="s">
        <v>5744</v>
      </c>
      <c r="B1634" s="3" t="s">
        <v>102</v>
      </c>
      <c r="C1634" s="3"/>
      <c r="D1634" s="3"/>
      <c r="E1634" s="3"/>
      <c r="F1634" s="7">
        <v>3</v>
      </c>
      <c r="G1634" s="3" t="s">
        <v>5841</v>
      </c>
      <c r="H1634" s="7" t="s">
        <v>354</v>
      </c>
      <c r="I1634" s="3" t="s">
        <v>5976</v>
      </c>
      <c r="J1634" s="3" t="s">
        <v>5977</v>
      </c>
      <c r="K1634" s="3" t="s">
        <v>229</v>
      </c>
      <c r="L1634" s="3" t="s">
        <v>5978</v>
      </c>
      <c r="M1634" s="3" t="s">
        <v>5979</v>
      </c>
      <c r="O1634" s="3" t="s">
        <v>5980</v>
      </c>
      <c r="P1634"/>
    </row>
    <row r="1635" spans="1:16" ht="58" hidden="1" x14ac:dyDescent="0.35">
      <c r="A1635" s="3" t="s">
        <v>5744</v>
      </c>
      <c r="B1635" s="3" t="s">
        <v>102</v>
      </c>
      <c r="C1635" s="3"/>
      <c r="D1635" s="3"/>
      <c r="E1635" s="3"/>
      <c r="F1635" s="7">
        <v>3</v>
      </c>
      <c r="G1635" s="3" t="s">
        <v>5841</v>
      </c>
      <c r="H1635" s="7" t="s">
        <v>5981</v>
      </c>
      <c r="I1635" s="3" t="s">
        <v>5982</v>
      </c>
      <c r="J1635" s="3" t="s">
        <v>5983</v>
      </c>
      <c r="K1635" s="3" t="s">
        <v>229</v>
      </c>
      <c r="L1635" s="3" t="s">
        <v>5984</v>
      </c>
      <c r="M1635" s="3" t="s">
        <v>5985</v>
      </c>
      <c r="O1635" s="3" t="s">
        <v>5986</v>
      </c>
      <c r="P1635"/>
    </row>
    <row r="1636" spans="1:16" ht="58" hidden="1" x14ac:dyDescent="0.35">
      <c r="A1636" s="3" t="s">
        <v>5744</v>
      </c>
      <c r="B1636" s="3" t="s">
        <v>102</v>
      </c>
      <c r="C1636" s="3"/>
      <c r="D1636" s="3"/>
      <c r="E1636" s="3"/>
      <c r="F1636" s="7">
        <v>4</v>
      </c>
      <c r="G1636" s="3" t="s">
        <v>5841</v>
      </c>
      <c r="H1636" s="7" t="s">
        <v>346</v>
      </c>
      <c r="I1636" s="3" t="s">
        <v>5987</v>
      </c>
      <c r="J1636" s="3" t="s">
        <v>5988</v>
      </c>
      <c r="K1636" s="3" t="s">
        <v>229</v>
      </c>
      <c r="L1636" s="3" t="s">
        <v>5989</v>
      </c>
      <c r="M1636" s="3" t="s">
        <v>5990</v>
      </c>
      <c r="O1636" s="3" t="s">
        <v>5991</v>
      </c>
      <c r="P1636"/>
    </row>
    <row r="1637" spans="1:16" ht="58" hidden="1" x14ac:dyDescent="0.35">
      <c r="A1637" s="3" t="s">
        <v>5744</v>
      </c>
      <c r="B1637" s="3" t="s">
        <v>102</v>
      </c>
      <c r="C1637" s="3"/>
      <c r="D1637" s="3"/>
      <c r="E1637" s="3"/>
      <c r="F1637" s="7">
        <v>4</v>
      </c>
      <c r="G1637" s="3" t="s">
        <v>5841</v>
      </c>
      <c r="H1637" s="7" t="s">
        <v>350</v>
      </c>
      <c r="I1637" s="3" t="s">
        <v>277</v>
      </c>
      <c r="J1637" s="3" t="s">
        <v>5992</v>
      </c>
      <c r="K1637" s="3" t="s">
        <v>229</v>
      </c>
      <c r="L1637" s="3" t="s">
        <v>5993</v>
      </c>
      <c r="M1637" s="3" t="s">
        <v>5994</v>
      </c>
      <c r="O1637" s="3" t="s">
        <v>5995</v>
      </c>
      <c r="P1637"/>
    </row>
    <row r="1638" spans="1:16" ht="58" hidden="1" x14ac:dyDescent="0.35">
      <c r="A1638" s="3" t="s">
        <v>5744</v>
      </c>
      <c r="B1638" s="3" t="s">
        <v>102</v>
      </c>
      <c r="C1638" s="3"/>
      <c r="D1638" s="3"/>
      <c r="E1638" s="3"/>
      <c r="F1638" s="7">
        <v>4</v>
      </c>
      <c r="G1638" s="3" t="s">
        <v>5841</v>
      </c>
      <c r="H1638" s="7" t="s">
        <v>5863</v>
      </c>
      <c r="I1638" s="3" t="s">
        <v>281</v>
      </c>
      <c r="J1638" s="3" t="s">
        <v>5996</v>
      </c>
      <c r="K1638" s="3" t="s">
        <v>229</v>
      </c>
      <c r="L1638" s="3" t="s">
        <v>5997</v>
      </c>
      <c r="M1638" s="3" t="s">
        <v>5998</v>
      </c>
      <c r="O1638" s="3" t="s">
        <v>5999</v>
      </c>
      <c r="P1638"/>
    </row>
    <row r="1639" spans="1:16" ht="58" hidden="1" x14ac:dyDescent="0.35">
      <c r="A1639" s="3" t="s">
        <v>5744</v>
      </c>
      <c r="B1639" s="3" t="s">
        <v>102</v>
      </c>
      <c r="C1639" s="3"/>
      <c r="D1639" s="3"/>
      <c r="E1639" s="3"/>
      <c r="F1639" s="7">
        <v>4</v>
      </c>
      <c r="G1639" s="3" t="s">
        <v>5841</v>
      </c>
      <c r="H1639" s="7" t="s">
        <v>5868</v>
      </c>
      <c r="I1639" s="3" t="s">
        <v>285</v>
      </c>
      <c r="J1639" s="3" t="s">
        <v>6000</v>
      </c>
      <c r="K1639" s="3" t="s">
        <v>229</v>
      </c>
      <c r="L1639" s="3" t="s">
        <v>6001</v>
      </c>
      <c r="M1639" s="3" t="s">
        <v>6002</v>
      </c>
      <c r="O1639" s="3" t="s">
        <v>6003</v>
      </c>
      <c r="P1639"/>
    </row>
    <row r="1640" spans="1:16" ht="58" hidden="1" x14ac:dyDescent="0.35">
      <c r="A1640" s="3" t="s">
        <v>5744</v>
      </c>
      <c r="B1640" s="3" t="s">
        <v>102</v>
      </c>
      <c r="C1640" s="3"/>
      <c r="D1640" s="3"/>
      <c r="E1640" s="3"/>
      <c r="F1640" s="7">
        <v>4</v>
      </c>
      <c r="G1640" s="3" t="s">
        <v>5841</v>
      </c>
      <c r="H1640" s="7" t="s">
        <v>354</v>
      </c>
      <c r="I1640" s="3" t="s">
        <v>6004</v>
      </c>
      <c r="J1640" s="3" t="s">
        <v>6005</v>
      </c>
      <c r="K1640" s="3" t="s">
        <v>229</v>
      </c>
      <c r="L1640" s="3" t="s">
        <v>6006</v>
      </c>
      <c r="M1640" s="3" t="s">
        <v>6007</v>
      </c>
      <c r="O1640" s="3" t="s">
        <v>6008</v>
      </c>
      <c r="P1640"/>
    </row>
    <row r="1641" spans="1:16" ht="58" hidden="1" x14ac:dyDescent="0.35">
      <c r="A1641" s="3" t="s">
        <v>5744</v>
      </c>
      <c r="B1641" s="3" t="s">
        <v>102</v>
      </c>
      <c r="C1641" s="3"/>
      <c r="D1641" s="3"/>
      <c r="E1641" s="3"/>
      <c r="F1641" s="7">
        <v>4</v>
      </c>
      <c r="G1641" s="3" t="s">
        <v>5841</v>
      </c>
      <c r="H1641" s="7" t="s">
        <v>358</v>
      </c>
      <c r="I1641" s="3" t="s">
        <v>293</v>
      </c>
      <c r="J1641" s="3" t="s">
        <v>6009</v>
      </c>
      <c r="K1641" s="3" t="s">
        <v>229</v>
      </c>
      <c r="L1641" s="3" t="s">
        <v>6010</v>
      </c>
      <c r="M1641" s="3" t="s">
        <v>6011</v>
      </c>
      <c r="O1641" s="3"/>
      <c r="P1641"/>
    </row>
    <row r="1642" spans="1:16" ht="58" hidden="1" x14ac:dyDescent="0.35">
      <c r="A1642" s="3" t="s">
        <v>5744</v>
      </c>
      <c r="B1642" s="3" t="s">
        <v>102</v>
      </c>
      <c r="C1642" s="3"/>
      <c r="D1642" s="3"/>
      <c r="E1642" s="3"/>
      <c r="F1642" s="7">
        <v>4</v>
      </c>
      <c r="G1642" s="3" t="s">
        <v>5841</v>
      </c>
      <c r="H1642" s="7" t="s">
        <v>5891</v>
      </c>
      <c r="I1642" s="3"/>
      <c r="J1642" s="3" t="s">
        <v>6012</v>
      </c>
      <c r="K1642" s="3" t="s">
        <v>229</v>
      </c>
      <c r="L1642" s="3" t="s">
        <v>6013</v>
      </c>
      <c r="M1642" s="3" t="s">
        <v>6014</v>
      </c>
      <c r="O1642" s="3" t="s">
        <v>6015</v>
      </c>
      <c r="P1642"/>
    </row>
    <row r="1643" spans="1:16" ht="58" hidden="1" x14ac:dyDescent="0.35">
      <c r="A1643" s="3" t="s">
        <v>5744</v>
      </c>
      <c r="B1643" s="3" t="s">
        <v>102</v>
      </c>
      <c r="C1643" s="3"/>
      <c r="D1643" s="3"/>
      <c r="E1643" s="3"/>
      <c r="F1643" s="7">
        <v>5</v>
      </c>
      <c r="G1643" s="3" t="s">
        <v>5841</v>
      </c>
      <c r="H1643" s="7" t="s">
        <v>346</v>
      </c>
      <c r="I1643" s="3"/>
      <c r="J1643" s="3" t="s">
        <v>6016</v>
      </c>
      <c r="K1643" s="3" t="s">
        <v>229</v>
      </c>
      <c r="L1643" s="3" t="s">
        <v>6017</v>
      </c>
      <c r="M1643" s="3" t="s">
        <v>6018</v>
      </c>
      <c r="O1643" s="3" t="s">
        <v>6019</v>
      </c>
      <c r="P1643"/>
    </row>
    <row r="1644" spans="1:16" ht="58" hidden="1" x14ac:dyDescent="0.35">
      <c r="A1644" s="3" t="s">
        <v>5744</v>
      </c>
      <c r="B1644" s="3" t="s">
        <v>102</v>
      </c>
      <c r="C1644" s="3"/>
      <c r="D1644" s="3"/>
      <c r="E1644" s="3"/>
      <c r="F1644" s="7">
        <v>5</v>
      </c>
      <c r="G1644" s="3" t="s">
        <v>5841</v>
      </c>
      <c r="H1644" s="7" t="s">
        <v>350</v>
      </c>
      <c r="I1644" s="3"/>
      <c r="J1644" s="3" t="s">
        <v>6020</v>
      </c>
      <c r="K1644" s="3" t="s">
        <v>229</v>
      </c>
      <c r="L1644" s="3" t="s">
        <v>6021</v>
      </c>
      <c r="M1644" s="3" t="s">
        <v>6022</v>
      </c>
      <c r="O1644" s="3" t="s">
        <v>6023</v>
      </c>
      <c r="P1644"/>
    </row>
    <row r="1645" spans="1:16" ht="58" hidden="1" x14ac:dyDescent="0.35">
      <c r="A1645" s="3" t="s">
        <v>5744</v>
      </c>
      <c r="B1645" s="3" t="s">
        <v>102</v>
      </c>
      <c r="C1645" s="3"/>
      <c r="D1645" s="3"/>
      <c r="E1645" s="3"/>
      <c r="F1645" s="7">
        <v>5</v>
      </c>
      <c r="G1645" s="3" t="s">
        <v>5841</v>
      </c>
      <c r="H1645" s="7" t="s">
        <v>354</v>
      </c>
      <c r="I1645" s="3" t="s">
        <v>13</v>
      </c>
      <c r="J1645" s="3" t="s">
        <v>6024</v>
      </c>
      <c r="K1645" s="3" t="s">
        <v>229</v>
      </c>
      <c r="L1645" s="3" t="s">
        <v>6025</v>
      </c>
      <c r="M1645" s="3" t="s">
        <v>6026</v>
      </c>
      <c r="O1645" s="3" t="s">
        <v>6027</v>
      </c>
      <c r="P1645"/>
    </row>
    <row r="1646" spans="1:16" ht="58" hidden="1" x14ac:dyDescent="0.35">
      <c r="A1646" s="3" t="s">
        <v>5744</v>
      </c>
      <c r="B1646" s="3" t="s">
        <v>204</v>
      </c>
      <c r="C1646" s="3"/>
      <c r="D1646" s="3"/>
      <c r="E1646" s="3"/>
      <c r="F1646" s="3">
        <v>1</v>
      </c>
      <c r="G1646" s="7" t="s">
        <v>345</v>
      </c>
      <c r="H1646" s="3" t="s">
        <v>6028</v>
      </c>
      <c r="I1646" s="3" t="s">
        <v>13</v>
      </c>
      <c r="J1646" s="3" t="s">
        <v>6029</v>
      </c>
      <c r="K1646" s="3" t="s">
        <v>229</v>
      </c>
      <c r="L1646" s="3" t="s">
        <v>6030</v>
      </c>
      <c r="M1646" s="3" t="s">
        <v>6031</v>
      </c>
      <c r="O1646" s="3" t="s">
        <v>6032</v>
      </c>
      <c r="P1646"/>
    </row>
    <row r="1647" spans="1:16" ht="58" hidden="1" x14ac:dyDescent="0.35">
      <c r="A1647" s="3" t="s">
        <v>5744</v>
      </c>
      <c r="B1647" s="3" t="s">
        <v>204</v>
      </c>
      <c r="C1647" s="3"/>
      <c r="D1647" s="3"/>
      <c r="E1647" s="3"/>
      <c r="F1647" s="3">
        <v>1</v>
      </c>
      <c r="G1647" s="7" t="s">
        <v>345</v>
      </c>
      <c r="H1647" s="3" t="s">
        <v>6033</v>
      </c>
      <c r="I1647" s="3" t="s">
        <v>13</v>
      </c>
      <c r="J1647" s="3" t="s">
        <v>6034</v>
      </c>
      <c r="K1647" s="3" t="s">
        <v>229</v>
      </c>
      <c r="L1647" s="3" t="s">
        <v>6035</v>
      </c>
      <c r="M1647" s="3" t="s">
        <v>6036</v>
      </c>
      <c r="O1647" s="3" t="s">
        <v>6037</v>
      </c>
      <c r="P1647"/>
    </row>
    <row r="1648" spans="1:16" ht="58" hidden="1" x14ac:dyDescent="0.35">
      <c r="A1648" s="3" t="s">
        <v>5744</v>
      </c>
      <c r="B1648" s="3" t="s">
        <v>204</v>
      </c>
      <c r="C1648" s="3"/>
      <c r="D1648" s="3"/>
      <c r="E1648" s="3"/>
      <c r="F1648" s="3">
        <v>1</v>
      </c>
      <c r="G1648" s="7" t="s">
        <v>345</v>
      </c>
      <c r="H1648" s="3" t="s">
        <v>6038</v>
      </c>
      <c r="I1648" s="3" t="s">
        <v>13</v>
      </c>
      <c r="J1648" s="3" t="s">
        <v>6039</v>
      </c>
      <c r="K1648" s="3" t="s">
        <v>229</v>
      </c>
      <c r="L1648" s="3" t="s">
        <v>6040</v>
      </c>
      <c r="M1648" s="3" t="s">
        <v>6041</v>
      </c>
      <c r="O1648" s="3" t="s">
        <v>6042</v>
      </c>
      <c r="P1648"/>
    </row>
    <row r="1649" spans="1:16" ht="58" hidden="1" x14ac:dyDescent="0.35">
      <c r="A1649" s="3" t="s">
        <v>5744</v>
      </c>
      <c r="B1649" s="3" t="s">
        <v>204</v>
      </c>
      <c r="C1649" s="3"/>
      <c r="D1649" s="3"/>
      <c r="E1649" s="3"/>
      <c r="F1649" s="3">
        <v>1</v>
      </c>
      <c r="G1649" s="7" t="s">
        <v>345</v>
      </c>
      <c r="H1649" s="3" t="s">
        <v>6043</v>
      </c>
      <c r="I1649" s="3" t="s">
        <v>5961</v>
      </c>
      <c r="J1649" s="3" t="s">
        <v>6044</v>
      </c>
      <c r="K1649" s="3" t="s">
        <v>229</v>
      </c>
      <c r="L1649" s="3" t="s">
        <v>6045</v>
      </c>
      <c r="M1649" s="3" t="s">
        <v>6046</v>
      </c>
      <c r="O1649" s="3" t="s">
        <v>6047</v>
      </c>
      <c r="P1649"/>
    </row>
    <row r="1650" spans="1:16" ht="58" hidden="1" x14ac:dyDescent="0.35">
      <c r="A1650" s="3" t="s">
        <v>5744</v>
      </c>
      <c r="B1650" s="3" t="s">
        <v>204</v>
      </c>
      <c r="C1650" s="3"/>
      <c r="D1650" s="3"/>
      <c r="E1650" s="3"/>
      <c r="F1650" s="3">
        <v>1</v>
      </c>
      <c r="G1650" s="7" t="s">
        <v>345</v>
      </c>
      <c r="H1650" s="3" t="s">
        <v>350</v>
      </c>
      <c r="I1650" s="3" t="s">
        <v>5966</v>
      </c>
      <c r="J1650" s="3" t="s">
        <v>6048</v>
      </c>
      <c r="K1650" s="3" t="s">
        <v>229</v>
      </c>
      <c r="L1650" s="3" t="s">
        <v>6049</v>
      </c>
      <c r="M1650" s="3" t="s">
        <v>6050</v>
      </c>
      <c r="O1650" s="3" t="s">
        <v>6051</v>
      </c>
      <c r="P1650"/>
    </row>
    <row r="1651" spans="1:16" ht="58" hidden="1" x14ac:dyDescent="0.35">
      <c r="A1651" s="3" t="s">
        <v>5744</v>
      </c>
      <c r="B1651" s="3" t="s">
        <v>204</v>
      </c>
      <c r="C1651" s="3"/>
      <c r="D1651" s="3"/>
      <c r="E1651" s="3"/>
      <c r="F1651" s="3">
        <v>1</v>
      </c>
      <c r="G1651" s="7" t="s">
        <v>345</v>
      </c>
      <c r="H1651" s="3" t="s">
        <v>354</v>
      </c>
      <c r="I1651" s="3" t="s">
        <v>5971</v>
      </c>
      <c r="J1651" s="3" t="s">
        <v>6052</v>
      </c>
      <c r="K1651" s="3" t="s">
        <v>229</v>
      </c>
      <c r="L1651" s="3" t="s">
        <v>6053</v>
      </c>
      <c r="M1651" s="3" t="s">
        <v>6054</v>
      </c>
      <c r="O1651" s="3"/>
      <c r="P1651"/>
    </row>
    <row r="1652" spans="1:16" ht="58" hidden="1" x14ac:dyDescent="0.35">
      <c r="A1652" s="3" t="s">
        <v>5744</v>
      </c>
      <c r="B1652" s="3" t="s">
        <v>204</v>
      </c>
      <c r="C1652" s="3"/>
      <c r="D1652" s="3"/>
      <c r="E1652" s="3"/>
      <c r="F1652" s="3">
        <v>2</v>
      </c>
      <c r="G1652" s="7" t="s">
        <v>345</v>
      </c>
      <c r="H1652" s="3" t="s">
        <v>346</v>
      </c>
      <c r="I1652" s="3" t="s">
        <v>5976</v>
      </c>
      <c r="J1652" s="3" t="s">
        <v>6055</v>
      </c>
      <c r="K1652" s="3" t="s">
        <v>229</v>
      </c>
      <c r="L1652" s="3" t="s">
        <v>6056</v>
      </c>
      <c r="M1652" s="3" t="s">
        <v>6057</v>
      </c>
      <c r="O1652" s="3" t="s">
        <v>6058</v>
      </c>
      <c r="P1652"/>
    </row>
    <row r="1653" spans="1:16" ht="58" hidden="1" x14ac:dyDescent="0.35">
      <c r="A1653" s="3" t="s">
        <v>5744</v>
      </c>
      <c r="B1653" s="3" t="s">
        <v>204</v>
      </c>
      <c r="C1653" s="3"/>
      <c r="D1653" s="3"/>
      <c r="E1653" s="3"/>
      <c r="F1653" s="3">
        <v>2</v>
      </c>
      <c r="G1653" s="7" t="s">
        <v>345</v>
      </c>
      <c r="H1653" s="3" t="s">
        <v>350</v>
      </c>
      <c r="I1653" s="3" t="s">
        <v>5982</v>
      </c>
      <c r="J1653" s="3" t="s">
        <v>6059</v>
      </c>
      <c r="K1653" s="3" t="s">
        <v>229</v>
      </c>
      <c r="L1653" s="3" t="s">
        <v>6060</v>
      </c>
      <c r="M1653" s="3" t="s">
        <v>6061</v>
      </c>
      <c r="O1653" s="3" t="s">
        <v>6062</v>
      </c>
      <c r="P1653"/>
    </row>
    <row r="1654" spans="1:16" ht="58" hidden="1" x14ac:dyDescent="0.35">
      <c r="A1654" s="3" t="s">
        <v>5744</v>
      </c>
      <c r="B1654" s="3" t="s">
        <v>204</v>
      </c>
      <c r="C1654" s="3"/>
      <c r="D1654" s="3"/>
      <c r="E1654" s="3"/>
      <c r="F1654" s="3">
        <v>2</v>
      </c>
      <c r="G1654" s="7" t="s">
        <v>345</v>
      </c>
      <c r="H1654" s="3" t="s">
        <v>354</v>
      </c>
      <c r="I1654" s="3" t="s">
        <v>5987</v>
      </c>
      <c r="J1654" s="3" t="s">
        <v>6063</v>
      </c>
      <c r="K1654" s="3" t="s">
        <v>229</v>
      </c>
      <c r="L1654" s="3" t="s">
        <v>6064</v>
      </c>
      <c r="M1654" s="3" t="s">
        <v>6065</v>
      </c>
      <c r="O1654" s="3" t="s">
        <v>6066</v>
      </c>
      <c r="P1654"/>
    </row>
    <row r="1655" spans="1:16" ht="58" hidden="1" x14ac:dyDescent="0.35">
      <c r="A1655" s="3" t="s">
        <v>201</v>
      </c>
      <c r="B1655" s="3" t="s">
        <v>204</v>
      </c>
      <c r="C1655" s="3"/>
      <c r="D1655" s="3"/>
      <c r="E1655" s="3"/>
      <c r="F1655" s="3">
        <v>3</v>
      </c>
      <c r="G1655" s="7" t="s">
        <v>345</v>
      </c>
      <c r="H1655" s="3" t="s">
        <v>346</v>
      </c>
      <c r="I1655" s="3" t="s">
        <v>277</v>
      </c>
      <c r="J1655" s="3" t="s">
        <v>6067</v>
      </c>
      <c r="K1655" s="3" t="s">
        <v>229</v>
      </c>
      <c r="L1655" s="3" t="s">
        <v>6068</v>
      </c>
      <c r="M1655" s="3" t="s">
        <v>6069</v>
      </c>
      <c r="O1655" s="3" t="s">
        <v>6070</v>
      </c>
      <c r="P1655"/>
    </row>
    <row r="1656" spans="1:16" ht="58" hidden="1" x14ac:dyDescent="0.35">
      <c r="A1656" s="3" t="s">
        <v>201</v>
      </c>
      <c r="B1656" s="3" t="s">
        <v>204</v>
      </c>
      <c r="C1656" s="3"/>
      <c r="D1656" s="3"/>
      <c r="E1656" s="3"/>
      <c r="F1656" s="3">
        <v>3</v>
      </c>
      <c r="G1656" s="7" t="s">
        <v>345</v>
      </c>
      <c r="H1656" s="3" t="s">
        <v>350</v>
      </c>
      <c r="I1656" s="3" t="s">
        <v>281</v>
      </c>
      <c r="J1656" s="3" t="s">
        <v>6071</v>
      </c>
      <c r="K1656" s="3" t="s">
        <v>229</v>
      </c>
      <c r="L1656" s="3" t="s">
        <v>6072</v>
      </c>
      <c r="M1656" s="3" t="s">
        <v>6073</v>
      </c>
      <c r="O1656" s="3" t="s">
        <v>6074</v>
      </c>
      <c r="P1656"/>
    </row>
    <row r="1657" spans="1:16" ht="58" hidden="1" x14ac:dyDescent="0.35">
      <c r="A1657" s="3" t="s">
        <v>201</v>
      </c>
      <c r="B1657" s="3" t="s">
        <v>204</v>
      </c>
      <c r="C1657" s="3"/>
      <c r="D1657" s="3"/>
      <c r="E1657" s="3"/>
      <c r="F1657" s="3">
        <v>4</v>
      </c>
      <c r="G1657" s="7" t="s">
        <v>345</v>
      </c>
      <c r="H1657" s="3" t="s">
        <v>6028</v>
      </c>
      <c r="I1657" s="3" t="s">
        <v>285</v>
      </c>
      <c r="J1657" s="3" t="s">
        <v>6075</v>
      </c>
      <c r="K1657" s="3" t="s">
        <v>229</v>
      </c>
      <c r="L1657" s="3" t="s">
        <v>6076</v>
      </c>
      <c r="M1657" s="3" t="s">
        <v>6077</v>
      </c>
      <c r="O1657" s="3" t="s">
        <v>6078</v>
      </c>
      <c r="P1657"/>
    </row>
    <row r="1658" spans="1:16" ht="58" hidden="1" x14ac:dyDescent="0.35">
      <c r="A1658" s="3" t="s">
        <v>201</v>
      </c>
      <c r="B1658" s="3" t="s">
        <v>204</v>
      </c>
      <c r="C1658" s="3"/>
      <c r="D1658" s="3"/>
      <c r="E1658" s="3"/>
      <c r="F1658" s="3">
        <v>4</v>
      </c>
      <c r="G1658" s="7" t="s">
        <v>345</v>
      </c>
      <c r="H1658" s="3" t="s">
        <v>6079</v>
      </c>
      <c r="I1658" s="3" t="s">
        <v>6004</v>
      </c>
      <c r="J1658" s="3" t="s">
        <v>6080</v>
      </c>
      <c r="K1658" s="3" t="s">
        <v>229</v>
      </c>
      <c r="L1658" s="3" t="s">
        <v>6081</v>
      </c>
      <c r="M1658" s="3" t="s">
        <v>6082</v>
      </c>
      <c r="O1658" s="3" t="s">
        <v>6083</v>
      </c>
      <c r="P1658"/>
    </row>
    <row r="1659" spans="1:16" ht="58" hidden="1" x14ac:dyDescent="0.35">
      <c r="A1659" s="3" t="s">
        <v>201</v>
      </c>
      <c r="B1659" s="3" t="s">
        <v>204</v>
      </c>
      <c r="C1659" s="3"/>
      <c r="D1659" s="3"/>
      <c r="E1659" s="3"/>
      <c r="F1659" s="3">
        <v>4</v>
      </c>
      <c r="G1659" s="7" t="s">
        <v>345</v>
      </c>
      <c r="H1659" s="3" t="s">
        <v>350</v>
      </c>
      <c r="I1659" s="3" t="s">
        <v>13</v>
      </c>
      <c r="J1659" s="3" t="s">
        <v>6084</v>
      </c>
      <c r="K1659" s="3" t="s">
        <v>229</v>
      </c>
      <c r="L1659" s="3" t="s">
        <v>6085</v>
      </c>
      <c r="M1659" s="3" t="s">
        <v>6086</v>
      </c>
      <c r="O1659" s="3"/>
      <c r="P1659"/>
    </row>
    <row r="1660" spans="1:16" ht="58" hidden="1" x14ac:dyDescent="0.35">
      <c r="A1660" s="3" t="s">
        <v>201</v>
      </c>
      <c r="B1660" s="3" t="s">
        <v>204</v>
      </c>
      <c r="C1660" s="3"/>
      <c r="D1660" s="3"/>
      <c r="E1660" s="3"/>
      <c r="F1660" s="3">
        <v>4</v>
      </c>
      <c r="G1660" s="7" t="s">
        <v>345</v>
      </c>
      <c r="H1660" s="3" t="s">
        <v>354</v>
      </c>
      <c r="I1660" s="3" t="s">
        <v>13</v>
      </c>
      <c r="J1660" s="3" t="s">
        <v>6087</v>
      </c>
      <c r="K1660" s="3" t="s">
        <v>229</v>
      </c>
      <c r="L1660" s="3" t="s">
        <v>6088</v>
      </c>
      <c r="M1660" s="3" t="s">
        <v>6089</v>
      </c>
      <c r="O1660" s="3" t="s">
        <v>6090</v>
      </c>
      <c r="P1660"/>
    </row>
    <row r="1661" spans="1:16" ht="58" hidden="1" x14ac:dyDescent="0.35">
      <c r="A1661" s="3" t="s">
        <v>201</v>
      </c>
      <c r="B1661" s="3" t="s">
        <v>204</v>
      </c>
      <c r="C1661" s="3"/>
      <c r="D1661" s="3"/>
      <c r="E1661" s="3"/>
      <c r="F1661" s="3">
        <v>5</v>
      </c>
      <c r="G1661" s="7" t="s">
        <v>345</v>
      </c>
      <c r="H1661" s="3" t="s">
        <v>346</v>
      </c>
      <c r="I1661" s="3" t="s">
        <v>13</v>
      </c>
      <c r="J1661" s="3" t="s">
        <v>6091</v>
      </c>
      <c r="K1661" s="3" t="s">
        <v>229</v>
      </c>
      <c r="L1661" s="3" t="s">
        <v>6092</v>
      </c>
      <c r="M1661" s="3" t="s">
        <v>6093</v>
      </c>
      <c r="O1661" s="3" t="s">
        <v>6094</v>
      </c>
      <c r="P1661"/>
    </row>
    <row r="1662" spans="1:16" ht="58" hidden="1" x14ac:dyDescent="0.35">
      <c r="A1662" s="3" t="s">
        <v>201</v>
      </c>
      <c r="B1662" s="3" t="s">
        <v>204</v>
      </c>
      <c r="C1662" s="3"/>
      <c r="D1662" s="3"/>
      <c r="E1662" s="3"/>
      <c r="F1662" s="3">
        <v>5</v>
      </c>
      <c r="G1662" s="7" t="s">
        <v>345</v>
      </c>
      <c r="H1662" s="3" t="s">
        <v>6095</v>
      </c>
      <c r="I1662" s="3" t="s">
        <v>13</v>
      </c>
      <c r="J1662" s="3" t="s">
        <v>6096</v>
      </c>
      <c r="K1662" s="3" t="s">
        <v>229</v>
      </c>
      <c r="L1662" s="3" t="s">
        <v>6097</v>
      </c>
      <c r="M1662" s="3" t="s">
        <v>6098</v>
      </c>
      <c r="O1662" s="3" t="s">
        <v>6099</v>
      </c>
      <c r="P1662"/>
    </row>
    <row r="1663" spans="1:16" ht="58" hidden="1" x14ac:dyDescent="0.35">
      <c r="A1663" s="3" t="s">
        <v>201</v>
      </c>
      <c r="B1663" s="3" t="s">
        <v>204</v>
      </c>
      <c r="C1663" s="3"/>
      <c r="D1663" s="3"/>
      <c r="E1663" s="3"/>
      <c r="F1663" s="3">
        <v>5</v>
      </c>
      <c r="G1663" s="7" t="s">
        <v>345</v>
      </c>
      <c r="H1663" s="3" t="s">
        <v>6100</v>
      </c>
      <c r="I1663" s="3" t="s">
        <v>574</v>
      </c>
      <c r="J1663" s="3" t="s">
        <v>6101</v>
      </c>
      <c r="K1663" s="3" t="s">
        <v>229</v>
      </c>
      <c r="L1663" s="3" t="s">
        <v>6102</v>
      </c>
      <c r="M1663" s="3" t="s">
        <v>6103</v>
      </c>
      <c r="O1663" s="3" t="s">
        <v>6104</v>
      </c>
      <c r="P1663"/>
    </row>
    <row r="1664" spans="1:16" ht="58" hidden="1" x14ac:dyDescent="0.35">
      <c r="A1664" s="3" t="s">
        <v>201</v>
      </c>
      <c r="B1664" s="3" t="s">
        <v>204</v>
      </c>
      <c r="C1664" s="3"/>
      <c r="D1664" s="3"/>
      <c r="E1664" s="3"/>
      <c r="F1664" s="3">
        <v>5</v>
      </c>
      <c r="G1664" s="7" t="s">
        <v>345</v>
      </c>
      <c r="H1664" s="3" t="s">
        <v>6105</v>
      </c>
      <c r="I1664" s="3" t="s">
        <v>6106</v>
      </c>
      <c r="J1664" s="3" t="s">
        <v>6107</v>
      </c>
      <c r="K1664" s="3" t="s">
        <v>229</v>
      </c>
      <c r="L1664" s="3" t="s">
        <v>6108</v>
      </c>
      <c r="M1664" s="3" t="s">
        <v>6109</v>
      </c>
      <c r="O1664" s="3" t="s">
        <v>6110</v>
      </c>
      <c r="P1664"/>
    </row>
    <row r="1665" spans="1:16" ht="58" hidden="1" x14ac:dyDescent="0.35">
      <c r="A1665" s="3" t="s">
        <v>201</v>
      </c>
      <c r="B1665" s="3" t="s">
        <v>204</v>
      </c>
      <c r="C1665" s="3"/>
      <c r="D1665" s="3"/>
      <c r="E1665" s="3"/>
      <c r="F1665" s="3">
        <v>5</v>
      </c>
      <c r="G1665" s="7" t="s">
        <v>345</v>
      </c>
      <c r="H1665" s="3" t="s">
        <v>6111</v>
      </c>
      <c r="I1665" s="3" t="s">
        <v>6112</v>
      </c>
      <c r="J1665" s="3" t="s">
        <v>6113</v>
      </c>
      <c r="K1665" s="3" t="s">
        <v>229</v>
      </c>
      <c r="L1665" s="3" t="s">
        <v>6114</v>
      </c>
      <c r="M1665" s="3" t="s">
        <v>6115</v>
      </c>
      <c r="O1665" s="3" t="s">
        <v>6116</v>
      </c>
      <c r="P1665"/>
    </row>
    <row r="1666" spans="1:16" ht="58" hidden="1" x14ac:dyDescent="0.35">
      <c r="A1666" s="3" t="s">
        <v>201</v>
      </c>
      <c r="B1666" s="3" t="s">
        <v>204</v>
      </c>
      <c r="C1666" s="3"/>
      <c r="D1666" s="3"/>
      <c r="E1666" s="3"/>
      <c r="F1666" s="3">
        <v>5</v>
      </c>
      <c r="G1666" s="7" t="s">
        <v>345</v>
      </c>
      <c r="H1666" s="3" t="s">
        <v>6117</v>
      </c>
      <c r="I1666" s="3" t="s">
        <v>6118</v>
      </c>
      <c r="J1666" s="3" t="s">
        <v>6119</v>
      </c>
      <c r="K1666" s="3" t="s">
        <v>229</v>
      </c>
      <c r="L1666" s="3" t="s">
        <v>6120</v>
      </c>
      <c r="M1666" s="3" t="s">
        <v>6121</v>
      </c>
      <c r="O1666" s="3" t="s">
        <v>6122</v>
      </c>
      <c r="P1666"/>
    </row>
    <row r="1667" spans="1:16" ht="58" hidden="1" x14ac:dyDescent="0.35">
      <c r="A1667" s="3" t="s">
        <v>201</v>
      </c>
      <c r="B1667" s="3" t="s">
        <v>204</v>
      </c>
      <c r="C1667" s="3"/>
      <c r="D1667" s="3"/>
      <c r="E1667" s="3"/>
      <c r="F1667" s="3">
        <v>5</v>
      </c>
      <c r="G1667" s="7" t="s">
        <v>345</v>
      </c>
      <c r="H1667" s="3" t="s">
        <v>6123</v>
      </c>
      <c r="I1667" s="3" t="s">
        <v>654</v>
      </c>
      <c r="J1667" s="3" t="s">
        <v>6124</v>
      </c>
      <c r="K1667" s="3" t="s">
        <v>229</v>
      </c>
      <c r="L1667" s="3" t="s">
        <v>6125</v>
      </c>
      <c r="M1667" s="3" t="s">
        <v>6126</v>
      </c>
      <c r="O1667" s="3" t="s">
        <v>6127</v>
      </c>
      <c r="P1667"/>
    </row>
    <row r="1668" spans="1:16" ht="58" hidden="1" x14ac:dyDescent="0.35">
      <c r="A1668" s="3" t="s">
        <v>201</v>
      </c>
      <c r="B1668" s="3" t="s">
        <v>204</v>
      </c>
      <c r="C1668" s="3"/>
      <c r="D1668" s="3"/>
      <c r="E1668" s="3"/>
      <c r="F1668" s="3">
        <v>5</v>
      </c>
      <c r="G1668" s="7" t="s">
        <v>345</v>
      </c>
      <c r="H1668" s="3" t="s">
        <v>6123</v>
      </c>
      <c r="I1668" s="3" t="s">
        <v>6128</v>
      </c>
      <c r="J1668" s="3" t="s">
        <v>6129</v>
      </c>
      <c r="K1668" s="3" t="s">
        <v>229</v>
      </c>
      <c r="L1668" s="3" t="s">
        <v>6130</v>
      </c>
      <c r="M1668" s="3" t="s">
        <v>6131</v>
      </c>
      <c r="O1668" s="3" t="s">
        <v>6132</v>
      </c>
      <c r="P1668"/>
    </row>
    <row r="1669" spans="1:16" ht="58" hidden="1" x14ac:dyDescent="0.35">
      <c r="A1669" s="3" t="s">
        <v>201</v>
      </c>
      <c r="B1669" s="3" t="s">
        <v>204</v>
      </c>
      <c r="C1669" s="3"/>
      <c r="D1669" s="3"/>
      <c r="E1669" s="3"/>
      <c r="F1669" s="3">
        <v>5</v>
      </c>
      <c r="G1669" s="7" t="s">
        <v>345</v>
      </c>
      <c r="H1669" s="3" t="s">
        <v>6133</v>
      </c>
      <c r="I1669" s="3" t="s">
        <v>6134</v>
      </c>
      <c r="J1669" s="3" t="s">
        <v>6135</v>
      </c>
      <c r="K1669" s="3" t="s">
        <v>229</v>
      </c>
      <c r="L1669" s="3" t="s">
        <v>6136</v>
      </c>
      <c r="M1669" s="3" t="s">
        <v>6137</v>
      </c>
      <c r="O1669" s="3" t="s">
        <v>6138</v>
      </c>
      <c r="P1669"/>
    </row>
    <row r="1670" spans="1:16" ht="58" hidden="1" x14ac:dyDescent="0.35">
      <c r="A1670" s="3" t="s">
        <v>201</v>
      </c>
      <c r="B1670" s="3" t="s">
        <v>204</v>
      </c>
      <c r="C1670" s="3"/>
      <c r="D1670" s="3"/>
      <c r="E1670" s="3"/>
      <c r="F1670" s="3">
        <v>5</v>
      </c>
      <c r="G1670" s="7" t="s">
        <v>345</v>
      </c>
      <c r="H1670" s="3" t="s">
        <v>6139</v>
      </c>
      <c r="I1670" s="3" t="s">
        <v>6140</v>
      </c>
      <c r="J1670" s="3" t="s">
        <v>6141</v>
      </c>
      <c r="K1670" s="3" t="s">
        <v>229</v>
      </c>
      <c r="L1670" s="3" t="s">
        <v>6142</v>
      </c>
      <c r="M1670" s="3" t="s">
        <v>6143</v>
      </c>
      <c r="O1670" s="3" t="s">
        <v>6144</v>
      </c>
      <c r="P1670"/>
    </row>
    <row r="1671" spans="1:16" ht="58" hidden="1" x14ac:dyDescent="0.35">
      <c r="A1671" s="3" t="s">
        <v>201</v>
      </c>
      <c r="B1671" s="3" t="s">
        <v>204</v>
      </c>
      <c r="C1671" s="3"/>
      <c r="D1671" s="3"/>
      <c r="E1671" s="3"/>
      <c r="F1671" s="3">
        <v>5</v>
      </c>
      <c r="G1671" s="7" t="s">
        <v>345</v>
      </c>
      <c r="H1671" s="3" t="s">
        <v>6145</v>
      </c>
      <c r="I1671" s="3" t="s">
        <v>6146</v>
      </c>
      <c r="J1671" s="3" t="s">
        <v>6147</v>
      </c>
      <c r="K1671" s="3" t="s">
        <v>229</v>
      </c>
      <c r="L1671" s="3" t="s">
        <v>6148</v>
      </c>
      <c r="M1671" s="3" t="s">
        <v>6149</v>
      </c>
      <c r="O1671" s="3" t="s">
        <v>6150</v>
      </c>
      <c r="P1671"/>
    </row>
    <row r="1672" spans="1:16" ht="58" hidden="1" x14ac:dyDescent="0.35">
      <c r="A1672" s="3" t="s">
        <v>201</v>
      </c>
      <c r="B1672" s="3" t="s">
        <v>204</v>
      </c>
      <c r="C1672" s="3"/>
      <c r="D1672" s="3"/>
      <c r="E1672" s="3"/>
      <c r="F1672" s="3">
        <v>6</v>
      </c>
      <c r="G1672" s="7" t="s">
        <v>345</v>
      </c>
      <c r="H1672" s="3" t="s">
        <v>346</v>
      </c>
      <c r="I1672" s="3" t="s">
        <v>6151</v>
      </c>
      <c r="J1672" s="3" t="s">
        <v>6152</v>
      </c>
      <c r="K1672" s="3" t="s">
        <v>229</v>
      </c>
      <c r="L1672" s="3" t="s">
        <v>6153</v>
      </c>
      <c r="M1672" s="3" t="s">
        <v>6154</v>
      </c>
      <c r="O1672" s="3"/>
      <c r="P1672"/>
    </row>
    <row r="1673" spans="1:16" ht="58" hidden="1" x14ac:dyDescent="0.35">
      <c r="A1673" s="3" t="s">
        <v>201</v>
      </c>
      <c r="B1673" s="3" t="s">
        <v>204</v>
      </c>
      <c r="C1673" s="3"/>
      <c r="D1673" s="3"/>
      <c r="E1673" s="3"/>
      <c r="F1673" s="3">
        <v>6</v>
      </c>
      <c r="G1673" s="7" t="s">
        <v>345</v>
      </c>
      <c r="H1673" s="3" t="s">
        <v>350</v>
      </c>
      <c r="I1673" s="3" t="s">
        <v>598</v>
      </c>
      <c r="J1673" s="3" t="s">
        <v>6155</v>
      </c>
      <c r="K1673" s="3" t="s">
        <v>229</v>
      </c>
      <c r="L1673" s="3" t="s">
        <v>6156</v>
      </c>
      <c r="M1673" s="3" t="s">
        <v>6157</v>
      </c>
      <c r="O1673" s="3"/>
      <c r="P1673"/>
    </row>
    <row r="1674" spans="1:16" ht="58" hidden="1" x14ac:dyDescent="0.35">
      <c r="A1674" s="3" t="s">
        <v>201</v>
      </c>
      <c r="B1674" s="3" t="s">
        <v>204</v>
      </c>
      <c r="C1674" s="3"/>
      <c r="D1674" s="3"/>
      <c r="E1674" s="3"/>
      <c r="F1674" s="3">
        <v>6</v>
      </c>
      <c r="G1674" s="7" t="s">
        <v>345</v>
      </c>
      <c r="H1674" s="3" t="s">
        <v>354</v>
      </c>
      <c r="I1674" s="3" t="s">
        <v>601</v>
      </c>
      <c r="J1674" s="3" t="s">
        <v>6158</v>
      </c>
      <c r="K1674" s="3" t="s">
        <v>229</v>
      </c>
      <c r="L1674" s="3" t="s">
        <v>6159</v>
      </c>
      <c r="M1674" s="3" t="s">
        <v>6160</v>
      </c>
      <c r="O1674" s="3" t="s">
        <v>6161</v>
      </c>
      <c r="P1674"/>
    </row>
    <row r="1675" spans="1:16" ht="58" hidden="1" x14ac:dyDescent="0.35">
      <c r="A1675" s="3" t="s">
        <v>201</v>
      </c>
      <c r="B1675" s="3" t="s">
        <v>204</v>
      </c>
      <c r="C1675" s="3"/>
      <c r="D1675" s="3"/>
      <c r="E1675" s="3"/>
      <c r="F1675" s="3">
        <v>6</v>
      </c>
      <c r="G1675" s="7" t="s">
        <v>345</v>
      </c>
      <c r="H1675" s="3" t="s">
        <v>358</v>
      </c>
      <c r="I1675" s="3" t="s">
        <v>604</v>
      </c>
      <c r="J1675" s="3" t="s">
        <v>6162</v>
      </c>
      <c r="K1675" s="3" t="s">
        <v>229</v>
      </c>
      <c r="L1675" s="3" t="s">
        <v>6163</v>
      </c>
      <c r="M1675" s="3" t="s">
        <v>6164</v>
      </c>
      <c r="O1675" s="3" t="s">
        <v>6165</v>
      </c>
      <c r="P1675"/>
    </row>
    <row r="1676" spans="1:16" ht="58" hidden="1" x14ac:dyDescent="0.35">
      <c r="A1676" s="3" t="s">
        <v>201</v>
      </c>
      <c r="B1676" s="3" t="s">
        <v>204</v>
      </c>
      <c r="C1676" s="3"/>
      <c r="D1676" s="3"/>
      <c r="E1676" s="3"/>
      <c r="F1676" s="3">
        <v>7</v>
      </c>
      <c r="G1676" s="7" t="s">
        <v>345</v>
      </c>
      <c r="H1676" s="3" t="s">
        <v>346</v>
      </c>
      <c r="I1676" s="3" t="s">
        <v>6166</v>
      </c>
      <c r="J1676" s="3" t="s">
        <v>6167</v>
      </c>
      <c r="K1676" s="3" t="s">
        <v>229</v>
      </c>
      <c r="L1676" s="3" t="s">
        <v>6168</v>
      </c>
      <c r="M1676" s="3" t="s">
        <v>6169</v>
      </c>
      <c r="O1676" s="3"/>
      <c r="P1676"/>
    </row>
    <row r="1677" spans="1:16" ht="58" hidden="1" x14ac:dyDescent="0.35">
      <c r="A1677" s="3" t="s">
        <v>201</v>
      </c>
      <c r="B1677" s="3" t="s">
        <v>204</v>
      </c>
      <c r="C1677" s="3"/>
      <c r="D1677" s="3"/>
      <c r="E1677" s="3"/>
      <c r="F1677" s="3">
        <v>7</v>
      </c>
      <c r="G1677" s="7" t="s">
        <v>345</v>
      </c>
      <c r="H1677" s="3" t="s">
        <v>350</v>
      </c>
      <c r="I1677" s="3" t="s">
        <v>612</v>
      </c>
      <c r="J1677" s="3" t="s">
        <v>6170</v>
      </c>
      <c r="K1677" s="3" t="s">
        <v>229</v>
      </c>
      <c r="L1677" s="3" t="s">
        <v>6171</v>
      </c>
      <c r="M1677" s="3" t="s">
        <v>6172</v>
      </c>
      <c r="O1677" s="3"/>
      <c r="P1677"/>
    </row>
    <row r="1678" spans="1:16" ht="58" hidden="1" x14ac:dyDescent="0.35">
      <c r="A1678" s="3" t="s">
        <v>201</v>
      </c>
      <c r="B1678" s="3" t="s">
        <v>204</v>
      </c>
      <c r="C1678" s="3"/>
      <c r="D1678" s="3"/>
      <c r="E1678" s="3"/>
      <c r="F1678" s="3">
        <v>8</v>
      </c>
      <c r="G1678" s="7" t="s">
        <v>345</v>
      </c>
      <c r="H1678" s="3" t="s">
        <v>346</v>
      </c>
      <c r="I1678" s="3" t="s">
        <v>615</v>
      </c>
      <c r="J1678" s="3" t="s">
        <v>6173</v>
      </c>
      <c r="K1678" s="3" t="s">
        <v>229</v>
      </c>
      <c r="L1678" s="3" t="s">
        <v>6174</v>
      </c>
      <c r="M1678" s="3" t="s">
        <v>6175</v>
      </c>
      <c r="O1678" s="3"/>
      <c r="P1678"/>
    </row>
    <row r="1679" spans="1:16" ht="58" hidden="1" x14ac:dyDescent="0.35">
      <c r="A1679" s="3" t="s">
        <v>201</v>
      </c>
      <c r="B1679" s="3" t="s">
        <v>204</v>
      </c>
      <c r="C1679" s="3"/>
      <c r="D1679" s="3"/>
      <c r="E1679" s="3"/>
      <c r="F1679" s="3">
        <v>8</v>
      </c>
      <c r="G1679" s="7" t="s">
        <v>345</v>
      </c>
      <c r="H1679" s="3" t="s">
        <v>350</v>
      </c>
      <c r="I1679" s="3" t="s">
        <v>618</v>
      </c>
      <c r="J1679" s="3" t="s">
        <v>6176</v>
      </c>
      <c r="K1679" s="3" t="s">
        <v>229</v>
      </c>
      <c r="L1679" s="3" t="s">
        <v>6177</v>
      </c>
      <c r="M1679" s="3" t="s">
        <v>6178</v>
      </c>
      <c r="O1679" s="3"/>
      <c r="P1679"/>
    </row>
    <row r="1680" spans="1:16" ht="58" hidden="1" x14ac:dyDescent="0.35">
      <c r="A1680" s="3" t="s">
        <v>201</v>
      </c>
      <c r="B1680" s="3" t="s">
        <v>204</v>
      </c>
      <c r="C1680" s="3"/>
      <c r="D1680" s="3"/>
      <c r="E1680" s="3"/>
      <c r="F1680" s="3">
        <v>8</v>
      </c>
      <c r="G1680" s="7" t="s">
        <v>345</v>
      </c>
      <c r="H1680" s="3" t="s">
        <v>354</v>
      </c>
      <c r="I1680" s="3" t="s">
        <v>621</v>
      </c>
      <c r="J1680" s="3" t="s">
        <v>6179</v>
      </c>
      <c r="K1680" s="3" t="s">
        <v>229</v>
      </c>
      <c r="L1680" s="3" t="s">
        <v>6180</v>
      </c>
      <c r="M1680" s="3" t="s">
        <v>6181</v>
      </c>
      <c r="O1680" s="3"/>
      <c r="P1680"/>
    </row>
    <row r="1681" spans="1:16" ht="58" hidden="1" x14ac:dyDescent="0.35">
      <c r="A1681" s="3" t="s">
        <v>201</v>
      </c>
      <c r="B1681" s="3" t="s">
        <v>204</v>
      </c>
      <c r="C1681" s="3"/>
      <c r="D1681" s="3"/>
      <c r="E1681" s="3"/>
      <c r="F1681" s="7">
        <v>1</v>
      </c>
      <c r="G1681" s="3" t="s">
        <v>345</v>
      </c>
      <c r="H1681" s="3" t="s">
        <v>346</v>
      </c>
      <c r="I1681" s="3" t="s">
        <v>625</v>
      </c>
      <c r="J1681" s="3" t="s">
        <v>6182</v>
      </c>
      <c r="K1681" s="3" t="s">
        <v>229</v>
      </c>
      <c r="L1681" s="3" t="s">
        <v>6183</v>
      </c>
      <c r="M1681" s="3" t="s">
        <v>6184</v>
      </c>
      <c r="N1681" s="3"/>
      <c r="O1681" s="3" t="s">
        <v>6185</v>
      </c>
      <c r="P1681"/>
    </row>
    <row r="1682" spans="1:16" ht="58" hidden="1" x14ac:dyDescent="0.35">
      <c r="A1682" s="3" t="s">
        <v>201</v>
      </c>
      <c r="B1682" s="3" t="s">
        <v>204</v>
      </c>
      <c r="C1682" s="3"/>
      <c r="D1682" s="3"/>
      <c r="E1682" s="3"/>
      <c r="F1682" s="7">
        <v>1</v>
      </c>
      <c r="G1682" s="3" t="s">
        <v>345</v>
      </c>
      <c r="H1682" s="3" t="s">
        <v>350</v>
      </c>
      <c r="I1682" s="3" t="s">
        <v>628</v>
      </c>
      <c r="J1682" s="3" t="s">
        <v>6186</v>
      </c>
      <c r="K1682" s="3" t="s">
        <v>229</v>
      </c>
      <c r="L1682" s="3" t="s">
        <v>6187</v>
      </c>
      <c r="M1682" s="3" t="s">
        <v>6188</v>
      </c>
      <c r="N1682" s="3"/>
      <c r="O1682" s="3" t="s">
        <v>6189</v>
      </c>
      <c r="P1682"/>
    </row>
    <row r="1683" spans="1:16" ht="58" hidden="1" x14ac:dyDescent="0.35">
      <c r="A1683" s="3" t="s">
        <v>201</v>
      </c>
      <c r="B1683" s="3" t="s">
        <v>204</v>
      </c>
      <c r="C1683" s="3"/>
      <c r="D1683" s="3"/>
      <c r="E1683" s="3"/>
      <c r="F1683" s="7">
        <v>1</v>
      </c>
      <c r="G1683" s="3" t="s">
        <v>345</v>
      </c>
      <c r="H1683" s="3" t="s">
        <v>354</v>
      </c>
      <c r="I1683" s="3" t="s">
        <v>6190</v>
      </c>
      <c r="J1683" s="3" t="s">
        <v>6191</v>
      </c>
      <c r="K1683" s="3" t="s">
        <v>229</v>
      </c>
      <c r="L1683" s="3" t="s">
        <v>6192</v>
      </c>
      <c r="M1683" s="3" t="s">
        <v>6065</v>
      </c>
      <c r="N1683" s="3"/>
      <c r="O1683" s="3" t="s">
        <v>6193</v>
      </c>
      <c r="P1683"/>
    </row>
    <row r="1684" spans="1:16" ht="58" hidden="1" x14ac:dyDescent="0.35">
      <c r="A1684" s="3" t="s">
        <v>201</v>
      </c>
      <c r="B1684" s="3" t="s">
        <v>204</v>
      </c>
      <c r="C1684" s="3"/>
      <c r="D1684" s="3"/>
      <c r="E1684" s="3"/>
      <c r="F1684" s="7">
        <v>1</v>
      </c>
      <c r="G1684" s="3" t="s">
        <v>345</v>
      </c>
      <c r="H1684" s="3" t="s">
        <v>358</v>
      </c>
      <c r="I1684" s="3" t="s">
        <v>634</v>
      </c>
      <c r="J1684" s="3" t="s">
        <v>6048</v>
      </c>
      <c r="K1684" s="3" t="s">
        <v>229</v>
      </c>
      <c r="L1684" s="3" t="s">
        <v>6049</v>
      </c>
      <c r="M1684" s="3" t="s">
        <v>6194</v>
      </c>
      <c r="N1684" s="3"/>
      <c r="O1684" s="3" t="s">
        <v>6195</v>
      </c>
      <c r="P1684"/>
    </row>
    <row r="1685" spans="1:16" ht="58" hidden="1" x14ac:dyDescent="0.35">
      <c r="A1685" s="3" t="s">
        <v>201</v>
      </c>
      <c r="B1685" s="3" t="s">
        <v>204</v>
      </c>
      <c r="C1685" s="3"/>
      <c r="D1685" s="3"/>
      <c r="E1685" s="3"/>
      <c r="F1685" s="7">
        <v>2</v>
      </c>
      <c r="G1685" s="3" t="s">
        <v>345</v>
      </c>
      <c r="H1685" s="3" t="s">
        <v>346</v>
      </c>
      <c r="I1685" s="3" t="s">
        <v>6196</v>
      </c>
      <c r="J1685" s="3" t="s">
        <v>6067</v>
      </c>
      <c r="K1685" s="3" t="s">
        <v>229</v>
      </c>
      <c r="L1685" s="3" t="s">
        <v>6068</v>
      </c>
      <c r="M1685" s="3" t="s">
        <v>6069</v>
      </c>
      <c r="N1685" s="3"/>
      <c r="O1685" s="3" t="s">
        <v>6070</v>
      </c>
      <c r="P1685"/>
    </row>
    <row r="1686" spans="1:16" ht="58" hidden="1" x14ac:dyDescent="0.35">
      <c r="A1686" s="3" t="s">
        <v>201</v>
      </c>
      <c r="B1686" s="3" t="s">
        <v>204</v>
      </c>
      <c r="C1686" s="3"/>
      <c r="D1686" s="3"/>
      <c r="E1686" s="3"/>
      <c r="F1686" s="7">
        <v>2</v>
      </c>
      <c r="G1686" s="3" t="s">
        <v>345</v>
      </c>
      <c r="H1686" s="3" t="s">
        <v>350</v>
      </c>
      <c r="I1686" s="3" t="s">
        <v>6197</v>
      </c>
      <c r="J1686" s="3" t="s">
        <v>6071</v>
      </c>
      <c r="K1686" s="3" t="s">
        <v>229</v>
      </c>
      <c r="L1686" s="3" t="s">
        <v>6072</v>
      </c>
      <c r="M1686" s="3" t="s">
        <v>6073</v>
      </c>
      <c r="N1686" s="3"/>
      <c r="O1686" s="3" t="s">
        <v>6198</v>
      </c>
      <c r="P1686"/>
    </row>
    <row r="1687" spans="1:16" ht="58" hidden="1" x14ac:dyDescent="0.35">
      <c r="A1687" s="3" t="s">
        <v>201</v>
      </c>
      <c r="B1687" s="3" t="s">
        <v>204</v>
      </c>
      <c r="C1687" s="3"/>
      <c r="D1687" s="3"/>
      <c r="E1687" s="3"/>
      <c r="F1687" s="7">
        <v>3</v>
      </c>
      <c r="G1687" s="3" t="s">
        <v>345</v>
      </c>
      <c r="H1687" s="3" t="s">
        <v>6028</v>
      </c>
      <c r="I1687" s="3" t="s">
        <v>1122</v>
      </c>
      <c r="J1687" s="3" t="s">
        <v>6199</v>
      </c>
      <c r="K1687" s="3" t="s">
        <v>229</v>
      </c>
      <c r="L1687" s="3" t="s">
        <v>6076</v>
      </c>
      <c r="M1687" s="3" t="s">
        <v>6200</v>
      </c>
      <c r="N1687" s="3"/>
      <c r="O1687" s="3" t="s">
        <v>6078</v>
      </c>
      <c r="P1687"/>
    </row>
    <row r="1688" spans="1:16" ht="58" hidden="1" x14ac:dyDescent="0.35">
      <c r="A1688" s="3" t="s">
        <v>201</v>
      </c>
      <c r="B1688" s="3" t="s">
        <v>204</v>
      </c>
      <c r="C1688" s="3"/>
      <c r="D1688" s="3"/>
      <c r="E1688" s="3"/>
      <c r="F1688" s="7">
        <v>3</v>
      </c>
      <c r="G1688" s="3" t="s">
        <v>345</v>
      </c>
      <c r="H1688" s="3" t="s">
        <v>6079</v>
      </c>
      <c r="I1688" s="3" t="s">
        <v>6201</v>
      </c>
      <c r="J1688" s="3" t="s">
        <v>6202</v>
      </c>
      <c r="K1688" s="3" t="s">
        <v>229</v>
      </c>
      <c r="L1688" s="3" t="s">
        <v>6081</v>
      </c>
      <c r="M1688" s="3" t="s">
        <v>6203</v>
      </c>
      <c r="N1688" s="3"/>
      <c r="O1688" s="3" t="s">
        <v>6083</v>
      </c>
      <c r="P1688"/>
    </row>
    <row r="1689" spans="1:16" ht="58" hidden="1" x14ac:dyDescent="0.35">
      <c r="A1689" s="3" t="s">
        <v>201</v>
      </c>
      <c r="B1689" s="3" t="s">
        <v>204</v>
      </c>
      <c r="C1689" s="3"/>
      <c r="D1689" s="3"/>
      <c r="E1689" s="3"/>
      <c r="F1689" s="7">
        <v>3</v>
      </c>
      <c r="G1689" s="3" t="s">
        <v>345</v>
      </c>
      <c r="H1689" s="3" t="s">
        <v>350</v>
      </c>
      <c r="I1689" s="3" t="s">
        <v>6204</v>
      </c>
      <c r="J1689" s="3" t="s">
        <v>6084</v>
      </c>
      <c r="K1689" s="3" t="s">
        <v>229</v>
      </c>
      <c r="L1689" s="3" t="s">
        <v>6085</v>
      </c>
      <c r="M1689" s="3" t="s">
        <v>6086</v>
      </c>
      <c r="N1689" s="3"/>
      <c r="O1689" s="3" t="s">
        <v>6205</v>
      </c>
      <c r="P1689"/>
    </row>
    <row r="1690" spans="1:16" ht="58" hidden="1" x14ac:dyDescent="0.35">
      <c r="A1690" s="3" t="s">
        <v>205</v>
      </c>
      <c r="B1690" s="3" t="s">
        <v>204</v>
      </c>
      <c r="C1690" s="3"/>
      <c r="D1690" s="3"/>
      <c r="E1690" s="3"/>
      <c r="F1690" s="7">
        <v>3</v>
      </c>
      <c r="G1690" s="3" t="s">
        <v>345</v>
      </c>
      <c r="H1690" s="3" t="s">
        <v>354</v>
      </c>
      <c r="I1690" s="3" t="s">
        <v>6206</v>
      </c>
      <c r="J1690" s="3" t="s">
        <v>6087</v>
      </c>
      <c r="K1690" s="3" t="s">
        <v>229</v>
      </c>
      <c r="L1690" s="3" t="s">
        <v>6088</v>
      </c>
      <c r="M1690" s="3" t="s">
        <v>6089</v>
      </c>
      <c r="N1690" s="3"/>
      <c r="O1690" s="3" t="s">
        <v>6207</v>
      </c>
      <c r="P1690"/>
    </row>
    <row r="1691" spans="1:16" ht="58" hidden="1" x14ac:dyDescent="0.35">
      <c r="A1691" s="3" t="s">
        <v>205</v>
      </c>
      <c r="B1691" s="3" t="s">
        <v>204</v>
      </c>
      <c r="C1691" s="3"/>
      <c r="D1691" s="3"/>
      <c r="E1691" s="3"/>
      <c r="F1691" s="7">
        <v>4</v>
      </c>
      <c r="G1691" s="3" t="s">
        <v>345</v>
      </c>
      <c r="H1691" s="3" t="s">
        <v>6208</v>
      </c>
      <c r="I1691" s="3" t="s">
        <v>6209</v>
      </c>
      <c r="J1691" s="3" t="s">
        <v>6210</v>
      </c>
      <c r="K1691" s="3" t="s">
        <v>229</v>
      </c>
      <c r="L1691" s="3" t="s">
        <v>6211</v>
      </c>
      <c r="M1691" s="3" t="s">
        <v>6212</v>
      </c>
      <c r="N1691" s="3"/>
      <c r="O1691" s="3" t="s">
        <v>6213</v>
      </c>
      <c r="P1691"/>
    </row>
    <row r="1692" spans="1:16" ht="58" hidden="1" x14ac:dyDescent="0.35">
      <c r="A1692" s="3" t="s">
        <v>205</v>
      </c>
      <c r="B1692" s="3" t="s">
        <v>204</v>
      </c>
      <c r="C1692" s="3"/>
      <c r="D1692" s="3"/>
      <c r="E1692" s="3"/>
      <c r="F1692" s="7">
        <v>4</v>
      </c>
      <c r="G1692" s="3" t="s">
        <v>345</v>
      </c>
      <c r="H1692" s="3" t="s">
        <v>6214</v>
      </c>
      <c r="I1692" s="3" t="s">
        <v>6215</v>
      </c>
      <c r="J1692" s="3" t="s">
        <v>6216</v>
      </c>
      <c r="K1692" s="3" t="s">
        <v>229</v>
      </c>
      <c r="L1692" s="3" t="s">
        <v>6217</v>
      </c>
      <c r="M1692" s="3" t="s">
        <v>6218</v>
      </c>
      <c r="N1692" s="3"/>
      <c r="O1692" s="3" t="s">
        <v>6219</v>
      </c>
      <c r="P1692"/>
    </row>
    <row r="1693" spans="1:16" ht="58" hidden="1" x14ac:dyDescent="0.35">
      <c r="A1693" s="3" t="s">
        <v>205</v>
      </c>
      <c r="B1693" s="3" t="s">
        <v>204</v>
      </c>
      <c r="C1693" s="3"/>
      <c r="D1693" s="3"/>
      <c r="E1693" s="3"/>
      <c r="F1693" s="7">
        <v>4</v>
      </c>
      <c r="G1693" s="3" t="s">
        <v>345</v>
      </c>
      <c r="H1693" s="3" t="s">
        <v>6220</v>
      </c>
      <c r="I1693" s="3" t="s">
        <v>6221</v>
      </c>
      <c r="J1693" s="3" t="s">
        <v>6222</v>
      </c>
      <c r="K1693" s="3" t="s">
        <v>229</v>
      </c>
      <c r="L1693" s="3" t="s">
        <v>6223</v>
      </c>
      <c r="M1693" s="3" t="s">
        <v>6224</v>
      </c>
      <c r="N1693" s="3"/>
      <c r="O1693" s="3" t="s">
        <v>6225</v>
      </c>
      <c r="P1693"/>
    </row>
    <row r="1694" spans="1:16" ht="58" hidden="1" x14ac:dyDescent="0.35">
      <c r="A1694" s="3" t="s">
        <v>205</v>
      </c>
      <c r="B1694" s="3" t="s">
        <v>204</v>
      </c>
      <c r="C1694" s="3"/>
      <c r="D1694" s="3"/>
      <c r="E1694" s="3"/>
      <c r="F1694" s="7">
        <v>4</v>
      </c>
      <c r="G1694" s="3" t="s">
        <v>345</v>
      </c>
      <c r="H1694" s="3" t="s">
        <v>6033</v>
      </c>
      <c r="I1694" s="3" t="s">
        <v>548</v>
      </c>
      <c r="J1694" s="3" t="s">
        <v>6226</v>
      </c>
      <c r="K1694" s="3" t="s">
        <v>229</v>
      </c>
      <c r="L1694" s="3" t="s">
        <v>6108</v>
      </c>
      <c r="M1694" s="3" t="s">
        <v>6227</v>
      </c>
      <c r="N1694" s="3"/>
      <c r="O1694" s="3" t="s">
        <v>6110</v>
      </c>
      <c r="P1694"/>
    </row>
    <row r="1695" spans="1:16" ht="58" hidden="1" x14ac:dyDescent="0.35">
      <c r="A1695" s="3" t="s">
        <v>205</v>
      </c>
      <c r="B1695" s="3" t="s">
        <v>204</v>
      </c>
      <c r="C1695" s="3"/>
      <c r="D1695" s="3"/>
      <c r="E1695" s="3"/>
      <c r="F1695" s="7">
        <v>4</v>
      </c>
      <c r="G1695" s="3" t="s">
        <v>345</v>
      </c>
      <c r="H1695" s="3" t="s">
        <v>6095</v>
      </c>
      <c r="I1695" s="3" t="s">
        <v>559</v>
      </c>
      <c r="J1695" s="3" t="s">
        <v>6228</v>
      </c>
      <c r="K1695" s="3" t="s">
        <v>229</v>
      </c>
      <c r="L1695" s="3" t="s">
        <v>6097</v>
      </c>
      <c r="M1695" s="3" t="s">
        <v>6229</v>
      </c>
      <c r="N1695" s="3"/>
      <c r="O1695" s="3" t="s">
        <v>6104</v>
      </c>
      <c r="P1695"/>
    </row>
    <row r="1696" spans="1:16" ht="58" hidden="1" x14ac:dyDescent="0.35">
      <c r="A1696" s="3" t="s">
        <v>205</v>
      </c>
      <c r="B1696" s="3" t="s">
        <v>204</v>
      </c>
      <c r="C1696" s="3"/>
      <c r="D1696" s="3"/>
      <c r="E1696" s="3"/>
      <c r="F1696" s="7">
        <v>4</v>
      </c>
      <c r="G1696" s="3" t="s">
        <v>345</v>
      </c>
      <c r="H1696" s="3" t="s">
        <v>6100</v>
      </c>
      <c r="I1696" s="3" t="s">
        <v>6230</v>
      </c>
      <c r="J1696" s="3" t="s">
        <v>6101</v>
      </c>
      <c r="K1696" s="3" t="s">
        <v>229</v>
      </c>
      <c r="L1696" s="3" t="s">
        <v>6102</v>
      </c>
      <c r="M1696" s="3" t="s">
        <v>6103</v>
      </c>
      <c r="N1696" s="3"/>
      <c r="O1696" s="3" t="s">
        <v>6231</v>
      </c>
      <c r="P1696"/>
    </row>
    <row r="1697" spans="1:16" ht="58" hidden="1" x14ac:dyDescent="0.35">
      <c r="A1697" s="3" t="s">
        <v>205</v>
      </c>
      <c r="B1697" s="3" t="s">
        <v>204</v>
      </c>
      <c r="C1697" s="3"/>
      <c r="D1697" s="3"/>
      <c r="E1697" s="3"/>
      <c r="F1697" s="7">
        <v>4</v>
      </c>
      <c r="G1697" s="3" t="s">
        <v>345</v>
      </c>
      <c r="H1697" s="3" t="s">
        <v>6105</v>
      </c>
      <c r="I1697" s="3" t="s">
        <v>554</v>
      </c>
      <c r="J1697" s="3" t="s">
        <v>6232</v>
      </c>
      <c r="K1697" s="3" t="s">
        <v>229</v>
      </c>
      <c r="L1697" s="3" t="s">
        <v>6108</v>
      </c>
      <c r="M1697" s="3" t="s">
        <v>6233</v>
      </c>
      <c r="N1697" s="3"/>
      <c r="O1697" s="3" t="s">
        <v>6234</v>
      </c>
      <c r="P1697"/>
    </row>
    <row r="1698" spans="1:16" ht="58" hidden="1" x14ac:dyDescent="0.35">
      <c r="A1698" s="3" t="s">
        <v>205</v>
      </c>
      <c r="B1698" s="3" t="s">
        <v>204</v>
      </c>
      <c r="C1698" s="3"/>
      <c r="D1698" s="3"/>
      <c r="E1698" s="3"/>
      <c r="F1698" s="7">
        <v>4</v>
      </c>
      <c r="G1698" s="3" t="s">
        <v>345</v>
      </c>
      <c r="H1698" s="3" t="s">
        <v>6111</v>
      </c>
      <c r="I1698" s="3" t="s">
        <v>6235</v>
      </c>
      <c r="J1698" s="3" t="s">
        <v>6236</v>
      </c>
      <c r="K1698" s="3" t="s">
        <v>229</v>
      </c>
      <c r="L1698" s="3" t="s">
        <v>6114</v>
      </c>
      <c r="M1698" s="3" t="s">
        <v>6237</v>
      </c>
      <c r="N1698" s="3"/>
      <c r="O1698" s="3" t="s">
        <v>6238</v>
      </c>
      <c r="P1698"/>
    </row>
    <row r="1699" spans="1:16" ht="58" hidden="1" x14ac:dyDescent="0.35">
      <c r="A1699" s="3" t="s">
        <v>205</v>
      </c>
      <c r="B1699" s="3" t="s">
        <v>204</v>
      </c>
      <c r="C1699" s="3"/>
      <c r="D1699" s="3"/>
      <c r="E1699" s="3"/>
      <c r="F1699" s="7">
        <v>4</v>
      </c>
      <c r="G1699" s="3" t="s">
        <v>345</v>
      </c>
      <c r="H1699" s="3" t="s">
        <v>6117</v>
      </c>
      <c r="I1699" s="3" t="s">
        <v>6239</v>
      </c>
      <c r="J1699" s="3" t="s">
        <v>6240</v>
      </c>
      <c r="K1699" s="3" t="s">
        <v>229</v>
      </c>
      <c r="L1699" s="3" t="s">
        <v>6120</v>
      </c>
      <c r="M1699" s="3" t="s">
        <v>6241</v>
      </c>
      <c r="N1699" s="3"/>
      <c r="O1699" s="3" t="s">
        <v>6242</v>
      </c>
      <c r="P1699"/>
    </row>
    <row r="1700" spans="1:16" ht="58" hidden="1" x14ac:dyDescent="0.35">
      <c r="A1700" s="3" t="s">
        <v>205</v>
      </c>
      <c r="B1700" s="3" t="s">
        <v>204</v>
      </c>
      <c r="C1700" s="3"/>
      <c r="D1700" s="3"/>
      <c r="E1700" s="3"/>
      <c r="F1700" s="7">
        <v>4</v>
      </c>
      <c r="G1700" s="3" t="s">
        <v>345</v>
      </c>
      <c r="H1700" s="3" t="s">
        <v>6123</v>
      </c>
      <c r="I1700" s="3" t="s">
        <v>6243</v>
      </c>
      <c r="J1700" s="3" t="s">
        <v>6244</v>
      </c>
      <c r="K1700" s="3" t="s">
        <v>229</v>
      </c>
      <c r="L1700" s="3" t="s">
        <v>6125</v>
      </c>
      <c r="M1700" s="3" t="s">
        <v>6245</v>
      </c>
      <c r="N1700" s="3"/>
      <c r="O1700" s="3" t="s">
        <v>6127</v>
      </c>
      <c r="P1700"/>
    </row>
    <row r="1701" spans="1:16" ht="58" hidden="1" x14ac:dyDescent="0.35">
      <c r="A1701" s="3" t="s">
        <v>205</v>
      </c>
      <c r="B1701" s="3" t="s">
        <v>204</v>
      </c>
      <c r="C1701" s="3"/>
      <c r="D1701" s="3"/>
      <c r="E1701" s="3"/>
      <c r="F1701" s="7">
        <v>4</v>
      </c>
      <c r="G1701" s="3" t="s">
        <v>345</v>
      </c>
      <c r="H1701" s="3" t="s">
        <v>6123</v>
      </c>
      <c r="I1701" s="3" t="s">
        <v>6246</v>
      </c>
      <c r="J1701" s="3" t="s">
        <v>6247</v>
      </c>
      <c r="K1701" s="3" t="s">
        <v>229</v>
      </c>
      <c r="L1701" s="3" t="s">
        <v>6130</v>
      </c>
      <c r="M1701" s="3" t="s">
        <v>6248</v>
      </c>
      <c r="N1701" s="3"/>
      <c r="O1701" s="3" t="s">
        <v>6132</v>
      </c>
      <c r="P1701"/>
    </row>
    <row r="1702" spans="1:16" ht="58" hidden="1" x14ac:dyDescent="0.35">
      <c r="A1702" s="3" t="s">
        <v>205</v>
      </c>
      <c r="B1702" s="3" t="s">
        <v>204</v>
      </c>
      <c r="C1702" s="3"/>
      <c r="D1702" s="3"/>
      <c r="E1702" s="3"/>
      <c r="F1702" s="7">
        <v>4</v>
      </c>
      <c r="G1702" s="3" t="s">
        <v>345</v>
      </c>
      <c r="H1702" s="3" t="s">
        <v>6133</v>
      </c>
      <c r="I1702" s="3" t="s">
        <v>565</v>
      </c>
      <c r="J1702" s="3" t="s">
        <v>6249</v>
      </c>
      <c r="K1702" s="3" t="s">
        <v>229</v>
      </c>
      <c r="L1702" s="3" t="s">
        <v>6136</v>
      </c>
      <c r="M1702" s="3" t="s">
        <v>6250</v>
      </c>
      <c r="N1702" s="3"/>
      <c r="O1702" s="3" t="s">
        <v>6251</v>
      </c>
      <c r="P1702"/>
    </row>
    <row r="1703" spans="1:16" ht="58" hidden="1" x14ac:dyDescent="0.35">
      <c r="A1703" s="3" t="s">
        <v>205</v>
      </c>
      <c r="B1703" s="3" t="s">
        <v>204</v>
      </c>
      <c r="C1703" s="3"/>
      <c r="D1703" s="3"/>
      <c r="E1703" s="3"/>
      <c r="F1703" s="7">
        <v>4</v>
      </c>
      <c r="G1703" s="3" t="s">
        <v>345</v>
      </c>
      <c r="H1703" s="3" t="s">
        <v>6139</v>
      </c>
      <c r="I1703" s="3" t="s">
        <v>6252</v>
      </c>
      <c r="J1703" s="3" t="s">
        <v>6253</v>
      </c>
      <c r="K1703" s="3" t="s">
        <v>229</v>
      </c>
      <c r="L1703" s="3" t="s">
        <v>6142</v>
      </c>
      <c r="M1703" s="3" t="s">
        <v>6143</v>
      </c>
      <c r="N1703" s="3"/>
      <c r="O1703" s="3" t="s">
        <v>6254</v>
      </c>
      <c r="P1703"/>
    </row>
    <row r="1704" spans="1:16" ht="58" hidden="1" x14ac:dyDescent="0.35">
      <c r="A1704" s="3" t="s">
        <v>205</v>
      </c>
      <c r="B1704" s="3" t="s">
        <v>204</v>
      </c>
      <c r="C1704" s="3"/>
      <c r="D1704" s="3"/>
      <c r="E1704" s="3"/>
      <c r="F1704" s="7">
        <v>4</v>
      </c>
      <c r="G1704" s="3" t="s">
        <v>345</v>
      </c>
      <c r="H1704" s="3" t="s">
        <v>6145</v>
      </c>
      <c r="I1704" s="3" t="s">
        <v>6255</v>
      </c>
      <c r="J1704" s="3" t="s">
        <v>6147</v>
      </c>
      <c r="K1704" s="3" t="s">
        <v>229</v>
      </c>
      <c r="L1704" s="3" t="s">
        <v>6148</v>
      </c>
      <c r="M1704" s="3" t="s">
        <v>6149</v>
      </c>
      <c r="N1704" s="3"/>
      <c r="O1704" s="3" t="s">
        <v>6150</v>
      </c>
      <c r="P1704"/>
    </row>
    <row r="1705" spans="1:16" ht="58" hidden="1" x14ac:dyDescent="0.35">
      <c r="A1705" s="3" t="s">
        <v>205</v>
      </c>
      <c r="B1705" s="3" t="s">
        <v>204</v>
      </c>
      <c r="C1705" s="3"/>
      <c r="D1705" s="3"/>
      <c r="E1705" s="3"/>
      <c r="F1705" s="7">
        <v>5</v>
      </c>
      <c r="G1705" s="3" t="s">
        <v>345</v>
      </c>
      <c r="H1705" s="3" t="s">
        <v>346</v>
      </c>
      <c r="I1705" s="3" t="s">
        <v>351</v>
      </c>
      <c r="J1705" s="3" t="s">
        <v>6256</v>
      </c>
      <c r="K1705" s="3" t="s">
        <v>229</v>
      </c>
      <c r="L1705" s="3" t="s">
        <v>6257</v>
      </c>
      <c r="M1705" s="3" t="s">
        <v>6258</v>
      </c>
      <c r="N1705" s="3"/>
      <c r="O1705" s="3" t="s">
        <v>6259</v>
      </c>
      <c r="P1705"/>
    </row>
    <row r="1706" spans="1:16" ht="58" hidden="1" x14ac:dyDescent="0.35">
      <c r="A1706" s="3" t="s">
        <v>205</v>
      </c>
      <c r="B1706" s="3" t="s">
        <v>204</v>
      </c>
      <c r="C1706" s="3"/>
      <c r="D1706" s="3"/>
      <c r="E1706" s="3"/>
      <c r="F1706" s="7">
        <v>6</v>
      </c>
      <c r="G1706" s="3" t="s">
        <v>345</v>
      </c>
      <c r="H1706" s="3" t="s">
        <v>346</v>
      </c>
      <c r="I1706" s="3" t="s">
        <v>6260</v>
      </c>
      <c r="J1706" s="3" t="s">
        <v>6152</v>
      </c>
      <c r="K1706" s="3" t="s">
        <v>229</v>
      </c>
      <c r="L1706" s="3" t="s">
        <v>6153</v>
      </c>
      <c r="M1706" s="3" t="s">
        <v>6154</v>
      </c>
      <c r="N1706" s="3"/>
      <c r="O1706" s="3"/>
      <c r="P1706"/>
    </row>
    <row r="1707" spans="1:16" ht="58" hidden="1" x14ac:dyDescent="0.35">
      <c r="A1707" s="3" t="s">
        <v>205</v>
      </c>
      <c r="B1707" s="3" t="s">
        <v>204</v>
      </c>
      <c r="C1707" s="3"/>
      <c r="D1707" s="3"/>
      <c r="E1707" s="3"/>
      <c r="F1707" s="7">
        <v>6</v>
      </c>
      <c r="G1707" s="3" t="s">
        <v>345</v>
      </c>
      <c r="H1707" s="3" t="s">
        <v>350</v>
      </c>
      <c r="I1707" s="3" t="s">
        <v>5627</v>
      </c>
      <c r="J1707" s="3" t="s">
        <v>6261</v>
      </c>
      <c r="K1707" s="3" t="s">
        <v>229</v>
      </c>
      <c r="L1707" s="3" t="s">
        <v>6156</v>
      </c>
      <c r="M1707" s="3" t="s">
        <v>6262</v>
      </c>
      <c r="N1707" s="3"/>
      <c r="O1707" s="3"/>
      <c r="P1707"/>
    </row>
    <row r="1708" spans="1:16" ht="58" hidden="1" x14ac:dyDescent="0.35">
      <c r="A1708" s="3" t="s">
        <v>205</v>
      </c>
      <c r="B1708" s="3" t="s">
        <v>204</v>
      </c>
      <c r="C1708" s="3"/>
      <c r="D1708" s="3"/>
      <c r="E1708" s="3"/>
      <c r="F1708" s="7">
        <v>6</v>
      </c>
      <c r="G1708" s="3" t="s">
        <v>345</v>
      </c>
      <c r="H1708" s="3" t="s">
        <v>354</v>
      </c>
      <c r="I1708" s="3" t="s">
        <v>372</v>
      </c>
      <c r="J1708" s="3" t="s">
        <v>6158</v>
      </c>
      <c r="K1708" s="3" t="s">
        <v>229</v>
      </c>
      <c r="L1708" s="3" t="s">
        <v>6159</v>
      </c>
      <c r="M1708" s="3" t="s">
        <v>6160</v>
      </c>
      <c r="N1708" s="3"/>
      <c r="O1708" s="3" t="s">
        <v>6161</v>
      </c>
      <c r="P1708"/>
    </row>
    <row r="1709" spans="1:16" ht="58" hidden="1" x14ac:dyDescent="0.35">
      <c r="A1709" s="3" t="s">
        <v>205</v>
      </c>
      <c r="B1709" s="3" t="s">
        <v>204</v>
      </c>
      <c r="C1709" s="3"/>
      <c r="D1709" s="3"/>
      <c r="E1709" s="3"/>
      <c r="F1709" s="7">
        <v>6</v>
      </c>
      <c r="G1709" s="3" t="s">
        <v>345</v>
      </c>
      <c r="H1709" s="3" t="s">
        <v>358</v>
      </c>
      <c r="I1709" s="3" t="s">
        <v>6263</v>
      </c>
      <c r="J1709" s="3" t="s">
        <v>6162</v>
      </c>
      <c r="K1709" s="3" t="s">
        <v>229</v>
      </c>
      <c r="L1709" s="3" t="s">
        <v>6163</v>
      </c>
      <c r="M1709" s="3" t="s">
        <v>6164</v>
      </c>
      <c r="N1709" s="3"/>
      <c r="O1709" s="3" t="s">
        <v>6264</v>
      </c>
      <c r="P1709"/>
    </row>
    <row r="1710" spans="1:16" ht="58" hidden="1" x14ac:dyDescent="0.35">
      <c r="A1710" s="3" t="s">
        <v>205</v>
      </c>
      <c r="B1710" s="3" t="s">
        <v>204</v>
      </c>
      <c r="C1710" s="3"/>
      <c r="D1710" s="3"/>
      <c r="E1710" s="3"/>
      <c r="F1710" s="7">
        <v>7</v>
      </c>
      <c r="G1710" s="3" t="s">
        <v>345</v>
      </c>
      <c r="H1710" s="3" t="s">
        <v>346</v>
      </c>
      <c r="I1710" s="3" t="s">
        <v>6265</v>
      </c>
      <c r="J1710" s="3" t="s">
        <v>6167</v>
      </c>
      <c r="K1710" s="3" t="s">
        <v>229</v>
      </c>
      <c r="L1710" s="3" t="s">
        <v>6168</v>
      </c>
      <c r="M1710" s="3" t="s">
        <v>6169</v>
      </c>
      <c r="N1710" s="3"/>
      <c r="O1710" s="3"/>
      <c r="P1710"/>
    </row>
    <row r="1711" spans="1:16" ht="58" hidden="1" x14ac:dyDescent="0.35">
      <c r="A1711" s="3" t="s">
        <v>205</v>
      </c>
      <c r="B1711" s="3" t="s">
        <v>204</v>
      </c>
      <c r="C1711" s="3"/>
      <c r="D1711" s="3"/>
      <c r="E1711" s="3"/>
      <c r="F1711" s="7">
        <v>7</v>
      </c>
      <c r="G1711" s="3" t="s">
        <v>345</v>
      </c>
      <c r="H1711" s="3" t="s">
        <v>350</v>
      </c>
      <c r="I1711" s="3" t="s">
        <v>6266</v>
      </c>
      <c r="J1711" s="3" t="s">
        <v>6170</v>
      </c>
      <c r="K1711" s="3" t="s">
        <v>229</v>
      </c>
      <c r="L1711" s="3" t="s">
        <v>6171</v>
      </c>
      <c r="M1711" s="3" t="s">
        <v>6172</v>
      </c>
      <c r="N1711" s="3"/>
      <c r="O1711" s="3"/>
      <c r="P1711"/>
    </row>
    <row r="1712" spans="1:16" ht="58" hidden="1" x14ac:dyDescent="0.35">
      <c r="A1712" s="3" t="s">
        <v>205</v>
      </c>
      <c r="B1712" s="3" t="s">
        <v>204</v>
      </c>
      <c r="C1712" s="3"/>
      <c r="D1712" s="3"/>
      <c r="E1712" s="3"/>
      <c r="F1712" s="7">
        <v>8</v>
      </c>
      <c r="G1712" s="3" t="s">
        <v>345</v>
      </c>
      <c r="H1712" s="3" t="s">
        <v>13</v>
      </c>
      <c r="I1712" t="s">
        <v>6267</v>
      </c>
      <c r="J1712" s="3" t="s">
        <v>6268</v>
      </c>
      <c r="K1712" s="3" t="s">
        <v>229</v>
      </c>
      <c r="L1712" s="3" t="s">
        <v>6269</v>
      </c>
      <c r="M1712" s="3" t="s">
        <v>6270</v>
      </c>
      <c r="N1712" s="3"/>
      <c r="O1712" s="3" t="s">
        <v>6271</v>
      </c>
      <c r="P1712"/>
    </row>
    <row r="1713" spans="1:16" ht="58" hidden="1" x14ac:dyDescent="0.35">
      <c r="A1713" s="3" t="s">
        <v>205</v>
      </c>
      <c r="B1713" s="3" t="s">
        <v>204</v>
      </c>
      <c r="C1713" s="3"/>
      <c r="D1713" s="3"/>
      <c r="E1713" s="3"/>
      <c r="F1713" s="7">
        <v>9</v>
      </c>
      <c r="G1713" s="3" t="s">
        <v>345</v>
      </c>
      <c r="H1713" s="3" t="s">
        <v>346</v>
      </c>
      <c r="I1713" t="s">
        <v>6272</v>
      </c>
      <c r="J1713" s="3" t="s">
        <v>6273</v>
      </c>
      <c r="K1713" s="3" t="s">
        <v>229</v>
      </c>
      <c r="L1713" s="3" t="s">
        <v>6174</v>
      </c>
      <c r="M1713" s="3" t="s">
        <v>6175</v>
      </c>
      <c r="N1713" s="3"/>
      <c r="O1713" s="3"/>
      <c r="P1713"/>
    </row>
    <row r="1714" spans="1:16" ht="58" hidden="1" x14ac:dyDescent="0.35">
      <c r="A1714" s="3" t="s">
        <v>205</v>
      </c>
      <c r="B1714" s="3" t="s">
        <v>204</v>
      </c>
      <c r="C1714" s="3"/>
      <c r="D1714" s="3"/>
      <c r="E1714" s="3"/>
      <c r="F1714" s="7">
        <v>9</v>
      </c>
      <c r="G1714" s="3" t="s">
        <v>345</v>
      </c>
      <c r="H1714" s="3" t="s">
        <v>350</v>
      </c>
      <c r="I1714" t="s">
        <v>6274</v>
      </c>
      <c r="J1714" s="3" t="s">
        <v>6176</v>
      </c>
      <c r="K1714" s="3" t="s">
        <v>229</v>
      </c>
      <c r="L1714" s="3" t="s">
        <v>6177</v>
      </c>
      <c r="M1714" s="3" t="s">
        <v>6178</v>
      </c>
      <c r="N1714" s="3"/>
      <c r="O1714" s="3"/>
      <c r="P1714"/>
    </row>
    <row r="1715" spans="1:16" ht="58" hidden="1" x14ac:dyDescent="0.35">
      <c r="A1715" s="3" t="s">
        <v>205</v>
      </c>
      <c r="B1715" s="3" t="s">
        <v>204</v>
      </c>
      <c r="C1715" s="3"/>
      <c r="D1715" s="3"/>
      <c r="E1715" s="3"/>
      <c r="F1715" s="7">
        <v>9</v>
      </c>
      <c r="G1715" s="3" t="s">
        <v>345</v>
      </c>
      <c r="H1715" s="3" t="s">
        <v>354</v>
      </c>
      <c r="I1715" t="s">
        <v>683</v>
      </c>
      <c r="J1715" s="3" t="s">
        <v>6179</v>
      </c>
      <c r="K1715" s="3" t="s">
        <v>229</v>
      </c>
      <c r="L1715" s="3" t="s">
        <v>6180</v>
      </c>
      <c r="M1715" s="3" t="s">
        <v>6181</v>
      </c>
      <c r="N1715" s="3"/>
      <c r="O1715" s="3"/>
      <c r="P1715"/>
    </row>
    <row r="1716" spans="1:16" ht="58" hidden="1" x14ac:dyDescent="0.35">
      <c r="A1716" s="3" t="s">
        <v>205</v>
      </c>
      <c r="B1716" s="3" t="s">
        <v>204</v>
      </c>
      <c r="C1716" s="3"/>
      <c r="D1716" s="3"/>
      <c r="E1716" s="3"/>
      <c r="F1716" s="7">
        <v>10</v>
      </c>
      <c r="G1716" s="3" t="s">
        <v>345</v>
      </c>
      <c r="H1716" s="3" t="s">
        <v>13</v>
      </c>
      <c r="I1716" t="s">
        <v>6275</v>
      </c>
      <c r="J1716" s="3" t="s">
        <v>6276</v>
      </c>
      <c r="K1716" s="3" t="s">
        <v>229</v>
      </c>
      <c r="L1716" s="3" t="s">
        <v>6277</v>
      </c>
      <c r="M1716" s="3" t="s">
        <v>6278</v>
      </c>
      <c r="N1716" s="3"/>
      <c r="O1716" s="3"/>
      <c r="P1716"/>
    </row>
    <row r="1717" spans="1:16" ht="58" hidden="1" x14ac:dyDescent="0.35">
      <c r="A1717" s="3" t="s">
        <v>205</v>
      </c>
      <c r="B1717" s="3" t="s">
        <v>204</v>
      </c>
      <c r="C1717" s="3"/>
      <c r="D1717" s="3"/>
      <c r="E1717" s="3"/>
      <c r="F1717" s="7">
        <v>1</v>
      </c>
      <c r="G1717" s="3" t="s">
        <v>345</v>
      </c>
      <c r="H1717" s="3" t="s">
        <v>346</v>
      </c>
      <c r="I1717" t="s">
        <v>6279</v>
      </c>
      <c r="J1717" s="3" t="s">
        <v>6280</v>
      </c>
      <c r="K1717" s="3" t="s">
        <v>229</v>
      </c>
      <c r="L1717" s="3" t="s">
        <v>6183</v>
      </c>
      <c r="M1717" s="3" t="s">
        <v>6281</v>
      </c>
      <c r="N1717" s="3"/>
      <c r="O1717" s="3" t="s">
        <v>6185</v>
      </c>
      <c r="P1717"/>
    </row>
    <row r="1718" spans="1:16" ht="58" hidden="1" x14ac:dyDescent="0.35">
      <c r="A1718" s="3" t="s">
        <v>205</v>
      </c>
      <c r="B1718" s="3" t="s">
        <v>204</v>
      </c>
      <c r="C1718" s="3"/>
      <c r="D1718" s="3"/>
      <c r="E1718" s="3"/>
      <c r="F1718" s="7">
        <v>1</v>
      </c>
      <c r="G1718" s="3" t="s">
        <v>345</v>
      </c>
      <c r="H1718" s="3" t="s">
        <v>350</v>
      </c>
      <c r="I1718" t="s">
        <v>692</v>
      </c>
      <c r="J1718" s="3" t="s">
        <v>6186</v>
      </c>
      <c r="K1718" s="3" t="s">
        <v>229</v>
      </c>
      <c r="L1718" s="3" t="s">
        <v>6187</v>
      </c>
      <c r="M1718" s="3" t="s">
        <v>6188</v>
      </c>
      <c r="N1718" s="3"/>
      <c r="O1718" s="3" t="s">
        <v>6189</v>
      </c>
      <c r="P1718"/>
    </row>
    <row r="1719" spans="1:16" ht="58" hidden="1" x14ac:dyDescent="0.35">
      <c r="A1719" s="3" t="s">
        <v>205</v>
      </c>
      <c r="B1719" s="3" t="s">
        <v>204</v>
      </c>
      <c r="C1719" s="3"/>
      <c r="D1719" s="3"/>
      <c r="E1719" s="3"/>
      <c r="F1719" s="7">
        <v>1</v>
      </c>
      <c r="G1719" s="3" t="s">
        <v>345</v>
      </c>
      <c r="H1719" s="3" t="s">
        <v>354</v>
      </c>
      <c r="I1719" t="s">
        <v>6282</v>
      </c>
      <c r="J1719" s="3" t="s">
        <v>6191</v>
      </c>
      <c r="K1719" s="3" t="s">
        <v>229</v>
      </c>
      <c r="L1719" s="3" t="s">
        <v>6192</v>
      </c>
      <c r="M1719" s="3" t="s">
        <v>6065</v>
      </c>
      <c r="N1719" s="3"/>
      <c r="O1719" s="3" t="s">
        <v>6193</v>
      </c>
      <c r="P1719"/>
    </row>
    <row r="1720" spans="1:16" ht="58" hidden="1" x14ac:dyDescent="0.35">
      <c r="A1720" s="3" t="s">
        <v>205</v>
      </c>
      <c r="B1720" s="3" t="s">
        <v>204</v>
      </c>
      <c r="C1720" s="3"/>
      <c r="D1720" s="3"/>
      <c r="E1720" s="3"/>
      <c r="F1720" s="7">
        <v>1</v>
      </c>
      <c r="G1720" s="3" t="s">
        <v>345</v>
      </c>
      <c r="H1720" s="3" t="s">
        <v>358</v>
      </c>
      <c r="I1720" s="3" t="s">
        <v>612</v>
      </c>
      <c r="J1720" s="3" t="s">
        <v>6048</v>
      </c>
      <c r="K1720" s="3" t="s">
        <v>229</v>
      </c>
      <c r="L1720" s="3" t="s">
        <v>6049</v>
      </c>
      <c r="M1720" s="3" t="s">
        <v>6194</v>
      </c>
      <c r="N1720" s="3"/>
      <c r="O1720" s="3" t="s">
        <v>6195</v>
      </c>
      <c r="P1720"/>
    </row>
    <row r="1721" spans="1:16" ht="58" hidden="1" x14ac:dyDescent="0.35">
      <c r="A1721" s="3" t="s">
        <v>205</v>
      </c>
      <c r="B1721" s="3" t="s">
        <v>204</v>
      </c>
      <c r="C1721" s="3"/>
      <c r="D1721" s="3"/>
      <c r="E1721" s="3"/>
      <c r="F1721" s="7">
        <v>2</v>
      </c>
      <c r="G1721" s="3" t="s">
        <v>345</v>
      </c>
      <c r="H1721" s="3" t="s">
        <v>346</v>
      </c>
      <c r="I1721" t="s">
        <v>6283</v>
      </c>
      <c r="J1721" s="3" t="s">
        <v>6067</v>
      </c>
      <c r="K1721" s="3" t="s">
        <v>229</v>
      </c>
      <c r="L1721" s="3" t="s">
        <v>6068</v>
      </c>
      <c r="M1721" s="3" t="s">
        <v>6069</v>
      </c>
      <c r="N1721" s="3"/>
      <c r="O1721" s="3" t="s">
        <v>6070</v>
      </c>
      <c r="P1721"/>
    </row>
    <row r="1722" spans="1:16" ht="58" hidden="1" x14ac:dyDescent="0.35">
      <c r="A1722" s="3" t="s">
        <v>205</v>
      </c>
      <c r="B1722" s="3" t="s">
        <v>204</v>
      </c>
      <c r="C1722" s="3"/>
      <c r="D1722" s="3"/>
      <c r="E1722" s="3"/>
      <c r="F1722" s="7">
        <v>2</v>
      </c>
      <c r="G1722" s="3" t="s">
        <v>345</v>
      </c>
      <c r="H1722" s="3" t="s">
        <v>350</v>
      </c>
      <c r="I1722" t="s">
        <v>6284</v>
      </c>
      <c r="J1722" s="3" t="s">
        <v>6071</v>
      </c>
      <c r="K1722" s="3" t="s">
        <v>229</v>
      </c>
      <c r="L1722" s="3" t="s">
        <v>6072</v>
      </c>
      <c r="M1722" s="3" t="s">
        <v>6073</v>
      </c>
      <c r="N1722" s="3"/>
      <c r="O1722" s="3" t="s">
        <v>6198</v>
      </c>
      <c r="P1722"/>
    </row>
    <row r="1723" spans="1:16" ht="58" hidden="1" x14ac:dyDescent="0.35">
      <c r="A1723" s="3" t="s">
        <v>205</v>
      </c>
      <c r="B1723" s="3" t="s">
        <v>204</v>
      </c>
      <c r="C1723" s="3"/>
      <c r="D1723" s="3"/>
      <c r="E1723" s="3"/>
      <c r="F1723" s="7">
        <v>3</v>
      </c>
      <c r="G1723" s="3" t="s">
        <v>345</v>
      </c>
      <c r="H1723" s="3" t="s">
        <v>6028</v>
      </c>
      <c r="I1723" s="3" t="s">
        <v>6285</v>
      </c>
      <c r="J1723" s="3" t="s">
        <v>6286</v>
      </c>
      <c r="K1723" s="3" t="s">
        <v>229</v>
      </c>
      <c r="L1723" s="3" t="s">
        <v>6076</v>
      </c>
      <c r="M1723" s="3" t="s">
        <v>6287</v>
      </c>
      <c r="N1723" s="3"/>
      <c r="O1723" s="3" t="s">
        <v>6078</v>
      </c>
      <c r="P1723"/>
    </row>
    <row r="1724" spans="1:16" ht="58" hidden="1" x14ac:dyDescent="0.35">
      <c r="A1724" s="3" t="s">
        <v>205</v>
      </c>
      <c r="B1724" s="3" t="s">
        <v>204</v>
      </c>
      <c r="C1724" s="3"/>
      <c r="D1724" s="3"/>
      <c r="E1724" s="3"/>
      <c r="F1724" s="7">
        <v>3</v>
      </c>
      <c r="G1724" s="3" t="s">
        <v>345</v>
      </c>
      <c r="H1724" s="3" t="s">
        <v>6079</v>
      </c>
      <c r="I1724" s="3" t="s">
        <v>518</v>
      </c>
      <c r="J1724" s="3" t="s">
        <v>6288</v>
      </c>
      <c r="K1724" s="3" t="s">
        <v>229</v>
      </c>
      <c r="L1724" s="3" t="s">
        <v>6081</v>
      </c>
      <c r="M1724" s="3" t="s">
        <v>6289</v>
      </c>
      <c r="N1724" s="3"/>
      <c r="O1724" s="3" t="s">
        <v>6083</v>
      </c>
      <c r="P1724"/>
    </row>
    <row r="1725" spans="1:16" ht="58" hidden="1" x14ac:dyDescent="0.35">
      <c r="A1725" s="3" t="s">
        <v>205</v>
      </c>
      <c r="B1725" s="3" t="s">
        <v>204</v>
      </c>
      <c r="C1725" s="3"/>
      <c r="D1725" s="3"/>
      <c r="E1725" s="3"/>
      <c r="F1725" s="7">
        <v>3</v>
      </c>
      <c r="G1725" s="3" t="s">
        <v>345</v>
      </c>
      <c r="H1725" s="3" t="s">
        <v>350</v>
      </c>
      <c r="I1725" s="3" t="s">
        <v>533</v>
      </c>
      <c r="J1725" s="3" t="s">
        <v>6084</v>
      </c>
      <c r="K1725" s="3" t="s">
        <v>229</v>
      </c>
      <c r="L1725" s="3" t="s">
        <v>6085</v>
      </c>
      <c r="M1725" s="3" t="s">
        <v>6086</v>
      </c>
      <c r="N1725" s="3"/>
      <c r="O1725" s="3" t="s">
        <v>6205</v>
      </c>
      <c r="P1725"/>
    </row>
    <row r="1726" spans="1:16" ht="58" hidden="1" x14ac:dyDescent="0.35">
      <c r="A1726" s="3" t="s">
        <v>208</v>
      </c>
      <c r="B1726" s="3" t="s">
        <v>204</v>
      </c>
      <c r="C1726" s="3"/>
      <c r="D1726" s="3"/>
      <c r="E1726" s="3"/>
      <c r="F1726" s="7">
        <v>3</v>
      </c>
      <c r="G1726" s="3" t="s">
        <v>345</v>
      </c>
      <c r="H1726" s="3" t="s">
        <v>354</v>
      </c>
      <c r="I1726" s="3" t="s">
        <v>6290</v>
      </c>
      <c r="J1726" s="3" t="s">
        <v>6087</v>
      </c>
      <c r="K1726" s="3" t="s">
        <v>229</v>
      </c>
      <c r="L1726" s="3" t="s">
        <v>6088</v>
      </c>
      <c r="M1726" s="3" t="s">
        <v>6089</v>
      </c>
      <c r="N1726" s="3"/>
      <c r="O1726" s="3" t="s">
        <v>6207</v>
      </c>
      <c r="P1726"/>
    </row>
    <row r="1727" spans="1:16" ht="58" hidden="1" x14ac:dyDescent="0.35">
      <c r="A1727" s="3" t="s">
        <v>208</v>
      </c>
      <c r="B1727" s="3" t="s">
        <v>204</v>
      </c>
      <c r="C1727" s="3"/>
      <c r="D1727" s="3"/>
      <c r="E1727" s="3"/>
      <c r="F1727" s="7">
        <v>4</v>
      </c>
      <c r="G1727" s="3" t="s">
        <v>345</v>
      </c>
      <c r="H1727" s="3" t="s">
        <v>6291</v>
      </c>
      <c r="I1727" s="3" t="s">
        <v>612</v>
      </c>
      <c r="J1727" s="3" t="s">
        <v>6292</v>
      </c>
      <c r="K1727" s="3" t="s">
        <v>229</v>
      </c>
      <c r="L1727" s="3" t="s">
        <v>6217</v>
      </c>
      <c r="M1727" s="3" t="s">
        <v>6293</v>
      </c>
      <c r="N1727" s="3"/>
      <c r="O1727" s="3" t="s">
        <v>6219</v>
      </c>
      <c r="P1727"/>
    </row>
    <row r="1728" spans="1:16" ht="58" hidden="1" x14ac:dyDescent="0.35">
      <c r="A1728" s="3" t="s">
        <v>208</v>
      </c>
      <c r="B1728" s="3" t="s">
        <v>204</v>
      </c>
      <c r="C1728" s="3"/>
      <c r="D1728" s="3"/>
      <c r="E1728" s="3"/>
      <c r="F1728" s="7">
        <v>4</v>
      </c>
      <c r="G1728" s="3" t="s">
        <v>345</v>
      </c>
      <c r="H1728" s="3" t="s">
        <v>6294</v>
      </c>
      <c r="I1728" s="3" t="s">
        <v>6197</v>
      </c>
      <c r="J1728" s="3" t="s">
        <v>6295</v>
      </c>
      <c r="K1728" s="3" t="s">
        <v>229</v>
      </c>
      <c r="L1728" s="3" t="s">
        <v>6296</v>
      </c>
      <c r="M1728" s="3" t="s">
        <v>6297</v>
      </c>
      <c r="N1728" s="3"/>
      <c r="O1728" s="3" t="s">
        <v>6298</v>
      </c>
      <c r="P1728"/>
    </row>
    <row r="1729" spans="1:16" ht="58" hidden="1" x14ac:dyDescent="0.35">
      <c r="A1729" s="3" t="s">
        <v>208</v>
      </c>
      <c r="B1729" s="3" t="s">
        <v>204</v>
      </c>
      <c r="C1729" s="3"/>
      <c r="D1729" s="3"/>
      <c r="E1729" s="3"/>
      <c r="F1729" s="7">
        <v>4</v>
      </c>
      <c r="G1729" s="3" t="s">
        <v>345</v>
      </c>
      <c r="H1729" s="3" t="s">
        <v>6299</v>
      </c>
      <c r="I1729" s="3" t="s">
        <v>6300</v>
      </c>
      <c r="J1729" s="3" t="s">
        <v>6301</v>
      </c>
      <c r="K1729" s="3" t="s">
        <v>229</v>
      </c>
      <c r="L1729" s="3" t="s">
        <v>6302</v>
      </c>
      <c r="M1729" s="3" t="s">
        <v>6303</v>
      </c>
      <c r="N1729" s="3"/>
      <c r="O1729" s="3" t="s">
        <v>6304</v>
      </c>
      <c r="P1729"/>
    </row>
    <row r="1730" spans="1:16" ht="58" hidden="1" x14ac:dyDescent="0.35">
      <c r="A1730" s="3" t="s">
        <v>208</v>
      </c>
      <c r="B1730" s="3" t="s">
        <v>204</v>
      </c>
      <c r="C1730" s="3"/>
      <c r="D1730" s="3"/>
      <c r="E1730" s="3"/>
      <c r="F1730" s="7">
        <v>4</v>
      </c>
      <c r="G1730" s="3" t="s">
        <v>345</v>
      </c>
      <c r="H1730" s="3" t="s">
        <v>6033</v>
      </c>
      <c r="I1730" s="3" t="s">
        <v>6201</v>
      </c>
      <c r="J1730" s="3" t="s">
        <v>6226</v>
      </c>
      <c r="K1730" s="3" t="s">
        <v>229</v>
      </c>
      <c r="L1730" s="3" t="s">
        <v>6108</v>
      </c>
      <c r="M1730" s="3" t="s">
        <v>6227</v>
      </c>
      <c r="N1730" s="3"/>
      <c r="O1730" s="3" t="s">
        <v>6110</v>
      </c>
      <c r="P1730"/>
    </row>
    <row r="1731" spans="1:16" ht="58" hidden="1" x14ac:dyDescent="0.35">
      <c r="A1731" s="3" t="s">
        <v>208</v>
      </c>
      <c r="B1731" s="3" t="s">
        <v>204</v>
      </c>
      <c r="C1731" s="3"/>
      <c r="D1731" s="3"/>
      <c r="E1731" s="3"/>
      <c r="F1731" s="7">
        <v>4</v>
      </c>
      <c r="G1731" s="3" t="s">
        <v>345</v>
      </c>
      <c r="H1731" s="3" t="s">
        <v>6079</v>
      </c>
      <c r="I1731" s="3" t="s">
        <v>6305</v>
      </c>
      <c r="J1731" s="3" t="s">
        <v>6306</v>
      </c>
      <c r="K1731" s="3" t="s">
        <v>229</v>
      </c>
      <c r="L1731" s="3" t="s">
        <v>6307</v>
      </c>
      <c r="M1731" s="3" t="s">
        <v>6308</v>
      </c>
      <c r="N1731" s="3"/>
      <c r="O1731" s="3" t="s">
        <v>6309</v>
      </c>
      <c r="P1731"/>
    </row>
    <row r="1732" spans="1:16" ht="58" hidden="1" x14ac:dyDescent="0.35">
      <c r="A1732" s="3" t="s">
        <v>208</v>
      </c>
      <c r="B1732" s="3" t="s">
        <v>204</v>
      </c>
      <c r="C1732" s="3"/>
      <c r="D1732" s="3"/>
      <c r="E1732" s="3"/>
      <c r="F1732" s="7">
        <v>4</v>
      </c>
      <c r="G1732" s="3" t="s">
        <v>345</v>
      </c>
      <c r="H1732" s="3" t="s">
        <v>6095</v>
      </c>
      <c r="I1732" s="3" t="s">
        <v>548</v>
      </c>
      <c r="J1732" s="3" t="s">
        <v>6228</v>
      </c>
      <c r="K1732" s="3" t="s">
        <v>229</v>
      </c>
      <c r="L1732" s="3" t="s">
        <v>6097</v>
      </c>
      <c r="M1732" s="3" t="s">
        <v>6229</v>
      </c>
      <c r="N1732" s="3"/>
      <c r="O1732" s="3" t="s">
        <v>6310</v>
      </c>
      <c r="P1732"/>
    </row>
    <row r="1733" spans="1:16" ht="58" hidden="1" x14ac:dyDescent="0.35">
      <c r="A1733" s="3" t="s">
        <v>208</v>
      </c>
      <c r="B1733" s="3" t="s">
        <v>204</v>
      </c>
      <c r="C1733" s="3"/>
      <c r="D1733" s="3"/>
      <c r="E1733" s="3"/>
      <c r="F1733" s="7">
        <v>4</v>
      </c>
      <c r="G1733" s="3" t="s">
        <v>345</v>
      </c>
      <c r="H1733" s="3" t="s">
        <v>6100</v>
      </c>
      <c r="I1733" t="s">
        <v>742</v>
      </c>
      <c r="J1733" s="3" t="s">
        <v>6101</v>
      </c>
      <c r="K1733" s="3" t="s">
        <v>229</v>
      </c>
      <c r="L1733" s="3" t="s">
        <v>6102</v>
      </c>
      <c r="M1733" s="3" t="s">
        <v>6103</v>
      </c>
      <c r="N1733" s="3"/>
      <c r="O1733" s="3" t="s">
        <v>6231</v>
      </c>
      <c r="P1733"/>
    </row>
    <row r="1734" spans="1:16" ht="58" hidden="1" x14ac:dyDescent="0.35">
      <c r="A1734" s="3" t="s">
        <v>208</v>
      </c>
      <c r="B1734" s="3" t="s">
        <v>204</v>
      </c>
      <c r="C1734" s="3"/>
      <c r="D1734" s="3"/>
      <c r="E1734" s="3"/>
      <c r="F1734" s="7">
        <v>4</v>
      </c>
      <c r="G1734" s="3" t="s">
        <v>345</v>
      </c>
      <c r="H1734" s="3" t="s">
        <v>6105</v>
      </c>
      <c r="I1734" t="s">
        <v>746</v>
      </c>
      <c r="J1734" s="3" t="s">
        <v>6311</v>
      </c>
      <c r="K1734" s="3" t="s">
        <v>229</v>
      </c>
      <c r="L1734" s="3" t="s">
        <v>6108</v>
      </c>
      <c r="M1734" s="3" t="s">
        <v>6233</v>
      </c>
      <c r="N1734" s="3"/>
      <c r="O1734" s="3" t="s">
        <v>6234</v>
      </c>
      <c r="P1734"/>
    </row>
    <row r="1735" spans="1:16" ht="58" hidden="1" x14ac:dyDescent="0.35">
      <c r="A1735" s="3" t="s">
        <v>208</v>
      </c>
      <c r="B1735" s="3" t="s">
        <v>204</v>
      </c>
      <c r="C1735" s="3"/>
      <c r="D1735" s="3"/>
      <c r="E1735" s="3"/>
      <c r="F1735" s="7">
        <v>4</v>
      </c>
      <c r="G1735" s="3" t="s">
        <v>345</v>
      </c>
      <c r="H1735" s="3" t="s">
        <v>6111</v>
      </c>
      <c r="I1735" s="3" t="s">
        <v>6312</v>
      </c>
      <c r="J1735" s="3" t="s">
        <v>6313</v>
      </c>
      <c r="K1735" s="3" t="s">
        <v>229</v>
      </c>
      <c r="L1735" s="3" t="s">
        <v>6114</v>
      </c>
      <c r="M1735" s="3" t="s">
        <v>6314</v>
      </c>
      <c r="N1735" s="3"/>
      <c r="O1735" s="3" t="s">
        <v>6238</v>
      </c>
      <c r="P1735"/>
    </row>
    <row r="1736" spans="1:16" ht="58" hidden="1" x14ac:dyDescent="0.35">
      <c r="A1736" s="3" t="s">
        <v>208</v>
      </c>
      <c r="B1736" s="3" t="s">
        <v>204</v>
      </c>
      <c r="C1736" s="3"/>
      <c r="D1736" s="3"/>
      <c r="E1736" s="3"/>
      <c r="F1736" s="7">
        <v>4</v>
      </c>
      <c r="G1736" s="3" t="s">
        <v>345</v>
      </c>
      <c r="H1736" s="3" t="s">
        <v>6117</v>
      </c>
      <c r="I1736" s="3" t="s">
        <v>6230</v>
      </c>
      <c r="J1736" s="3" t="s">
        <v>6315</v>
      </c>
      <c r="K1736" s="3" t="s">
        <v>229</v>
      </c>
      <c r="L1736" s="3" t="s">
        <v>6120</v>
      </c>
      <c r="M1736" s="3" t="s">
        <v>6241</v>
      </c>
      <c r="N1736" s="3"/>
      <c r="O1736" s="3" t="s">
        <v>6242</v>
      </c>
      <c r="P1736"/>
    </row>
    <row r="1737" spans="1:16" ht="58" hidden="1" x14ac:dyDescent="0.35">
      <c r="A1737" s="3" t="s">
        <v>208</v>
      </c>
      <c r="B1737" s="3" t="s">
        <v>204</v>
      </c>
      <c r="C1737" s="3"/>
      <c r="D1737" s="3"/>
      <c r="E1737" s="3"/>
      <c r="F1737" s="7">
        <v>4</v>
      </c>
      <c r="G1737" s="3" t="s">
        <v>345</v>
      </c>
      <c r="H1737" s="3" t="s">
        <v>6123</v>
      </c>
      <c r="I1737" s="3" t="s">
        <v>6316</v>
      </c>
      <c r="J1737" s="3" t="s">
        <v>6244</v>
      </c>
      <c r="K1737" s="3" t="s">
        <v>229</v>
      </c>
      <c r="L1737" s="3" t="s">
        <v>6125</v>
      </c>
      <c r="M1737" s="3" t="s">
        <v>6245</v>
      </c>
      <c r="N1737" s="3"/>
      <c r="O1737" s="3" t="s">
        <v>6127</v>
      </c>
      <c r="P1737"/>
    </row>
    <row r="1738" spans="1:16" ht="58" hidden="1" x14ac:dyDescent="0.35">
      <c r="A1738" s="3" t="s">
        <v>208</v>
      </c>
      <c r="B1738" s="3" t="s">
        <v>204</v>
      </c>
      <c r="C1738" s="3"/>
      <c r="D1738" s="3"/>
      <c r="E1738" s="3"/>
      <c r="F1738" s="7">
        <v>4</v>
      </c>
      <c r="G1738" s="3" t="s">
        <v>345</v>
      </c>
      <c r="H1738" s="3" t="s">
        <v>6123</v>
      </c>
      <c r="I1738" s="3" t="s">
        <v>554</v>
      </c>
      <c r="J1738" s="3" t="s">
        <v>6247</v>
      </c>
      <c r="K1738" s="3" t="s">
        <v>229</v>
      </c>
      <c r="L1738" s="3" t="s">
        <v>6130</v>
      </c>
      <c r="M1738" s="3" t="s">
        <v>6248</v>
      </c>
      <c r="N1738" s="3"/>
      <c r="O1738" s="3" t="s">
        <v>6132</v>
      </c>
      <c r="P1738"/>
    </row>
    <row r="1739" spans="1:16" ht="58" hidden="1" x14ac:dyDescent="0.35">
      <c r="A1739" s="3" t="s">
        <v>208</v>
      </c>
      <c r="B1739" s="3" t="s">
        <v>204</v>
      </c>
      <c r="C1739" s="3"/>
      <c r="D1739" s="3"/>
      <c r="E1739" s="3"/>
      <c r="F1739" s="7">
        <v>4</v>
      </c>
      <c r="G1739" s="3" t="s">
        <v>345</v>
      </c>
      <c r="H1739" s="3" t="s">
        <v>6133</v>
      </c>
      <c r="I1739" s="3" t="s">
        <v>6235</v>
      </c>
      <c r="J1739" s="3" t="s">
        <v>6249</v>
      </c>
      <c r="K1739" s="3" t="s">
        <v>229</v>
      </c>
      <c r="L1739" s="3" t="s">
        <v>6136</v>
      </c>
      <c r="M1739" s="3" t="s">
        <v>6250</v>
      </c>
      <c r="N1739" s="3"/>
      <c r="O1739" s="3" t="s">
        <v>6251</v>
      </c>
      <c r="P1739"/>
    </row>
    <row r="1740" spans="1:16" ht="58" hidden="1" x14ac:dyDescent="0.35">
      <c r="A1740" s="3" t="s">
        <v>208</v>
      </c>
      <c r="B1740" s="3" t="s">
        <v>204</v>
      </c>
      <c r="C1740" s="3"/>
      <c r="D1740" s="3"/>
      <c r="E1740" s="3"/>
      <c r="F1740" s="7">
        <v>4</v>
      </c>
      <c r="G1740" s="3" t="s">
        <v>345</v>
      </c>
      <c r="H1740" s="3" t="s">
        <v>6139</v>
      </c>
      <c r="I1740" s="3" t="s">
        <v>6243</v>
      </c>
      <c r="J1740" s="3" t="s">
        <v>6253</v>
      </c>
      <c r="K1740" s="3" t="s">
        <v>229</v>
      </c>
      <c r="L1740" s="3" t="s">
        <v>6142</v>
      </c>
      <c r="M1740" s="3" t="s">
        <v>6143</v>
      </c>
      <c r="N1740" s="3"/>
      <c r="O1740" s="3" t="s">
        <v>6254</v>
      </c>
      <c r="P1740"/>
    </row>
    <row r="1741" spans="1:16" ht="58" hidden="1" x14ac:dyDescent="0.35">
      <c r="A1741" s="3" t="s">
        <v>208</v>
      </c>
      <c r="B1741" s="3" t="s">
        <v>204</v>
      </c>
      <c r="C1741" s="3"/>
      <c r="D1741" s="3"/>
      <c r="E1741" s="3"/>
      <c r="F1741" s="7">
        <v>4</v>
      </c>
      <c r="G1741" s="3" t="s">
        <v>345</v>
      </c>
      <c r="H1741" s="3" t="s">
        <v>6145</v>
      </c>
      <c r="I1741" s="3" t="s">
        <v>6317</v>
      </c>
      <c r="J1741" s="3" t="s">
        <v>6147</v>
      </c>
      <c r="K1741" s="3" t="s">
        <v>229</v>
      </c>
      <c r="L1741" s="3" t="s">
        <v>6148</v>
      </c>
      <c r="M1741" s="3" t="s">
        <v>6149</v>
      </c>
      <c r="N1741" s="3"/>
      <c r="O1741" s="3" t="s">
        <v>6150</v>
      </c>
      <c r="P1741"/>
    </row>
    <row r="1742" spans="1:16" ht="58" hidden="1" x14ac:dyDescent="0.35">
      <c r="A1742" s="3" t="s">
        <v>208</v>
      </c>
      <c r="B1742" s="3" t="s">
        <v>204</v>
      </c>
      <c r="C1742" s="3"/>
      <c r="D1742" s="3"/>
      <c r="E1742" s="3"/>
      <c r="F1742" s="7">
        <v>5</v>
      </c>
      <c r="G1742" s="3" t="s">
        <v>345</v>
      </c>
      <c r="H1742" s="3" t="s">
        <v>346</v>
      </c>
      <c r="I1742" s="3" t="s">
        <v>565</v>
      </c>
      <c r="J1742" s="3" t="s">
        <v>6318</v>
      </c>
      <c r="K1742" s="3" t="s">
        <v>229</v>
      </c>
      <c r="L1742" s="3" t="s">
        <v>6319</v>
      </c>
      <c r="M1742" s="3" t="s">
        <v>6320</v>
      </c>
      <c r="N1742" s="3"/>
      <c r="O1742" s="3" t="s">
        <v>6321</v>
      </c>
      <c r="P1742"/>
    </row>
    <row r="1743" spans="1:16" ht="58" hidden="1" x14ac:dyDescent="0.35">
      <c r="A1743" s="3" t="s">
        <v>208</v>
      </c>
      <c r="B1743" s="3" t="s">
        <v>204</v>
      </c>
      <c r="C1743" s="3"/>
      <c r="D1743" s="3"/>
      <c r="E1743" s="3"/>
      <c r="F1743" s="7">
        <v>5</v>
      </c>
      <c r="G1743" s="3" t="s">
        <v>345</v>
      </c>
      <c r="H1743" s="3" t="s">
        <v>350</v>
      </c>
      <c r="I1743" s="3" t="s">
        <v>6322</v>
      </c>
      <c r="J1743" s="3" t="s">
        <v>6256</v>
      </c>
      <c r="K1743" s="3" t="s">
        <v>229</v>
      </c>
      <c r="L1743" s="3" t="s">
        <v>6257</v>
      </c>
      <c r="M1743" s="3" t="s">
        <v>6258</v>
      </c>
      <c r="N1743" s="3"/>
      <c r="O1743" s="3" t="s">
        <v>6323</v>
      </c>
      <c r="P1743"/>
    </row>
    <row r="1744" spans="1:16" ht="58" hidden="1" x14ac:dyDescent="0.35">
      <c r="A1744" s="3" t="s">
        <v>208</v>
      </c>
      <c r="B1744" s="3" t="s">
        <v>204</v>
      </c>
      <c r="C1744" s="3"/>
      <c r="D1744" s="3"/>
      <c r="E1744" s="3"/>
      <c r="F1744" s="7">
        <v>6</v>
      </c>
      <c r="G1744" s="3" t="s">
        <v>345</v>
      </c>
      <c r="H1744" s="3" t="s">
        <v>346</v>
      </c>
      <c r="I1744" s="3" t="s">
        <v>6324</v>
      </c>
      <c r="J1744" s="3" t="s">
        <v>6152</v>
      </c>
      <c r="K1744" s="3" t="s">
        <v>229</v>
      </c>
      <c r="L1744" s="3" t="s">
        <v>6153</v>
      </c>
      <c r="M1744" s="3" t="s">
        <v>6154</v>
      </c>
      <c r="N1744" s="3"/>
      <c r="O1744" s="3"/>
      <c r="P1744"/>
    </row>
    <row r="1745" spans="1:16" ht="58" hidden="1" x14ac:dyDescent="0.35">
      <c r="A1745" s="3" t="s">
        <v>208</v>
      </c>
      <c r="B1745" s="3" t="s">
        <v>204</v>
      </c>
      <c r="C1745" s="3"/>
      <c r="D1745" s="3"/>
      <c r="E1745" s="3"/>
      <c r="F1745" s="7">
        <v>6</v>
      </c>
      <c r="G1745" s="3" t="s">
        <v>345</v>
      </c>
      <c r="H1745" s="3" t="s">
        <v>350</v>
      </c>
      <c r="I1745" s="3" t="s">
        <v>6325</v>
      </c>
      <c r="J1745" s="3" t="s">
        <v>6326</v>
      </c>
      <c r="K1745" s="3" t="s">
        <v>229</v>
      </c>
      <c r="L1745" s="3" t="s">
        <v>6156</v>
      </c>
      <c r="M1745" s="3" t="s">
        <v>6327</v>
      </c>
      <c r="N1745" s="3"/>
      <c r="O1745" s="3"/>
      <c r="P1745"/>
    </row>
    <row r="1746" spans="1:16" ht="58" hidden="1" x14ac:dyDescent="0.35">
      <c r="A1746" s="3" t="s">
        <v>208</v>
      </c>
      <c r="B1746" s="3" t="s">
        <v>204</v>
      </c>
      <c r="C1746" s="3"/>
      <c r="D1746" s="3"/>
      <c r="E1746" s="3"/>
      <c r="F1746" s="7">
        <v>6</v>
      </c>
      <c r="G1746" s="3" t="s">
        <v>345</v>
      </c>
      <c r="H1746" s="3" t="s">
        <v>354</v>
      </c>
      <c r="I1746" s="3" t="s">
        <v>6325</v>
      </c>
      <c r="J1746" s="3" t="s">
        <v>6158</v>
      </c>
      <c r="K1746" s="3" t="s">
        <v>229</v>
      </c>
      <c r="L1746" s="3" t="s">
        <v>6159</v>
      </c>
      <c r="M1746" s="3" t="s">
        <v>6160</v>
      </c>
      <c r="N1746" s="3"/>
      <c r="O1746" s="3" t="s">
        <v>6161</v>
      </c>
      <c r="P1746"/>
    </row>
    <row r="1747" spans="1:16" ht="58" hidden="1" x14ac:dyDescent="0.35">
      <c r="A1747" s="3" t="s">
        <v>208</v>
      </c>
      <c r="B1747" s="3" t="s">
        <v>204</v>
      </c>
      <c r="C1747" s="3"/>
      <c r="D1747" s="3"/>
      <c r="E1747" s="3"/>
      <c r="F1747" s="7">
        <v>6</v>
      </c>
      <c r="G1747" s="3" t="s">
        <v>345</v>
      </c>
      <c r="H1747" s="3" t="s">
        <v>358</v>
      </c>
      <c r="I1747" s="3" t="s">
        <v>6325</v>
      </c>
      <c r="J1747" s="3" t="s">
        <v>6162</v>
      </c>
      <c r="K1747" s="3" t="s">
        <v>229</v>
      </c>
      <c r="L1747" s="3" t="s">
        <v>6163</v>
      </c>
      <c r="M1747" s="3" t="s">
        <v>6164</v>
      </c>
      <c r="N1747" s="3"/>
      <c r="O1747" s="3" t="s">
        <v>6264</v>
      </c>
      <c r="P1747"/>
    </row>
    <row r="1748" spans="1:16" ht="58" hidden="1" x14ac:dyDescent="0.35">
      <c r="A1748" s="3" t="s">
        <v>208</v>
      </c>
      <c r="B1748" s="3" t="s">
        <v>204</v>
      </c>
      <c r="C1748" s="3"/>
      <c r="D1748" s="3"/>
      <c r="E1748" s="3"/>
      <c r="F1748" s="7">
        <v>7</v>
      </c>
      <c r="G1748" s="3" t="s">
        <v>345</v>
      </c>
      <c r="H1748" s="3" t="s">
        <v>346</v>
      </c>
      <c r="I1748" s="3" t="s">
        <v>6325</v>
      </c>
      <c r="J1748" s="3" t="s">
        <v>6167</v>
      </c>
      <c r="K1748" s="3" t="s">
        <v>229</v>
      </c>
      <c r="L1748" s="3" t="s">
        <v>6168</v>
      </c>
      <c r="M1748" s="3" t="s">
        <v>6169</v>
      </c>
      <c r="N1748" s="3"/>
      <c r="O1748" s="3"/>
      <c r="P1748"/>
    </row>
    <row r="1749" spans="1:16" ht="58" hidden="1" x14ac:dyDescent="0.35">
      <c r="A1749" s="3" t="s">
        <v>208</v>
      </c>
      <c r="B1749" s="3" t="s">
        <v>204</v>
      </c>
      <c r="C1749" s="3"/>
      <c r="D1749" s="3"/>
      <c r="E1749" s="3"/>
      <c r="F1749" s="7">
        <v>7</v>
      </c>
      <c r="G1749" s="3" t="s">
        <v>345</v>
      </c>
      <c r="H1749" s="3" t="s">
        <v>350</v>
      </c>
      <c r="I1749" s="3" t="s">
        <v>6325</v>
      </c>
      <c r="J1749" s="3" t="s">
        <v>6170</v>
      </c>
      <c r="K1749" s="3" t="s">
        <v>229</v>
      </c>
      <c r="L1749" s="3" t="s">
        <v>6171</v>
      </c>
      <c r="M1749" s="3" t="s">
        <v>6172</v>
      </c>
      <c r="N1749" s="3"/>
      <c r="O1749" s="3"/>
      <c r="P1749"/>
    </row>
    <row r="1750" spans="1:16" ht="58" hidden="1" x14ac:dyDescent="0.35">
      <c r="A1750" s="3" t="s">
        <v>208</v>
      </c>
      <c r="B1750" s="3" t="s">
        <v>204</v>
      </c>
      <c r="C1750" s="3"/>
      <c r="D1750" s="3"/>
      <c r="E1750" s="3"/>
      <c r="F1750" s="7">
        <v>8</v>
      </c>
      <c r="G1750" s="3" t="s">
        <v>345</v>
      </c>
      <c r="H1750" s="3" t="s">
        <v>13</v>
      </c>
      <c r="I1750" s="3" t="s">
        <v>6325</v>
      </c>
      <c r="J1750" s="3" t="s">
        <v>6268</v>
      </c>
      <c r="K1750" s="3" t="s">
        <v>229</v>
      </c>
      <c r="L1750" s="3" t="s">
        <v>6269</v>
      </c>
      <c r="M1750" s="3" t="s">
        <v>6270</v>
      </c>
      <c r="N1750" s="3"/>
      <c r="O1750" s="3" t="s">
        <v>6271</v>
      </c>
      <c r="P1750"/>
    </row>
    <row r="1751" spans="1:16" ht="58" hidden="1" x14ac:dyDescent="0.35">
      <c r="A1751" s="3" t="s">
        <v>208</v>
      </c>
      <c r="B1751" s="3" t="s">
        <v>204</v>
      </c>
      <c r="C1751" s="3"/>
      <c r="D1751" s="3"/>
      <c r="E1751" s="3"/>
      <c r="F1751" s="7">
        <v>9</v>
      </c>
      <c r="G1751" s="3" t="s">
        <v>345</v>
      </c>
      <c r="H1751" s="3" t="s">
        <v>346</v>
      </c>
      <c r="I1751" s="3" t="s">
        <v>6328</v>
      </c>
      <c r="J1751" s="3" t="s">
        <v>6329</v>
      </c>
      <c r="K1751" s="3" t="s">
        <v>229</v>
      </c>
      <c r="L1751" s="3" t="s">
        <v>6174</v>
      </c>
      <c r="M1751" s="3" t="s">
        <v>6175</v>
      </c>
      <c r="N1751" s="3"/>
      <c r="O1751" s="3"/>
      <c r="P1751"/>
    </row>
    <row r="1752" spans="1:16" ht="58" hidden="1" x14ac:dyDescent="0.35">
      <c r="A1752" s="3" t="s">
        <v>208</v>
      </c>
      <c r="B1752" s="3" t="s">
        <v>204</v>
      </c>
      <c r="C1752" s="3"/>
      <c r="D1752" s="3"/>
      <c r="E1752" s="3"/>
      <c r="F1752" s="7">
        <v>9</v>
      </c>
      <c r="G1752" s="3" t="s">
        <v>345</v>
      </c>
      <c r="H1752" s="3" t="s">
        <v>350</v>
      </c>
      <c r="I1752" s="3" t="s">
        <v>6328</v>
      </c>
      <c r="J1752" s="3" t="s">
        <v>6176</v>
      </c>
      <c r="K1752" s="3" t="s">
        <v>229</v>
      </c>
      <c r="L1752" s="3" t="s">
        <v>6177</v>
      </c>
      <c r="M1752" s="3" t="s">
        <v>6178</v>
      </c>
      <c r="N1752" s="3"/>
      <c r="O1752" s="3"/>
      <c r="P1752"/>
    </row>
    <row r="1753" spans="1:16" ht="58" hidden="1" x14ac:dyDescent="0.35">
      <c r="A1753" s="3" t="s">
        <v>208</v>
      </c>
      <c r="B1753" s="3" t="s">
        <v>204</v>
      </c>
      <c r="C1753" s="3"/>
      <c r="D1753" s="3"/>
      <c r="E1753" s="3"/>
      <c r="F1753" s="7">
        <v>9</v>
      </c>
      <c r="G1753" s="3" t="s">
        <v>345</v>
      </c>
      <c r="H1753" s="3" t="s">
        <v>354</v>
      </c>
      <c r="I1753" s="3" t="s">
        <v>574</v>
      </c>
      <c r="J1753" s="3" t="s">
        <v>6179</v>
      </c>
      <c r="K1753" s="3" t="s">
        <v>229</v>
      </c>
      <c r="L1753" s="3" t="s">
        <v>6180</v>
      </c>
      <c r="M1753" s="3" t="s">
        <v>6181</v>
      </c>
      <c r="N1753" s="3"/>
      <c r="O1753" s="3"/>
      <c r="P1753"/>
    </row>
    <row r="1754" spans="1:16" ht="58" hidden="1" x14ac:dyDescent="0.35">
      <c r="A1754" s="3" t="s">
        <v>208</v>
      </c>
      <c r="B1754" s="3" t="s">
        <v>204</v>
      </c>
      <c r="C1754" s="3"/>
      <c r="D1754" s="3"/>
      <c r="E1754" s="3"/>
      <c r="F1754" s="7">
        <v>10</v>
      </c>
      <c r="G1754" s="3" t="s">
        <v>345</v>
      </c>
      <c r="H1754" s="3" t="s">
        <v>13</v>
      </c>
      <c r="I1754" s="3" t="s">
        <v>6330</v>
      </c>
      <c r="J1754" s="3" t="s">
        <v>6276</v>
      </c>
      <c r="K1754" s="3" t="s">
        <v>229</v>
      </c>
      <c r="L1754" s="3" t="s">
        <v>6277</v>
      </c>
      <c r="M1754" s="3" t="s">
        <v>6278</v>
      </c>
      <c r="N1754" s="3"/>
      <c r="O1754" s="3"/>
      <c r="P1754"/>
    </row>
    <row r="1755" spans="1:16" ht="58" hidden="1" x14ac:dyDescent="0.35">
      <c r="A1755" s="3" t="s">
        <v>208</v>
      </c>
      <c r="B1755" s="3" t="s">
        <v>344</v>
      </c>
      <c r="C1755" s="3"/>
      <c r="D1755" s="3"/>
      <c r="E1755" s="3"/>
      <c r="F1755" s="3">
        <v>1</v>
      </c>
      <c r="G1755" s="3" t="s">
        <v>6331</v>
      </c>
      <c r="H1755" s="3"/>
      <c r="I1755" s="3" t="s">
        <v>6330</v>
      </c>
      <c r="J1755" s="3" t="s">
        <v>6332</v>
      </c>
      <c r="K1755" s="3" t="s">
        <v>229</v>
      </c>
      <c r="L1755" s="3" t="s">
        <v>309</v>
      </c>
      <c r="M1755" s="3" t="s">
        <v>6333</v>
      </c>
      <c r="N1755" s="3"/>
      <c r="O1755" s="3" t="s">
        <v>6334</v>
      </c>
      <c r="P1755"/>
    </row>
    <row r="1756" spans="1:16" ht="58" hidden="1" x14ac:dyDescent="0.35">
      <c r="A1756" s="3" t="s">
        <v>208</v>
      </c>
      <c r="B1756" s="3" t="s">
        <v>344</v>
      </c>
      <c r="C1756" s="3"/>
      <c r="D1756" s="3"/>
      <c r="E1756" s="3"/>
      <c r="F1756" s="3">
        <v>2</v>
      </c>
      <c r="G1756" s="3" t="s">
        <v>6331</v>
      </c>
      <c r="H1756" s="3"/>
      <c r="I1756" s="3" t="s">
        <v>6335</v>
      </c>
      <c r="J1756" s="3" t="s">
        <v>313</v>
      </c>
      <c r="K1756" s="3" t="s">
        <v>229</v>
      </c>
      <c r="L1756" s="3" t="s">
        <v>6336</v>
      </c>
      <c r="M1756" s="3" t="s">
        <v>6337</v>
      </c>
      <c r="N1756" s="3"/>
      <c r="O1756" s="3" t="s">
        <v>6338</v>
      </c>
      <c r="P1756"/>
    </row>
    <row r="1757" spans="1:16" ht="58" hidden="1" x14ac:dyDescent="0.35">
      <c r="A1757" s="3" t="s">
        <v>208</v>
      </c>
      <c r="B1757" s="3" t="s">
        <v>344</v>
      </c>
      <c r="C1757" s="3"/>
      <c r="D1757" s="3"/>
      <c r="E1757" s="3"/>
      <c r="F1757" s="3">
        <v>3</v>
      </c>
      <c r="G1757" s="3" t="s">
        <v>239</v>
      </c>
      <c r="H1757" s="3"/>
      <c r="I1757" s="3" t="s">
        <v>6335</v>
      </c>
      <c r="J1757" s="3" t="s">
        <v>784</v>
      </c>
      <c r="K1757" s="3" t="s">
        <v>229</v>
      </c>
      <c r="L1757" s="3" t="s">
        <v>784</v>
      </c>
      <c r="M1757" s="3" t="s">
        <v>6339</v>
      </c>
      <c r="N1757" s="3"/>
      <c r="O1757" s="3" t="s">
        <v>6340</v>
      </c>
      <c r="P1757"/>
    </row>
    <row r="1758" spans="1:16" ht="58" hidden="1" x14ac:dyDescent="0.35">
      <c r="A1758" s="3" t="s">
        <v>208</v>
      </c>
      <c r="B1758" s="3" t="s">
        <v>344</v>
      </c>
      <c r="C1758" s="3"/>
      <c r="D1758" s="3"/>
      <c r="E1758" s="3"/>
      <c r="F1758" s="3">
        <v>3</v>
      </c>
      <c r="G1758" s="3" t="s">
        <v>239</v>
      </c>
      <c r="H1758" s="3"/>
      <c r="I1758" t="s">
        <v>518</v>
      </c>
      <c r="J1758" s="3" t="s">
        <v>1750</v>
      </c>
      <c r="K1758" s="3" t="s">
        <v>229</v>
      </c>
      <c r="L1758" s="3" t="s">
        <v>1750</v>
      </c>
      <c r="M1758" s="3" t="s">
        <v>6341</v>
      </c>
      <c r="N1758" s="3"/>
      <c r="O1758" s="3" t="s">
        <v>6342</v>
      </c>
      <c r="P1758"/>
    </row>
    <row r="1759" spans="1:16" ht="58" hidden="1" x14ac:dyDescent="0.35">
      <c r="A1759" s="3" t="s">
        <v>208</v>
      </c>
      <c r="B1759" s="3" t="s">
        <v>344</v>
      </c>
      <c r="C1759" s="3"/>
      <c r="D1759" s="3"/>
      <c r="E1759" s="3"/>
      <c r="F1759" s="3">
        <v>4</v>
      </c>
      <c r="G1759" s="3" t="s">
        <v>1030</v>
      </c>
      <c r="H1759" s="3" t="s">
        <v>6343</v>
      </c>
      <c r="I1759" t="s">
        <v>518</v>
      </c>
      <c r="J1759" s="3" t="s">
        <v>6344</v>
      </c>
      <c r="K1759" s="3" t="s">
        <v>248</v>
      </c>
      <c r="L1759" s="3" t="s">
        <v>249</v>
      </c>
      <c r="M1759" s="3" t="s">
        <v>250</v>
      </c>
      <c r="N1759" s="3"/>
      <c r="O1759" s="3" t="s">
        <v>6345</v>
      </c>
      <c r="P1759"/>
    </row>
    <row r="1760" spans="1:16" ht="116" hidden="1" x14ac:dyDescent="0.35">
      <c r="A1760" s="3" t="s">
        <v>208</v>
      </c>
      <c r="B1760" s="3" t="s">
        <v>344</v>
      </c>
      <c r="C1760" s="3"/>
      <c r="D1760" s="3"/>
      <c r="E1760" s="3"/>
      <c r="F1760" s="3">
        <v>4</v>
      </c>
      <c r="G1760" s="3" t="s">
        <v>6346</v>
      </c>
      <c r="H1760" s="3" t="s">
        <v>6347</v>
      </c>
      <c r="I1760" t="s">
        <v>518</v>
      </c>
      <c r="J1760" s="3" t="s">
        <v>6348</v>
      </c>
      <c r="K1760" s="3" t="s">
        <v>253</v>
      </c>
      <c r="L1760" s="3" t="s">
        <v>254</v>
      </c>
      <c r="M1760" s="3" t="s">
        <v>6349</v>
      </c>
      <c r="N1760" s="3"/>
      <c r="O1760" s="3" t="s">
        <v>6350</v>
      </c>
      <c r="P1760"/>
    </row>
    <row r="1761" spans="1:16" ht="116" hidden="1" x14ac:dyDescent="0.35">
      <c r="A1761" s="3" t="s">
        <v>208</v>
      </c>
      <c r="B1761" s="3" t="s">
        <v>344</v>
      </c>
      <c r="C1761" s="3"/>
      <c r="D1761" s="3"/>
      <c r="E1761" s="3"/>
      <c r="F1761" s="3">
        <v>4</v>
      </c>
      <c r="G1761" s="3" t="s">
        <v>6351</v>
      </c>
      <c r="H1761" s="3" t="s">
        <v>6352</v>
      </c>
      <c r="I1761" t="s">
        <v>6353</v>
      </c>
      <c r="J1761" s="3" t="s">
        <v>6354</v>
      </c>
      <c r="K1761" s="3" t="s">
        <v>253</v>
      </c>
      <c r="L1761" s="3" t="s">
        <v>258</v>
      </c>
      <c r="M1761" s="3" t="s">
        <v>6355</v>
      </c>
      <c r="N1761" s="3"/>
      <c r="O1761" s="3" t="s">
        <v>6356</v>
      </c>
      <c r="P1761"/>
    </row>
    <row r="1762" spans="1:16" ht="101.5" hidden="1" x14ac:dyDescent="0.35">
      <c r="A1762" s="3" t="s">
        <v>208</v>
      </c>
      <c r="B1762" s="3" t="s">
        <v>344</v>
      </c>
      <c r="C1762" s="3"/>
      <c r="D1762" s="3"/>
      <c r="E1762" s="3"/>
      <c r="F1762" s="3">
        <v>5</v>
      </c>
      <c r="G1762" s="3" t="s">
        <v>6357</v>
      </c>
      <c r="H1762" s="3" t="s">
        <v>5516</v>
      </c>
      <c r="I1762" t="s">
        <v>6353</v>
      </c>
      <c r="J1762" s="3" t="s">
        <v>6358</v>
      </c>
      <c r="K1762" s="3" t="s">
        <v>783</v>
      </c>
      <c r="L1762" s="3" t="s">
        <v>264</v>
      </c>
      <c r="M1762" s="3" t="s">
        <v>6359</v>
      </c>
      <c r="N1762" s="3"/>
      <c r="O1762" s="3" t="s">
        <v>6360</v>
      </c>
      <c r="P1762"/>
    </row>
    <row r="1763" spans="1:16" ht="101.5" hidden="1" x14ac:dyDescent="0.35">
      <c r="A1763" s="3" t="s">
        <v>208</v>
      </c>
      <c r="B1763" s="3" t="s">
        <v>344</v>
      </c>
      <c r="C1763" s="3"/>
      <c r="D1763" s="3"/>
      <c r="E1763" s="3"/>
      <c r="F1763" s="3">
        <v>5</v>
      </c>
      <c r="G1763" s="3" t="s">
        <v>6357</v>
      </c>
      <c r="H1763" s="3" t="s">
        <v>5520</v>
      </c>
      <c r="I1763" t="s">
        <v>6353</v>
      </c>
      <c r="J1763" s="3" t="s">
        <v>325</v>
      </c>
      <c r="K1763" s="3" t="s">
        <v>783</v>
      </c>
      <c r="L1763" s="3" t="s">
        <v>6361</v>
      </c>
      <c r="M1763" s="3" t="s">
        <v>6362</v>
      </c>
      <c r="N1763" s="3"/>
      <c r="O1763" s="3" t="s">
        <v>6363</v>
      </c>
      <c r="P1763"/>
    </row>
    <row r="1764" spans="1:16" ht="101.5" hidden="1" x14ac:dyDescent="0.35">
      <c r="A1764" s="3" t="s">
        <v>226</v>
      </c>
      <c r="B1764" s="3" t="s">
        <v>344</v>
      </c>
      <c r="C1764" s="3"/>
      <c r="D1764" s="3"/>
      <c r="E1764" s="3"/>
      <c r="F1764" s="3">
        <v>5</v>
      </c>
      <c r="G1764" s="3" t="s">
        <v>6357</v>
      </c>
      <c r="H1764" s="3" t="s">
        <v>5526</v>
      </c>
      <c r="I1764" t="s">
        <v>6364</v>
      </c>
      <c r="J1764" s="3" t="s">
        <v>6365</v>
      </c>
      <c r="K1764" s="3" t="s">
        <v>783</v>
      </c>
      <c r="L1764" s="3" t="s">
        <v>6366</v>
      </c>
      <c r="M1764" s="3" t="s">
        <v>6367</v>
      </c>
      <c r="N1764" s="3"/>
      <c r="O1764" s="3" t="s">
        <v>6368</v>
      </c>
      <c r="P1764"/>
    </row>
    <row r="1765" spans="1:16" ht="101.5" hidden="1" x14ac:dyDescent="0.35">
      <c r="A1765" s="3" t="s">
        <v>226</v>
      </c>
      <c r="B1765" s="3" t="s">
        <v>344</v>
      </c>
      <c r="C1765" s="3"/>
      <c r="D1765" s="3"/>
      <c r="E1765" s="3"/>
      <c r="F1765" s="3">
        <v>5</v>
      </c>
      <c r="G1765" s="3" t="s">
        <v>6357</v>
      </c>
      <c r="H1765" s="3" t="s">
        <v>5531</v>
      </c>
      <c r="I1765" t="s">
        <v>6364</v>
      </c>
      <c r="J1765" s="3" t="s">
        <v>6369</v>
      </c>
      <c r="K1765" s="3" t="s">
        <v>783</v>
      </c>
      <c r="L1765" s="3" t="s">
        <v>6370</v>
      </c>
      <c r="M1765" s="3" t="s">
        <v>6371</v>
      </c>
      <c r="N1765" s="3"/>
      <c r="O1765" s="3" t="s">
        <v>6372</v>
      </c>
      <c r="P1765"/>
    </row>
    <row r="1766" spans="1:16" ht="101.5" hidden="1" x14ac:dyDescent="0.35">
      <c r="A1766" s="3" t="s">
        <v>226</v>
      </c>
      <c r="B1766" s="3" t="s">
        <v>344</v>
      </c>
      <c r="C1766" s="3"/>
      <c r="D1766" s="3"/>
      <c r="E1766" s="3"/>
      <c r="F1766" s="3">
        <v>5</v>
      </c>
      <c r="G1766" s="3" t="s">
        <v>6357</v>
      </c>
      <c r="H1766" s="3" t="s">
        <v>5536</v>
      </c>
      <c r="I1766" t="s">
        <v>6364</v>
      </c>
      <c r="J1766" s="3" t="s">
        <v>6373</v>
      </c>
      <c r="K1766" s="3" t="s">
        <v>783</v>
      </c>
      <c r="L1766" s="3" t="s">
        <v>281</v>
      </c>
      <c r="M1766" s="3" t="s">
        <v>6374</v>
      </c>
      <c r="N1766" s="3"/>
      <c r="O1766" s="3" t="s">
        <v>6375</v>
      </c>
      <c r="P1766"/>
    </row>
    <row r="1767" spans="1:16" ht="101.5" hidden="1" x14ac:dyDescent="0.35">
      <c r="A1767" s="3" t="s">
        <v>226</v>
      </c>
      <c r="B1767" s="3" t="s">
        <v>344</v>
      </c>
      <c r="C1767" s="3"/>
      <c r="D1767" s="3"/>
      <c r="E1767" s="3"/>
      <c r="F1767" s="3">
        <v>5</v>
      </c>
      <c r="G1767" s="3" t="s">
        <v>6357</v>
      </c>
      <c r="H1767" s="3" t="s">
        <v>6376</v>
      </c>
      <c r="I1767" t="s">
        <v>6364</v>
      </c>
      <c r="J1767" s="3" t="s">
        <v>6377</v>
      </c>
      <c r="K1767" s="3" t="s">
        <v>783</v>
      </c>
      <c r="L1767" s="3" t="s">
        <v>6378</v>
      </c>
      <c r="M1767" s="3" t="s">
        <v>6379</v>
      </c>
      <c r="N1767" s="3"/>
      <c r="O1767" s="3" t="s">
        <v>6380</v>
      </c>
      <c r="P1767"/>
    </row>
    <row r="1768" spans="1:16" ht="101.5" hidden="1" x14ac:dyDescent="0.35">
      <c r="A1768" s="3" t="s">
        <v>226</v>
      </c>
      <c r="B1768" s="3" t="s">
        <v>344</v>
      </c>
      <c r="C1768" s="3"/>
      <c r="D1768" s="3"/>
      <c r="E1768" s="3"/>
      <c r="F1768" s="3">
        <v>5</v>
      </c>
      <c r="G1768" s="3" t="s">
        <v>6357</v>
      </c>
      <c r="H1768" s="3" t="s">
        <v>6381</v>
      </c>
      <c r="I1768" t="s">
        <v>6364</v>
      </c>
      <c r="J1768" s="3" t="s">
        <v>6382</v>
      </c>
      <c r="K1768" s="3" t="s">
        <v>783</v>
      </c>
      <c r="L1768" s="3" t="s">
        <v>6383</v>
      </c>
      <c r="M1768" s="3" t="s">
        <v>6384</v>
      </c>
      <c r="N1768" s="3"/>
      <c r="O1768" s="3" t="s">
        <v>6385</v>
      </c>
      <c r="P1768"/>
    </row>
    <row r="1769" spans="1:16" ht="101.5" hidden="1" x14ac:dyDescent="0.35">
      <c r="A1769" s="3" t="s">
        <v>226</v>
      </c>
      <c r="B1769" s="3" t="s">
        <v>344</v>
      </c>
      <c r="C1769" s="3"/>
      <c r="D1769" s="3"/>
      <c r="E1769" s="3"/>
      <c r="F1769" s="3">
        <v>5</v>
      </c>
      <c r="G1769" s="3" t="s">
        <v>6357</v>
      </c>
      <c r="H1769" s="3" t="s">
        <v>6386</v>
      </c>
      <c r="I1769" t="s">
        <v>6364</v>
      </c>
      <c r="J1769" s="3" t="s">
        <v>6387</v>
      </c>
      <c r="K1769" s="3" t="s">
        <v>783</v>
      </c>
      <c r="L1769" s="3" t="s">
        <v>293</v>
      </c>
      <c r="M1769" s="3" t="s">
        <v>6388</v>
      </c>
      <c r="N1769" s="3"/>
      <c r="O1769" s="3" t="s">
        <v>6389</v>
      </c>
      <c r="P1769"/>
    </row>
    <row r="1770" spans="1:16" ht="101.5" hidden="1" x14ac:dyDescent="0.35">
      <c r="A1770" s="3" t="s">
        <v>226</v>
      </c>
      <c r="B1770" s="3" t="s">
        <v>344</v>
      </c>
      <c r="C1770" s="3"/>
      <c r="D1770" s="3"/>
      <c r="E1770" s="3"/>
      <c r="F1770" s="3">
        <v>6</v>
      </c>
      <c r="G1770" s="3" t="s">
        <v>6390</v>
      </c>
      <c r="H1770" s="3"/>
      <c r="I1770" t="s">
        <v>6364</v>
      </c>
      <c r="J1770" s="3" t="s">
        <v>6391</v>
      </c>
      <c r="K1770" s="3" t="s">
        <v>783</v>
      </c>
      <c r="L1770" s="3" t="s">
        <v>295</v>
      </c>
      <c r="M1770" s="3" t="s">
        <v>6392</v>
      </c>
      <c r="N1770" s="3"/>
      <c r="O1770" s="3" t="s">
        <v>6393</v>
      </c>
      <c r="P1770"/>
    </row>
    <row r="1771" spans="1:16" ht="101.5" hidden="1" x14ac:dyDescent="0.35">
      <c r="A1771" s="3" t="s">
        <v>226</v>
      </c>
      <c r="B1771" s="3" t="s">
        <v>344</v>
      </c>
      <c r="C1771" s="3"/>
      <c r="D1771" s="3"/>
      <c r="E1771" s="3"/>
      <c r="F1771" s="3">
        <v>7</v>
      </c>
      <c r="G1771" s="3" t="s">
        <v>300</v>
      </c>
      <c r="H1771" s="3"/>
      <c r="I1771" t="s">
        <v>6364</v>
      </c>
      <c r="J1771" s="3" t="s">
        <v>6394</v>
      </c>
      <c r="K1771" s="3" t="s">
        <v>783</v>
      </c>
      <c r="L1771" s="3" t="s">
        <v>6395</v>
      </c>
      <c r="M1771" s="3" t="s">
        <v>6396</v>
      </c>
      <c r="N1771" s="3"/>
      <c r="O1771" s="3" t="s">
        <v>6397</v>
      </c>
      <c r="P1771"/>
    </row>
    <row r="1772" spans="1:16" ht="58" hidden="1" x14ac:dyDescent="0.35">
      <c r="A1772" s="3" t="s">
        <v>226</v>
      </c>
      <c r="B1772" s="3" t="s">
        <v>344</v>
      </c>
      <c r="C1772" s="3"/>
      <c r="D1772" s="3"/>
      <c r="E1772" s="3"/>
      <c r="F1772" s="3">
        <v>8</v>
      </c>
      <c r="G1772" s="3" t="s">
        <v>302</v>
      </c>
      <c r="H1772" s="3"/>
      <c r="I1772" t="s">
        <v>6364</v>
      </c>
      <c r="J1772" s="3" t="s">
        <v>6398</v>
      </c>
      <c r="K1772" s="3" t="s">
        <v>229</v>
      </c>
      <c r="L1772" s="3" t="s">
        <v>302</v>
      </c>
      <c r="M1772" s="3" t="s">
        <v>6399</v>
      </c>
      <c r="N1772" s="3"/>
      <c r="O1772" s="3" t="s">
        <v>6400</v>
      </c>
      <c r="P1772"/>
    </row>
    <row r="1773" spans="1:16" ht="58" hidden="1" x14ac:dyDescent="0.35">
      <c r="A1773" s="3" t="s">
        <v>226</v>
      </c>
      <c r="B1773" s="3" t="s">
        <v>344</v>
      </c>
      <c r="C1773" s="3"/>
      <c r="D1773" s="3"/>
      <c r="E1773" s="3"/>
      <c r="F1773" s="3">
        <v>1</v>
      </c>
      <c r="G1773" s="3" t="s">
        <v>6331</v>
      </c>
      <c r="H1773" s="3" t="s">
        <v>13</v>
      </c>
      <c r="I1773" t="s">
        <v>6364</v>
      </c>
      <c r="J1773" s="3" t="s">
        <v>6332</v>
      </c>
      <c r="K1773" s="3" t="s">
        <v>229</v>
      </c>
      <c r="L1773" s="3" t="s">
        <v>230</v>
      </c>
      <c r="M1773" s="3" t="s">
        <v>6401</v>
      </c>
      <c r="N1773" s="3"/>
      <c r="O1773" s="3" t="s">
        <v>6334</v>
      </c>
      <c r="P1773"/>
    </row>
    <row r="1774" spans="1:16" ht="58" hidden="1" x14ac:dyDescent="0.35">
      <c r="A1774" s="3" t="s">
        <v>226</v>
      </c>
      <c r="B1774" s="3" t="s">
        <v>344</v>
      </c>
      <c r="C1774" s="3"/>
      <c r="D1774" s="3"/>
      <c r="E1774" s="3"/>
      <c r="F1774" s="3">
        <v>2</v>
      </c>
      <c r="G1774" s="3" t="s">
        <v>6331</v>
      </c>
      <c r="H1774" s="3" t="s">
        <v>13</v>
      </c>
      <c r="J1774" s="3" t="s">
        <v>6402</v>
      </c>
      <c r="K1774" s="3" t="s">
        <v>229</v>
      </c>
      <c r="L1774" s="3" t="s">
        <v>6403</v>
      </c>
      <c r="M1774" s="3" t="s">
        <v>6404</v>
      </c>
      <c r="N1774" s="3"/>
      <c r="O1774" s="3" t="s">
        <v>6338</v>
      </c>
      <c r="P1774"/>
    </row>
    <row r="1775" spans="1:16" ht="58" hidden="1" x14ac:dyDescent="0.35">
      <c r="A1775" s="3" t="s">
        <v>226</v>
      </c>
      <c r="B1775" s="3" t="s">
        <v>344</v>
      </c>
      <c r="C1775" s="3"/>
      <c r="D1775" s="3"/>
      <c r="E1775" s="3"/>
      <c r="F1775" s="3">
        <v>3</v>
      </c>
      <c r="G1775" s="3" t="s">
        <v>239</v>
      </c>
      <c r="H1775" s="3" t="s">
        <v>13</v>
      </c>
      <c r="J1775" s="3" t="s">
        <v>784</v>
      </c>
      <c r="K1775" s="3" t="s">
        <v>229</v>
      </c>
      <c r="L1775" s="3" t="s">
        <v>784</v>
      </c>
      <c r="M1775" s="3" t="s">
        <v>6339</v>
      </c>
      <c r="N1775" s="3"/>
      <c r="O1775" s="3" t="s">
        <v>6340</v>
      </c>
      <c r="P1775"/>
    </row>
    <row r="1776" spans="1:16" ht="58" hidden="1" x14ac:dyDescent="0.35">
      <c r="A1776" s="3" t="s">
        <v>226</v>
      </c>
      <c r="B1776" s="3" t="s">
        <v>344</v>
      </c>
      <c r="C1776" s="3"/>
      <c r="D1776" s="3"/>
      <c r="E1776" s="3"/>
      <c r="F1776" s="3">
        <v>3</v>
      </c>
      <c r="G1776" s="3" t="s">
        <v>239</v>
      </c>
      <c r="H1776" s="3" t="s">
        <v>13</v>
      </c>
      <c r="J1776" s="3" t="s">
        <v>1750</v>
      </c>
      <c r="K1776" s="3" t="s">
        <v>229</v>
      </c>
      <c r="L1776" s="3" t="s">
        <v>1750</v>
      </c>
      <c r="M1776" s="3" t="s">
        <v>6341</v>
      </c>
      <c r="N1776" s="3"/>
      <c r="O1776" s="3" t="s">
        <v>6342</v>
      </c>
      <c r="P1776"/>
    </row>
    <row r="1777" spans="1:16" ht="58" hidden="1" x14ac:dyDescent="0.35">
      <c r="A1777" s="3" t="s">
        <v>226</v>
      </c>
      <c r="B1777" s="3" t="s">
        <v>344</v>
      </c>
      <c r="C1777" s="3"/>
      <c r="D1777" s="3"/>
      <c r="E1777" s="3"/>
      <c r="F1777" s="3">
        <v>4</v>
      </c>
      <c r="G1777" s="3" t="s">
        <v>6405</v>
      </c>
      <c r="H1777" s="3" t="s">
        <v>246</v>
      </c>
      <c r="J1777" s="3" t="s">
        <v>318</v>
      </c>
      <c r="K1777" s="3" t="s">
        <v>248</v>
      </c>
      <c r="L1777" s="3" t="s">
        <v>1030</v>
      </c>
      <c r="M1777" s="3" t="s">
        <v>6406</v>
      </c>
      <c r="N1777" s="3"/>
      <c r="O1777" s="3" t="s">
        <v>6345</v>
      </c>
      <c r="P1777"/>
    </row>
    <row r="1778" spans="1:16" ht="116" hidden="1" x14ac:dyDescent="0.35">
      <c r="A1778" s="3" t="s">
        <v>226</v>
      </c>
      <c r="B1778" s="3" t="s">
        <v>344</v>
      </c>
      <c r="C1778" s="3"/>
      <c r="D1778" s="3"/>
      <c r="E1778" s="3"/>
      <c r="F1778" s="3">
        <v>4</v>
      </c>
      <c r="G1778" s="3" t="s">
        <v>6405</v>
      </c>
      <c r="H1778" s="3" t="s">
        <v>251</v>
      </c>
      <c r="I1778" s="3" t="s">
        <v>6407</v>
      </c>
      <c r="J1778" s="3" t="s">
        <v>6408</v>
      </c>
      <c r="K1778" s="3" t="s">
        <v>253</v>
      </c>
      <c r="L1778" s="3" t="s">
        <v>254</v>
      </c>
      <c r="M1778" s="3" t="s">
        <v>6409</v>
      </c>
      <c r="N1778" s="3"/>
      <c r="O1778" s="3" t="s">
        <v>6350</v>
      </c>
      <c r="P1778"/>
    </row>
    <row r="1779" spans="1:16" ht="116" hidden="1" x14ac:dyDescent="0.35">
      <c r="A1779" s="3" t="s">
        <v>226</v>
      </c>
      <c r="B1779" s="3" t="s">
        <v>344</v>
      </c>
      <c r="C1779" s="3"/>
      <c r="D1779" s="3"/>
      <c r="E1779" s="3"/>
      <c r="F1779" s="3">
        <v>4</v>
      </c>
      <c r="G1779" s="3" t="s">
        <v>6405</v>
      </c>
      <c r="H1779" s="3" t="s">
        <v>256</v>
      </c>
      <c r="I1779" s="3" t="s">
        <v>6407</v>
      </c>
      <c r="J1779" s="3" t="s">
        <v>6410</v>
      </c>
      <c r="K1779" s="3" t="s">
        <v>253</v>
      </c>
      <c r="L1779" s="3" t="s">
        <v>258</v>
      </c>
      <c r="M1779" s="3" t="s">
        <v>6411</v>
      </c>
      <c r="N1779" s="3"/>
      <c r="O1779" s="3" t="s">
        <v>6356</v>
      </c>
      <c r="P1779"/>
    </row>
    <row r="1780" spans="1:16" ht="101.5" hidden="1" x14ac:dyDescent="0.35">
      <c r="A1780" s="3" t="s">
        <v>226</v>
      </c>
      <c r="B1780" s="3" t="s">
        <v>344</v>
      </c>
      <c r="C1780" s="3"/>
      <c r="D1780" s="3"/>
      <c r="E1780" s="3"/>
      <c r="F1780" s="3">
        <v>5</v>
      </c>
      <c r="G1780" s="3" t="s">
        <v>260</v>
      </c>
      <c r="H1780" s="3" t="s">
        <v>261</v>
      </c>
      <c r="I1780" s="3" t="s">
        <v>6407</v>
      </c>
      <c r="J1780" s="3" t="s">
        <v>6358</v>
      </c>
      <c r="K1780" s="3" t="s">
        <v>783</v>
      </c>
      <c r="L1780" s="3" t="s">
        <v>264</v>
      </c>
      <c r="M1780" s="3" t="s">
        <v>6412</v>
      </c>
      <c r="N1780" s="3"/>
      <c r="O1780" s="3" t="s">
        <v>6360</v>
      </c>
      <c r="P1780"/>
    </row>
    <row r="1781" spans="1:16" ht="101.5" hidden="1" x14ac:dyDescent="0.35">
      <c r="A1781" s="3" t="s">
        <v>226</v>
      </c>
      <c r="B1781" s="3" t="s">
        <v>344</v>
      </c>
      <c r="C1781" s="3"/>
      <c r="D1781" s="3"/>
      <c r="E1781" s="3"/>
      <c r="F1781" s="3">
        <v>5</v>
      </c>
      <c r="G1781" s="3" t="s">
        <v>260</v>
      </c>
      <c r="H1781" s="3" t="s">
        <v>266</v>
      </c>
      <c r="I1781" s="3" t="s">
        <v>6260</v>
      </c>
      <c r="J1781" s="3" t="s">
        <v>325</v>
      </c>
      <c r="K1781" s="3" t="s">
        <v>783</v>
      </c>
      <c r="L1781" s="3" t="s">
        <v>5982</v>
      </c>
      <c r="M1781" s="3" t="s">
        <v>6413</v>
      </c>
      <c r="N1781" s="3"/>
      <c r="O1781" s="3" t="s">
        <v>6363</v>
      </c>
      <c r="P1781"/>
    </row>
    <row r="1782" spans="1:16" ht="101.5" hidden="1" x14ac:dyDescent="0.35">
      <c r="A1782" s="3" t="s">
        <v>226</v>
      </c>
      <c r="B1782" s="3" t="s">
        <v>344</v>
      </c>
      <c r="C1782" s="3"/>
      <c r="D1782" s="3"/>
      <c r="E1782" s="3"/>
      <c r="F1782" s="3">
        <v>5</v>
      </c>
      <c r="G1782" s="3" t="s">
        <v>260</v>
      </c>
      <c r="H1782" s="3" t="s">
        <v>271</v>
      </c>
      <c r="I1782" s="3" t="s">
        <v>6414</v>
      </c>
      <c r="J1782" s="3" t="s">
        <v>6415</v>
      </c>
      <c r="K1782" s="3" t="s">
        <v>783</v>
      </c>
      <c r="L1782" s="3" t="s">
        <v>6416</v>
      </c>
      <c r="M1782" s="3" t="s">
        <v>6417</v>
      </c>
      <c r="N1782" s="3"/>
      <c r="O1782" s="3" t="s">
        <v>6368</v>
      </c>
      <c r="P1782"/>
    </row>
    <row r="1783" spans="1:16" ht="101.5" hidden="1" x14ac:dyDescent="0.35">
      <c r="A1783" s="3" t="s">
        <v>226</v>
      </c>
      <c r="B1783" s="3" t="s">
        <v>344</v>
      </c>
      <c r="C1783" s="3"/>
      <c r="D1783" s="3"/>
      <c r="E1783" s="3"/>
      <c r="F1783" s="3">
        <v>5</v>
      </c>
      <c r="G1783" s="3" t="s">
        <v>260</v>
      </c>
      <c r="H1783" s="3" t="s">
        <v>275</v>
      </c>
      <c r="I1783" s="3" t="s">
        <v>6418</v>
      </c>
      <c r="J1783" s="3" t="s">
        <v>6369</v>
      </c>
      <c r="K1783" s="3" t="s">
        <v>783</v>
      </c>
      <c r="L1783" s="3" t="s">
        <v>277</v>
      </c>
      <c r="M1783" s="3" t="s">
        <v>6419</v>
      </c>
      <c r="N1783" s="3"/>
      <c r="O1783" s="3" t="s">
        <v>6372</v>
      </c>
      <c r="P1783"/>
    </row>
    <row r="1784" spans="1:16" ht="101.5" hidden="1" x14ac:dyDescent="0.35">
      <c r="A1784" s="3" t="s">
        <v>226</v>
      </c>
      <c r="B1784" s="3" t="s">
        <v>344</v>
      </c>
      <c r="C1784" s="3"/>
      <c r="D1784" s="3"/>
      <c r="E1784" s="3"/>
      <c r="F1784" s="3">
        <v>5</v>
      </c>
      <c r="G1784" s="3" t="s">
        <v>260</v>
      </c>
      <c r="H1784" s="3" t="s">
        <v>279</v>
      </c>
      <c r="I1784" s="3" t="s">
        <v>6420</v>
      </c>
      <c r="J1784" s="3" t="s">
        <v>6421</v>
      </c>
      <c r="K1784" s="3" t="s">
        <v>783</v>
      </c>
      <c r="L1784" s="3" t="s">
        <v>281</v>
      </c>
      <c r="M1784" s="3" t="s">
        <v>6422</v>
      </c>
      <c r="N1784" s="3"/>
      <c r="O1784" s="3" t="s">
        <v>6375</v>
      </c>
      <c r="P1784"/>
    </row>
    <row r="1785" spans="1:16" ht="101.5" hidden="1" x14ac:dyDescent="0.35">
      <c r="A1785" s="3" t="s">
        <v>226</v>
      </c>
      <c r="B1785" s="3" t="s">
        <v>344</v>
      </c>
      <c r="C1785" s="3"/>
      <c r="D1785" s="3"/>
      <c r="E1785" s="3"/>
      <c r="F1785" s="3">
        <v>5</v>
      </c>
      <c r="G1785" s="3" t="s">
        <v>260</v>
      </c>
      <c r="H1785" s="3" t="s">
        <v>283</v>
      </c>
      <c r="I1785" s="3" t="s">
        <v>574</v>
      </c>
      <c r="J1785" s="3" t="s">
        <v>6423</v>
      </c>
      <c r="K1785" s="3" t="s">
        <v>783</v>
      </c>
      <c r="L1785" s="3" t="s">
        <v>6424</v>
      </c>
      <c r="M1785" s="3" t="s">
        <v>6425</v>
      </c>
      <c r="N1785" s="3"/>
      <c r="O1785" s="3" t="s">
        <v>6380</v>
      </c>
      <c r="P1785"/>
    </row>
    <row r="1786" spans="1:16" ht="101.5" hidden="1" x14ac:dyDescent="0.35">
      <c r="A1786" s="3" t="s">
        <v>226</v>
      </c>
      <c r="B1786" s="3" t="s">
        <v>344</v>
      </c>
      <c r="C1786" s="3"/>
      <c r="D1786" s="3"/>
      <c r="E1786" s="3"/>
      <c r="F1786" s="3">
        <v>5</v>
      </c>
      <c r="G1786" s="3" t="s">
        <v>260</v>
      </c>
      <c r="H1786" s="3" t="s">
        <v>287</v>
      </c>
      <c r="I1786" s="3"/>
      <c r="J1786" s="3" t="s">
        <v>6382</v>
      </c>
      <c r="K1786" s="3" t="s">
        <v>783</v>
      </c>
      <c r="L1786" s="3" t="s">
        <v>6004</v>
      </c>
      <c r="M1786" s="3" t="s">
        <v>6426</v>
      </c>
      <c r="N1786" s="3"/>
      <c r="O1786" s="3" t="s">
        <v>6385</v>
      </c>
      <c r="P1786"/>
    </row>
    <row r="1787" spans="1:16" ht="101.5" hidden="1" x14ac:dyDescent="0.35">
      <c r="A1787" s="3" t="s">
        <v>226</v>
      </c>
      <c r="B1787" s="3" t="s">
        <v>344</v>
      </c>
      <c r="C1787" s="3"/>
      <c r="D1787" s="3"/>
      <c r="E1787" s="3"/>
      <c r="F1787" s="3">
        <v>6</v>
      </c>
      <c r="G1787" s="3" t="s">
        <v>334</v>
      </c>
      <c r="H1787" s="3" t="s">
        <v>13</v>
      </c>
      <c r="I1787" s="3"/>
      <c r="J1787" s="3" t="s">
        <v>6427</v>
      </c>
      <c r="K1787" s="3" t="s">
        <v>783</v>
      </c>
      <c r="L1787" s="3" t="s">
        <v>334</v>
      </c>
      <c r="M1787" s="3" t="s">
        <v>6428</v>
      </c>
      <c r="N1787" s="3"/>
      <c r="O1787" s="3" t="s">
        <v>6429</v>
      </c>
      <c r="P1787"/>
    </row>
    <row r="1788" spans="1:16" ht="101.5" hidden="1" x14ac:dyDescent="0.35">
      <c r="A1788" s="3" t="s">
        <v>226</v>
      </c>
      <c r="B1788" s="3" t="s">
        <v>344</v>
      </c>
      <c r="C1788" s="3"/>
      <c r="D1788" s="3"/>
      <c r="E1788" s="3"/>
      <c r="F1788" s="3">
        <v>7</v>
      </c>
      <c r="G1788" s="3" t="s">
        <v>6390</v>
      </c>
      <c r="H1788" s="3" t="s">
        <v>13</v>
      </c>
      <c r="I1788" s="3"/>
      <c r="J1788" s="3" t="s">
        <v>6430</v>
      </c>
      <c r="K1788" s="3" t="s">
        <v>783</v>
      </c>
      <c r="L1788" s="3" t="s">
        <v>6431</v>
      </c>
      <c r="M1788" s="3" t="s">
        <v>6432</v>
      </c>
      <c r="N1788" s="3"/>
      <c r="O1788" s="3" t="s">
        <v>6393</v>
      </c>
      <c r="P1788"/>
    </row>
    <row r="1789" spans="1:16" ht="101.5" hidden="1" x14ac:dyDescent="0.35">
      <c r="A1789" s="3" t="s">
        <v>226</v>
      </c>
      <c r="B1789" s="3" t="s">
        <v>344</v>
      </c>
      <c r="C1789" s="3"/>
      <c r="D1789" s="3"/>
      <c r="E1789" s="3"/>
      <c r="F1789" s="3">
        <v>8</v>
      </c>
      <c r="G1789" s="3" t="s">
        <v>300</v>
      </c>
      <c r="H1789" s="3" t="s">
        <v>13</v>
      </c>
      <c r="I1789" s="3"/>
      <c r="J1789" s="3" t="s">
        <v>340</v>
      </c>
      <c r="K1789" s="3" t="s">
        <v>783</v>
      </c>
      <c r="L1789" s="3" t="s">
        <v>6433</v>
      </c>
      <c r="M1789" s="3" t="s">
        <v>6434</v>
      </c>
      <c r="N1789" s="3"/>
      <c r="O1789" s="3" t="s">
        <v>6397</v>
      </c>
      <c r="P1789"/>
    </row>
    <row r="1790" spans="1:16" ht="58" hidden="1" x14ac:dyDescent="0.35">
      <c r="A1790" s="3" t="s">
        <v>226</v>
      </c>
      <c r="B1790" s="3" t="s">
        <v>344</v>
      </c>
      <c r="C1790" s="3"/>
      <c r="D1790" s="3"/>
      <c r="E1790" s="3"/>
      <c r="F1790" s="3">
        <v>9</v>
      </c>
      <c r="G1790" s="3" t="s">
        <v>302</v>
      </c>
      <c r="H1790" s="3" t="s">
        <v>13</v>
      </c>
      <c r="I1790" s="3"/>
      <c r="J1790" s="3" t="s">
        <v>6435</v>
      </c>
      <c r="K1790" s="3" t="s">
        <v>229</v>
      </c>
      <c r="L1790" s="3" t="s">
        <v>302</v>
      </c>
      <c r="M1790" s="3" t="s">
        <v>6436</v>
      </c>
      <c r="N1790" s="3"/>
      <c r="O1790" s="3" t="s">
        <v>6400</v>
      </c>
      <c r="P1790"/>
    </row>
    <row r="1791" spans="1:16" ht="58" hidden="1" x14ac:dyDescent="0.35">
      <c r="A1791" s="3" t="s">
        <v>226</v>
      </c>
      <c r="B1791" s="3" t="s">
        <v>344</v>
      </c>
      <c r="C1791" s="3"/>
      <c r="D1791" s="3"/>
      <c r="E1791" s="3"/>
      <c r="F1791" s="3" t="s">
        <v>346</v>
      </c>
      <c r="G1791" s="3" t="s">
        <v>345</v>
      </c>
      <c r="H1791" s="3"/>
      <c r="I1791" s="3"/>
      <c r="J1791" s="3" t="s">
        <v>6437</v>
      </c>
      <c r="K1791" s="3" t="s">
        <v>229</v>
      </c>
      <c r="L1791" s="3" t="s">
        <v>6438</v>
      </c>
      <c r="M1791" s="3" t="s">
        <v>6439</v>
      </c>
      <c r="O1791" s="3" t="s">
        <v>6440</v>
      </c>
      <c r="P1791"/>
    </row>
    <row r="1792" spans="1:16" ht="58" hidden="1" x14ac:dyDescent="0.35">
      <c r="A1792" s="3" t="s">
        <v>226</v>
      </c>
      <c r="B1792" s="3" t="s">
        <v>344</v>
      </c>
      <c r="C1792" s="3"/>
      <c r="D1792" s="3"/>
      <c r="E1792" s="3"/>
      <c r="F1792" s="3" t="s">
        <v>350</v>
      </c>
      <c r="G1792" s="3" t="s">
        <v>6441</v>
      </c>
      <c r="H1792" s="3" t="s">
        <v>577</v>
      </c>
      <c r="I1792" s="3"/>
      <c r="J1792" s="3" t="s">
        <v>6442</v>
      </c>
      <c r="K1792" s="3" t="s">
        <v>229</v>
      </c>
      <c r="L1792" s="3" t="s">
        <v>6106</v>
      </c>
      <c r="M1792" s="3" t="s">
        <v>6443</v>
      </c>
      <c r="N1792" s="3"/>
      <c r="O1792" s="3" t="s">
        <v>6444</v>
      </c>
      <c r="P1792"/>
    </row>
    <row r="1793" spans="1:16" ht="58" hidden="1" x14ac:dyDescent="0.35">
      <c r="A1793" s="3" t="s">
        <v>226</v>
      </c>
      <c r="B1793" s="3" t="s">
        <v>344</v>
      </c>
      <c r="C1793" s="3"/>
      <c r="D1793" s="3"/>
      <c r="E1793" s="3"/>
      <c r="F1793" s="3" t="s">
        <v>350</v>
      </c>
      <c r="G1793" s="3" t="s">
        <v>6441</v>
      </c>
      <c r="H1793" s="3" t="s">
        <v>581</v>
      </c>
      <c r="J1793" s="3" t="s">
        <v>6445</v>
      </c>
      <c r="K1793" s="3" t="s">
        <v>229</v>
      </c>
      <c r="L1793" s="3" t="s">
        <v>6446</v>
      </c>
      <c r="M1793" s="3" t="s">
        <v>6447</v>
      </c>
      <c r="N1793" s="1"/>
      <c r="O1793" s="3" t="s">
        <v>6448</v>
      </c>
      <c r="P1793"/>
    </row>
    <row r="1794" spans="1:16" ht="101.5" hidden="1" x14ac:dyDescent="0.35">
      <c r="A1794" s="3" t="s">
        <v>226</v>
      </c>
      <c r="B1794" s="3" t="s">
        <v>344</v>
      </c>
      <c r="C1794" s="3"/>
      <c r="D1794" s="3"/>
      <c r="E1794" s="3"/>
      <c r="F1794" s="3" t="s">
        <v>350</v>
      </c>
      <c r="G1794" s="3" t="s">
        <v>6441</v>
      </c>
      <c r="H1794" s="3" t="s">
        <v>585</v>
      </c>
      <c r="J1794" s="3" t="s">
        <v>6449</v>
      </c>
      <c r="K1794" s="3" t="s">
        <v>6450</v>
      </c>
      <c r="L1794" s="3" t="s">
        <v>6451</v>
      </c>
      <c r="M1794" s="3" t="s">
        <v>6452</v>
      </c>
      <c r="O1794" s="3" t="s">
        <v>6453</v>
      </c>
      <c r="P1794"/>
    </row>
    <row r="1795" spans="1:16" ht="58" hidden="1" x14ac:dyDescent="0.35">
      <c r="A1795" s="3" t="s">
        <v>226</v>
      </c>
      <c r="B1795" s="3" t="s">
        <v>344</v>
      </c>
      <c r="C1795" s="3"/>
      <c r="D1795" s="3"/>
      <c r="E1795" s="3"/>
      <c r="F1795" s="3" t="s">
        <v>350</v>
      </c>
      <c r="G1795" s="3" t="s">
        <v>6441</v>
      </c>
      <c r="H1795" s="3" t="s">
        <v>589</v>
      </c>
      <c r="J1795" s="3" t="s">
        <v>590</v>
      </c>
      <c r="K1795" s="3" t="s">
        <v>229</v>
      </c>
      <c r="L1795" s="3" t="s">
        <v>6454</v>
      </c>
      <c r="M1795" s="3" t="s">
        <v>6455</v>
      </c>
      <c r="O1795" s="3" t="s">
        <v>6456</v>
      </c>
      <c r="P1795"/>
    </row>
    <row r="1796" spans="1:16" ht="58" hidden="1" x14ac:dyDescent="0.35">
      <c r="A1796" s="3" t="s">
        <v>226</v>
      </c>
      <c r="B1796" s="3" t="s">
        <v>344</v>
      </c>
      <c r="C1796" s="3"/>
      <c r="D1796" s="3"/>
      <c r="E1796" s="3"/>
      <c r="F1796" s="3" t="s">
        <v>354</v>
      </c>
      <c r="G1796" s="3" t="s">
        <v>6441</v>
      </c>
      <c r="H1796" s="3" t="s">
        <v>593</v>
      </c>
      <c r="J1796" s="3" t="s">
        <v>6457</v>
      </c>
      <c r="K1796" s="3" t="s">
        <v>229</v>
      </c>
      <c r="L1796" s="3" t="s">
        <v>6458</v>
      </c>
      <c r="M1796" s="3" t="s">
        <v>6459</v>
      </c>
      <c r="O1796" s="3" t="s">
        <v>6460</v>
      </c>
      <c r="P1796"/>
    </row>
    <row r="1797" spans="1:16" ht="58" hidden="1" x14ac:dyDescent="0.35">
      <c r="A1797" s="3" t="s">
        <v>226</v>
      </c>
      <c r="B1797" s="3" t="s">
        <v>344</v>
      </c>
      <c r="C1797" s="3"/>
      <c r="D1797" s="3"/>
      <c r="E1797" s="3"/>
      <c r="F1797" s="3" t="s">
        <v>354</v>
      </c>
      <c r="G1797" s="3" t="s">
        <v>6441</v>
      </c>
      <c r="H1797" s="3" t="s">
        <v>1542</v>
      </c>
      <c r="J1797" s="3" t="s">
        <v>6461</v>
      </c>
      <c r="K1797" s="3" t="s">
        <v>229</v>
      </c>
      <c r="L1797" s="3" t="s">
        <v>6462</v>
      </c>
      <c r="M1797" s="3" t="s">
        <v>6463</v>
      </c>
      <c r="O1797" s="3" t="s">
        <v>6464</v>
      </c>
      <c r="P1797"/>
    </row>
    <row r="1798" spans="1:16" ht="58" hidden="1" x14ac:dyDescent="0.35">
      <c r="A1798" s="3" t="s">
        <v>226</v>
      </c>
      <c r="B1798" s="3" t="s">
        <v>344</v>
      </c>
      <c r="C1798" s="3"/>
      <c r="D1798" s="3"/>
      <c r="E1798" s="3"/>
      <c r="F1798" s="3" t="s">
        <v>354</v>
      </c>
      <c r="G1798" s="3" t="s">
        <v>6441</v>
      </c>
      <c r="H1798" s="3" t="s">
        <v>1559</v>
      </c>
      <c r="J1798" s="3" t="s">
        <v>6465</v>
      </c>
      <c r="K1798" s="3" t="s">
        <v>229</v>
      </c>
      <c r="L1798" s="3" t="s">
        <v>6466</v>
      </c>
      <c r="M1798" s="3" t="s">
        <v>6467</v>
      </c>
      <c r="O1798" s="3" t="s">
        <v>6468</v>
      </c>
      <c r="P1798"/>
    </row>
    <row r="1799" spans="1:16" ht="58" hidden="1" x14ac:dyDescent="0.35">
      <c r="A1799" s="3" t="s">
        <v>226</v>
      </c>
      <c r="B1799" s="3" t="s">
        <v>344</v>
      </c>
      <c r="C1799" s="3"/>
      <c r="D1799" s="3"/>
      <c r="E1799" s="3"/>
      <c r="F1799" s="3" t="s">
        <v>358</v>
      </c>
      <c r="G1799" s="3" t="s">
        <v>6441</v>
      </c>
      <c r="H1799" s="3" t="s">
        <v>3646</v>
      </c>
      <c r="J1799" s="3" t="s">
        <v>6469</v>
      </c>
      <c r="K1799" s="3" t="s">
        <v>229</v>
      </c>
      <c r="L1799" s="3" t="s">
        <v>6470</v>
      </c>
      <c r="M1799" s="3" t="s">
        <v>6471</v>
      </c>
      <c r="O1799" s="3" t="s">
        <v>6472</v>
      </c>
      <c r="P1799"/>
    </row>
    <row r="1800" spans="1:16" ht="58" hidden="1" x14ac:dyDescent="0.35">
      <c r="A1800" s="3" t="s">
        <v>6473</v>
      </c>
      <c r="B1800" s="3" t="s">
        <v>344</v>
      </c>
      <c r="C1800" s="3"/>
      <c r="D1800" s="3"/>
      <c r="E1800" s="3"/>
      <c r="F1800" s="3" t="s">
        <v>358</v>
      </c>
      <c r="G1800" s="3" t="s">
        <v>6441</v>
      </c>
      <c r="H1800" s="3" t="s">
        <v>3730</v>
      </c>
      <c r="J1800" s="3" t="s">
        <v>6474</v>
      </c>
      <c r="K1800" s="3" t="s">
        <v>229</v>
      </c>
      <c r="L1800" s="3" t="s">
        <v>6475</v>
      </c>
      <c r="M1800" s="3" t="s">
        <v>6476</v>
      </c>
      <c r="O1800" s="3" t="s">
        <v>6477</v>
      </c>
      <c r="P1800"/>
    </row>
    <row r="1801" spans="1:16" ht="58" hidden="1" x14ac:dyDescent="0.35">
      <c r="A1801" s="3" t="s">
        <v>6473</v>
      </c>
      <c r="B1801" s="3" t="s">
        <v>344</v>
      </c>
      <c r="C1801" s="3"/>
      <c r="D1801" s="3"/>
      <c r="E1801" s="3"/>
      <c r="F1801" s="3" t="s">
        <v>378</v>
      </c>
      <c r="G1801" s="3" t="s">
        <v>6478</v>
      </c>
      <c r="H1801" s="3" t="s">
        <v>381</v>
      </c>
      <c r="J1801" s="3" t="s">
        <v>6479</v>
      </c>
      <c r="K1801" s="3" t="s">
        <v>229</v>
      </c>
      <c r="L1801" s="3" t="s">
        <v>6480</v>
      </c>
      <c r="M1801" s="3" t="s">
        <v>6481</v>
      </c>
      <c r="N1801" s="3"/>
      <c r="O1801" s="3" t="s">
        <v>6482</v>
      </c>
      <c r="P1801"/>
    </row>
    <row r="1802" spans="1:16" ht="58" hidden="1" x14ac:dyDescent="0.35">
      <c r="A1802" s="3" t="s">
        <v>6473</v>
      </c>
      <c r="B1802" s="3" t="s">
        <v>344</v>
      </c>
      <c r="C1802" s="3"/>
      <c r="D1802" s="3"/>
      <c r="E1802" s="3"/>
      <c r="F1802" s="3" t="s">
        <v>378</v>
      </c>
      <c r="G1802" s="3" t="s">
        <v>6478</v>
      </c>
      <c r="H1802" s="3" t="s">
        <v>413</v>
      </c>
      <c r="J1802" s="3" t="s">
        <v>6483</v>
      </c>
      <c r="K1802" s="3" t="s">
        <v>229</v>
      </c>
      <c r="L1802" s="3" t="s">
        <v>6484</v>
      </c>
      <c r="M1802" s="3" t="s">
        <v>6485</v>
      </c>
      <c r="N1802" s="3"/>
      <c r="O1802" s="3" t="s">
        <v>6486</v>
      </c>
      <c r="P1802"/>
    </row>
    <row r="1803" spans="1:16" ht="72.5" hidden="1" x14ac:dyDescent="0.35">
      <c r="A1803" s="3" t="s">
        <v>6473</v>
      </c>
      <c r="B1803" s="3" t="s">
        <v>344</v>
      </c>
      <c r="C1803" s="3"/>
      <c r="D1803" s="3"/>
      <c r="E1803" s="3"/>
      <c r="F1803" s="3" t="s">
        <v>378</v>
      </c>
      <c r="G1803" s="3" t="s">
        <v>6478</v>
      </c>
      <c r="H1803" s="3" t="s">
        <v>423</v>
      </c>
      <c r="J1803" s="3" t="s">
        <v>6487</v>
      </c>
      <c r="K1803" s="3" t="s">
        <v>758</v>
      </c>
      <c r="L1803" s="3" t="s">
        <v>6488</v>
      </c>
      <c r="M1803" s="3" t="s">
        <v>6489</v>
      </c>
      <c r="N1803" s="3"/>
      <c r="O1803" s="3" t="s">
        <v>6490</v>
      </c>
      <c r="P1803"/>
    </row>
    <row r="1804" spans="1:16" ht="58" hidden="1" x14ac:dyDescent="0.35">
      <c r="A1804" s="3" t="s">
        <v>6473</v>
      </c>
      <c r="B1804" s="3" t="s">
        <v>344</v>
      </c>
      <c r="C1804" s="3"/>
      <c r="D1804" s="3"/>
      <c r="E1804" s="3"/>
      <c r="F1804" s="3" t="s">
        <v>378</v>
      </c>
      <c r="G1804" s="3" t="s">
        <v>6478</v>
      </c>
      <c r="H1804" s="3" t="s">
        <v>433</v>
      </c>
      <c r="J1804" s="3" t="s">
        <v>6491</v>
      </c>
      <c r="K1804" s="3" t="s">
        <v>229</v>
      </c>
      <c r="L1804" s="3" t="s">
        <v>1213</v>
      </c>
      <c r="M1804" s="3" t="s">
        <v>6492</v>
      </c>
      <c r="N1804" s="3"/>
      <c r="O1804" s="3" t="s">
        <v>6493</v>
      </c>
      <c r="P1804"/>
    </row>
    <row r="1805" spans="1:16" ht="58" hidden="1" x14ac:dyDescent="0.35">
      <c r="A1805" s="3" t="s">
        <v>6473</v>
      </c>
      <c r="B1805" s="3" t="s">
        <v>344</v>
      </c>
      <c r="C1805" s="3"/>
      <c r="D1805" s="3"/>
      <c r="E1805" s="3"/>
      <c r="F1805" s="3" t="s">
        <v>378</v>
      </c>
      <c r="G1805" s="3" t="s">
        <v>6478</v>
      </c>
      <c r="H1805" s="3" t="s">
        <v>451</v>
      </c>
      <c r="J1805" s="3" t="s">
        <v>6494</v>
      </c>
      <c r="K1805" s="3" t="s">
        <v>229</v>
      </c>
      <c r="L1805" s="3" t="s">
        <v>612</v>
      </c>
      <c r="M1805" s="3" t="s">
        <v>6495</v>
      </c>
      <c r="N1805" s="3"/>
      <c r="O1805" s="3" t="s">
        <v>6496</v>
      </c>
      <c r="P1805"/>
    </row>
    <row r="1806" spans="1:16" ht="58" hidden="1" x14ac:dyDescent="0.35">
      <c r="A1806" s="3" t="s">
        <v>6473</v>
      </c>
      <c r="B1806" s="3" t="s">
        <v>344</v>
      </c>
      <c r="C1806" s="3"/>
      <c r="D1806" s="3"/>
      <c r="E1806" s="3"/>
      <c r="F1806" s="3" t="s">
        <v>378</v>
      </c>
      <c r="G1806" s="3" t="s">
        <v>6478</v>
      </c>
      <c r="H1806" s="3" t="s">
        <v>468</v>
      </c>
      <c r="J1806" s="3" t="s">
        <v>6497</v>
      </c>
      <c r="K1806" s="3" t="s">
        <v>229</v>
      </c>
      <c r="L1806" s="3" t="s">
        <v>6498</v>
      </c>
      <c r="M1806" s="3" t="s">
        <v>6499</v>
      </c>
      <c r="N1806" s="3"/>
      <c r="O1806" s="3" t="s">
        <v>6500</v>
      </c>
      <c r="P1806"/>
    </row>
    <row r="1807" spans="1:16" ht="58" hidden="1" x14ac:dyDescent="0.35">
      <c r="A1807" s="3" t="s">
        <v>6473</v>
      </c>
      <c r="B1807" s="3" t="s">
        <v>344</v>
      </c>
      <c r="C1807" s="3"/>
      <c r="D1807" s="3"/>
      <c r="E1807" s="3"/>
      <c r="F1807" s="3" t="s">
        <v>378</v>
      </c>
      <c r="G1807" s="3" t="s">
        <v>6478</v>
      </c>
      <c r="H1807" s="3" t="s">
        <v>484</v>
      </c>
      <c r="J1807" s="3" t="s">
        <v>6501</v>
      </c>
      <c r="K1807" s="3" t="s">
        <v>229</v>
      </c>
      <c r="L1807" s="3" t="s">
        <v>618</v>
      </c>
      <c r="M1807" s="3" t="s">
        <v>6502</v>
      </c>
      <c r="N1807" s="3"/>
      <c r="O1807" s="3" t="s">
        <v>6503</v>
      </c>
      <c r="P1807"/>
    </row>
    <row r="1808" spans="1:16" ht="58" hidden="1" x14ac:dyDescent="0.35">
      <c r="A1808" s="3" t="s">
        <v>6473</v>
      </c>
      <c r="B1808" s="3" t="s">
        <v>344</v>
      </c>
      <c r="C1808" s="3"/>
      <c r="D1808" s="3"/>
      <c r="E1808" s="3"/>
      <c r="F1808" s="3" t="s">
        <v>378</v>
      </c>
      <c r="G1808" s="3" t="s">
        <v>6478</v>
      </c>
      <c r="H1808" s="3" t="s">
        <v>494</v>
      </c>
      <c r="J1808" s="3" t="s">
        <v>6504</v>
      </c>
      <c r="K1808" s="3" t="s">
        <v>229</v>
      </c>
      <c r="L1808" s="3" t="s">
        <v>6505</v>
      </c>
      <c r="M1808" s="3" t="s">
        <v>6506</v>
      </c>
      <c r="N1808" s="3"/>
      <c r="O1808" s="3" t="s">
        <v>6507</v>
      </c>
      <c r="P1808"/>
    </row>
    <row r="1809" spans="1:16" ht="58" hidden="1" x14ac:dyDescent="0.35">
      <c r="A1809" s="3" t="s">
        <v>6473</v>
      </c>
      <c r="B1809" s="3" t="s">
        <v>344</v>
      </c>
      <c r="C1809" s="3"/>
      <c r="D1809" s="3"/>
      <c r="E1809" s="3"/>
      <c r="F1809" s="3" t="s">
        <v>515</v>
      </c>
      <c r="G1809" s="3" t="s">
        <v>6508</v>
      </c>
      <c r="H1809" s="3" t="s">
        <v>547</v>
      </c>
      <c r="J1809" s="3" t="s">
        <v>6509</v>
      </c>
      <c r="K1809" s="3" t="s">
        <v>229</v>
      </c>
      <c r="L1809" s="3" t="s">
        <v>6510</v>
      </c>
      <c r="M1809" s="3" t="s">
        <v>6511</v>
      </c>
      <c r="N1809" s="3"/>
      <c r="O1809" s="3" t="s">
        <v>6512</v>
      </c>
      <c r="P1809"/>
    </row>
    <row r="1810" spans="1:16" ht="58" hidden="1" x14ac:dyDescent="0.35">
      <c r="A1810" s="3" t="s">
        <v>6473</v>
      </c>
      <c r="B1810" s="3" t="s">
        <v>344</v>
      </c>
      <c r="C1810" s="3"/>
      <c r="D1810" s="3"/>
      <c r="E1810" s="3"/>
      <c r="F1810" s="3" t="s">
        <v>515</v>
      </c>
      <c r="G1810" s="3" t="s">
        <v>6508</v>
      </c>
      <c r="H1810" s="3" t="s">
        <v>553</v>
      </c>
      <c r="J1810" s="3" t="s">
        <v>6513</v>
      </c>
      <c r="K1810" s="3" t="s">
        <v>229</v>
      </c>
      <c r="L1810" s="3" t="s">
        <v>628</v>
      </c>
      <c r="M1810" s="3" t="s">
        <v>6514</v>
      </c>
      <c r="N1810" s="3"/>
      <c r="O1810" s="3" t="s">
        <v>6515</v>
      </c>
      <c r="P1810"/>
    </row>
    <row r="1811" spans="1:16" ht="58" hidden="1" x14ac:dyDescent="0.35">
      <c r="A1811" s="3" t="s">
        <v>6473</v>
      </c>
      <c r="B1811" s="3" t="s">
        <v>344</v>
      </c>
      <c r="C1811" s="3"/>
      <c r="D1811" s="3"/>
      <c r="E1811" s="3"/>
      <c r="F1811" s="3" t="s">
        <v>515</v>
      </c>
      <c r="G1811" s="3" t="s">
        <v>6508</v>
      </c>
      <c r="H1811" s="3" t="s">
        <v>558</v>
      </c>
      <c r="J1811" s="3" t="s">
        <v>6516</v>
      </c>
      <c r="K1811" s="3" t="s">
        <v>229</v>
      </c>
      <c r="L1811" s="3" t="s">
        <v>6517</v>
      </c>
      <c r="M1811" s="3" t="s">
        <v>6518</v>
      </c>
      <c r="N1811" s="3"/>
      <c r="O1811" s="3" t="s">
        <v>6519</v>
      </c>
      <c r="P1811"/>
    </row>
    <row r="1812" spans="1:16" ht="58" hidden="1" x14ac:dyDescent="0.35">
      <c r="A1812" s="3" t="s">
        <v>6473</v>
      </c>
      <c r="B1812" s="3" t="s">
        <v>344</v>
      </c>
      <c r="C1812" s="3"/>
      <c r="D1812" s="3"/>
      <c r="E1812" s="3"/>
      <c r="F1812" s="3" t="s">
        <v>515</v>
      </c>
      <c r="G1812" s="3" t="s">
        <v>6508</v>
      </c>
      <c r="H1812" s="3" t="s">
        <v>564</v>
      </c>
      <c r="J1812" s="3" t="s">
        <v>6520</v>
      </c>
      <c r="K1812" s="3" t="s">
        <v>229</v>
      </c>
      <c r="L1812" s="3" t="s">
        <v>6521</v>
      </c>
      <c r="M1812" s="3" t="s">
        <v>6522</v>
      </c>
      <c r="N1812" s="3"/>
      <c r="O1812" s="3" t="s">
        <v>6523</v>
      </c>
      <c r="P1812"/>
    </row>
    <row r="1813" spans="1:16" ht="58" hidden="1" x14ac:dyDescent="0.35">
      <c r="A1813" s="3" t="s">
        <v>6473</v>
      </c>
      <c r="B1813" s="3" t="s">
        <v>344</v>
      </c>
      <c r="C1813" s="3"/>
      <c r="D1813" s="3"/>
      <c r="E1813" s="3"/>
      <c r="F1813" s="3" t="s">
        <v>515</v>
      </c>
      <c r="G1813" s="3" t="s">
        <v>6508</v>
      </c>
      <c r="H1813" s="3" t="s">
        <v>637</v>
      </c>
      <c r="J1813" s="3" t="s">
        <v>6524</v>
      </c>
      <c r="K1813" s="3" t="s">
        <v>229</v>
      </c>
      <c r="L1813" s="3" t="s">
        <v>6525</v>
      </c>
      <c r="M1813" s="3" t="s">
        <v>6526</v>
      </c>
      <c r="N1813" s="3"/>
      <c r="O1813" s="3" t="s">
        <v>6527</v>
      </c>
      <c r="P1813"/>
    </row>
    <row r="1814" spans="1:16" ht="58" hidden="1" x14ac:dyDescent="0.35">
      <c r="A1814" s="3" t="s">
        <v>6473</v>
      </c>
      <c r="B1814" s="3" t="s">
        <v>344</v>
      </c>
      <c r="C1814" s="3"/>
      <c r="D1814" s="3"/>
      <c r="E1814" s="3"/>
      <c r="F1814" s="3" t="s">
        <v>515</v>
      </c>
      <c r="G1814" s="3" t="s">
        <v>6508</v>
      </c>
      <c r="H1814" s="3" t="s">
        <v>1145</v>
      </c>
      <c r="J1814" s="3" t="s">
        <v>6528</v>
      </c>
      <c r="K1814" s="3" t="s">
        <v>229</v>
      </c>
      <c r="L1814" s="3" t="s">
        <v>6529</v>
      </c>
      <c r="M1814" s="3" t="s">
        <v>6530</v>
      </c>
      <c r="N1814" s="3"/>
      <c r="O1814" s="3" t="s">
        <v>6531</v>
      </c>
      <c r="P1814"/>
    </row>
    <row r="1815" spans="1:16" ht="58" hidden="1" x14ac:dyDescent="0.35">
      <c r="A1815" s="3" t="s">
        <v>6473</v>
      </c>
      <c r="B1815" s="3" t="s">
        <v>344</v>
      </c>
      <c r="C1815" s="3"/>
      <c r="D1815" s="3"/>
      <c r="E1815" s="3"/>
      <c r="F1815" s="3" t="s">
        <v>515</v>
      </c>
      <c r="G1815" s="3" t="s">
        <v>6508</v>
      </c>
      <c r="H1815" s="3" t="s">
        <v>721</v>
      </c>
      <c r="J1815" s="3" t="s">
        <v>6532</v>
      </c>
      <c r="K1815" s="3" t="s">
        <v>229</v>
      </c>
      <c r="L1815" s="3" t="s">
        <v>6533</v>
      </c>
      <c r="M1815" s="3" t="s">
        <v>6534</v>
      </c>
      <c r="N1815" s="3"/>
      <c r="O1815" s="3" t="s">
        <v>6535</v>
      </c>
      <c r="P1815"/>
    </row>
    <row r="1816" spans="1:16" ht="58" hidden="1" x14ac:dyDescent="0.35">
      <c r="A1816" s="3" t="s">
        <v>6473</v>
      </c>
      <c r="B1816" s="3" t="s">
        <v>344</v>
      </c>
      <c r="C1816" s="3"/>
      <c r="D1816" s="3"/>
      <c r="E1816" s="3"/>
      <c r="F1816" s="3" t="s">
        <v>515</v>
      </c>
      <c r="G1816" s="3" t="s">
        <v>6508</v>
      </c>
      <c r="H1816" s="3" t="s">
        <v>725</v>
      </c>
      <c r="J1816" s="3" t="s">
        <v>6536</v>
      </c>
      <c r="K1816" s="3" t="s">
        <v>229</v>
      </c>
      <c r="L1816" s="3" t="s">
        <v>6537</v>
      </c>
      <c r="M1816" s="3" t="s">
        <v>6538</v>
      </c>
      <c r="N1816" s="3"/>
      <c r="O1816" s="3" t="s">
        <v>6539</v>
      </c>
      <c r="P1816"/>
    </row>
    <row r="1817" spans="1:16" ht="58" hidden="1" x14ac:dyDescent="0.35">
      <c r="A1817" s="3" t="s">
        <v>6473</v>
      </c>
      <c r="B1817" s="3" t="s">
        <v>344</v>
      </c>
      <c r="C1817" s="3"/>
      <c r="D1817" s="3"/>
      <c r="E1817" s="3"/>
      <c r="F1817" s="3" t="s">
        <v>515</v>
      </c>
      <c r="G1817" s="3" t="s">
        <v>6508</v>
      </c>
      <c r="H1817" s="3" t="s">
        <v>729</v>
      </c>
      <c r="I1817" s="3"/>
      <c r="J1817" s="3" t="s">
        <v>6540</v>
      </c>
      <c r="K1817" s="3" t="s">
        <v>229</v>
      </c>
      <c r="L1817" s="3" t="s">
        <v>6541</v>
      </c>
      <c r="M1817" s="3" t="s">
        <v>6542</v>
      </c>
      <c r="N1817" s="3"/>
      <c r="O1817" s="3" t="s">
        <v>6543</v>
      </c>
      <c r="P1817"/>
    </row>
    <row r="1818" spans="1:16" ht="58" hidden="1" x14ac:dyDescent="0.35">
      <c r="A1818" s="3" t="s">
        <v>6473</v>
      </c>
      <c r="B1818" s="3" t="s">
        <v>344</v>
      </c>
      <c r="C1818" s="3"/>
      <c r="D1818" s="3"/>
      <c r="E1818" s="3"/>
      <c r="F1818" s="3" t="s">
        <v>515</v>
      </c>
      <c r="G1818" s="3" t="s">
        <v>6508</v>
      </c>
      <c r="H1818" s="3" t="s">
        <v>733</v>
      </c>
      <c r="I1818" s="3"/>
      <c r="J1818" s="3" t="s">
        <v>6544</v>
      </c>
      <c r="K1818" s="3" t="s">
        <v>229</v>
      </c>
      <c r="L1818" s="3" t="s">
        <v>6545</v>
      </c>
      <c r="M1818" s="3" t="s">
        <v>6546</v>
      </c>
      <c r="N1818" s="3"/>
      <c r="O1818" s="3" t="s">
        <v>6547</v>
      </c>
      <c r="P1818"/>
    </row>
    <row r="1819" spans="1:16" ht="58" hidden="1" x14ac:dyDescent="0.35">
      <c r="A1819" s="3" t="s">
        <v>6473</v>
      </c>
      <c r="B1819" s="3" t="s">
        <v>344</v>
      </c>
      <c r="C1819" s="3"/>
      <c r="D1819" s="3"/>
      <c r="E1819" s="3"/>
      <c r="F1819" s="3" t="s">
        <v>515</v>
      </c>
      <c r="G1819" s="3" t="s">
        <v>6508</v>
      </c>
      <c r="H1819" s="3" t="s">
        <v>737</v>
      </c>
      <c r="I1819" s="3"/>
      <c r="J1819" s="3" t="s">
        <v>6548</v>
      </c>
      <c r="K1819" s="3" t="s">
        <v>229</v>
      </c>
      <c r="L1819" s="3" t="s">
        <v>6549</v>
      </c>
      <c r="M1819" s="3" t="s">
        <v>6550</v>
      </c>
      <c r="N1819" s="3"/>
      <c r="O1819" s="3" t="s">
        <v>6551</v>
      </c>
      <c r="P1819"/>
    </row>
    <row r="1820" spans="1:16" ht="58" hidden="1" x14ac:dyDescent="0.35">
      <c r="A1820" s="3" t="s">
        <v>6473</v>
      </c>
      <c r="B1820" s="3" t="s">
        <v>344</v>
      </c>
      <c r="C1820" s="3"/>
      <c r="D1820" s="3"/>
      <c r="E1820" s="3"/>
      <c r="F1820" s="3" t="s">
        <v>515</v>
      </c>
      <c r="G1820" s="3" t="s">
        <v>6508</v>
      </c>
      <c r="H1820" s="3" t="s">
        <v>740</v>
      </c>
      <c r="I1820" s="3"/>
      <c r="J1820" s="3" t="s">
        <v>6552</v>
      </c>
      <c r="K1820" s="3" t="s">
        <v>229</v>
      </c>
      <c r="L1820" s="3" t="s">
        <v>6553</v>
      </c>
      <c r="M1820" s="3" t="s">
        <v>6554</v>
      </c>
      <c r="N1820" s="3"/>
      <c r="O1820" s="3" t="s">
        <v>6555</v>
      </c>
      <c r="P1820"/>
    </row>
    <row r="1821" spans="1:16" ht="101.5" hidden="1" x14ac:dyDescent="0.35">
      <c r="A1821" s="3" t="s">
        <v>6473</v>
      </c>
      <c r="B1821" s="3" t="s">
        <v>344</v>
      </c>
      <c r="C1821" s="3"/>
      <c r="D1821" s="3"/>
      <c r="E1821" s="3"/>
      <c r="F1821" s="3" t="s">
        <v>515</v>
      </c>
      <c r="G1821" s="3" t="s">
        <v>6508</v>
      </c>
      <c r="H1821" s="3" t="s">
        <v>744</v>
      </c>
      <c r="I1821" s="3"/>
      <c r="J1821" s="3" t="s">
        <v>6556</v>
      </c>
      <c r="K1821" s="3" t="s">
        <v>6557</v>
      </c>
      <c r="L1821" s="3" t="s">
        <v>6558</v>
      </c>
      <c r="M1821" s="3" t="s">
        <v>6559</v>
      </c>
      <c r="N1821" s="3"/>
      <c r="O1821" s="3" t="s">
        <v>6560</v>
      </c>
      <c r="P1821"/>
    </row>
    <row r="1822" spans="1:16" ht="58" hidden="1" x14ac:dyDescent="0.35">
      <c r="A1822" s="3" t="s">
        <v>6473</v>
      </c>
      <c r="B1822" s="3" t="s">
        <v>344</v>
      </c>
      <c r="C1822" s="3"/>
      <c r="D1822" s="3"/>
      <c r="E1822" s="3"/>
      <c r="F1822" s="3" t="s">
        <v>515</v>
      </c>
      <c r="G1822" s="3" t="s">
        <v>6508</v>
      </c>
      <c r="H1822" s="3" t="s">
        <v>748</v>
      </c>
      <c r="I1822" s="3" t="s">
        <v>5642</v>
      </c>
      <c r="J1822" s="3" t="s">
        <v>6561</v>
      </c>
      <c r="K1822" s="3" t="s">
        <v>229</v>
      </c>
      <c r="L1822" s="3" t="s">
        <v>548</v>
      </c>
      <c r="M1822" s="3" t="s">
        <v>6562</v>
      </c>
      <c r="N1822" s="3"/>
      <c r="O1822" s="3" t="s">
        <v>6563</v>
      </c>
      <c r="P1822"/>
    </row>
    <row r="1823" spans="1:16" ht="58" hidden="1" x14ac:dyDescent="0.35">
      <c r="A1823" s="3" t="s">
        <v>6473</v>
      </c>
      <c r="B1823" s="3" t="s">
        <v>344</v>
      </c>
      <c r="C1823" s="3"/>
      <c r="D1823" s="3"/>
      <c r="E1823" s="3"/>
      <c r="F1823" s="3" t="s">
        <v>551</v>
      </c>
      <c r="G1823" s="3" t="s">
        <v>552</v>
      </c>
      <c r="H1823" s="3" t="s">
        <v>641</v>
      </c>
      <c r="I1823" s="3" t="s">
        <v>5642</v>
      </c>
      <c r="J1823" s="3" t="s">
        <v>6564</v>
      </c>
      <c r="K1823" s="3" t="s">
        <v>229</v>
      </c>
      <c r="L1823" s="3" t="s">
        <v>6565</v>
      </c>
      <c r="M1823" s="3" t="s">
        <v>6566</v>
      </c>
      <c r="N1823" s="3"/>
      <c r="O1823" s="3" t="s">
        <v>6567</v>
      </c>
      <c r="P1823"/>
    </row>
    <row r="1824" spans="1:16" ht="58" hidden="1" x14ac:dyDescent="0.35">
      <c r="A1824" s="3" t="s">
        <v>6473</v>
      </c>
      <c r="B1824" s="3" t="s">
        <v>344</v>
      </c>
      <c r="C1824" s="3"/>
      <c r="D1824" s="3"/>
      <c r="E1824" s="3"/>
      <c r="F1824" s="3" t="s">
        <v>551</v>
      </c>
      <c r="G1824" s="3" t="s">
        <v>552</v>
      </c>
      <c r="H1824" s="3" t="s">
        <v>756</v>
      </c>
      <c r="I1824" s="3" t="s">
        <v>6568</v>
      </c>
      <c r="J1824" s="3" t="s">
        <v>6569</v>
      </c>
      <c r="K1824" s="3" t="s">
        <v>229</v>
      </c>
      <c r="L1824" s="3" t="s">
        <v>6570</v>
      </c>
      <c r="M1824" s="3" t="s">
        <v>6571</v>
      </c>
      <c r="N1824" s="3"/>
      <c r="O1824" s="3" t="s">
        <v>6572</v>
      </c>
      <c r="P1824"/>
    </row>
    <row r="1825" spans="1:16" ht="58" hidden="1" x14ac:dyDescent="0.35">
      <c r="A1825" s="3" t="s">
        <v>6473</v>
      </c>
      <c r="B1825" s="3" t="s">
        <v>344</v>
      </c>
      <c r="C1825" s="3"/>
      <c r="D1825" s="3"/>
      <c r="E1825" s="3"/>
      <c r="F1825" s="3" t="s">
        <v>551</v>
      </c>
      <c r="G1825" s="3" t="s">
        <v>552</v>
      </c>
      <c r="H1825" s="3" t="s">
        <v>761</v>
      </c>
      <c r="I1825" s="3" t="s">
        <v>6568</v>
      </c>
      <c r="J1825" s="3" t="s">
        <v>6573</v>
      </c>
      <c r="K1825" s="3" t="s">
        <v>229</v>
      </c>
      <c r="L1825" s="3" t="s">
        <v>763</v>
      </c>
      <c r="M1825" s="3" t="s">
        <v>6574</v>
      </c>
      <c r="N1825" s="3"/>
      <c r="O1825" s="3" t="s">
        <v>6575</v>
      </c>
      <c r="P1825"/>
    </row>
    <row r="1826" spans="1:16" ht="58" hidden="1" x14ac:dyDescent="0.35">
      <c r="A1826" s="3" t="s">
        <v>6473</v>
      </c>
      <c r="B1826" s="3" t="s">
        <v>344</v>
      </c>
      <c r="C1826" s="3"/>
      <c r="D1826" s="3"/>
      <c r="E1826" s="3"/>
      <c r="F1826" s="3" t="s">
        <v>551</v>
      </c>
      <c r="G1826" s="3" t="s">
        <v>552</v>
      </c>
      <c r="H1826" s="3" t="s">
        <v>765</v>
      </c>
      <c r="I1826" s="3" t="s">
        <v>6568</v>
      </c>
      <c r="J1826" s="3" t="s">
        <v>6576</v>
      </c>
      <c r="K1826" s="3" t="s">
        <v>229</v>
      </c>
      <c r="L1826" s="3" t="s">
        <v>6577</v>
      </c>
      <c r="M1826" s="3" t="s">
        <v>6578</v>
      </c>
      <c r="N1826" s="3"/>
      <c r="O1826" s="3" t="s">
        <v>6579</v>
      </c>
      <c r="P1826"/>
    </row>
    <row r="1827" spans="1:16" ht="58" hidden="1" x14ac:dyDescent="0.35">
      <c r="A1827" s="3" t="s">
        <v>6473</v>
      </c>
      <c r="B1827" s="3" t="s">
        <v>344</v>
      </c>
      <c r="C1827" s="3"/>
      <c r="D1827" s="3"/>
      <c r="E1827" s="3"/>
      <c r="F1827" s="3" t="s">
        <v>551</v>
      </c>
      <c r="G1827" s="3" t="s">
        <v>552</v>
      </c>
      <c r="H1827" s="3" t="s">
        <v>769</v>
      </c>
      <c r="I1827" s="3"/>
      <c r="J1827" s="3" t="s">
        <v>6580</v>
      </c>
      <c r="K1827" s="3" t="s">
        <v>229</v>
      </c>
      <c r="L1827" s="3" t="s">
        <v>6581</v>
      </c>
      <c r="M1827" s="3" t="s">
        <v>6582</v>
      </c>
      <c r="N1827" s="3"/>
      <c r="O1827" s="3" t="s">
        <v>6583</v>
      </c>
      <c r="P1827"/>
    </row>
    <row r="1828" spans="1:16" ht="58" hidden="1" x14ac:dyDescent="0.35">
      <c r="A1828" s="3" t="s">
        <v>6473</v>
      </c>
      <c r="B1828" s="3" t="s">
        <v>344</v>
      </c>
      <c r="C1828" s="3"/>
      <c r="D1828" s="3"/>
      <c r="E1828" s="3"/>
      <c r="F1828" s="3" t="s">
        <v>551</v>
      </c>
      <c r="G1828" s="3" t="s">
        <v>552</v>
      </c>
      <c r="H1828" s="3" t="s">
        <v>773</v>
      </c>
      <c r="I1828" s="3" t="s">
        <v>6584</v>
      </c>
      <c r="J1828" s="3" t="s">
        <v>6585</v>
      </c>
      <c r="K1828" s="3" t="s">
        <v>229</v>
      </c>
      <c r="L1828" s="3" t="s">
        <v>771</v>
      </c>
      <c r="M1828" s="3" t="s">
        <v>6586</v>
      </c>
      <c r="N1828" s="3"/>
      <c r="O1828" s="3" t="s">
        <v>6587</v>
      </c>
      <c r="P1828"/>
    </row>
    <row r="1829" spans="1:16" ht="58" hidden="1" x14ac:dyDescent="0.35">
      <c r="A1829" s="3" t="s">
        <v>6473</v>
      </c>
      <c r="B1829" s="3" t="s">
        <v>344</v>
      </c>
      <c r="C1829" s="3"/>
      <c r="D1829" s="3"/>
      <c r="E1829" s="3"/>
      <c r="F1829" s="3" t="s">
        <v>551</v>
      </c>
      <c r="G1829" s="3" t="s">
        <v>552</v>
      </c>
      <c r="H1829" s="3" t="s">
        <v>777</v>
      </c>
      <c r="I1829" s="3" t="s">
        <v>6588</v>
      </c>
      <c r="J1829" s="3" t="s">
        <v>6589</v>
      </c>
      <c r="K1829" s="3" t="s">
        <v>229</v>
      </c>
      <c r="L1829" s="3" t="s">
        <v>6590</v>
      </c>
      <c r="M1829" s="3" t="s">
        <v>6591</v>
      </c>
      <c r="N1829" s="3"/>
      <c r="O1829" s="3" t="s">
        <v>6592</v>
      </c>
      <c r="P1829"/>
    </row>
    <row r="1830" spans="1:16" ht="58" hidden="1" x14ac:dyDescent="0.35">
      <c r="A1830" s="3" t="s">
        <v>6473</v>
      </c>
      <c r="B1830" s="3" t="s">
        <v>344</v>
      </c>
      <c r="C1830" s="3"/>
      <c r="D1830" s="3"/>
      <c r="E1830" s="3"/>
      <c r="F1830" s="3" t="s">
        <v>551</v>
      </c>
      <c r="G1830" s="3" t="s">
        <v>552</v>
      </c>
      <c r="H1830" s="3" t="s">
        <v>6593</v>
      </c>
      <c r="I1830" s="3" t="s">
        <v>6594</v>
      </c>
      <c r="J1830" s="3" t="s">
        <v>6595</v>
      </c>
      <c r="K1830" s="3" t="s">
        <v>229</v>
      </c>
      <c r="L1830" s="3" t="s">
        <v>565</v>
      </c>
      <c r="M1830" s="3" t="s">
        <v>6596</v>
      </c>
      <c r="N1830" s="3"/>
      <c r="O1830" s="3" t="s">
        <v>6597</v>
      </c>
      <c r="P1830"/>
    </row>
    <row r="1831" spans="1:16" ht="58" hidden="1" x14ac:dyDescent="0.35">
      <c r="A1831" s="3" t="s">
        <v>6473</v>
      </c>
      <c r="B1831" s="3" t="s">
        <v>344</v>
      </c>
      <c r="C1831" s="3"/>
      <c r="D1831" s="3"/>
      <c r="E1831" s="3"/>
      <c r="F1831" s="3" t="s">
        <v>346</v>
      </c>
      <c r="G1831" s="3" t="s">
        <v>345</v>
      </c>
      <c r="H1831" s="3"/>
      <c r="I1831" s="3" t="s">
        <v>6598</v>
      </c>
      <c r="J1831" s="3" t="s">
        <v>644</v>
      </c>
      <c r="K1831" s="3" t="s">
        <v>229</v>
      </c>
      <c r="L1831" s="3" t="s">
        <v>645</v>
      </c>
      <c r="M1831" s="3" t="s">
        <v>646</v>
      </c>
      <c r="O1831" s="3" t="s">
        <v>6599</v>
      </c>
      <c r="P1831"/>
    </row>
    <row r="1832" spans="1:16" ht="58" hidden="1" x14ac:dyDescent="0.35">
      <c r="A1832" s="3" t="s">
        <v>6473</v>
      </c>
      <c r="B1832" s="3" t="s">
        <v>344</v>
      </c>
      <c r="C1832" s="3"/>
      <c r="D1832" s="3"/>
      <c r="E1832" s="3"/>
      <c r="F1832" s="3" t="s">
        <v>350</v>
      </c>
      <c r="G1832" s="3" t="s">
        <v>345</v>
      </c>
      <c r="H1832" s="3"/>
      <c r="I1832" s="3" t="s">
        <v>6600</v>
      </c>
      <c r="J1832" s="3" t="s">
        <v>647</v>
      </c>
      <c r="K1832" s="3" t="s">
        <v>229</v>
      </c>
      <c r="L1832" s="3" t="s">
        <v>648</v>
      </c>
      <c r="M1832" s="3" t="s">
        <v>649</v>
      </c>
      <c r="N1832" s="3"/>
      <c r="O1832" s="3" t="s">
        <v>6601</v>
      </c>
      <c r="P1832"/>
    </row>
    <row r="1833" spans="1:16" ht="58" hidden="1" x14ac:dyDescent="0.35">
      <c r="A1833" s="3" t="s">
        <v>6473</v>
      </c>
      <c r="B1833" s="3" t="s">
        <v>344</v>
      </c>
      <c r="C1833" s="3"/>
      <c r="D1833" s="3"/>
      <c r="E1833" s="3"/>
      <c r="F1833" s="3" t="s">
        <v>354</v>
      </c>
      <c r="G1833" s="3" t="s">
        <v>345</v>
      </c>
      <c r="H1833" s="3"/>
      <c r="I1833" s="3" t="s">
        <v>6602</v>
      </c>
      <c r="J1833" s="3" t="s">
        <v>650</v>
      </c>
      <c r="K1833" s="3" t="s">
        <v>229</v>
      </c>
      <c r="L1833" s="3" t="s">
        <v>651</v>
      </c>
      <c r="M1833" s="3" t="s">
        <v>652</v>
      </c>
      <c r="N1833" s="1"/>
      <c r="O1833" s="3" t="s">
        <v>6603</v>
      </c>
      <c r="P1833"/>
    </row>
    <row r="1834" spans="1:16" ht="58" hidden="1" x14ac:dyDescent="0.35">
      <c r="A1834" s="3" t="s">
        <v>6473</v>
      </c>
      <c r="B1834" s="3" t="s">
        <v>344</v>
      </c>
      <c r="C1834" s="3"/>
      <c r="D1834" s="3"/>
      <c r="E1834" s="3"/>
      <c r="F1834" s="3" t="s">
        <v>358</v>
      </c>
      <c r="G1834" s="3" t="s">
        <v>345</v>
      </c>
      <c r="H1834" s="3"/>
      <c r="I1834" s="3" t="s">
        <v>6604</v>
      </c>
      <c r="J1834" s="3" t="s">
        <v>653</v>
      </c>
      <c r="K1834" s="3" t="s">
        <v>229</v>
      </c>
      <c r="L1834" s="3" t="s">
        <v>654</v>
      </c>
      <c r="M1834" s="3" t="s">
        <v>655</v>
      </c>
      <c r="O1834" s="3" t="s">
        <v>6605</v>
      </c>
      <c r="P1834"/>
    </row>
    <row r="1835" spans="1:16" ht="58" hidden="1" x14ac:dyDescent="0.35">
      <c r="A1835" s="3" t="s">
        <v>6473</v>
      </c>
      <c r="B1835" s="3" t="s">
        <v>344</v>
      </c>
      <c r="C1835" s="3"/>
      <c r="D1835" s="3"/>
      <c r="E1835" s="3"/>
      <c r="F1835" s="3" t="s">
        <v>362</v>
      </c>
      <c r="G1835" s="3" t="s">
        <v>345</v>
      </c>
      <c r="H1835" s="3"/>
      <c r="I1835" s="3" t="s">
        <v>6606</v>
      </c>
      <c r="J1835" s="3" t="s">
        <v>656</v>
      </c>
      <c r="K1835" s="3" t="s">
        <v>229</v>
      </c>
      <c r="L1835" s="3" t="s">
        <v>657</v>
      </c>
      <c r="M1835" s="3" t="s">
        <v>658</v>
      </c>
      <c r="O1835" s="3" t="s">
        <v>6607</v>
      </c>
      <c r="P1835"/>
    </row>
    <row r="1836" spans="1:16" ht="58" hidden="1" x14ac:dyDescent="0.35">
      <c r="A1836" s="3" t="s">
        <v>6473</v>
      </c>
      <c r="B1836" s="3" t="s">
        <v>344</v>
      </c>
      <c r="C1836" s="3"/>
      <c r="D1836" s="3"/>
      <c r="E1836" s="3"/>
      <c r="F1836" s="3" t="s">
        <v>366</v>
      </c>
      <c r="G1836" s="3" t="s">
        <v>345</v>
      </c>
      <c r="H1836" s="3"/>
      <c r="I1836" s="3" t="s">
        <v>6608</v>
      </c>
      <c r="J1836" s="3" t="s">
        <v>659</v>
      </c>
      <c r="K1836" s="3" t="s">
        <v>229</v>
      </c>
      <c r="L1836" s="3" t="s">
        <v>660</v>
      </c>
      <c r="M1836" s="3" t="s">
        <v>661</v>
      </c>
      <c r="O1836" s="3" t="s">
        <v>6609</v>
      </c>
      <c r="P1836"/>
    </row>
    <row r="1837" spans="1:16" ht="58" hidden="1" x14ac:dyDescent="0.35">
      <c r="A1837" s="3" t="s">
        <v>6473</v>
      </c>
      <c r="B1837" s="3" t="s">
        <v>344</v>
      </c>
      <c r="C1837" s="3"/>
      <c r="D1837" s="3"/>
      <c r="E1837" s="3"/>
      <c r="F1837" s="3" t="s">
        <v>370</v>
      </c>
      <c r="G1837" s="3" t="s">
        <v>345</v>
      </c>
      <c r="H1837" s="3"/>
      <c r="I1837" s="3" t="s">
        <v>6610</v>
      </c>
      <c r="J1837" s="3" t="s">
        <v>662</v>
      </c>
      <c r="K1837" s="3" t="s">
        <v>229</v>
      </c>
      <c r="L1837" s="3" t="s">
        <v>663</v>
      </c>
      <c r="M1837" s="3" t="s">
        <v>664</v>
      </c>
      <c r="O1837" s="3" t="s">
        <v>6611</v>
      </c>
      <c r="P1837"/>
    </row>
    <row r="1838" spans="1:16" ht="58" hidden="1" x14ac:dyDescent="0.35">
      <c r="A1838" s="3" t="s">
        <v>6473</v>
      </c>
      <c r="B1838" s="3" t="s">
        <v>344</v>
      </c>
      <c r="C1838" s="3"/>
      <c r="D1838" s="3"/>
      <c r="E1838" s="3"/>
      <c r="F1838" s="3" t="s">
        <v>374</v>
      </c>
      <c r="G1838" s="3" t="s">
        <v>345</v>
      </c>
      <c r="H1838" s="3"/>
      <c r="I1838" s="3" t="s">
        <v>6612</v>
      </c>
      <c r="J1838" s="3" t="s">
        <v>665</v>
      </c>
      <c r="K1838" s="3" t="s">
        <v>229</v>
      </c>
      <c r="L1838" s="3" t="s">
        <v>666</v>
      </c>
      <c r="M1838" s="3" t="s">
        <v>667</v>
      </c>
      <c r="O1838" s="3" t="s">
        <v>6613</v>
      </c>
      <c r="P1838"/>
    </row>
    <row r="1839" spans="1:16" ht="58" hidden="1" x14ac:dyDescent="0.35">
      <c r="A1839" s="3" t="s">
        <v>6473</v>
      </c>
      <c r="B1839" s="3" t="s">
        <v>344</v>
      </c>
      <c r="C1839" s="3"/>
      <c r="D1839" s="3"/>
      <c r="E1839" s="3"/>
      <c r="F1839" s="3" t="s">
        <v>668</v>
      </c>
      <c r="G1839" s="3" t="s">
        <v>345</v>
      </c>
      <c r="H1839" s="3"/>
      <c r="I1839" s="3" t="s">
        <v>6614</v>
      </c>
      <c r="J1839" s="3" t="s">
        <v>669</v>
      </c>
      <c r="K1839" s="3" t="s">
        <v>229</v>
      </c>
      <c r="L1839" s="3" t="s">
        <v>670</v>
      </c>
      <c r="M1839" s="3" t="s">
        <v>671</v>
      </c>
      <c r="O1839" s="3" t="s">
        <v>6615</v>
      </c>
      <c r="P1839"/>
    </row>
    <row r="1840" spans="1:16" ht="145" hidden="1" x14ac:dyDescent="0.35">
      <c r="A1840" s="7" t="s">
        <v>672</v>
      </c>
      <c r="B1840" s="3" t="s">
        <v>344</v>
      </c>
      <c r="C1840" s="3"/>
      <c r="D1840" s="3"/>
      <c r="E1840" s="3"/>
      <c r="F1840" s="3" t="s">
        <v>378</v>
      </c>
      <c r="G1840" s="3" t="s">
        <v>6616</v>
      </c>
      <c r="H1840" s="3" t="s">
        <v>381</v>
      </c>
      <c r="I1840" s="3" t="s">
        <v>6617</v>
      </c>
      <c r="J1840" s="3" t="s">
        <v>673</v>
      </c>
      <c r="K1840" s="3" t="s">
        <v>421</v>
      </c>
      <c r="L1840" s="3" t="s">
        <v>674</v>
      </c>
      <c r="M1840" s="3" t="s">
        <v>675</v>
      </c>
      <c r="O1840" s="3" t="s">
        <v>6618</v>
      </c>
      <c r="P1840"/>
    </row>
    <row r="1841" spans="1:16" ht="58" hidden="1" x14ac:dyDescent="0.35">
      <c r="A1841" s="7" t="s">
        <v>672</v>
      </c>
      <c r="B1841" s="3" t="s">
        <v>344</v>
      </c>
      <c r="C1841" s="3"/>
      <c r="D1841" s="3"/>
      <c r="E1841" s="3"/>
      <c r="F1841" s="3" t="s">
        <v>378</v>
      </c>
      <c r="G1841" s="3" t="s">
        <v>6616</v>
      </c>
      <c r="H1841" s="3" t="s">
        <v>413</v>
      </c>
      <c r="I1841" s="3" t="s">
        <v>6619</v>
      </c>
      <c r="J1841" s="3" t="s">
        <v>676</v>
      </c>
      <c r="K1841" s="3" t="s">
        <v>229</v>
      </c>
      <c r="L1841" s="3" t="s">
        <v>677</v>
      </c>
      <c r="M1841" s="3" t="s">
        <v>678</v>
      </c>
      <c r="N1841" s="3"/>
      <c r="O1841" s="3" t="s">
        <v>6620</v>
      </c>
      <c r="P1841"/>
    </row>
    <row r="1842" spans="1:16" ht="145" hidden="1" x14ac:dyDescent="0.35">
      <c r="A1842" s="7" t="s">
        <v>672</v>
      </c>
      <c r="B1842" s="3" t="s">
        <v>344</v>
      </c>
      <c r="C1842" s="3"/>
      <c r="D1842" s="3"/>
      <c r="E1842" s="3"/>
      <c r="F1842" s="3" t="s">
        <v>378</v>
      </c>
      <c r="G1842" s="3" t="s">
        <v>6616</v>
      </c>
      <c r="H1842" s="3" t="s">
        <v>423</v>
      </c>
      <c r="I1842" s="3" t="s">
        <v>6621</v>
      </c>
      <c r="J1842" s="3" t="s">
        <v>679</v>
      </c>
      <c r="K1842" s="3" t="s">
        <v>421</v>
      </c>
      <c r="L1842" s="3" t="s">
        <v>680</v>
      </c>
      <c r="M1842" s="3" t="s">
        <v>681</v>
      </c>
      <c r="N1842" s="3"/>
      <c r="O1842" s="3" t="s">
        <v>6622</v>
      </c>
      <c r="P1842"/>
    </row>
    <row r="1843" spans="1:16" ht="145" hidden="1" x14ac:dyDescent="0.35">
      <c r="A1843" s="7" t="s">
        <v>672</v>
      </c>
      <c r="B1843" s="3" t="s">
        <v>344</v>
      </c>
      <c r="C1843" s="3"/>
      <c r="D1843" s="3"/>
      <c r="E1843" s="3"/>
      <c r="F1843" s="3" t="s">
        <v>378</v>
      </c>
      <c r="G1843" s="3" t="s">
        <v>6616</v>
      </c>
      <c r="H1843" s="3" t="s">
        <v>433</v>
      </c>
      <c r="I1843" s="3" t="s">
        <v>6623</v>
      </c>
      <c r="J1843" s="3" t="s">
        <v>682</v>
      </c>
      <c r="K1843" s="3" t="s">
        <v>421</v>
      </c>
      <c r="L1843" s="3" t="s">
        <v>683</v>
      </c>
      <c r="M1843" s="3" t="s">
        <v>684</v>
      </c>
      <c r="N1843" s="3"/>
      <c r="O1843" s="3" t="s">
        <v>6624</v>
      </c>
      <c r="P1843"/>
    </row>
    <row r="1844" spans="1:16" ht="58" hidden="1" x14ac:dyDescent="0.35">
      <c r="A1844" s="7" t="s">
        <v>672</v>
      </c>
      <c r="B1844" s="3" t="s">
        <v>344</v>
      </c>
      <c r="C1844" s="3"/>
      <c r="D1844" s="3"/>
      <c r="E1844" s="3"/>
      <c r="F1844" s="3" t="s">
        <v>378</v>
      </c>
      <c r="G1844" s="3" t="s">
        <v>6616</v>
      </c>
      <c r="H1844" s="3" t="s">
        <v>451</v>
      </c>
      <c r="I1844" s="3" t="s">
        <v>6625</v>
      </c>
      <c r="J1844" s="3" t="s">
        <v>685</v>
      </c>
      <c r="K1844" s="3" t="s">
        <v>229</v>
      </c>
      <c r="L1844" s="3" t="s">
        <v>686</v>
      </c>
      <c r="M1844" s="3" t="s">
        <v>687</v>
      </c>
      <c r="N1844" s="3"/>
      <c r="O1844" s="3" t="s">
        <v>6626</v>
      </c>
      <c r="P1844"/>
    </row>
    <row r="1845" spans="1:16" ht="58" hidden="1" x14ac:dyDescent="0.35">
      <c r="A1845" s="7" t="s">
        <v>672</v>
      </c>
      <c r="B1845" s="3" t="s">
        <v>344</v>
      </c>
      <c r="C1845" s="3"/>
      <c r="D1845" s="3"/>
      <c r="E1845" s="3"/>
      <c r="F1845" s="3" t="s">
        <v>378</v>
      </c>
      <c r="G1845" s="3" t="s">
        <v>6616</v>
      </c>
      <c r="H1845" s="3" t="s">
        <v>468</v>
      </c>
      <c r="I1845" s="3" t="s">
        <v>6627</v>
      </c>
      <c r="J1845" s="3" t="s">
        <v>688</v>
      </c>
      <c r="K1845" s="3" t="s">
        <v>229</v>
      </c>
      <c r="L1845" s="3" t="s">
        <v>689</v>
      </c>
      <c r="M1845" s="3" t="s">
        <v>690</v>
      </c>
      <c r="N1845" s="3"/>
      <c r="O1845" s="3" t="s">
        <v>6628</v>
      </c>
      <c r="P1845"/>
    </row>
    <row r="1846" spans="1:16" ht="145" hidden="1" x14ac:dyDescent="0.35">
      <c r="A1846" s="7" t="s">
        <v>672</v>
      </c>
      <c r="B1846" s="3" t="s">
        <v>344</v>
      </c>
      <c r="C1846" s="3"/>
      <c r="D1846" s="3"/>
      <c r="E1846" s="3"/>
      <c r="F1846" s="3" t="s">
        <v>378</v>
      </c>
      <c r="G1846" s="3" t="s">
        <v>6616</v>
      </c>
      <c r="H1846" s="3" t="s">
        <v>484</v>
      </c>
      <c r="J1846" s="3" t="s">
        <v>691</v>
      </c>
      <c r="K1846" s="3" t="s">
        <v>421</v>
      </c>
      <c r="L1846" s="3" t="s">
        <v>692</v>
      </c>
      <c r="M1846" s="3" t="s">
        <v>693</v>
      </c>
      <c r="N1846" s="3"/>
      <c r="O1846" s="3" t="s">
        <v>6629</v>
      </c>
      <c r="P1846"/>
    </row>
    <row r="1847" spans="1:16" ht="58" hidden="1" x14ac:dyDescent="0.35">
      <c r="A1847" s="7" t="s">
        <v>672</v>
      </c>
      <c r="B1847" s="3" t="s">
        <v>344</v>
      </c>
      <c r="C1847" s="3"/>
      <c r="D1847" s="3"/>
      <c r="E1847" s="3"/>
      <c r="F1847" s="3" t="s">
        <v>378</v>
      </c>
      <c r="G1847" s="3" t="s">
        <v>6616</v>
      </c>
      <c r="H1847" s="3" t="s">
        <v>494</v>
      </c>
      <c r="I1847" s="3" t="s">
        <v>6630</v>
      </c>
      <c r="J1847" s="3" t="s">
        <v>694</v>
      </c>
      <c r="K1847" s="3" t="s">
        <v>229</v>
      </c>
      <c r="L1847" s="3" t="s">
        <v>695</v>
      </c>
      <c r="M1847" s="3" t="s">
        <v>696</v>
      </c>
      <c r="N1847" s="3"/>
      <c r="O1847" s="3" t="s">
        <v>6631</v>
      </c>
      <c r="P1847"/>
    </row>
    <row r="1848" spans="1:16" ht="145" hidden="1" x14ac:dyDescent="0.35">
      <c r="A1848" s="7" t="s">
        <v>672</v>
      </c>
      <c r="B1848" s="3" t="s">
        <v>344</v>
      </c>
      <c r="C1848" s="3"/>
      <c r="D1848" s="3"/>
      <c r="E1848" s="3"/>
      <c r="F1848" s="3" t="s">
        <v>378</v>
      </c>
      <c r="G1848" s="3" t="s">
        <v>6616</v>
      </c>
      <c r="H1848" s="3" t="s">
        <v>502</v>
      </c>
      <c r="I1848" s="3" t="s">
        <v>6630</v>
      </c>
      <c r="J1848" s="3" t="s">
        <v>697</v>
      </c>
      <c r="K1848" s="3" t="s">
        <v>421</v>
      </c>
      <c r="L1848" s="3" t="s">
        <v>698</v>
      </c>
      <c r="M1848" s="3" t="s">
        <v>699</v>
      </c>
      <c r="N1848" s="3"/>
      <c r="O1848" s="3" t="s">
        <v>6632</v>
      </c>
      <c r="P1848"/>
    </row>
    <row r="1849" spans="1:16" ht="58" hidden="1" x14ac:dyDescent="0.35">
      <c r="A1849" s="7" t="s">
        <v>672</v>
      </c>
      <c r="B1849" s="3" t="s">
        <v>344</v>
      </c>
      <c r="C1849" s="3"/>
      <c r="D1849" s="3"/>
      <c r="E1849" s="3"/>
      <c r="F1849" s="3" t="s">
        <v>378</v>
      </c>
      <c r="G1849" s="3" t="s">
        <v>6616</v>
      </c>
      <c r="H1849" s="3" t="s">
        <v>700</v>
      </c>
      <c r="I1849" s="3" t="s">
        <v>6630</v>
      </c>
      <c r="J1849" s="3" t="s">
        <v>701</v>
      </c>
      <c r="K1849" s="3" t="s">
        <v>229</v>
      </c>
      <c r="L1849" s="3" t="s">
        <v>702</v>
      </c>
      <c r="M1849" s="3" t="s">
        <v>703</v>
      </c>
      <c r="N1849" s="3"/>
      <c r="O1849" s="3" t="s">
        <v>6633</v>
      </c>
      <c r="P1849"/>
    </row>
    <row r="1850" spans="1:16" ht="145" hidden="1" x14ac:dyDescent="0.35">
      <c r="A1850" s="7" t="s">
        <v>672</v>
      </c>
      <c r="B1850" s="3" t="s">
        <v>344</v>
      </c>
      <c r="C1850" s="3"/>
      <c r="D1850" s="3"/>
      <c r="E1850" s="3"/>
      <c r="F1850" s="3" t="s">
        <v>378</v>
      </c>
      <c r="G1850" s="3" t="s">
        <v>6616</v>
      </c>
      <c r="H1850" s="3" t="s">
        <v>532</v>
      </c>
      <c r="I1850" s="3" t="s">
        <v>6630</v>
      </c>
      <c r="J1850" s="3" t="s">
        <v>704</v>
      </c>
      <c r="K1850" s="3" t="s">
        <v>421</v>
      </c>
      <c r="L1850" s="3" t="s">
        <v>705</v>
      </c>
      <c r="M1850" s="3" t="s">
        <v>706</v>
      </c>
      <c r="N1850" s="3"/>
      <c r="O1850" s="3" t="s">
        <v>6634</v>
      </c>
      <c r="P1850"/>
    </row>
    <row r="1851" spans="1:16" ht="58" hidden="1" x14ac:dyDescent="0.35">
      <c r="A1851" s="7" t="s">
        <v>672</v>
      </c>
      <c r="B1851" s="3" t="s">
        <v>344</v>
      </c>
      <c r="C1851" s="3"/>
      <c r="D1851" s="3"/>
      <c r="E1851" s="3"/>
      <c r="F1851" s="3" t="s">
        <v>378</v>
      </c>
      <c r="G1851" s="3" t="s">
        <v>6616</v>
      </c>
      <c r="H1851" s="3" t="s">
        <v>537</v>
      </c>
      <c r="I1851" s="3" t="s">
        <v>6635</v>
      </c>
      <c r="J1851" s="3" t="s">
        <v>707</v>
      </c>
      <c r="K1851" s="3" t="s">
        <v>229</v>
      </c>
      <c r="L1851" s="3" t="s">
        <v>708</v>
      </c>
      <c r="M1851" s="3" t="s">
        <v>709</v>
      </c>
      <c r="N1851" s="3"/>
      <c r="O1851" s="3" t="s">
        <v>6636</v>
      </c>
      <c r="P1851"/>
    </row>
    <row r="1852" spans="1:16" ht="58" hidden="1" x14ac:dyDescent="0.35">
      <c r="A1852" s="7" t="s">
        <v>672</v>
      </c>
      <c r="B1852" s="3" t="s">
        <v>344</v>
      </c>
      <c r="C1852" s="3"/>
      <c r="D1852" s="3"/>
      <c r="E1852" s="3"/>
      <c r="F1852" s="3" t="s">
        <v>515</v>
      </c>
      <c r="G1852" s="3" t="s">
        <v>6637</v>
      </c>
      <c r="H1852" s="3" t="s">
        <v>547</v>
      </c>
      <c r="I1852" s="3" t="s">
        <v>6638</v>
      </c>
      <c r="J1852" s="3" t="s">
        <v>710</v>
      </c>
      <c r="K1852" s="3" t="s">
        <v>229</v>
      </c>
      <c r="L1852" s="3" t="s">
        <v>711</v>
      </c>
      <c r="M1852" s="3" t="s">
        <v>712</v>
      </c>
      <c r="N1852" s="3"/>
      <c r="O1852" s="3" t="s">
        <v>6639</v>
      </c>
      <c r="P1852"/>
    </row>
    <row r="1853" spans="1:16" ht="145" hidden="1" x14ac:dyDescent="0.35">
      <c r="A1853" s="7" t="s">
        <v>672</v>
      </c>
      <c r="B1853" s="3" t="s">
        <v>344</v>
      </c>
      <c r="C1853" s="3"/>
      <c r="D1853" s="3"/>
      <c r="E1853" s="3"/>
      <c r="F1853" s="3" t="s">
        <v>515</v>
      </c>
      <c r="G1853" s="3" t="s">
        <v>6637</v>
      </c>
      <c r="H1853" s="3" t="s">
        <v>553</v>
      </c>
      <c r="I1853" s="3" t="s">
        <v>6640</v>
      </c>
      <c r="J1853" s="3" t="s">
        <v>713</v>
      </c>
      <c r="K1853" s="3" t="s">
        <v>421</v>
      </c>
      <c r="L1853" s="3" t="s">
        <v>535</v>
      </c>
      <c r="M1853" s="3" t="s">
        <v>714</v>
      </c>
      <c r="N1853" s="3"/>
      <c r="O1853" s="3" t="s">
        <v>6641</v>
      </c>
      <c r="P1853"/>
    </row>
    <row r="1854" spans="1:16" ht="58" hidden="1" x14ac:dyDescent="0.35">
      <c r="A1854" s="7" t="s">
        <v>672</v>
      </c>
      <c r="B1854" s="3" t="s">
        <v>344</v>
      </c>
      <c r="C1854" s="3"/>
      <c r="D1854" s="3"/>
      <c r="E1854" s="3"/>
      <c r="F1854" s="3" t="s">
        <v>515</v>
      </c>
      <c r="G1854" s="3" t="s">
        <v>6637</v>
      </c>
      <c r="H1854" s="3" t="s">
        <v>564</v>
      </c>
      <c r="I1854" s="3" t="s">
        <v>6642</v>
      </c>
      <c r="J1854" s="3" t="s">
        <v>715</v>
      </c>
      <c r="K1854" s="3" t="s">
        <v>229</v>
      </c>
      <c r="L1854" s="3" t="s">
        <v>716</v>
      </c>
      <c r="M1854" s="3" t="s">
        <v>717</v>
      </c>
      <c r="N1854" s="3"/>
      <c r="O1854" s="3" t="s">
        <v>6643</v>
      </c>
      <c r="P1854"/>
    </row>
    <row r="1855" spans="1:16" ht="145" hidden="1" x14ac:dyDescent="0.35">
      <c r="A1855" s="7" t="s">
        <v>672</v>
      </c>
      <c r="B1855" s="3" t="s">
        <v>344</v>
      </c>
      <c r="C1855" s="3"/>
      <c r="D1855" s="3"/>
      <c r="E1855" s="3"/>
      <c r="F1855" s="3" t="s">
        <v>515</v>
      </c>
      <c r="G1855" s="3" t="s">
        <v>6637</v>
      </c>
      <c r="H1855" s="3" t="s">
        <v>637</v>
      </c>
      <c r="I1855" s="3" t="s">
        <v>6644</v>
      </c>
      <c r="J1855" s="3" t="s">
        <v>718</v>
      </c>
      <c r="K1855" s="3" t="s">
        <v>421</v>
      </c>
      <c r="L1855" s="3" t="s">
        <v>719</v>
      </c>
      <c r="M1855" s="3" t="s">
        <v>720</v>
      </c>
      <c r="N1855" s="3"/>
      <c r="O1855" s="3" t="s">
        <v>6645</v>
      </c>
      <c r="P1855"/>
    </row>
    <row r="1856" spans="1:16" ht="145" hidden="1" x14ac:dyDescent="0.35">
      <c r="A1856" s="7" t="s">
        <v>672</v>
      </c>
      <c r="B1856" s="3" t="s">
        <v>344</v>
      </c>
      <c r="C1856" s="3"/>
      <c r="D1856" s="3"/>
      <c r="E1856" s="3"/>
      <c r="F1856" s="3" t="s">
        <v>515</v>
      </c>
      <c r="G1856" s="3" t="s">
        <v>6637</v>
      </c>
      <c r="H1856" s="3" t="s">
        <v>721</v>
      </c>
      <c r="I1856" s="3" t="s">
        <v>6644</v>
      </c>
      <c r="J1856" s="3" t="s">
        <v>722</v>
      </c>
      <c r="K1856" s="3" t="s">
        <v>421</v>
      </c>
      <c r="L1856" s="3" t="s">
        <v>723</v>
      </c>
      <c r="M1856" s="3" t="s">
        <v>724</v>
      </c>
      <c r="N1856" s="3"/>
      <c r="O1856" s="3" t="s">
        <v>6646</v>
      </c>
      <c r="P1856"/>
    </row>
    <row r="1857" spans="1:16" ht="145" hidden="1" x14ac:dyDescent="0.35">
      <c r="A1857" s="7" t="s">
        <v>672</v>
      </c>
      <c r="B1857" s="3" t="s">
        <v>344</v>
      </c>
      <c r="C1857" s="3"/>
      <c r="D1857" s="3"/>
      <c r="E1857" s="3"/>
      <c r="F1857" s="3" t="s">
        <v>515</v>
      </c>
      <c r="G1857" s="3" t="s">
        <v>6637</v>
      </c>
      <c r="H1857" s="3" t="s">
        <v>725</v>
      </c>
      <c r="I1857" s="3" t="s">
        <v>6644</v>
      </c>
      <c r="J1857" s="3" t="s">
        <v>726</v>
      </c>
      <c r="K1857" s="3" t="s">
        <v>421</v>
      </c>
      <c r="L1857" s="3" t="s">
        <v>727</v>
      </c>
      <c r="M1857" s="3" t="s">
        <v>728</v>
      </c>
      <c r="N1857" s="3"/>
      <c r="O1857" s="3" t="s">
        <v>6647</v>
      </c>
      <c r="P1857"/>
    </row>
    <row r="1858" spans="1:16" ht="58" hidden="1" x14ac:dyDescent="0.35">
      <c r="A1858" s="7" t="s">
        <v>672</v>
      </c>
      <c r="B1858" s="3" t="s">
        <v>344</v>
      </c>
      <c r="C1858" s="3"/>
      <c r="D1858" s="3"/>
      <c r="E1858" s="3"/>
      <c r="F1858" s="3" t="s">
        <v>515</v>
      </c>
      <c r="G1858" s="3" t="s">
        <v>6637</v>
      </c>
      <c r="H1858" s="3" t="s">
        <v>729</v>
      </c>
      <c r="I1858" s="3" t="s">
        <v>6644</v>
      </c>
      <c r="J1858" s="3" t="s">
        <v>730</v>
      </c>
      <c r="K1858" s="3" t="s">
        <v>229</v>
      </c>
      <c r="L1858" s="3" t="s">
        <v>731</v>
      </c>
      <c r="M1858" s="3" t="s">
        <v>732</v>
      </c>
      <c r="N1858" s="3"/>
      <c r="O1858" s="3" t="s">
        <v>6648</v>
      </c>
      <c r="P1858"/>
    </row>
    <row r="1859" spans="1:16" ht="58" hidden="1" x14ac:dyDescent="0.35">
      <c r="A1859" s="7" t="s">
        <v>672</v>
      </c>
      <c r="B1859" s="3" t="s">
        <v>344</v>
      </c>
      <c r="C1859" s="3"/>
      <c r="D1859" s="3"/>
      <c r="E1859" s="3"/>
      <c r="F1859" s="3" t="s">
        <v>515</v>
      </c>
      <c r="G1859" s="3" t="s">
        <v>6637</v>
      </c>
      <c r="H1859" s="3" t="s">
        <v>733</v>
      </c>
      <c r="I1859" s="3" t="s">
        <v>6644</v>
      </c>
      <c r="J1859" s="3" t="s">
        <v>734</v>
      </c>
      <c r="K1859" s="3" t="s">
        <v>229</v>
      </c>
      <c r="L1859" s="3" t="s">
        <v>735</v>
      </c>
      <c r="M1859" s="3" t="s">
        <v>736</v>
      </c>
      <c r="N1859" s="3"/>
      <c r="O1859" s="3" t="s">
        <v>6649</v>
      </c>
      <c r="P1859"/>
    </row>
    <row r="1860" spans="1:16" ht="145" hidden="1" x14ac:dyDescent="0.35">
      <c r="A1860" s="7" t="s">
        <v>672</v>
      </c>
      <c r="B1860" s="3" t="s">
        <v>344</v>
      </c>
      <c r="C1860" s="3"/>
      <c r="D1860" s="3"/>
      <c r="E1860" s="3"/>
      <c r="F1860" s="3" t="s">
        <v>515</v>
      </c>
      <c r="G1860" s="3" t="s">
        <v>6637</v>
      </c>
      <c r="H1860" s="3" t="s">
        <v>737</v>
      </c>
      <c r="I1860" s="3" t="s">
        <v>6644</v>
      </c>
      <c r="J1860" s="3" t="s">
        <v>738</v>
      </c>
      <c r="K1860" s="3" t="s">
        <v>421</v>
      </c>
      <c r="L1860" s="3" t="s">
        <v>548</v>
      </c>
      <c r="M1860" s="3" t="s">
        <v>739</v>
      </c>
      <c r="N1860" s="3"/>
      <c r="O1860" s="3" t="s">
        <v>6650</v>
      </c>
      <c r="P1860"/>
    </row>
    <row r="1861" spans="1:16" ht="145" hidden="1" x14ac:dyDescent="0.35">
      <c r="A1861" s="7" t="s">
        <v>672</v>
      </c>
      <c r="B1861" s="3" t="s">
        <v>344</v>
      </c>
      <c r="C1861" s="3"/>
      <c r="D1861" s="3"/>
      <c r="E1861" s="3"/>
      <c r="F1861" s="3" t="s">
        <v>551</v>
      </c>
      <c r="G1861" s="3" t="s">
        <v>6651</v>
      </c>
      <c r="H1861" s="3" t="s">
        <v>740</v>
      </c>
      <c r="I1861" s="3" t="s">
        <v>6644</v>
      </c>
      <c r="J1861" s="3" t="s">
        <v>741</v>
      </c>
      <c r="K1861" s="3" t="s">
        <v>421</v>
      </c>
      <c r="L1861" s="3" t="s">
        <v>742</v>
      </c>
      <c r="M1861" s="3" t="s">
        <v>743</v>
      </c>
      <c r="N1861" s="3"/>
      <c r="O1861" s="3" t="s">
        <v>6652</v>
      </c>
      <c r="P1861"/>
    </row>
    <row r="1862" spans="1:16" ht="58" hidden="1" x14ac:dyDescent="0.35">
      <c r="A1862" s="7" t="s">
        <v>672</v>
      </c>
      <c r="B1862" s="3" t="s">
        <v>344</v>
      </c>
      <c r="C1862" s="3"/>
      <c r="D1862" s="3"/>
      <c r="E1862" s="3"/>
      <c r="F1862" s="3" t="s">
        <v>551</v>
      </c>
      <c r="G1862" s="3" t="s">
        <v>6651</v>
      </c>
      <c r="H1862" s="3" t="s">
        <v>744</v>
      </c>
      <c r="I1862" s="3" t="s">
        <v>6644</v>
      </c>
      <c r="J1862" s="3" t="s">
        <v>745</v>
      </c>
      <c r="K1862" s="3" t="s">
        <v>229</v>
      </c>
      <c r="L1862" s="3" t="s">
        <v>746</v>
      </c>
      <c r="M1862" s="3" t="s">
        <v>747</v>
      </c>
      <c r="N1862" s="3"/>
      <c r="O1862" s="3" t="s">
        <v>6653</v>
      </c>
      <c r="P1862"/>
    </row>
    <row r="1863" spans="1:16" ht="58" hidden="1" x14ac:dyDescent="0.35">
      <c r="A1863" s="7" t="s">
        <v>672</v>
      </c>
      <c r="B1863" s="3" t="s">
        <v>344</v>
      </c>
      <c r="C1863" s="3"/>
      <c r="D1863" s="3"/>
      <c r="E1863" s="3"/>
      <c r="F1863" s="3" t="s">
        <v>551</v>
      </c>
      <c r="G1863" s="3" t="s">
        <v>6651</v>
      </c>
      <c r="H1863" s="3" t="s">
        <v>748</v>
      </c>
      <c r="I1863" s="3" t="s">
        <v>6644</v>
      </c>
      <c r="J1863" s="3" t="s">
        <v>749</v>
      </c>
      <c r="K1863" s="3" t="s">
        <v>229</v>
      </c>
      <c r="L1863" s="3" t="s">
        <v>750</v>
      </c>
      <c r="M1863" s="3" t="s">
        <v>751</v>
      </c>
      <c r="N1863" s="3"/>
      <c r="O1863" s="3" t="s">
        <v>6654</v>
      </c>
      <c r="P1863"/>
    </row>
    <row r="1864" spans="1:16" ht="174" hidden="1" x14ac:dyDescent="0.35">
      <c r="A1864" s="7" t="s">
        <v>672</v>
      </c>
      <c r="B1864" s="3" t="s">
        <v>344</v>
      </c>
      <c r="C1864" s="3"/>
      <c r="D1864" s="3"/>
      <c r="E1864" s="3"/>
      <c r="F1864" s="3" t="s">
        <v>551</v>
      </c>
      <c r="G1864" s="3" t="s">
        <v>6651</v>
      </c>
      <c r="H1864" s="3" t="s">
        <v>641</v>
      </c>
      <c r="I1864" s="3" t="s">
        <v>6644</v>
      </c>
      <c r="J1864" s="3" t="s">
        <v>752</v>
      </c>
      <c r="K1864" s="3" t="s">
        <v>753</v>
      </c>
      <c r="L1864" s="3" t="s">
        <v>754</v>
      </c>
      <c r="M1864" s="3" t="s">
        <v>755</v>
      </c>
      <c r="N1864" s="3"/>
      <c r="O1864" s="3" t="s">
        <v>6655</v>
      </c>
      <c r="P1864"/>
    </row>
    <row r="1865" spans="1:16" ht="72.5" hidden="1" x14ac:dyDescent="0.35">
      <c r="A1865" s="7" t="s">
        <v>672</v>
      </c>
      <c r="B1865" s="3" t="s">
        <v>344</v>
      </c>
      <c r="C1865" s="3"/>
      <c r="D1865" s="3"/>
      <c r="E1865" s="3"/>
      <c r="F1865" s="3" t="s">
        <v>551</v>
      </c>
      <c r="G1865" s="3" t="s">
        <v>6651</v>
      </c>
      <c r="H1865" s="3" t="s">
        <v>756</v>
      </c>
      <c r="I1865" s="3" t="s">
        <v>6644</v>
      </c>
      <c r="J1865" s="3" t="s">
        <v>757</v>
      </c>
      <c r="K1865" s="3" t="s">
        <v>758</v>
      </c>
      <c r="L1865" s="3" t="s">
        <v>759</v>
      </c>
      <c r="M1865" s="3" t="s">
        <v>760</v>
      </c>
      <c r="N1865" s="3"/>
      <c r="O1865" s="3" t="s">
        <v>6656</v>
      </c>
      <c r="P1865"/>
    </row>
    <row r="1866" spans="1:16" ht="58" hidden="1" x14ac:dyDescent="0.35">
      <c r="A1866" s="7" t="s">
        <v>672</v>
      </c>
      <c r="B1866" s="3" t="s">
        <v>344</v>
      </c>
      <c r="C1866" s="3"/>
      <c r="D1866" s="3"/>
      <c r="E1866" s="3"/>
      <c r="F1866" s="3" t="s">
        <v>551</v>
      </c>
      <c r="G1866" s="3" t="s">
        <v>6651</v>
      </c>
      <c r="H1866" s="3" t="s">
        <v>761</v>
      </c>
      <c r="I1866" s="3" t="s">
        <v>6644</v>
      </c>
      <c r="J1866" s="3" t="s">
        <v>762</v>
      </c>
      <c r="K1866" s="3" t="s">
        <v>229</v>
      </c>
      <c r="L1866" s="3" t="s">
        <v>763</v>
      </c>
      <c r="M1866" s="3" t="s">
        <v>764</v>
      </c>
      <c r="N1866" s="3"/>
      <c r="O1866" s="3" t="s">
        <v>6657</v>
      </c>
      <c r="P1866"/>
    </row>
    <row r="1867" spans="1:16" ht="58" hidden="1" x14ac:dyDescent="0.35">
      <c r="A1867" s="7" t="s">
        <v>672</v>
      </c>
      <c r="B1867" s="3" t="s">
        <v>344</v>
      </c>
      <c r="C1867" s="3"/>
      <c r="D1867" s="3"/>
      <c r="E1867" s="3"/>
      <c r="F1867" s="3" t="s">
        <v>551</v>
      </c>
      <c r="G1867" s="3" t="s">
        <v>6651</v>
      </c>
      <c r="H1867" s="3" t="s">
        <v>765</v>
      </c>
      <c r="I1867" s="3" t="s">
        <v>6644</v>
      </c>
      <c r="J1867" s="3" t="s">
        <v>766</v>
      </c>
      <c r="K1867" s="3" t="s">
        <v>229</v>
      </c>
      <c r="L1867" s="3" t="s">
        <v>767</v>
      </c>
      <c r="M1867" s="3" t="s">
        <v>768</v>
      </c>
      <c r="N1867" s="3"/>
      <c r="O1867" s="3" t="s">
        <v>6658</v>
      </c>
      <c r="P1867"/>
    </row>
    <row r="1868" spans="1:16" ht="58" hidden="1" x14ac:dyDescent="0.35">
      <c r="A1868" s="7" t="s">
        <v>672</v>
      </c>
      <c r="B1868" s="3" t="s">
        <v>344</v>
      </c>
      <c r="C1868" s="3"/>
      <c r="D1868" s="3"/>
      <c r="E1868" s="3"/>
      <c r="F1868" s="3" t="s">
        <v>551</v>
      </c>
      <c r="G1868" s="3" t="s">
        <v>6651</v>
      </c>
      <c r="H1868" s="3" t="s">
        <v>769</v>
      </c>
      <c r="I1868" s="3" t="s">
        <v>6644</v>
      </c>
      <c r="J1868" s="3" t="s">
        <v>770</v>
      </c>
      <c r="K1868" s="3" t="s">
        <v>229</v>
      </c>
      <c r="L1868" s="3" t="s">
        <v>771</v>
      </c>
      <c r="M1868" s="3" t="s">
        <v>772</v>
      </c>
      <c r="N1868" s="3"/>
      <c r="O1868" s="3" t="s">
        <v>6659</v>
      </c>
      <c r="P1868"/>
    </row>
    <row r="1869" spans="1:16" ht="58" hidden="1" x14ac:dyDescent="0.35">
      <c r="A1869" s="7" t="s">
        <v>672</v>
      </c>
      <c r="B1869" s="3" t="s">
        <v>344</v>
      </c>
      <c r="C1869" s="3"/>
      <c r="D1869" s="3"/>
      <c r="E1869" s="3"/>
      <c r="F1869" s="3" t="s">
        <v>551</v>
      </c>
      <c r="G1869" s="3" t="s">
        <v>6651</v>
      </c>
      <c r="H1869" s="3" t="s">
        <v>773</v>
      </c>
      <c r="I1869" s="3" t="s">
        <v>6644</v>
      </c>
      <c r="J1869" s="3" t="s">
        <v>774</v>
      </c>
      <c r="K1869" s="3" t="s">
        <v>229</v>
      </c>
      <c r="L1869" s="3" t="s">
        <v>775</v>
      </c>
      <c r="M1869" s="3" t="s">
        <v>776</v>
      </c>
      <c r="N1869" s="3"/>
      <c r="O1869" s="3" t="s">
        <v>6660</v>
      </c>
      <c r="P1869"/>
    </row>
    <row r="1870" spans="1:16" ht="58" hidden="1" x14ac:dyDescent="0.35">
      <c r="A1870" s="7" t="s">
        <v>672</v>
      </c>
      <c r="B1870" s="3" t="s">
        <v>344</v>
      </c>
      <c r="C1870" s="3"/>
      <c r="D1870" s="3"/>
      <c r="E1870" s="3"/>
      <c r="F1870" s="3" t="s">
        <v>551</v>
      </c>
      <c r="G1870" s="3" t="s">
        <v>6651</v>
      </c>
      <c r="H1870" s="3" t="s">
        <v>777</v>
      </c>
      <c r="I1870" s="3" t="s">
        <v>6644</v>
      </c>
      <c r="J1870" s="3" t="s">
        <v>778</v>
      </c>
      <c r="K1870" s="3" t="s">
        <v>229</v>
      </c>
      <c r="L1870" s="3" t="s">
        <v>779</v>
      </c>
      <c r="M1870" s="3" t="s">
        <v>780</v>
      </c>
      <c r="N1870" s="3"/>
      <c r="O1870" s="3" t="s">
        <v>6661</v>
      </c>
      <c r="P1870"/>
    </row>
    <row r="1871" spans="1:16" ht="58" hidden="1" x14ac:dyDescent="0.35">
      <c r="A1871" s="7" t="s">
        <v>672</v>
      </c>
      <c r="B1871" s="3" t="s">
        <v>344</v>
      </c>
      <c r="C1871" s="3"/>
      <c r="D1871" s="3"/>
      <c r="E1871" s="3"/>
      <c r="F1871" s="3" t="s">
        <v>346</v>
      </c>
      <c r="G1871" s="3" t="s">
        <v>345</v>
      </c>
      <c r="H1871" s="3"/>
      <c r="I1871" s="3" t="s">
        <v>6644</v>
      </c>
      <c r="J1871" s="3" t="s">
        <v>6662</v>
      </c>
      <c r="K1871" s="3" t="s">
        <v>229</v>
      </c>
      <c r="L1871" s="3" t="s">
        <v>6663</v>
      </c>
      <c r="M1871" s="3" t="s">
        <v>6664</v>
      </c>
      <c r="N1871" s="3"/>
      <c r="O1871" s="3" t="s">
        <v>6665</v>
      </c>
      <c r="P1871"/>
    </row>
    <row r="1872" spans="1:16" ht="58" hidden="1" x14ac:dyDescent="0.35">
      <c r="A1872" s="7" t="s">
        <v>672</v>
      </c>
      <c r="B1872" s="3" t="s">
        <v>344</v>
      </c>
      <c r="C1872" s="3"/>
      <c r="D1872" s="3"/>
      <c r="E1872" s="3"/>
      <c r="F1872" s="3" t="s">
        <v>350</v>
      </c>
      <c r="G1872" s="3" t="s">
        <v>345</v>
      </c>
      <c r="H1872" s="3"/>
      <c r="I1872" s="3" t="s">
        <v>6644</v>
      </c>
      <c r="J1872" s="3" t="s">
        <v>6666</v>
      </c>
      <c r="K1872" s="3" t="s">
        <v>229</v>
      </c>
      <c r="L1872" s="3" t="s">
        <v>6667</v>
      </c>
      <c r="M1872" s="3" t="s">
        <v>6668</v>
      </c>
      <c r="N1872" s="3"/>
      <c r="O1872" s="3" t="s">
        <v>6669</v>
      </c>
      <c r="P1872"/>
    </row>
    <row r="1873" spans="1:16" ht="58" hidden="1" x14ac:dyDescent="0.35">
      <c r="A1873" s="7" t="s">
        <v>672</v>
      </c>
      <c r="B1873" s="3" t="s">
        <v>344</v>
      </c>
      <c r="C1873" s="3"/>
      <c r="D1873" s="3"/>
      <c r="E1873" s="3"/>
      <c r="F1873" s="3" t="s">
        <v>354</v>
      </c>
      <c r="G1873" s="3" t="s">
        <v>345</v>
      </c>
      <c r="H1873" s="3">
        <v>1</v>
      </c>
      <c r="I1873" s="3" t="s">
        <v>6644</v>
      </c>
      <c r="J1873" s="3" t="s">
        <v>6670</v>
      </c>
      <c r="K1873" s="3" t="s">
        <v>229</v>
      </c>
      <c r="L1873" s="3" t="s">
        <v>6671</v>
      </c>
      <c r="M1873" s="3" t="s">
        <v>6672</v>
      </c>
      <c r="N1873" s="3"/>
      <c r="O1873" s="3" t="s">
        <v>6673</v>
      </c>
      <c r="P1873"/>
    </row>
    <row r="1874" spans="1:16" ht="58" hidden="1" x14ac:dyDescent="0.35">
      <c r="A1874" s="7" t="s">
        <v>672</v>
      </c>
      <c r="B1874" s="3" t="s">
        <v>344</v>
      </c>
      <c r="C1874" s="3"/>
      <c r="D1874" s="3"/>
      <c r="E1874" s="3"/>
      <c r="F1874" s="3" t="s">
        <v>354</v>
      </c>
      <c r="G1874" s="3" t="s">
        <v>345</v>
      </c>
      <c r="H1874" s="3">
        <v>2</v>
      </c>
      <c r="I1874" s="3" t="s">
        <v>6644</v>
      </c>
      <c r="J1874" s="3" t="s">
        <v>6674</v>
      </c>
      <c r="K1874" s="3" t="s">
        <v>229</v>
      </c>
      <c r="L1874" s="3" t="s">
        <v>6675</v>
      </c>
      <c r="M1874" s="3" t="s">
        <v>6676</v>
      </c>
      <c r="N1874" s="3"/>
      <c r="O1874" s="3" t="s">
        <v>6677</v>
      </c>
      <c r="P1874"/>
    </row>
    <row r="1875" spans="1:16" ht="58" hidden="1" x14ac:dyDescent="0.35">
      <c r="A1875" s="7" t="s">
        <v>672</v>
      </c>
      <c r="B1875" s="3" t="s">
        <v>344</v>
      </c>
      <c r="C1875" s="3"/>
      <c r="D1875" s="3"/>
      <c r="E1875" s="3"/>
      <c r="F1875" s="3" t="s">
        <v>354</v>
      </c>
      <c r="G1875" s="3" t="s">
        <v>345</v>
      </c>
      <c r="H1875" s="3">
        <v>3</v>
      </c>
      <c r="I1875" s="3" t="s">
        <v>6644</v>
      </c>
      <c r="J1875" s="3" t="s">
        <v>6678</v>
      </c>
      <c r="K1875" s="3" t="s">
        <v>229</v>
      </c>
      <c r="L1875" s="3" t="s">
        <v>6679</v>
      </c>
      <c r="M1875" s="3" t="s">
        <v>6680</v>
      </c>
      <c r="N1875" s="3"/>
      <c r="O1875" s="3" t="s">
        <v>6681</v>
      </c>
      <c r="P1875"/>
    </row>
    <row r="1876" spans="1:16" ht="58" hidden="1" x14ac:dyDescent="0.35">
      <c r="A1876" s="7" t="s">
        <v>672</v>
      </c>
      <c r="B1876" s="3" t="s">
        <v>344</v>
      </c>
      <c r="C1876" s="3"/>
      <c r="D1876" s="3"/>
      <c r="E1876" s="3"/>
      <c r="F1876" s="3" t="s">
        <v>354</v>
      </c>
      <c r="G1876" s="3" t="s">
        <v>345</v>
      </c>
      <c r="H1876" s="3">
        <v>4</v>
      </c>
      <c r="I1876" s="3" t="s">
        <v>6644</v>
      </c>
      <c r="J1876" s="3" t="s">
        <v>6682</v>
      </c>
      <c r="K1876" s="3" t="s">
        <v>229</v>
      </c>
      <c r="L1876" s="3" t="s">
        <v>6683</v>
      </c>
      <c r="M1876" s="3" t="s">
        <v>6684</v>
      </c>
      <c r="N1876" s="3"/>
      <c r="O1876" s="3" t="s">
        <v>6685</v>
      </c>
      <c r="P1876"/>
    </row>
    <row r="1877" spans="1:16" ht="58" hidden="1" x14ac:dyDescent="0.35">
      <c r="A1877" s="7" t="s">
        <v>672</v>
      </c>
      <c r="B1877" s="3" t="s">
        <v>344</v>
      </c>
      <c r="C1877" s="3"/>
      <c r="D1877" s="3"/>
      <c r="E1877" s="3"/>
      <c r="F1877" s="3" t="s">
        <v>354</v>
      </c>
      <c r="G1877" s="3" t="s">
        <v>345</v>
      </c>
      <c r="H1877" s="3">
        <v>5</v>
      </c>
      <c r="I1877" s="3" t="s">
        <v>6644</v>
      </c>
      <c r="J1877" s="3" t="s">
        <v>6686</v>
      </c>
      <c r="K1877" s="3" t="s">
        <v>229</v>
      </c>
      <c r="L1877" s="3" t="s">
        <v>6687</v>
      </c>
      <c r="M1877" s="3" t="s">
        <v>6688</v>
      </c>
      <c r="N1877" s="3"/>
      <c r="O1877" s="3" t="s">
        <v>6689</v>
      </c>
      <c r="P1877"/>
    </row>
    <row r="1878" spans="1:16" ht="58" hidden="1" x14ac:dyDescent="0.35">
      <c r="A1878" s="7" t="s">
        <v>672</v>
      </c>
      <c r="B1878" s="3" t="s">
        <v>344</v>
      </c>
      <c r="C1878" s="3"/>
      <c r="D1878" s="3"/>
      <c r="E1878" s="3"/>
      <c r="F1878" s="3" t="s">
        <v>354</v>
      </c>
      <c r="G1878" s="3" t="s">
        <v>345</v>
      </c>
      <c r="H1878" s="3">
        <v>6</v>
      </c>
      <c r="I1878" s="3" t="s">
        <v>6644</v>
      </c>
      <c r="J1878" s="3" t="s">
        <v>6690</v>
      </c>
      <c r="K1878" s="3" t="s">
        <v>229</v>
      </c>
      <c r="L1878" s="3" t="s">
        <v>6691</v>
      </c>
      <c r="M1878" s="3" t="s">
        <v>6692</v>
      </c>
      <c r="N1878" s="3"/>
      <c r="O1878" s="3" t="s">
        <v>6693</v>
      </c>
      <c r="P1878"/>
    </row>
    <row r="1879" spans="1:16" ht="58" hidden="1" x14ac:dyDescent="0.35">
      <c r="A1879" s="7" t="s">
        <v>672</v>
      </c>
      <c r="B1879" s="3" t="s">
        <v>344</v>
      </c>
      <c r="C1879" s="3"/>
      <c r="D1879" s="3"/>
      <c r="E1879" s="3"/>
      <c r="F1879" s="3" t="s">
        <v>358</v>
      </c>
      <c r="G1879" s="3" t="s">
        <v>345</v>
      </c>
      <c r="H1879" s="3">
        <v>1</v>
      </c>
      <c r="I1879" s="3" t="s">
        <v>6644</v>
      </c>
      <c r="J1879" s="3" t="s">
        <v>6694</v>
      </c>
      <c r="K1879" s="3" t="s">
        <v>229</v>
      </c>
      <c r="L1879" s="3" t="s">
        <v>6695</v>
      </c>
      <c r="M1879" s="3" t="s">
        <v>6696</v>
      </c>
      <c r="N1879" s="3"/>
      <c r="O1879" s="3" t="s">
        <v>6697</v>
      </c>
      <c r="P1879"/>
    </row>
    <row r="1880" spans="1:16" ht="58" hidden="1" x14ac:dyDescent="0.35">
      <c r="A1880" s="3" t="s">
        <v>6698</v>
      </c>
      <c r="B1880" s="3" t="s">
        <v>344</v>
      </c>
      <c r="C1880" s="3"/>
      <c r="D1880" s="3"/>
      <c r="E1880" s="3"/>
      <c r="F1880" s="3" t="s">
        <v>358</v>
      </c>
      <c r="G1880" s="3" t="s">
        <v>345</v>
      </c>
      <c r="H1880" s="3">
        <v>2</v>
      </c>
      <c r="I1880" s="3" t="s">
        <v>6644</v>
      </c>
      <c r="J1880" s="3" t="s">
        <v>6699</v>
      </c>
      <c r="K1880" s="3" t="s">
        <v>229</v>
      </c>
      <c r="L1880" s="3" t="s">
        <v>6700</v>
      </c>
      <c r="M1880" s="3" t="s">
        <v>6701</v>
      </c>
      <c r="N1880" s="3"/>
      <c r="O1880" s="3" t="s">
        <v>6702</v>
      </c>
      <c r="P1880"/>
    </row>
    <row r="1881" spans="1:16" ht="58" hidden="1" x14ac:dyDescent="0.35">
      <c r="A1881" s="3" t="s">
        <v>6698</v>
      </c>
      <c r="B1881" s="3" t="s">
        <v>344</v>
      </c>
      <c r="C1881" s="3"/>
      <c r="D1881" s="3"/>
      <c r="E1881" s="3"/>
      <c r="F1881" s="3" t="s">
        <v>362</v>
      </c>
      <c r="G1881" s="3" t="s">
        <v>345</v>
      </c>
      <c r="H1881" s="3"/>
      <c r="I1881" s="3" t="s">
        <v>6644</v>
      </c>
      <c r="J1881" s="3" t="s">
        <v>6703</v>
      </c>
      <c r="K1881" s="3" t="s">
        <v>229</v>
      </c>
      <c r="L1881" s="3" t="s">
        <v>6438</v>
      </c>
      <c r="M1881" s="3" t="s">
        <v>6704</v>
      </c>
      <c r="N1881" s="3"/>
      <c r="O1881" s="3" t="s">
        <v>6705</v>
      </c>
      <c r="P1881"/>
    </row>
    <row r="1882" spans="1:16" ht="58" hidden="1" x14ac:dyDescent="0.35">
      <c r="A1882" s="3" t="s">
        <v>6698</v>
      </c>
      <c r="B1882" s="3" t="s">
        <v>344</v>
      </c>
      <c r="C1882" s="3"/>
      <c r="D1882" s="3"/>
      <c r="E1882" s="3"/>
      <c r="F1882" s="3" t="s">
        <v>366</v>
      </c>
      <c r="G1882" s="3" t="s">
        <v>345</v>
      </c>
      <c r="H1882" s="3">
        <v>1</v>
      </c>
      <c r="I1882" s="3" t="s">
        <v>6644</v>
      </c>
      <c r="J1882" s="3" t="s">
        <v>6706</v>
      </c>
      <c r="K1882" s="3" t="s">
        <v>229</v>
      </c>
      <c r="L1882" s="3" t="s">
        <v>6707</v>
      </c>
      <c r="M1882" s="3" t="s">
        <v>6708</v>
      </c>
      <c r="N1882" s="3"/>
      <c r="O1882" s="3" t="s">
        <v>6709</v>
      </c>
      <c r="P1882"/>
    </row>
    <row r="1883" spans="1:16" ht="58" hidden="1" x14ac:dyDescent="0.35">
      <c r="A1883" s="3" t="s">
        <v>6698</v>
      </c>
      <c r="B1883" s="3" t="s">
        <v>344</v>
      </c>
      <c r="C1883" s="3"/>
      <c r="D1883" s="3"/>
      <c r="E1883" s="3"/>
      <c r="F1883" s="3" t="s">
        <v>366</v>
      </c>
      <c r="G1883" s="3" t="s">
        <v>345</v>
      </c>
      <c r="H1883" s="3">
        <v>2</v>
      </c>
      <c r="I1883" s="3" t="s">
        <v>6644</v>
      </c>
      <c r="J1883" s="3" t="s">
        <v>6710</v>
      </c>
      <c r="K1883" s="3" t="s">
        <v>229</v>
      </c>
      <c r="L1883" s="3" t="s">
        <v>6711</v>
      </c>
      <c r="M1883" s="3" t="s">
        <v>6712</v>
      </c>
      <c r="N1883" s="3"/>
      <c r="O1883" s="3" t="s">
        <v>6713</v>
      </c>
      <c r="P1883"/>
    </row>
    <row r="1884" spans="1:16" ht="58" hidden="1" x14ac:dyDescent="0.35">
      <c r="A1884" s="3" t="s">
        <v>6698</v>
      </c>
      <c r="B1884" s="3" t="s">
        <v>344</v>
      </c>
      <c r="C1884" s="3"/>
      <c r="D1884" s="3"/>
      <c r="E1884" s="3"/>
      <c r="F1884" s="3" t="s">
        <v>346</v>
      </c>
      <c r="G1884" s="3" t="s">
        <v>6714</v>
      </c>
      <c r="H1884" s="3">
        <v>1</v>
      </c>
      <c r="I1884" s="3" t="s">
        <v>6644</v>
      </c>
      <c r="J1884" s="3" t="s">
        <v>6715</v>
      </c>
      <c r="K1884" s="3" t="s">
        <v>229</v>
      </c>
      <c r="L1884" s="3" t="s">
        <v>6716</v>
      </c>
      <c r="M1884" s="3" t="s">
        <v>6717</v>
      </c>
      <c r="N1884" s="3"/>
      <c r="O1884" s="3" t="s">
        <v>6718</v>
      </c>
      <c r="P1884"/>
    </row>
    <row r="1885" spans="1:16" ht="58" hidden="1" x14ac:dyDescent="0.35">
      <c r="A1885" s="3" t="s">
        <v>6698</v>
      </c>
      <c r="B1885" s="3" t="s">
        <v>344</v>
      </c>
      <c r="C1885" s="3"/>
      <c r="D1885" s="3"/>
      <c r="E1885" s="3"/>
      <c r="F1885" s="3" t="s">
        <v>346</v>
      </c>
      <c r="G1885" s="3" t="s">
        <v>6714</v>
      </c>
      <c r="H1885" s="3">
        <v>2</v>
      </c>
      <c r="I1885" s="3" t="s">
        <v>6644</v>
      </c>
      <c r="J1885" s="3" t="s">
        <v>6719</v>
      </c>
      <c r="K1885" s="3" t="s">
        <v>229</v>
      </c>
      <c r="L1885" s="3" t="s">
        <v>6720</v>
      </c>
      <c r="M1885" s="3" t="s">
        <v>6721</v>
      </c>
      <c r="N1885" s="3"/>
      <c r="O1885" s="3" t="s">
        <v>6722</v>
      </c>
      <c r="P1885"/>
    </row>
    <row r="1886" spans="1:16" ht="58" hidden="1" x14ac:dyDescent="0.35">
      <c r="A1886" s="3" t="s">
        <v>6698</v>
      </c>
      <c r="B1886" s="3" t="s">
        <v>344</v>
      </c>
      <c r="C1886" s="3"/>
      <c r="D1886" s="3"/>
      <c r="E1886" s="3"/>
      <c r="F1886" s="3" t="s">
        <v>350</v>
      </c>
      <c r="G1886" s="3" t="s">
        <v>6714</v>
      </c>
      <c r="H1886" s="3">
        <v>1</v>
      </c>
      <c r="I1886" s="3" t="s">
        <v>6644</v>
      </c>
      <c r="J1886" s="3" t="s">
        <v>6723</v>
      </c>
      <c r="K1886" s="3" t="s">
        <v>229</v>
      </c>
      <c r="L1886" s="3" t="s">
        <v>6724</v>
      </c>
      <c r="M1886" s="3" t="s">
        <v>6725</v>
      </c>
      <c r="N1886" s="3"/>
      <c r="O1886" s="3" t="s">
        <v>6726</v>
      </c>
      <c r="P1886"/>
    </row>
    <row r="1887" spans="1:16" ht="58" hidden="1" x14ac:dyDescent="0.35">
      <c r="A1887" s="3" t="s">
        <v>6698</v>
      </c>
      <c r="B1887" s="3" t="s">
        <v>344</v>
      </c>
      <c r="C1887" s="3"/>
      <c r="D1887" s="3"/>
      <c r="E1887" s="3"/>
      <c r="F1887" s="3" t="s">
        <v>350</v>
      </c>
      <c r="G1887" s="3" t="s">
        <v>6714</v>
      </c>
      <c r="H1887" s="3">
        <v>2</v>
      </c>
      <c r="I1887" s="3" t="s">
        <v>6727</v>
      </c>
      <c r="J1887" s="3" t="s">
        <v>6728</v>
      </c>
      <c r="K1887" s="3" t="s">
        <v>229</v>
      </c>
      <c r="L1887" s="3" t="s">
        <v>6729</v>
      </c>
      <c r="M1887" s="3" t="s">
        <v>6730</v>
      </c>
      <c r="N1887" s="3"/>
      <c r="O1887" s="3" t="s">
        <v>6731</v>
      </c>
      <c r="P1887"/>
    </row>
    <row r="1888" spans="1:16" ht="58" hidden="1" x14ac:dyDescent="0.35">
      <c r="A1888" s="3" t="s">
        <v>6698</v>
      </c>
      <c r="B1888" s="3" t="s">
        <v>344</v>
      </c>
      <c r="C1888" s="3"/>
      <c r="D1888" s="3"/>
      <c r="E1888" s="3"/>
      <c r="F1888" s="3" t="s">
        <v>350</v>
      </c>
      <c r="G1888" s="3" t="s">
        <v>6714</v>
      </c>
      <c r="H1888" s="3">
        <v>3</v>
      </c>
      <c r="I1888" s="3" t="s">
        <v>6727</v>
      </c>
      <c r="J1888" s="3" t="s">
        <v>6732</v>
      </c>
      <c r="K1888" s="3" t="s">
        <v>229</v>
      </c>
      <c r="L1888" s="3" t="s">
        <v>6733</v>
      </c>
      <c r="M1888" s="3" t="s">
        <v>6734</v>
      </c>
      <c r="N1888" s="3"/>
      <c r="O1888" s="3" t="s">
        <v>6735</v>
      </c>
      <c r="P1888"/>
    </row>
    <row r="1889" spans="1:16" ht="58" hidden="1" x14ac:dyDescent="0.35">
      <c r="A1889" s="3" t="s">
        <v>6698</v>
      </c>
      <c r="B1889" s="3" t="s">
        <v>344</v>
      </c>
      <c r="C1889" s="3"/>
      <c r="D1889" s="3"/>
      <c r="E1889" s="3"/>
      <c r="F1889" s="3" t="s">
        <v>354</v>
      </c>
      <c r="G1889" s="3" t="s">
        <v>6714</v>
      </c>
      <c r="H1889" s="3">
        <v>1</v>
      </c>
      <c r="I1889" s="3" t="s">
        <v>6727</v>
      </c>
      <c r="J1889" s="3" t="s">
        <v>6736</v>
      </c>
      <c r="K1889" s="3" t="s">
        <v>229</v>
      </c>
      <c r="L1889" s="3" t="s">
        <v>6737</v>
      </c>
      <c r="M1889" s="3" t="s">
        <v>6738</v>
      </c>
      <c r="N1889" s="3"/>
      <c r="O1889" s="3" t="s">
        <v>6739</v>
      </c>
      <c r="P1889"/>
    </row>
    <row r="1890" spans="1:16" ht="58" hidden="1" x14ac:dyDescent="0.35">
      <c r="A1890" s="3" t="s">
        <v>6698</v>
      </c>
      <c r="B1890" s="3" t="s">
        <v>344</v>
      </c>
      <c r="C1890" s="3"/>
      <c r="D1890" s="3"/>
      <c r="E1890" s="3"/>
      <c r="F1890" s="3" t="s">
        <v>354</v>
      </c>
      <c r="G1890" s="3" t="s">
        <v>6714</v>
      </c>
      <c r="H1890" s="3">
        <v>2</v>
      </c>
      <c r="I1890" s="3" t="s">
        <v>6727</v>
      </c>
      <c r="J1890" s="3" t="s">
        <v>6740</v>
      </c>
      <c r="K1890" s="3" t="s">
        <v>229</v>
      </c>
      <c r="L1890" s="3" t="s">
        <v>6741</v>
      </c>
      <c r="M1890" s="3" t="s">
        <v>6742</v>
      </c>
      <c r="N1890" s="3"/>
      <c r="O1890" s="3" t="s">
        <v>6743</v>
      </c>
      <c r="P1890"/>
    </row>
    <row r="1891" spans="1:16" ht="58" hidden="1" x14ac:dyDescent="0.35">
      <c r="A1891" s="3" t="s">
        <v>6698</v>
      </c>
      <c r="B1891" s="3" t="s">
        <v>344</v>
      </c>
      <c r="C1891" s="3"/>
      <c r="D1891" s="3"/>
      <c r="E1891" s="3"/>
      <c r="F1891" s="3" t="s">
        <v>354</v>
      </c>
      <c r="G1891" s="3" t="s">
        <v>6714</v>
      </c>
      <c r="H1891" s="3">
        <v>3</v>
      </c>
      <c r="I1891" s="3" t="s">
        <v>6727</v>
      </c>
      <c r="J1891" s="3" t="s">
        <v>6744</v>
      </c>
      <c r="K1891" s="3" t="s">
        <v>229</v>
      </c>
      <c r="L1891" s="3" t="s">
        <v>6745</v>
      </c>
      <c r="M1891" s="3" t="s">
        <v>6746</v>
      </c>
      <c r="N1891" s="3"/>
      <c r="O1891" s="3" t="s">
        <v>6747</v>
      </c>
      <c r="P1891"/>
    </row>
    <row r="1892" spans="1:16" ht="58" hidden="1" x14ac:dyDescent="0.35">
      <c r="A1892" s="3" t="s">
        <v>6698</v>
      </c>
      <c r="B1892" s="3" t="s">
        <v>344</v>
      </c>
      <c r="C1892" s="3"/>
      <c r="D1892" s="3"/>
      <c r="E1892" s="3"/>
      <c r="F1892" s="3" t="s">
        <v>358</v>
      </c>
      <c r="G1892" s="3" t="s">
        <v>6714</v>
      </c>
      <c r="H1892" s="3">
        <v>1</v>
      </c>
      <c r="I1892" s="3" t="s">
        <v>6727</v>
      </c>
      <c r="J1892" s="3" t="s">
        <v>6748</v>
      </c>
      <c r="K1892" s="3" t="s">
        <v>229</v>
      </c>
      <c r="L1892" s="3" t="s">
        <v>6364</v>
      </c>
      <c r="M1892" s="3" t="s">
        <v>6749</v>
      </c>
      <c r="N1892" s="3"/>
      <c r="O1892" s="3" t="s">
        <v>6750</v>
      </c>
      <c r="P1892"/>
    </row>
    <row r="1893" spans="1:16" ht="58" hidden="1" x14ac:dyDescent="0.35">
      <c r="A1893" s="3" t="s">
        <v>6698</v>
      </c>
      <c r="B1893" s="3" t="s">
        <v>344</v>
      </c>
      <c r="C1893" s="3"/>
      <c r="D1893" s="3"/>
      <c r="E1893" s="3"/>
      <c r="F1893" s="3" t="s">
        <v>358</v>
      </c>
      <c r="G1893" s="3" t="s">
        <v>6714</v>
      </c>
      <c r="H1893" s="3">
        <v>2</v>
      </c>
      <c r="I1893" s="3" t="s">
        <v>6727</v>
      </c>
      <c r="J1893" s="3" t="s">
        <v>6751</v>
      </c>
      <c r="K1893" s="3" t="s">
        <v>229</v>
      </c>
      <c r="L1893" s="3" t="s">
        <v>6752</v>
      </c>
      <c r="M1893" s="3" t="s">
        <v>6753</v>
      </c>
      <c r="N1893" s="3"/>
      <c r="O1893" s="3" t="s">
        <v>6754</v>
      </c>
      <c r="P1893"/>
    </row>
    <row r="1894" spans="1:16" ht="58" hidden="1" x14ac:dyDescent="0.35">
      <c r="A1894" s="3" t="s">
        <v>6698</v>
      </c>
      <c r="B1894" s="3" t="s">
        <v>344</v>
      </c>
      <c r="C1894" s="3"/>
      <c r="D1894" s="3"/>
      <c r="E1894" s="3"/>
      <c r="F1894" s="3" t="s">
        <v>358</v>
      </c>
      <c r="G1894" s="3" t="s">
        <v>6714</v>
      </c>
      <c r="H1894" s="3">
        <v>3</v>
      </c>
      <c r="I1894" s="3" t="s">
        <v>6755</v>
      </c>
      <c r="J1894" s="3" t="s">
        <v>6756</v>
      </c>
      <c r="K1894" s="3" t="s">
        <v>229</v>
      </c>
      <c r="L1894" s="3" t="s">
        <v>6757</v>
      </c>
      <c r="M1894" s="3" t="s">
        <v>6758</v>
      </c>
      <c r="N1894" s="3"/>
      <c r="O1894" s="3" t="s">
        <v>6759</v>
      </c>
      <c r="P1894"/>
    </row>
    <row r="1895" spans="1:16" ht="58" hidden="1" x14ac:dyDescent="0.35">
      <c r="A1895" s="3" t="s">
        <v>6698</v>
      </c>
      <c r="B1895" s="3" t="s">
        <v>344</v>
      </c>
      <c r="C1895" s="3"/>
      <c r="D1895" s="3"/>
      <c r="E1895" s="3"/>
      <c r="F1895" s="3" t="s">
        <v>358</v>
      </c>
      <c r="G1895" s="3" t="s">
        <v>6714</v>
      </c>
      <c r="H1895" s="3">
        <v>4</v>
      </c>
      <c r="I1895" s="3" t="s">
        <v>6755</v>
      </c>
      <c r="J1895" s="3" t="s">
        <v>6760</v>
      </c>
      <c r="K1895" s="3" t="s">
        <v>229</v>
      </c>
      <c r="L1895" s="3" t="s">
        <v>6761</v>
      </c>
      <c r="M1895" s="3" t="s">
        <v>6762</v>
      </c>
      <c r="N1895" s="3"/>
      <c r="O1895" s="3" t="s">
        <v>6763</v>
      </c>
      <c r="P1895"/>
    </row>
    <row r="1896" spans="1:16" ht="58" hidden="1" x14ac:dyDescent="0.35">
      <c r="A1896" s="3" t="s">
        <v>6698</v>
      </c>
      <c r="B1896" s="3" t="s">
        <v>344</v>
      </c>
      <c r="C1896" s="3"/>
      <c r="D1896" s="3"/>
      <c r="E1896" s="3"/>
      <c r="F1896" s="3" t="s">
        <v>358</v>
      </c>
      <c r="G1896" s="3" t="s">
        <v>6714</v>
      </c>
      <c r="H1896" s="3">
        <v>5</v>
      </c>
      <c r="I1896" s="3" t="s">
        <v>6755</v>
      </c>
      <c r="J1896" s="3" t="s">
        <v>6764</v>
      </c>
      <c r="K1896" s="3" t="s">
        <v>229</v>
      </c>
      <c r="L1896" s="3" t="s">
        <v>6765</v>
      </c>
      <c r="M1896" s="3" t="s">
        <v>6766</v>
      </c>
      <c r="N1896" s="3"/>
      <c r="O1896" s="3" t="s">
        <v>6767</v>
      </c>
      <c r="P1896"/>
    </row>
    <row r="1897" spans="1:16" ht="58" hidden="1" x14ac:dyDescent="0.35">
      <c r="A1897" s="3" t="s">
        <v>6698</v>
      </c>
      <c r="B1897" s="3" t="s">
        <v>344</v>
      </c>
      <c r="C1897" s="3"/>
      <c r="D1897" s="3"/>
      <c r="E1897" s="3"/>
      <c r="F1897" s="3" t="s">
        <v>358</v>
      </c>
      <c r="G1897" s="3" t="s">
        <v>6714</v>
      </c>
      <c r="H1897" s="3">
        <v>6</v>
      </c>
      <c r="I1897" s="3" t="s">
        <v>6755</v>
      </c>
      <c r="J1897" s="3" t="s">
        <v>6768</v>
      </c>
      <c r="K1897" s="3" t="s">
        <v>229</v>
      </c>
      <c r="L1897" s="3" t="s">
        <v>6769</v>
      </c>
      <c r="M1897" s="3" t="s">
        <v>6770</v>
      </c>
      <c r="N1897" s="3"/>
      <c r="O1897" s="3" t="s">
        <v>6771</v>
      </c>
      <c r="P1897"/>
    </row>
    <row r="1898" spans="1:16" ht="58" hidden="1" x14ac:dyDescent="0.35">
      <c r="A1898" s="3" t="s">
        <v>6698</v>
      </c>
      <c r="B1898" s="3" t="s">
        <v>344</v>
      </c>
      <c r="C1898" s="3"/>
      <c r="D1898" s="3"/>
      <c r="E1898" s="3"/>
      <c r="F1898" s="3" t="s">
        <v>358</v>
      </c>
      <c r="G1898" s="3" t="s">
        <v>6714</v>
      </c>
      <c r="H1898" s="3">
        <v>7</v>
      </c>
      <c r="I1898" s="3" t="s">
        <v>6755</v>
      </c>
      <c r="J1898" s="3" t="s">
        <v>6772</v>
      </c>
      <c r="K1898" s="3" t="s">
        <v>229</v>
      </c>
      <c r="L1898" s="3" t="s">
        <v>6773</v>
      </c>
      <c r="M1898" s="3" t="s">
        <v>6774</v>
      </c>
      <c r="N1898" s="3"/>
      <c r="O1898" s="3" t="s">
        <v>6775</v>
      </c>
      <c r="P1898"/>
    </row>
    <row r="1899" spans="1:16" ht="58" hidden="1" x14ac:dyDescent="0.35">
      <c r="A1899" s="3" t="s">
        <v>6698</v>
      </c>
      <c r="B1899" s="3" t="s">
        <v>344</v>
      </c>
      <c r="C1899" s="3"/>
      <c r="D1899" s="3"/>
      <c r="E1899" s="3"/>
      <c r="F1899" s="3" t="s">
        <v>358</v>
      </c>
      <c r="G1899" s="3" t="s">
        <v>6714</v>
      </c>
      <c r="H1899" s="3">
        <v>8</v>
      </c>
      <c r="I1899" s="3" t="s">
        <v>6755</v>
      </c>
      <c r="J1899" s="3" t="s">
        <v>6776</v>
      </c>
      <c r="K1899" s="3" t="s">
        <v>229</v>
      </c>
      <c r="L1899" s="3" t="s">
        <v>6777</v>
      </c>
      <c r="M1899" s="3" t="s">
        <v>6778</v>
      </c>
      <c r="N1899" s="3"/>
      <c r="O1899" s="3" t="s">
        <v>6779</v>
      </c>
      <c r="P1899"/>
    </row>
    <row r="1900" spans="1:16" ht="58" hidden="1" x14ac:dyDescent="0.35">
      <c r="A1900" s="3" t="s">
        <v>6698</v>
      </c>
      <c r="B1900" s="3" t="s">
        <v>344</v>
      </c>
      <c r="C1900" s="3"/>
      <c r="D1900" s="3"/>
      <c r="E1900" s="3"/>
      <c r="F1900" s="3" t="s">
        <v>358</v>
      </c>
      <c r="G1900" s="3" t="s">
        <v>6714</v>
      </c>
      <c r="H1900" s="3">
        <v>9</v>
      </c>
      <c r="I1900" s="3" t="s">
        <v>6755</v>
      </c>
      <c r="J1900" s="3" t="s">
        <v>6780</v>
      </c>
      <c r="K1900" s="3" t="s">
        <v>229</v>
      </c>
      <c r="L1900" s="3" t="s">
        <v>6781</v>
      </c>
      <c r="M1900" s="3" t="s">
        <v>6782</v>
      </c>
      <c r="N1900" s="3"/>
      <c r="O1900" s="3" t="s">
        <v>6783</v>
      </c>
      <c r="P1900"/>
    </row>
    <row r="1901" spans="1:16" ht="58" hidden="1" x14ac:dyDescent="0.35">
      <c r="A1901" s="3" t="s">
        <v>6698</v>
      </c>
      <c r="B1901" s="3" t="s">
        <v>344</v>
      </c>
      <c r="C1901" s="3"/>
      <c r="D1901" s="3"/>
      <c r="E1901" s="3"/>
      <c r="F1901" s="3" t="s">
        <v>358</v>
      </c>
      <c r="G1901" s="3" t="s">
        <v>6714</v>
      </c>
      <c r="H1901" s="3">
        <v>10</v>
      </c>
      <c r="I1901" s="3" t="s">
        <v>6755</v>
      </c>
      <c r="J1901" s="3" t="s">
        <v>6784</v>
      </c>
      <c r="K1901" s="3" t="s">
        <v>229</v>
      </c>
      <c r="L1901" s="3" t="s">
        <v>6785</v>
      </c>
      <c r="M1901" s="3" t="s">
        <v>6786</v>
      </c>
      <c r="N1901" s="3"/>
      <c r="O1901" s="3" t="s">
        <v>6787</v>
      </c>
      <c r="P1901"/>
    </row>
    <row r="1902" spans="1:16" ht="58" hidden="1" x14ac:dyDescent="0.35">
      <c r="A1902" s="3" t="s">
        <v>6698</v>
      </c>
      <c r="B1902" s="3" t="s">
        <v>344</v>
      </c>
      <c r="C1902" s="3"/>
      <c r="D1902" s="3"/>
      <c r="E1902" s="3"/>
      <c r="F1902" s="3"/>
      <c r="G1902" s="3" t="s">
        <v>6788</v>
      </c>
      <c r="I1902" s="3" t="s">
        <v>6755</v>
      </c>
      <c r="J1902" s="3" t="s">
        <v>6789</v>
      </c>
      <c r="K1902" s="3" t="s">
        <v>229</v>
      </c>
      <c r="L1902" s="3" t="s">
        <v>6790</v>
      </c>
      <c r="M1902" s="3" t="s">
        <v>6791</v>
      </c>
      <c r="N1902" s="3"/>
      <c r="O1902" s="3" t="s">
        <v>6792</v>
      </c>
      <c r="P1902"/>
    </row>
    <row r="1903" spans="1:16" ht="58" hidden="1" x14ac:dyDescent="0.35">
      <c r="A1903" s="3" t="s">
        <v>6698</v>
      </c>
      <c r="B1903" s="3" t="s">
        <v>344</v>
      </c>
      <c r="C1903" s="3"/>
      <c r="D1903" s="3"/>
      <c r="E1903" s="3"/>
      <c r="F1903" s="3"/>
      <c r="G1903" s="3" t="s">
        <v>6793</v>
      </c>
      <c r="I1903" s="3" t="s">
        <v>6755</v>
      </c>
      <c r="J1903" s="3" t="s">
        <v>6794</v>
      </c>
      <c r="K1903" s="3" t="s">
        <v>229</v>
      </c>
      <c r="L1903" s="3" t="s">
        <v>6795</v>
      </c>
      <c r="M1903" s="3" t="s">
        <v>6796</v>
      </c>
      <c r="N1903" s="3"/>
      <c r="O1903" s="3" t="s">
        <v>6797</v>
      </c>
      <c r="P1903"/>
    </row>
    <row r="1904" spans="1:16" ht="58" hidden="1" x14ac:dyDescent="0.35">
      <c r="A1904" s="3" t="s">
        <v>6698</v>
      </c>
      <c r="B1904" s="3" t="s">
        <v>344</v>
      </c>
      <c r="C1904" s="3"/>
      <c r="D1904" s="3"/>
      <c r="E1904" s="3"/>
      <c r="G1904" s="3" t="s">
        <v>6798</v>
      </c>
      <c r="I1904" s="3" t="s">
        <v>6755</v>
      </c>
      <c r="J1904" s="3" t="s">
        <v>6799</v>
      </c>
      <c r="K1904" s="3" t="s">
        <v>229</v>
      </c>
      <c r="L1904" s="3" t="s">
        <v>6800</v>
      </c>
      <c r="M1904" s="3" t="s">
        <v>6801</v>
      </c>
      <c r="N1904" s="3"/>
      <c r="O1904" s="3" t="s">
        <v>6802</v>
      </c>
      <c r="P1904"/>
    </row>
    <row r="1905" spans="1:16" ht="58" hidden="1" x14ac:dyDescent="0.35">
      <c r="A1905" s="3" t="s">
        <v>6698</v>
      </c>
      <c r="B1905" s="3" t="s">
        <v>344</v>
      </c>
      <c r="C1905" s="3"/>
      <c r="D1905" s="3"/>
      <c r="E1905" s="3"/>
      <c r="G1905" s="3" t="s">
        <v>6803</v>
      </c>
      <c r="I1905" s="3" t="s">
        <v>6755</v>
      </c>
      <c r="J1905" s="3" t="s">
        <v>6804</v>
      </c>
      <c r="K1905" s="3" t="s">
        <v>229</v>
      </c>
      <c r="L1905" s="3" t="s">
        <v>6805</v>
      </c>
      <c r="M1905" s="3" t="s">
        <v>6806</v>
      </c>
      <c r="N1905" s="3"/>
      <c r="O1905" s="3" t="s">
        <v>6807</v>
      </c>
      <c r="P1905"/>
    </row>
    <row r="1906" spans="1:16" ht="58" hidden="1" x14ac:dyDescent="0.35">
      <c r="A1906" s="3" t="s">
        <v>6698</v>
      </c>
      <c r="B1906" s="3" t="s">
        <v>344</v>
      </c>
      <c r="C1906" s="3"/>
      <c r="D1906" s="3"/>
      <c r="E1906" s="3"/>
      <c r="F1906" s="3" t="s">
        <v>346</v>
      </c>
      <c r="G1906" s="3" t="s">
        <v>345</v>
      </c>
      <c r="H1906" s="3">
        <v>1</v>
      </c>
      <c r="I1906" s="3" t="s">
        <v>6755</v>
      </c>
      <c r="J1906" s="3" t="s">
        <v>6808</v>
      </c>
      <c r="K1906" s="3" t="s">
        <v>229</v>
      </c>
      <c r="L1906" s="3" t="s">
        <v>6809</v>
      </c>
      <c r="M1906" s="3" t="s">
        <v>6810</v>
      </c>
      <c r="N1906" s="3"/>
      <c r="O1906" s="3" t="s">
        <v>6811</v>
      </c>
      <c r="P1906"/>
    </row>
    <row r="1907" spans="1:16" ht="58" hidden="1" x14ac:dyDescent="0.35">
      <c r="A1907" s="3" t="s">
        <v>6698</v>
      </c>
      <c r="B1907" s="3" t="s">
        <v>344</v>
      </c>
      <c r="C1907" s="3"/>
      <c r="D1907" s="3"/>
      <c r="E1907" s="3"/>
      <c r="F1907" s="3" t="s">
        <v>346</v>
      </c>
      <c r="G1907" s="3" t="s">
        <v>345</v>
      </c>
      <c r="H1907" s="3">
        <v>2</v>
      </c>
      <c r="I1907" s="3" t="s">
        <v>6755</v>
      </c>
      <c r="J1907" s="3" t="s">
        <v>6812</v>
      </c>
      <c r="K1907" s="3" t="s">
        <v>229</v>
      </c>
      <c r="L1907" s="3" t="s">
        <v>6813</v>
      </c>
      <c r="M1907" s="3" t="s">
        <v>6814</v>
      </c>
      <c r="N1907" s="3"/>
      <c r="O1907" s="3" t="s">
        <v>6815</v>
      </c>
      <c r="P1907"/>
    </row>
    <row r="1908" spans="1:16" ht="58" hidden="1" x14ac:dyDescent="0.35">
      <c r="A1908" s="3" t="s">
        <v>6698</v>
      </c>
      <c r="B1908" s="3" t="s">
        <v>344</v>
      </c>
      <c r="C1908" s="3"/>
      <c r="D1908" s="3"/>
      <c r="E1908" s="3"/>
      <c r="F1908" s="3" t="s">
        <v>346</v>
      </c>
      <c r="G1908" s="3" t="s">
        <v>345</v>
      </c>
      <c r="H1908" s="3">
        <v>3</v>
      </c>
      <c r="I1908" s="3" t="s">
        <v>6755</v>
      </c>
      <c r="J1908" s="3" t="s">
        <v>6816</v>
      </c>
      <c r="K1908" s="3" t="s">
        <v>229</v>
      </c>
      <c r="L1908" s="3" t="s">
        <v>6817</v>
      </c>
      <c r="M1908" s="3" t="s">
        <v>6818</v>
      </c>
      <c r="N1908" s="3"/>
      <c r="O1908" s="3" t="s">
        <v>6819</v>
      </c>
      <c r="P1908"/>
    </row>
    <row r="1909" spans="1:16" ht="58" hidden="1" x14ac:dyDescent="0.35">
      <c r="A1909" s="3" t="s">
        <v>6698</v>
      </c>
      <c r="B1909" s="3" t="s">
        <v>344</v>
      </c>
      <c r="C1909" s="3"/>
      <c r="D1909" s="3"/>
      <c r="E1909" s="3"/>
      <c r="F1909" s="3" t="s">
        <v>350</v>
      </c>
      <c r="G1909" s="3" t="s">
        <v>345</v>
      </c>
      <c r="H1909" s="3"/>
      <c r="I1909" s="3" t="s">
        <v>6755</v>
      </c>
      <c r="J1909" s="3" t="s">
        <v>6820</v>
      </c>
      <c r="K1909" s="3" t="s">
        <v>229</v>
      </c>
      <c r="L1909" s="3" t="s">
        <v>654</v>
      </c>
      <c r="M1909" s="3" t="s">
        <v>6821</v>
      </c>
      <c r="N1909" s="3"/>
      <c r="O1909" s="3" t="s">
        <v>6669</v>
      </c>
      <c r="P1909"/>
    </row>
    <row r="1910" spans="1:16" ht="58" hidden="1" x14ac:dyDescent="0.35">
      <c r="A1910" s="3" t="s">
        <v>6698</v>
      </c>
      <c r="B1910" s="3" t="s">
        <v>344</v>
      </c>
      <c r="C1910" s="3"/>
      <c r="D1910" s="3"/>
      <c r="E1910" s="3"/>
      <c r="F1910" s="3" t="s">
        <v>354</v>
      </c>
      <c r="G1910" s="3" t="s">
        <v>345</v>
      </c>
      <c r="H1910" s="3"/>
      <c r="I1910" s="3" t="s">
        <v>6755</v>
      </c>
      <c r="J1910" s="3" t="s">
        <v>6822</v>
      </c>
      <c r="K1910" s="3" t="s">
        <v>229</v>
      </c>
      <c r="L1910" s="3" t="s">
        <v>6823</v>
      </c>
      <c r="M1910" s="3" t="s">
        <v>6824</v>
      </c>
      <c r="N1910" s="3"/>
      <c r="O1910" s="3" t="s">
        <v>6825</v>
      </c>
      <c r="P1910"/>
    </row>
    <row r="1911" spans="1:16" ht="58" hidden="1" x14ac:dyDescent="0.35">
      <c r="A1911" s="3" t="s">
        <v>6698</v>
      </c>
      <c r="B1911" s="3" t="s">
        <v>344</v>
      </c>
      <c r="C1911" s="3"/>
      <c r="D1911" s="3"/>
      <c r="E1911" s="3"/>
      <c r="F1911" s="3" t="s">
        <v>358</v>
      </c>
      <c r="G1911" s="3" t="s">
        <v>345</v>
      </c>
      <c r="H1911" s="3"/>
      <c r="I1911" s="3" t="s">
        <v>6755</v>
      </c>
      <c r="J1911" s="3" t="s">
        <v>6826</v>
      </c>
      <c r="K1911" s="3" t="s">
        <v>229</v>
      </c>
      <c r="L1911" s="3" t="s">
        <v>6827</v>
      </c>
      <c r="M1911" s="3" t="s">
        <v>6828</v>
      </c>
      <c r="N1911" s="3"/>
      <c r="O1911" s="3" t="s">
        <v>6829</v>
      </c>
      <c r="P1911"/>
    </row>
    <row r="1912" spans="1:16" ht="58" hidden="1" x14ac:dyDescent="0.35">
      <c r="A1912" s="3" t="s">
        <v>6698</v>
      </c>
      <c r="B1912" s="3" t="s">
        <v>344</v>
      </c>
      <c r="C1912" s="3"/>
      <c r="D1912" s="3"/>
      <c r="E1912" s="3"/>
      <c r="F1912" s="3" t="s">
        <v>362</v>
      </c>
      <c r="G1912" s="3" t="s">
        <v>345</v>
      </c>
      <c r="H1912" s="3"/>
      <c r="I1912" s="3" t="s">
        <v>6755</v>
      </c>
      <c r="J1912" s="3" t="s">
        <v>6830</v>
      </c>
      <c r="K1912" s="3" t="s">
        <v>229</v>
      </c>
      <c r="L1912" s="3" t="s">
        <v>6831</v>
      </c>
      <c r="M1912" s="3" t="s">
        <v>6832</v>
      </c>
      <c r="N1912" s="3"/>
      <c r="O1912" s="3" t="s">
        <v>6833</v>
      </c>
      <c r="P1912"/>
    </row>
    <row r="1913" spans="1:16" ht="58" hidden="1" x14ac:dyDescent="0.35">
      <c r="A1913" s="3" t="s">
        <v>6698</v>
      </c>
      <c r="B1913" s="3" t="s">
        <v>344</v>
      </c>
      <c r="C1913" s="3"/>
      <c r="D1913" s="3"/>
      <c r="E1913" s="3"/>
      <c r="F1913" s="3" t="s">
        <v>366</v>
      </c>
      <c r="G1913" s="3" t="s">
        <v>345</v>
      </c>
      <c r="H1913" s="3"/>
      <c r="I1913" s="3" t="s">
        <v>6755</v>
      </c>
      <c r="J1913" s="3" t="s">
        <v>6834</v>
      </c>
      <c r="K1913" s="3" t="s">
        <v>229</v>
      </c>
      <c r="L1913" s="3" t="s">
        <v>6438</v>
      </c>
      <c r="M1913" s="3" t="s">
        <v>6835</v>
      </c>
      <c r="N1913" s="3"/>
      <c r="O1913" s="3" t="s">
        <v>6836</v>
      </c>
      <c r="P1913"/>
    </row>
    <row r="1914" spans="1:16" ht="58" hidden="1" x14ac:dyDescent="0.35">
      <c r="A1914" s="3" t="s">
        <v>6698</v>
      </c>
      <c r="B1914" s="3" t="s">
        <v>344</v>
      </c>
      <c r="C1914" s="3"/>
      <c r="D1914" s="3"/>
      <c r="E1914" s="3"/>
      <c r="F1914" s="3" t="s">
        <v>842</v>
      </c>
      <c r="G1914" s="3" t="s">
        <v>1012</v>
      </c>
      <c r="H1914" s="3"/>
      <c r="I1914" s="3" t="s">
        <v>6755</v>
      </c>
      <c r="J1914" s="3" t="s">
        <v>6837</v>
      </c>
      <c r="K1914" s="3" t="s">
        <v>229</v>
      </c>
      <c r="L1914" s="3" t="s">
        <v>6838</v>
      </c>
      <c r="M1914" s="3" t="s">
        <v>6839</v>
      </c>
      <c r="N1914" s="3"/>
      <c r="O1914" s="3" t="s">
        <v>6840</v>
      </c>
      <c r="P1914"/>
    </row>
    <row r="1915" spans="1:16" ht="58" hidden="1" x14ac:dyDescent="0.35">
      <c r="A1915" s="3" t="s">
        <v>6841</v>
      </c>
      <c r="B1915" s="3" t="s">
        <v>344</v>
      </c>
      <c r="C1915" s="3"/>
      <c r="D1915" s="3"/>
      <c r="E1915" s="3"/>
      <c r="F1915" s="3" t="s">
        <v>842</v>
      </c>
      <c r="G1915" s="3" t="s">
        <v>1012</v>
      </c>
      <c r="H1915" s="3" t="s">
        <v>6842</v>
      </c>
      <c r="I1915" s="3" t="s">
        <v>6755</v>
      </c>
      <c r="J1915" s="3" t="s">
        <v>6843</v>
      </c>
      <c r="K1915" s="3" t="s">
        <v>229</v>
      </c>
      <c r="L1915" s="3" t="s">
        <v>6844</v>
      </c>
      <c r="M1915" s="3" t="s">
        <v>6845</v>
      </c>
      <c r="N1915" s="3"/>
      <c r="O1915" s="3" t="s">
        <v>6846</v>
      </c>
      <c r="P1915"/>
    </row>
    <row r="1916" spans="1:16" ht="58" hidden="1" x14ac:dyDescent="0.35">
      <c r="A1916" s="3" t="s">
        <v>6841</v>
      </c>
      <c r="B1916" s="3" t="s">
        <v>344</v>
      </c>
      <c r="C1916" s="3"/>
      <c r="D1916" s="3"/>
      <c r="E1916" s="3"/>
      <c r="F1916" s="3" t="s">
        <v>842</v>
      </c>
      <c r="G1916" s="3" t="s">
        <v>1012</v>
      </c>
      <c r="H1916" s="3" t="s">
        <v>6847</v>
      </c>
      <c r="I1916" s="3" t="s">
        <v>6755</v>
      </c>
      <c r="J1916" s="3" t="s">
        <v>6848</v>
      </c>
      <c r="K1916" s="3" t="s">
        <v>229</v>
      </c>
      <c r="L1916" s="3" t="s">
        <v>1015</v>
      </c>
      <c r="M1916" s="3" t="s">
        <v>6849</v>
      </c>
      <c r="N1916" s="3"/>
      <c r="O1916" s="3" t="s">
        <v>6850</v>
      </c>
      <c r="P1916"/>
    </row>
    <row r="1917" spans="1:16" ht="58" hidden="1" x14ac:dyDescent="0.35">
      <c r="A1917" s="3" t="s">
        <v>6841</v>
      </c>
      <c r="B1917" s="3" t="s">
        <v>344</v>
      </c>
      <c r="C1917" s="3"/>
      <c r="D1917" s="3"/>
      <c r="E1917" s="3"/>
      <c r="F1917" s="3" t="s">
        <v>842</v>
      </c>
      <c r="G1917" s="3" t="s">
        <v>1012</v>
      </c>
      <c r="H1917" s="3" t="s">
        <v>6851</v>
      </c>
      <c r="I1917" s="3" t="s">
        <v>6755</v>
      </c>
      <c r="J1917" s="3" t="s">
        <v>6852</v>
      </c>
      <c r="K1917" s="3" t="s">
        <v>229</v>
      </c>
      <c r="L1917" s="3" t="s">
        <v>6853</v>
      </c>
      <c r="M1917" s="3" t="s">
        <v>6854</v>
      </c>
      <c r="N1917" s="3"/>
      <c r="O1917" s="3" t="s">
        <v>6855</v>
      </c>
      <c r="P1917"/>
    </row>
    <row r="1918" spans="1:16" ht="58" hidden="1" x14ac:dyDescent="0.35">
      <c r="A1918" s="3" t="s">
        <v>6841</v>
      </c>
      <c r="B1918" s="3" t="s">
        <v>344</v>
      </c>
      <c r="C1918" s="3"/>
      <c r="D1918" s="3"/>
      <c r="E1918" s="3"/>
      <c r="F1918" s="3" t="s">
        <v>842</v>
      </c>
      <c r="G1918" s="3" t="s">
        <v>1012</v>
      </c>
      <c r="H1918" s="3" t="s">
        <v>6856</v>
      </c>
      <c r="I1918" s="3" t="s">
        <v>6755</v>
      </c>
      <c r="J1918" s="3" t="s">
        <v>6857</v>
      </c>
      <c r="K1918" s="3" t="s">
        <v>229</v>
      </c>
      <c r="L1918" s="3" t="s">
        <v>1321</v>
      </c>
      <c r="M1918" s="3" t="s">
        <v>6858</v>
      </c>
      <c r="N1918" s="3"/>
      <c r="O1918" s="3" t="s">
        <v>6859</v>
      </c>
      <c r="P1918"/>
    </row>
    <row r="1919" spans="1:16" ht="58" hidden="1" x14ac:dyDescent="0.35">
      <c r="A1919" s="3" t="s">
        <v>6841</v>
      </c>
      <c r="B1919" s="3" t="s">
        <v>344</v>
      </c>
      <c r="C1919" s="3"/>
      <c r="D1919" s="3"/>
      <c r="E1919" s="3"/>
      <c r="F1919" s="3" t="s">
        <v>842</v>
      </c>
      <c r="G1919" s="3" t="s">
        <v>1012</v>
      </c>
      <c r="H1919" s="3" t="s">
        <v>6860</v>
      </c>
      <c r="I1919" s="3" t="s">
        <v>6755</v>
      </c>
      <c r="J1919" s="3" t="s">
        <v>6861</v>
      </c>
      <c r="K1919" s="3" t="s">
        <v>229</v>
      </c>
      <c r="L1919" s="3" t="s">
        <v>6862</v>
      </c>
      <c r="M1919" s="3" t="s">
        <v>6863</v>
      </c>
      <c r="N1919" s="3"/>
      <c r="O1919" s="3" t="s">
        <v>6864</v>
      </c>
      <c r="P1919"/>
    </row>
    <row r="1920" spans="1:16" ht="58" hidden="1" x14ac:dyDescent="0.35">
      <c r="A1920" s="3" t="s">
        <v>6841</v>
      </c>
      <c r="B1920" s="3" t="s">
        <v>344</v>
      </c>
      <c r="C1920" s="3"/>
      <c r="D1920" s="3"/>
      <c r="E1920" s="3"/>
      <c r="F1920" s="3" t="s">
        <v>842</v>
      </c>
      <c r="G1920" s="3" t="s">
        <v>1012</v>
      </c>
      <c r="H1920" s="3" t="s">
        <v>6865</v>
      </c>
      <c r="I1920" s="3" t="s">
        <v>6755</v>
      </c>
      <c r="J1920" s="3" t="s">
        <v>6866</v>
      </c>
      <c r="K1920" s="3" t="s">
        <v>229</v>
      </c>
      <c r="L1920" s="3" t="s">
        <v>1750</v>
      </c>
      <c r="M1920" s="3" t="s">
        <v>6867</v>
      </c>
      <c r="N1920" s="3"/>
      <c r="O1920" s="3" t="s">
        <v>6868</v>
      </c>
      <c r="P1920"/>
    </row>
    <row r="1921" spans="1:16" ht="58" hidden="1" x14ac:dyDescent="0.35">
      <c r="A1921" s="3" t="s">
        <v>6841</v>
      </c>
      <c r="B1921" s="3" t="s">
        <v>344</v>
      </c>
      <c r="C1921" s="3"/>
      <c r="D1921" s="3"/>
      <c r="E1921" s="3"/>
      <c r="F1921" s="3" t="s">
        <v>842</v>
      </c>
      <c r="G1921" s="3" t="s">
        <v>1012</v>
      </c>
      <c r="H1921" s="3" t="s">
        <v>6869</v>
      </c>
      <c r="I1921" s="3" t="s">
        <v>6755</v>
      </c>
      <c r="J1921" s="3" t="s">
        <v>6870</v>
      </c>
      <c r="K1921" s="3" t="s">
        <v>229</v>
      </c>
      <c r="L1921" s="3" t="s">
        <v>6021</v>
      </c>
      <c r="M1921" s="3" t="s">
        <v>6871</v>
      </c>
      <c r="N1921" s="3"/>
      <c r="O1921" s="3" t="s">
        <v>6872</v>
      </c>
      <c r="P1921"/>
    </row>
    <row r="1922" spans="1:16" ht="58" hidden="1" x14ac:dyDescent="0.35">
      <c r="A1922" s="3" t="s">
        <v>6841</v>
      </c>
      <c r="B1922" s="3" t="s">
        <v>344</v>
      </c>
      <c r="C1922" s="3"/>
      <c r="D1922" s="3"/>
      <c r="E1922" s="3"/>
      <c r="F1922" s="3" t="s">
        <v>925</v>
      </c>
      <c r="G1922" s="3" t="s">
        <v>6873</v>
      </c>
      <c r="H1922" s="3"/>
      <c r="I1922" s="3" t="s">
        <v>6755</v>
      </c>
      <c r="J1922" s="3" t="s">
        <v>6874</v>
      </c>
      <c r="K1922" s="3" t="s">
        <v>229</v>
      </c>
      <c r="L1922" s="3" t="s">
        <v>6873</v>
      </c>
      <c r="M1922" s="3" t="s">
        <v>6875</v>
      </c>
      <c r="N1922" s="3"/>
      <c r="O1922" s="3" t="s">
        <v>6876</v>
      </c>
      <c r="P1922"/>
    </row>
    <row r="1923" spans="1:16" ht="58" hidden="1" x14ac:dyDescent="0.35">
      <c r="A1923" s="3" t="s">
        <v>6841</v>
      </c>
      <c r="B1923" s="3" t="s">
        <v>344</v>
      </c>
      <c r="C1923" s="3"/>
      <c r="D1923" s="3"/>
      <c r="E1923" s="3"/>
      <c r="F1923" s="3" t="s">
        <v>925</v>
      </c>
      <c r="G1923" s="3" t="s">
        <v>6873</v>
      </c>
      <c r="H1923" s="3" t="s">
        <v>1935</v>
      </c>
      <c r="I1923" s="3" t="s">
        <v>6755</v>
      </c>
      <c r="J1923" s="3" t="s">
        <v>6877</v>
      </c>
      <c r="K1923" s="3" t="s">
        <v>229</v>
      </c>
      <c r="L1923" s="3" t="s">
        <v>6878</v>
      </c>
      <c r="M1923" s="3" t="s">
        <v>6879</v>
      </c>
      <c r="N1923" s="3"/>
      <c r="O1923" s="3" t="s">
        <v>6880</v>
      </c>
      <c r="P1923"/>
    </row>
    <row r="1924" spans="1:16" ht="58" hidden="1" x14ac:dyDescent="0.35">
      <c r="A1924" s="3" t="s">
        <v>6841</v>
      </c>
      <c r="B1924" s="3" t="s">
        <v>344</v>
      </c>
      <c r="C1924" s="3"/>
      <c r="D1924" s="3"/>
      <c r="E1924" s="3"/>
      <c r="F1924" s="3" t="s">
        <v>925</v>
      </c>
      <c r="G1924" s="3" t="s">
        <v>6873</v>
      </c>
      <c r="H1924" s="3" t="s">
        <v>1939</v>
      </c>
      <c r="I1924" s="3" t="s">
        <v>6755</v>
      </c>
      <c r="J1924" s="3" t="s">
        <v>6881</v>
      </c>
      <c r="K1924" s="3" t="s">
        <v>229</v>
      </c>
      <c r="L1924" s="3" t="s">
        <v>6882</v>
      </c>
      <c r="M1924" s="3" t="s">
        <v>6883</v>
      </c>
      <c r="N1924" s="3"/>
      <c r="O1924" s="3" t="s">
        <v>6884</v>
      </c>
      <c r="P1924"/>
    </row>
    <row r="1925" spans="1:16" ht="58" hidden="1" x14ac:dyDescent="0.35">
      <c r="A1925" s="3" t="s">
        <v>6841</v>
      </c>
      <c r="B1925" s="3" t="s">
        <v>344</v>
      </c>
      <c r="C1925" s="3"/>
      <c r="D1925" s="3"/>
      <c r="E1925" s="3"/>
      <c r="F1925" s="3" t="s">
        <v>925</v>
      </c>
      <c r="G1925" s="3" t="s">
        <v>6873</v>
      </c>
      <c r="H1925" s="3" t="s">
        <v>1943</v>
      </c>
      <c r="I1925" s="3" t="s">
        <v>6755</v>
      </c>
      <c r="J1925" s="3" t="s">
        <v>6885</v>
      </c>
      <c r="K1925" s="3" t="s">
        <v>229</v>
      </c>
      <c r="L1925" s="3" t="s">
        <v>6886</v>
      </c>
      <c r="M1925" s="3" t="s">
        <v>6887</v>
      </c>
      <c r="N1925" s="3"/>
      <c r="O1925" s="3" t="s">
        <v>6888</v>
      </c>
      <c r="P1925"/>
    </row>
    <row r="1926" spans="1:16" ht="58" hidden="1" x14ac:dyDescent="0.35">
      <c r="A1926" s="3" t="s">
        <v>6841</v>
      </c>
      <c r="B1926" s="3" t="s">
        <v>344</v>
      </c>
      <c r="C1926" s="3"/>
      <c r="D1926" s="3"/>
      <c r="E1926" s="3"/>
      <c r="F1926" s="3" t="s">
        <v>972</v>
      </c>
      <c r="G1926" s="3" t="s">
        <v>6889</v>
      </c>
      <c r="H1926" s="3"/>
      <c r="I1926" s="3" t="s">
        <v>6890</v>
      </c>
      <c r="J1926" s="3" t="s">
        <v>6891</v>
      </c>
      <c r="K1926" s="3" t="s">
        <v>229</v>
      </c>
      <c r="L1926" s="3" t="s">
        <v>6889</v>
      </c>
      <c r="M1926" s="3" t="s">
        <v>6892</v>
      </c>
      <c r="N1926" s="3"/>
      <c r="O1926" s="3" t="s">
        <v>6893</v>
      </c>
      <c r="P1926"/>
    </row>
    <row r="1927" spans="1:16" ht="58" hidden="1" x14ac:dyDescent="0.35">
      <c r="A1927" s="3" t="s">
        <v>6841</v>
      </c>
      <c r="B1927" s="3" t="s">
        <v>344</v>
      </c>
      <c r="C1927" s="3"/>
      <c r="D1927" s="3"/>
      <c r="E1927" s="3"/>
      <c r="F1927" s="3" t="s">
        <v>972</v>
      </c>
      <c r="G1927" s="3" t="s">
        <v>6889</v>
      </c>
      <c r="H1927" s="3" t="s">
        <v>2088</v>
      </c>
      <c r="I1927" s="3" t="s">
        <v>6890</v>
      </c>
      <c r="J1927" s="3" t="s">
        <v>6894</v>
      </c>
      <c r="K1927" s="3" t="s">
        <v>229</v>
      </c>
      <c r="L1927" s="3" t="s">
        <v>6895</v>
      </c>
      <c r="M1927" s="3" t="s">
        <v>6896</v>
      </c>
      <c r="N1927" s="3"/>
      <c r="O1927" s="3" t="s">
        <v>6897</v>
      </c>
      <c r="P1927"/>
    </row>
    <row r="1928" spans="1:16" ht="58" hidden="1" x14ac:dyDescent="0.35">
      <c r="A1928" s="3" t="s">
        <v>6841</v>
      </c>
      <c r="B1928" s="3" t="s">
        <v>344</v>
      </c>
      <c r="C1928" s="3"/>
      <c r="D1928" s="3"/>
      <c r="E1928" s="3"/>
      <c r="F1928" s="3" t="s">
        <v>972</v>
      </c>
      <c r="G1928" s="3" t="s">
        <v>6889</v>
      </c>
      <c r="H1928" s="3" t="s">
        <v>2092</v>
      </c>
      <c r="I1928" s="3" t="s">
        <v>6890</v>
      </c>
      <c r="J1928" s="3" t="s">
        <v>6881</v>
      </c>
      <c r="K1928" s="3" t="s">
        <v>229</v>
      </c>
      <c r="L1928" s="3" t="s">
        <v>6882</v>
      </c>
      <c r="M1928" s="3" t="s">
        <v>6883</v>
      </c>
      <c r="N1928" s="3"/>
      <c r="O1928" s="3" t="s">
        <v>6884</v>
      </c>
      <c r="P1928"/>
    </row>
    <row r="1929" spans="1:16" ht="58" hidden="1" x14ac:dyDescent="0.35">
      <c r="A1929" s="3" t="s">
        <v>6841</v>
      </c>
      <c r="B1929" s="3" t="s">
        <v>344</v>
      </c>
      <c r="C1929" s="3"/>
      <c r="D1929" s="3"/>
      <c r="E1929" s="3"/>
      <c r="F1929" s="3" t="s">
        <v>6898</v>
      </c>
      <c r="G1929" s="3" t="s">
        <v>6899</v>
      </c>
      <c r="H1929" s="3"/>
      <c r="I1929" s="3" t="s">
        <v>6900</v>
      </c>
      <c r="J1929" s="3" t="s">
        <v>6901</v>
      </c>
      <c r="K1929" s="3" t="s">
        <v>229</v>
      </c>
      <c r="L1929" s="3" t="s">
        <v>6902</v>
      </c>
      <c r="M1929" s="3" t="s">
        <v>6903</v>
      </c>
      <c r="N1929" s="3"/>
      <c r="O1929" s="3" t="s">
        <v>6904</v>
      </c>
      <c r="P1929"/>
    </row>
    <row r="1930" spans="1:16" ht="58" hidden="1" x14ac:dyDescent="0.35">
      <c r="A1930" s="3" t="s">
        <v>6841</v>
      </c>
      <c r="B1930" s="3" t="s">
        <v>344</v>
      </c>
      <c r="C1930" s="3"/>
      <c r="D1930" s="3"/>
      <c r="E1930" s="3"/>
      <c r="F1930" s="3" t="s">
        <v>6898</v>
      </c>
      <c r="G1930" s="3" t="s">
        <v>6899</v>
      </c>
      <c r="H1930" s="3" t="s">
        <v>6905</v>
      </c>
      <c r="I1930" s="3" t="s">
        <v>6644</v>
      </c>
      <c r="J1930" s="3" t="s">
        <v>6906</v>
      </c>
      <c r="K1930" s="3" t="s">
        <v>229</v>
      </c>
      <c r="L1930" s="3" t="s">
        <v>6907</v>
      </c>
      <c r="M1930" s="3" t="s">
        <v>6908</v>
      </c>
      <c r="N1930" s="3"/>
      <c r="O1930" s="3" t="s">
        <v>6909</v>
      </c>
      <c r="P1930"/>
    </row>
    <row r="1931" spans="1:16" ht="58" hidden="1" x14ac:dyDescent="0.35">
      <c r="A1931" s="3" t="s">
        <v>6841</v>
      </c>
      <c r="B1931" s="3" t="s">
        <v>344</v>
      </c>
      <c r="C1931" s="3"/>
      <c r="D1931" s="3"/>
      <c r="E1931" s="3"/>
      <c r="F1931" s="3" t="s">
        <v>6910</v>
      </c>
      <c r="G1931" s="3" t="s">
        <v>6911</v>
      </c>
      <c r="H1931" s="3"/>
      <c r="I1931" s="3" t="s">
        <v>6644</v>
      </c>
      <c r="J1931" s="3" t="s">
        <v>6912</v>
      </c>
      <c r="K1931" s="3" t="s">
        <v>229</v>
      </c>
      <c r="L1931" s="3" t="s">
        <v>6911</v>
      </c>
      <c r="M1931" s="3" t="s">
        <v>6913</v>
      </c>
      <c r="N1931" s="3"/>
      <c r="O1931" s="3" t="s">
        <v>6914</v>
      </c>
      <c r="P1931"/>
    </row>
    <row r="1932" spans="1:16" ht="58" hidden="1" x14ac:dyDescent="0.35">
      <c r="A1932" s="3" t="s">
        <v>6841</v>
      </c>
      <c r="B1932" s="3" t="s">
        <v>344</v>
      </c>
      <c r="C1932" s="3"/>
      <c r="D1932" s="3"/>
      <c r="E1932" s="3"/>
      <c r="F1932" s="3" t="s">
        <v>6910</v>
      </c>
      <c r="G1932" s="3" t="s">
        <v>6911</v>
      </c>
      <c r="H1932" s="3" t="s">
        <v>6915</v>
      </c>
      <c r="I1932" s="3" t="s">
        <v>6644</v>
      </c>
      <c r="J1932" s="3" t="s">
        <v>6916</v>
      </c>
      <c r="K1932" s="3" t="s">
        <v>229</v>
      </c>
      <c r="L1932" s="3" t="s">
        <v>6917</v>
      </c>
      <c r="M1932" s="3" t="s">
        <v>6918</v>
      </c>
      <c r="N1932" s="3"/>
      <c r="O1932" s="3" t="s">
        <v>6919</v>
      </c>
      <c r="P1932"/>
    </row>
    <row r="1933" spans="1:16" ht="58" hidden="1" x14ac:dyDescent="0.35">
      <c r="A1933" s="3" t="s">
        <v>6841</v>
      </c>
      <c r="B1933" s="3" t="s">
        <v>344</v>
      </c>
      <c r="C1933" s="3"/>
      <c r="D1933" s="3"/>
      <c r="E1933" s="3"/>
      <c r="F1933" s="3" t="s">
        <v>6910</v>
      </c>
      <c r="G1933" s="3" t="s">
        <v>6911</v>
      </c>
      <c r="H1933" s="3" t="s">
        <v>6920</v>
      </c>
      <c r="I1933" s="3" t="s">
        <v>6921</v>
      </c>
      <c r="J1933" s="3" t="s">
        <v>6922</v>
      </c>
      <c r="K1933" s="3" t="s">
        <v>229</v>
      </c>
      <c r="L1933" s="3" t="s">
        <v>6923</v>
      </c>
      <c r="M1933" s="3" t="s">
        <v>6924</v>
      </c>
      <c r="N1933" s="3"/>
      <c r="O1933" s="3" t="s">
        <v>6925</v>
      </c>
      <c r="P1933"/>
    </row>
    <row r="1934" spans="1:16" ht="58" hidden="1" x14ac:dyDescent="0.35">
      <c r="A1934" s="3" t="s">
        <v>6841</v>
      </c>
      <c r="B1934" s="3" t="s">
        <v>344</v>
      </c>
      <c r="C1934" s="3"/>
      <c r="D1934" s="3"/>
      <c r="E1934" s="3"/>
      <c r="F1934" s="3" t="s">
        <v>6910</v>
      </c>
      <c r="G1934" s="3" t="s">
        <v>6911</v>
      </c>
      <c r="H1934" s="3" t="s">
        <v>6926</v>
      </c>
      <c r="I1934" s="3" t="s">
        <v>6921</v>
      </c>
      <c r="J1934" s="3" t="s">
        <v>6927</v>
      </c>
      <c r="K1934" s="3" t="s">
        <v>229</v>
      </c>
      <c r="L1934" s="3" t="s">
        <v>6928</v>
      </c>
      <c r="M1934" s="3" t="s">
        <v>6929</v>
      </c>
      <c r="N1934" s="3"/>
      <c r="O1934" s="3" t="s">
        <v>6930</v>
      </c>
      <c r="P1934"/>
    </row>
    <row r="1935" spans="1:16" ht="58" hidden="1" x14ac:dyDescent="0.35">
      <c r="A1935" s="3" t="s">
        <v>6841</v>
      </c>
      <c r="B1935" s="3" t="s">
        <v>344</v>
      </c>
      <c r="C1935" s="3"/>
      <c r="D1935" s="3"/>
      <c r="E1935" s="3"/>
      <c r="F1935" s="3" t="s">
        <v>6910</v>
      </c>
      <c r="G1935" s="3" t="s">
        <v>6911</v>
      </c>
      <c r="H1935" s="3" t="s">
        <v>6931</v>
      </c>
      <c r="I1935" s="3" t="s">
        <v>6921</v>
      </c>
      <c r="J1935" s="3" t="s">
        <v>6932</v>
      </c>
      <c r="K1935" s="3" t="s">
        <v>229</v>
      </c>
      <c r="L1935" s="3" t="s">
        <v>6933</v>
      </c>
      <c r="M1935" s="3" t="s">
        <v>6934</v>
      </c>
      <c r="N1935" s="3"/>
      <c r="O1935" s="3" t="s">
        <v>6935</v>
      </c>
      <c r="P1935"/>
    </row>
    <row r="1936" spans="1:16" ht="58" hidden="1" x14ac:dyDescent="0.35">
      <c r="A1936" s="3" t="s">
        <v>6841</v>
      </c>
      <c r="B1936" s="3" t="s">
        <v>344</v>
      </c>
      <c r="C1936" s="3"/>
      <c r="D1936" s="3"/>
      <c r="E1936" s="3"/>
      <c r="F1936" s="3" t="s">
        <v>6910</v>
      </c>
      <c r="G1936" s="3" t="s">
        <v>6911</v>
      </c>
      <c r="H1936" s="3" t="s">
        <v>6936</v>
      </c>
      <c r="I1936" s="3" t="s">
        <v>6921</v>
      </c>
      <c r="J1936" s="3" t="s">
        <v>6937</v>
      </c>
      <c r="K1936" s="3" t="s">
        <v>229</v>
      </c>
      <c r="L1936" s="3" t="s">
        <v>6938</v>
      </c>
      <c r="M1936" s="3" t="s">
        <v>6939</v>
      </c>
      <c r="N1936" s="3"/>
      <c r="O1936" s="3" t="s">
        <v>6940</v>
      </c>
      <c r="P1936"/>
    </row>
    <row r="1937" spans="1:16" ht="58" hidden="1" x14ac:dyDescent="0.35">
      <c r="A1937" s="3" t="s">
        <v>6841</v>
      </c>
      <c r="B1937" s="3" t="s">
        <v>344</v>
      </c>
      <c r="C1937" s="3"/>
      <c r="D1937" s="3"/>
      <c r="E1937" s="3"/>
      <c r="F1937" s="3" t="s">
        <v>6941</v>
      </c>
      <c r="G1937" s="3" t="s">
        <v>6942</v>
      </c>
      <c r="I1937" s="3" t="s">
        <v>6921</v>
      </c>
      <c r="J1937" s="3" t="s">
        <v>6943</v>
      </c>
      <c r="K1937" s="3" t="s">
        <v>229</v>
      </c>
      <c r="L1937" s="3" t="s">
        <v>6942</v>
      </c>
      <c r="M1937" s="3" t="s">
        <v>6944</v>
      </c>
      <c r="N1937" s="3"/>
      <c r="O1937" s="3" t="s">
        <v>6945</v>
      </c>
      <c r="P1937"/>
    </row>
    <row r="1938" spans="1:16" ht="58" hidden="1" x14ac:dyDescent="0.35">
      <c r="A1938" s="3" t="s">
        <v>6841</v>
      </c>
      <c r="B1938" s="3" t="s">
        <v>344</v>
      </c>
      <c r="C1938" s="3"/>
      <c r="D1938" s="3"/>
      <c r="E1938" s="3"/>
      <c r="F1938" s="3" t="s">
        <v>6941</v>
      </c>
      <c r="G1938" s="3" t="s">
        <v>6942</v>
      </c>
      <c r="H1938" s="3" t="s">
        <v>6946</v>
      </c>
      <c r="I1938" s="3" t="s">
        <v>6921</v>
      </c>
      <c r="J1938" s="3" t="s">
        <v>6947</v>
      </c>
      <c r="K1938" s="3" t="s">
        <v>229</v>
      </c>
      <c r="L1938" s="3" t="s">
        <v>6917</v>
      </c>
      <c r="M1938" s="3" t="s">
        <v>6948</v>
      </c>
      <c r="N1938" s="3"/>
      <c r="O1938" s="3" t="s">
        <v>6919</v>
      </c>
      <c r="P1938"/>
    </row>
    <row r="1939" spans="1:16" ht="58" hidden="1" x14ac:dyDescent="0.35">
      <c r="A1939" s="3" t="s">
        <v>6841</v>
      </c>
      <c r="B1939" s="3" t="s">
        <v>344</v>
      </c>
      <c r="C1939" s="3"/>
      <c r="D1939" s="3"/>
      <c r="E1939" s="3"/>
      <c r="F1939" s="3" t="s">
        <v>6941</v>
      </c>
      <c r="G1939" s="3" t="s">
        <v>6942</v>
      </c>
      <c r="H1939" s="3" t="s">
        <v>6949</v>
      </c>
      <c r="I1939" s="3" t="s">
        <v>6921</v>
      </c>
      <c r="J1939" s="3" t="s">
        <v>6950</v>
      </c>
      <c r="K1939" s="3" t="s">
        <v>229</v>
      </c>
      <c r="L1939" s="3" t="s">
        <v>6923</v>
      </c>
      <c r="M1939" s="3" t="s">
        <v>6951</v>
      </c>
      <c r="N1939" s="3"/>
      <c r="O1939" s="3" t="s">
        <v>6925</v>
      </c>
      <c r="P1939"/>
    </row>
    <row r="1940" spans="1:16" ht="58" hidden="1" x14ac:dyDescent="0.35">
      <c r="A1940" s="3" t="s">
        <v>6841</v>
      </c>
      <c r="B1940" s="3" t="s">
        <v>344</v>
      </c>
      <c r="C1940" s="3"/>
      <c r="D1940" s="3"/>
      <c r="E1940" s="3"/>
      <c r="F1940" s="3" t="s">
        <v>6941</v>
      </c>
      <c r="G1940" s="3" t="s">
        <v>6942</v>
      </c>
      <c r="H1940" s="3" t="s">
        <v>6952</v>
      </c>
      <c r="I1940" s="3" t="s">
        <v>6921</v>
      </c>
      <c r="J1940" s="3" t="s">
        <v>6953</v>
      </c>
      <c r="K1940" s="3" t="s">
        <v>229</v>
      </c>
      <c r="L1940" s="3" t="s">
        <v>1886</v>
      </c>
      <c r="M1940" s="3" t="s">
        <v>6954</v>
      </c>
      <c r="N1940" s="3"/>
      <c r="O1940" s="3" t="s">
        <v>6955</v>
      </c>
      <c r="P1940"/>
    </row>
    <row r="1941" spans="1:16" ht="58" hidden="1" x14ac:dyDescent="0.35">
      <c r="A1941" s="3" t="s">
        <v>6841</v>
      </c>
      <c r="B1941" s="3" t="s">
        <v>344</v>
      </c>
      <c r="C1941" s="3"/>
      <c r="D1941" s="3"/>
      <c r="E1941" s="3"/>
      <c r="F1941" s="3" t="s">
        <v>6956</v>
      </c>
      <c r="G1941" s="8" t="s">
        <v>6957</v>
      </c>
      <c r="H1941" s="3"/>
      <c r="I1941" s="3" t="s">
        <v>6921</v>
      </c>
      <c r="J1941" s="3" t="s">
        <v>6958</v>
      </c>
      <c r="K1941" s="3" t="s">
        <v>229</v>
      </c>
      <c r="L1941" s="3" t="s">
        <v>6959</v>
      </c>
      <c r="M1941" s="3" t="s">
        <v>6960</v>
      </c>
      <c r="N1941" s="3"/>
      <c r="O1941" s="3" t="s">
        <v>6961</v>
      </c>
      <c r="P1941"/>
    </row>
    <row r="1942" spans="1:16" ht="58" hidden="1" x14ac:dyDescent="0.35">
      <c r="A1942" s="3" t="s">
        <v>6841</v>
      </c>
      <c r="B1942" s="3" t="s">
        <v>344</v>
      </c>
      <c r="C1942" s="3"/>
      <c r="D1942" s="3"/>
      <c r="E1942" s="3"/>
      <c r="F1942" s="3" t="s">
        <v>6956</v>
      </c>
      <c r="G1942" s="8" t="s">
        <v>6957</v>
      </c>
      <c r="H1942" s="3" t="s">
        <v>6962</v>
      </c>
      <c r="I1942" s="3" t="s">
        <v>6921</v>
      </c>
      <c r="J1942" s="3" t="s">
        <v>6963</v>
      </c>
      <c r="K1942" s="3" t="s">
        <v>229</v>
      </c>
      <c r="L1942" s="3" t="s">
        <v>6917</v>
      </c>
      <c r="M1942" s="3" t="s">
        <v>6964</v>
      </c>
      <c r="N1942" s="3"/>
      <c r="O1942" s="3" t="s">
        <v>6919</v>
      </c>
      <c r="P1942"/>
    </row>
    <row r="1943" spans="1:16" ht="58" hidden="1" x14ac:dyDescent="0.35">
      <c r="A1943" s="3" t="s">
        <v>6841</v>
      </c>
      <c r="B1943" s="3" t="s">
        <v>344</v>
      </c>
      <c r="C1943" s="3"/>
      <c r="D1943" s="3"/>
      <c r="E1943" s="3"/>
      <c r="F1943" s="3" t="s">
        <v>6956</v>
      </c>
      <c r="G1943" s="8" t="s">
        <v>6957</v>
      </c>
      <c r="H1943" s="3" t="s">
        <v>6965</v>
      </c>
      <c r="I1943" s="3" t="s">
        <v>6921</v>
      </c>
      <c r="J1943" s="3" t="s">
        <v>6966</v>
      </c>
      <c r="K1943" s="3" t="s">
        <v>229</v>
      </c>
      <c r="L1943" s="3" t="s">
        <v>6967</v>
      </c>
      <c r="M1943" s="3" t="s">
        <v>6968</v>
      </c>
      <c r="N1943" s="3"/>
      <c r="O1943" s="3" t="s">
        <v>6969</v>
      </c>
      <c r="P1943"/>
    </row>
    <row r="1944" spans="1:16" ht="58" hidden="1" x14ac:dyDescent="0.35">
      <c r="A1944" s="3" t="s">
        <v>6841</v>
      </c>
      <c r="B1944" s="3" t="s">
        <v>344</v>
      </c>
      <c r="C1944" s="3"/>
      <c r="D1944" s="3"/>
      <c r="E1944" s="3"/>
      <c r="F1944" s="3" t="s">
        <v>6970</v>
      </c>
      <c r="G1944" s="5" t="s">
        <v>6398</v>
      </c>
      <c r="I1944" s="3" t="s">
        <v>6921</v>
      </c>
      <c r="J1944" s="3" t="s">
        <v>6971</v>
      </c>
      <c r="K1944" s="3" t="s">
        <v>229</v>
      </c>
      <c r="L1944" s="3" t="s">
        <v>302</v>
      </c>
      <c r="M1944" s="3" t="s">
        <v>6972</v>
      </c>
      <c r="N1944" s="3"/>
      <c r="O1944" s="3" t="s">
        <v>6973</v>
      </c>
      <c r="P1944"/>
    </row>
    <row r="1945" spans="1:16" ht="58" hidden="1" x14ac:dyDescent="0.35">
      <c r="A1945" s="3" t="s">
        <v>6841</v>
      </c>
      <c r="B1945" s="3" t="s">
        <v>102</v>
      </c>
      <c r="C1945" s="3"/>
      <c r="D1945" s="3"/>
      <c r="E1945" s="3"/>
      <c r="F1945" s="3">
        <v>1</v>
      </c>
      <c r="G1945" s="3" t="s">
        <v>1012</v>
      </c>
      <c r="H1945" s="3"/>
      <c r="I1945" s="3" t="s">
        <v>6921</v>
      </c>
      <c r="J1945" s="3" t="s">
        <v>6974</v>
      </c>
      <c r="K1945" s="3" t="s">
        <v>229</v>
      </c>
      <c r="L1945" s="3" t="s">
        <v>2641</v>
      </c>
      <c r="M1945" s="3" t="s">
        <v>6975</v>
      </c>
      <c r="N1945" s="3"/>
      <c r="O1945" s="3" t="s">
        <v>6976</v>
      </c>
      <c r="P1945"/>
    </row>
    <row r="1946" spans="1:16" ht="58" hidden="1" x14ac:dyDescent="0.35">
      <c r="A1946" s="3" t="s">
        <v>6841</v>
      </c>
      <c r="B1946" s="3" t="s">
        <v>102</v>
      </c>
      <c r="C1946" s="3"/>
      <c r="D1946" s="3"/>
      <c r="E1946" s="3"/>
      <c r="F1946" s="3">
        <v>2</v>
      </c>
      <c r="G1946" s="3" t="s">
        <v>1012</v>
      </c>
      <c r="H1946" s="3"/>
      <c r="I1946" s="3" t="s">
        <v>6921</v>
      </c>
      <c r="J1946" s="3" t="s">
        <v>6977</v>
      </c>
      <c r="K1946" s="3" t="s">
        <v>229</v>
      </c>
      <c r="L1946" s="3" t="s">
        <v>6978</v>
      </c>
      <c r="M1946" s="3" t="s">
        <v>6979</v>
      </c>
      <c r="N1946" s="3"/>
      <c r="O1946" s="3" t="s">
        <v>6980</v>
      </c>
      <c r="P1946"/>
    </row>
    <row r="1947" spans="1:16" ht="58" hidden="1" x14ac:dyDescent="0.35">
      <c r="A1947" s="3" t="s">
        <v>6841</v>
      </c>
      <c r="B1947" s="3" t="s">
        <v>102</v>
      </c>
      <c r="C1947" s="3"/>
      <c r="D1947" s="3"/>
      <c r="E1947" s="3"/>
      <c r="F1947" s="3">
        <v>3</v>
      </c>
      <c r="G1947" s="3" t="s">
        <v>1012</v>
      </c>
      <c r="H1947" s="3"/>
      <c r="I1947" s="3" t="s">
        <v>6921</v>
      </c>
      <c r="J1947" s="3" t="s">
        <v>6981</v>
      </c>
      <c r="K1947" s="3" t="s">
        <v>229</v>
      </c>
      <c r="L1947" s="3" t="s">
        <v>6982</v>
      </c>
      <c r="M1947" s="3" t="s">
        <v>6983</v>
      </c>
      <c r="N1947" s="3"/>
      <c r="O1947" s="3" t="s">
        <v>6984</v>
      </c>
      <c r="P1947"/>
    </row>
    <row r="1948" spans="1:16" ht="58" hidden="1" x14ac:dyDescent="0.35">
      <c r="A1948" s="3" t="s">
        <v>6841</v>
      </c>
      <c r="B1948" s="3" t="s">
        <v>102</v>
      </c>
      <c r="C1948" s="3"/>
      <c r="D1948" s="3"/>
      <c r="E1948" s="3"/>
      <c r="F1948" s="3">
        <v>4</v>
      </c>
      <c r="G1948" s="3" t="s">
        <v>1012</v>
      </c>
      <c r="H1948" s="3"/>
      <c r="I1948" s="3" t="s">
        <v>6921</v>
      </c>
      <c r="J1948" s="3" t="s">
        <v>6985</v>
      </c>
      <c r="K1948" s="3" t="s">
        <v>229</v>
      </c>
      <c r="L1948" s="3" t="s">
        <v>6986</v>
      </c>
      <c r="M1948" s="3" t="s">
        <v>6987</v>
      </c>
      <c r="N1948" s="3"/>
      <c r="O1948" s="3" t="s">
        <v>6988</v>
      </c>
      <c r="P1948"/>
    </row>
    <row r="1949" spans="1:16" ht="58" hidden="1" x14ac:dyDescent="0.35">
      <c r="A1949" s="3" t="s">
        <v>6841</v>
      </c>
      <c r="B1949" s="3" t="s">
        <v>102</v>
      </c>
      <c r="C1949" s="3"/>
      <c r="D1949" s="3"/>
      <c r="E1949" s="3"/>
      <c r="F1949" s="3">
        <v>5</v>
      </c>
      <c r="G1949" s="3" t="s">
        <v>1012</v>
      </c>
      <c r="H1949" s="3"/>
      <c r="I1949" s="5" t="s">
        <v>6989</v>
      </c>
      <c r="J1949" s="3" t="s">
        <v>6990</v>
      </c>
      <c r="K1949" s="3" t="s">
        <v>229</v>
      </c>
      <c r="L1949" s="3" t="s">
        <v>6991</v>
      </c>
      <c r="M1949" s="3" t="s">
        <v>6992</v>
      </c>
      <c r="N1949" s="3"/>
      <c r="O1949" s="3" t="s">
        <v>6993</v>
      </c>
      <c r="P1949"/>
    </row>
    <row r="1950" spans="1:16" ht="58" hidden="1" x14ac:dyDescent="0.35">
      <c r="A1950" s="3" t="s">
        <v>6841</v>
      </c>
      <c r="B1950" s="3" t="s">
        <v>102</v>
      </c>
      <c r="C1950" s="3"/>
      <c r="D1950" s="3"/>
      <c r="E1950" s="3"/>
      <c r="F1950" s="3"/>
      <c r="G1950" s="3" t="s">
        <v>6994</v>
      </c>
      <c r="H1950" s="3">
        <v>1</v>
      </c>
      <c r="I1950" s="3" t="s">
        <v>6644</v>
      </c>
      <c r="J1950" s="3" t="s">
        <v>6995</v>
      </c>
      <c r="K1950" s="3" t="s">
        <v>229</v>
      </c>
      <c r="L1950" s="3" t="s">
        <v>6996</v>
      </c>
      <c r="M1950" s="3" t="s">
        <v>6997</v>
      </c>
      <c r="N1950" s="3"/>
      <c r="O1950" s="3" t="s">
        <v>6998</v>
      </c>
      <c r="P1950"/>
    </row>
    <row r="1951" spans="1:16" ht="58" hidden="1" x14ac:dyDescent="0.35">
      <c r="A1951" s="3" t="s">
        <v>6841</v>
      </c>
      <c r="B1951" s="3" t="s">
        <v>102</v>
      </c>
      <c r="C1951" s="3"/>
      <c r="D1951" s="3"/>
      <c r="E1951" s="3"/>
      <c r="F1951" s="3"/>
      <c r="G1951" s="3" t="s">
        <v>6994</v>
      </c>
      <c r="H1951" s="3">
        <v>2</v>
      </c>
      <c r="I1951" s="3" t="s">
        <v>6644</v>
      </c>
      <c r="J1951" s="3" t="s">
        <v>6999</v>
      </c>
      <c r="K1951" s="3" t="s">
        <v>229</v>
      </c>
      <c r="L1951" s="3" t="s">
        <v>7000</v>
      </c>
      <c r="M1951" s="3" t="s">
        <v>7001</v>
      </c>
      <c r="N1951" s="3"/>
      <c r="O1951" s="3" t="s">
        <v>7002</v>
      </c>
      <c r="P1951"/>
    </row>
    <row r="1952" spans="1:16" ht="58" hidden="1" x14ac:dyDescent="0.35">
      <c r="A1952" s="3" t="s">
        <v>6841</v>
      </c>
      <c r="B1952" s="3" t="s">
        <v>102</v>
      </c>
      <c r="C1952" s="3"/>
      <c r="D1952" s="3"/>
      <c r="E1952" s="3"/>
      <c r="F1952" s="3"/>
      <c r="G1952" s="3" t="s">
        <v>6994</v>
      </c>
      <c r="H1952" s="3" t="s">
        <v>7003</v>
      </c>
      <c r="I1952" s="3" t="s">
        <v>6644</v>
      </c>
      <c r="J1952" s="3" t="s">
        <v>7004</v>
      </c>
      <c r="K1952" s="3" t="s">
        <v>229</v>
      </c>
      <c r="L1952" s="3" t="s">
        <v>7005</v>
      </c>
      <c r="M1952" s="3" t="s">
        <v>7006</v>
      </c>
      <c r="N1952" s="3"/>
      <c r="O1952" s="3" t="s">
        <v>7007</v>
      </c>
      <c r="P1952"/>
    </row>
    <row r="1953" spans="1:16" ht="58" hidden="1" x14ac:dyDescent="0.35">
      <c r="A1953" s="3" t="s">
        <v>6841</v>
      </c>
      <c r="B1953" s="3" t="s">
        <v>102</v>
      </c>
      <c r="C1953" s="3"/>
      <c r="D1953" s="3"/>
      <c r="E1953" s="3"/>
      <c r="F1953" s="3"/>
      <c r="G1953" s="3" t="s">
        <v>6994</v>
      </c>
      <c r="H1953" s="3" t="s">
        <v>7008</v>
      </c>
      <c r="I1953" s="3" t="s">
        <v>7009</v>
      </c>
      <c r="J1953" s="3" t="s">
        <v>7010</v>
      </c>
      <c r="K1953" s="3" t="s">
        <v>229</v>
      </c>
      <c r="L1953" s="3" t="s">
        <v>7011</v>
      </c>
      <c r="M1953" s="3" t="s">
        <v>7012</v>
      </c>
      <c r="N1953" s="3"/>
      <c r="O1953" s="3" t="s">
        <v>7013</v>
      </c>
      <c r="P1953"/>
    </row>
    <row r="1954" spans="1:16" ht="58" hidden="1" x14ac:dyDescent="0.35">
      <c r="A1954" s="3" t="s">
        <v>7014</v>
      </c>
      <c r="B1954" s="3" t="s">
        <v>102</v>
      </c>
      <c r="C1954" s="3"/>
      <c r="D1954" s="3"/>
      <c r="E1954" s="3"/>
      <c r="F1954" s="3"/>
      <c r="G1954" s="3" t="s">
        <v>6994</v>
      </c>
      <c r="H1954" s="3" t="s">
        <v>7015</v>
      </c>
      <c r="I1954" s="3" t="s">
        <v>7009</v>
      </c>
      <c r="J1954" s="3" t="s">
        <v>7016</v>
      </c>
      <c r="K1954" s="3" t="s">
        <v>229</v>
      </c>
      <c r="L1954" s="3" t="s">
        <v>7017</v>
      </c>
      <c r="M1954" s="3" t="s">
        <v>7018</v>
      </c>
      <c r="N1954" s="3"/>
      <c r="O1954" s="3" t="s">
        <v>7019</v>
      </c>
      <c r="P1954"/>
    </row>
    <row r="1955" spans="1:16" ht="58" hidden="1" x14ac:dyDescent="0.35">
      <c r="A1955" s="3" t="s">
        <v>7014</v>
      </c>
      <c r="B1955" s="3" t="s">
        <v>102</v>
      </c>
      <c r="C1955" s="3"/>
      <c r="D1955" s="3"/>
      <c r="E1955" s="3"/>
      <c r="F1955" s="3"/>
      <c r="G1955" s="3" t="s">
        <v>7020</v>
      </c>
      <c r="H1955" s="3"/>
      <c r="I1955" s="3" t="s">
        <v>7009</v>
      </c>
      <c r="J1955" s="3" t="s">
        <v>7021</v>
      </c>
      <c r="K1955" s="3" t="s">
        <v>229</v>
      </c>
      <c r="L1955" s="3" t="s">
        <v>7022</v>
      </c>
      <c r="M1955" s="3" t="s">
        <v>7023</v>
      </c>
      <c r="N1955" s="3"/>
      <c r="O1955" s="3" t="s">
        <v>7024</v>
      </c>
      <c r="P1955"/>
    </row>
    <row r="1956" spans="1:16" ht="58" hidden="1" x14ac:dyDescent="0.35">
      <c r="A1956" s="3" t="s">
        <v>7014</v>
      </c>
      <c r="B1956" s="3" t="s">
        <v>344</v>
      </c>
      <c r="C1956" s="3"/>
      <c r="D1956" s="3"/>
      <c r="E1956" s="3"/>
      <c r="F1956" s="3" t="s">
        <v>346</v>
      </c>
      <c r="G1956" s="3" t="s">
        <v>345</v>
      </c>
      <c r="H1956" s="3">
        <v>1</v>
      </c>
      <c r="I1956" s="3" t="s">
        <v>7009</v>
      </c>
      <c r="J1956" s="3" t="s">
        <v>6584</v>
      </c>
      <c r="K1956" s="3" t="s">
        <v>229</v>
      </c>
      <c r="L1956" s="3" t="s">
        <v>7025</v>
      </c>
      <c r="M1956" s="3" t="s">
        <v>7026</v>
      </c>
      <c r="N1956" s="3"/>
      <c r="O1956" s="3" t="s">
        <v>7027</v>
      </c>
      <c r="P1956"/>
    </row>
    <row r="1957" spans="1:16" ht="58" hidden="1" x14ac:dyDescent="0.35">
      <c r="A1957" s="3" t="s">
        <v>7014</v>
      </c>
      <c r="B1957" s="3" t="s">
        <v>344</v>
      </c>
      <c r="C1957" s="3"/>
      <c r="D1957" s="3"/>
      <c r="E1957" s="3"/>
      <c r="F1957" s="3" t="s">
        <v>346</v>
      </c>
      <c r="G1957" s="3" t="s">
        <v>345</v>
      </c>
      <c r="H1957" s="3">
        <v>2</v>
      </c>
      <c r="I1957" s="3" t="s">
        <v>7009</v>
      </c>
      <c r="J1957" s="3" t="s">
        <v>7028</v>
      </c>
      <c r="K1957" s="3" t="s">
        <v>229</v>
      </c>
      <c r="L1957" s="3" t="s">
        <v>7029</v>
      </c>
      <c r="M1957" s="3" t="s">
        <v>7030</v>
      </c>
      <c r="N1957" s="3"/>
      <c r="O1957" s="3" t="s">
        <v>7031</v>
      </c>
      <c r="P1957"/>
    </row>
    <row r="1958" spans="1:16" ht="58" hidden="1" x14ac:dyDescent="0.35">
      <c r="A1958" s="3" t="s">
        <v>7014</v>
      </c>
      <c r="B1958" s="3" t="s">
        <v>344</v>
      </c>
      <c r="C1958" s="3"/>
      <c r="D1958" s="3"/>
      <c r="E1958" s="3"/>
      <c r="F1958" s="3" t="s">
        <v>346</v>
      </c>
      <c r="G1958" s="3" t="s">
        <v>345</v>
      </c>
      <c r="H1958" s="3">
        <v>3</v>
      </c>
      <c r="I1958" s="3" t="s">
        <v>7009</v>
      </c>
      <c r="J1958" s="3" t="s">
        <v>7032</v>
      </c>
      <c r="K1958" s="3" t="s">
        <v>229</v>
      </c>
      <c r="L1958" s="3" t="s">
        <v>7033</v>
      </c>
      <c r="M1958" s="3" t="s">
        <v>7034</v>
      </c>
      <c r="N1958" s="3"/>
      <c r="O1958" s="3" t="s">
        <v>6718</v>
      </c>
      <c r="P1958"/>
    </row>
    <row r="1959" spans="1:16" ht="58" hidden="1" x14ac:dyDescent="0.35">
      <c r="A1959" s="3" t="s">
        <v>7014</v>
      </c>
      <c r="B1959" s="3" t="s">
        <v>344</v>
      </c>
      <c r="C1959" s="3"/>
      <c r="D1959" s="3"/>
      <c r="E1959" s="3"/>
      <c r="F1959" s="3" t="s">
        <v>346</v>
      </c>
      <c r="G1959" s="3" t="s">
        <v>345</v>
      </c>
      <c r="H1959" s="3">
        <v>4</v>
      </c>
      <c r="I1959" s="3" t="s">
        <v>7009</v>
      </c>
      <c r="J1959" s="3" t="s">
        <v>7035</v>
      </c>
      <c r="K1959" s="3" t="s">
        <v>229</v>
      </c>
      <c r="L1959" s="3" t="s">
        <v>7036</v>
      </c>
      <c r="M1959" s="3" t="s">
        <v>7037</v>
      </c>
      <c r="N1959" s="3"/>
      <c r="O1959" s="3" t="s">
        <v>7038</v>
      </c>
      <c r="P1959"/>
    </row>
    <row r="1960" spans="1:16" ht="58" hidden="1" x14ac:dyDescent="0.35">
      <c r="A1960" s="3" t="s">
        <v>7014</v>
      </c>
      <c r="B1960" s="3" t="s">
        <v>344</v>
      </c>
      <c r="C1960" s="3"/>
      <c r="D1960" s="3"/>
      <c r="E1960" s="3"/>
      <c r="F1960" s="3" t="s">
        <v>346</v>
      </c>
      <c r="G1960" s="3" t="s">
        <v>345</v>
      </c>
      <c r="H1960" s="3">
        <v>5</v>
      </c>
      <c r="I1960" s="3" t="s">
        <v>7009</v>
      </c>
      <c r="J1960" s="3" t="s">
        <v>7039</v>
      </c>
      <c r="K1960" s="3" t="s">
        <v>229</v>
      </c>
      <c r="L1960" s="3" t="s">
        <v>7040</v>
      </c>
      <c r="M1960" s="3" t="s">
        <v>7041</v>
      </c>
      <c r="N1960" s="3"/>
      <c r="O1960" s="3" t="s">
        <v>7042</v>
      </c>
      <c r="P1960"/>
    </row>
    <row r="1961" spans="1:16" ht="58" hidden="1" x14ac:dyDescent="0.35">
      <c r="A1961" s="3" t="s">
        <v>7014</v>
      </c>
      <c r="B1961" s="3" t="s">
        <v>344</v>
      </c>
      <c r="C1961" s="3"/>
      <c r="D1961" s="3"/>
      <c r="E1961" s="3"/>
      <c r="F1961" s="3" t="s">
        <v>346</v>
      </c>
      <c r="G1961" s="3" t="s">
        <v>345</v>
      </c>
      <c r="H1961" s="3">
        <v>6</v>
      </c>
      <c r="I1961" s="3" t="s">
        <v>7009</v>
      </c>
      <c r="J1961" s="3" t="s">
        <v>7043</v>
      </c>
      <c r="K1961" s="3" t="s">
        <v>229</v>
      </c>
      <c r="L1961" s="3" t="s">
        <v>7044</v>
      </c>
      <c r="M1961" s="3" t="s">
        <v>7045</v>
      </c>
      <c r="N1961" s="3"/>
      <c r="O1961" s="3" t="s">
        <v>7046</v>
      </c>
      <c r="P1961"/>
    </row>
    <row r="1962" spans="1:16" ht="58" hidden="1" x14ac:dyDescent="0.35">
      <c r="A1962" s="3" t="s">
        <v>7014</v>
      </c>
      <c r="B1962" s="3" t="s">
        <v>344</v>
      </c>
      <c r="C1962" s="3"/>
      <c r="D1962" s="3"/>
      <c r="E1962" s="3"/>
      <c r="F1962" s="3" t="s">
        <v>346</v>
      </c>
      <c r="G1962" s="3" t="s">
        <v>345</v>
      </c>
      <c r="H1962" s="3">
        <v>7</v>
      </c>
      <c r="I1962" s="3" t="s">
        <v>7009</v>
      </c>
      <c r="J1962" s="3" t="s">
        <v>7047</v>
      </c>
      <c r="K1962" s="3" t="s">
        <v>229</v>
      </c>
      <c r="L1962" s="3" t="s">
        <v>7048</v>
      </c>
      <c r="M1962" s="3" t="s">
        <v>7049</v>
      </c>
      <c r="N1962" s="3"/>
      <c r="O1962" s="3" t="s">
        <v>7050</v>
      </c>
      <c r="P1962"/>
    </row>
    <row r="1963" spans="1:16" ht="58" hidden="1" x14ac:dyDescent="0.35">
      <c r="A1963" s="3" t="s">
        <v>7014</v>
      </c>
      <c r="B1963" s="3" t="s">
        <v>344</v>
      </c>
      <c r="C1963" s="3"/>
      <c r="D1963" s="3"/>
      <c r="E1963" s="3"/>
      <c r="F1963" s="3" t="s">
        <v>346</v>
      </c>
      <c r="G1963" s="3" t="s">
        <v>345</v>
      </c>
      <c r="H1963" s="3">
        <v>8</v>
      </c>
      <c r="I1963" s="3" t="s">
        <v>7009</v>
      </c>
      <c r="J1963" s="3" t="s">
        <v>7051</v>
      </c>
      <c r="K1963" s="3" t="s">
        <v>229</v>
      </c>
      <c r="L1963" s="3" t="s">
        <v>7052</v>
      </c>
      <c r="M1963" s="3" t="s">
        <v>7053</v>
      </c>
      <c r="N1963" s="3"/>
      <c r="O1963" s="3" t="s">
        <v>7054</v>
      </c>
      <c r="P1963"/>
    </row>
    <row r="1964" spans="1:16" ht="58" hidden="1" x14ac:dyDescent="0.35">
      <c r="A1964" s="3" t="s">
        <v>7014</v>
      </c>
      <c r="B1964" s="3" t="s">
        <v>344</v>
      </c>
      <c r="C1964" s="3"/>
      <c r="D1964" s="3"/>
      <c r="E1964" s="3"/>
      <c r="F1964" s="3" t="s">
        <v>346</v>
      </c>
      <c r="G1964" s="3" t="s">
        <v>345</v>
      </c>
      <c r="H1964" s="3">
        <v>9</v>
      </c>
      <c r="I1964" s="3" t="s">
        <v>7009</v>
      </c>
      <c r="J1964" s="3" t="s">
        <v>7055</v>
      </c>
      <c r="K1964" s="3" t="s">
        <v>229</v>
      </c>
      <c r="L1964" s="3" t="s">
        <v>7056</v>
      </c>
      <c r="M1964" s="3" t="s">
        <v>7057</v>
      </c>
      <c r="N1964" s="3"/>
      <c r="O1964" s="3" t="s">
        <v>7058</v>
      </c>
      <c r="P1964"/>
    </row>
    <row r="1965" spans="1:16" ht="58" hidden="1" x14ac:dyDescent="0.35">
      <c r="A1965" s="3" t="s">
        <v>1184</v>
      </c>
      <c r="B1965" s="3" t="s">
        <v>344</v>
      </c>
      <c r="C1965" s="3"/>
      <c r="D1965" s="3"/>
      <c r="E1965" s="3"/>
      <c r="F1965" s="3" t="s">
        <v>346</v>
      </c>
      <c r="G1965" s="3" t="s">
        <v>345</v>
      </c>
      <c r="H1965" s="3">
        <v>10</v>
      </c>
      <c r="I1965" s="3" t="s">
        <v>7009</v>
      </c>
      <c r="J1965" s="3" t="s">
        <v>7059</v>
      </c>
      <c r="K1965" s="3" t="s">
        <v>229</v>
      </c>
      <c r="L1965" s="3" t="s">
        <v>7060</v>
      </c>
      <c r="M1965" s="3" t="s">
        <v>7061</v>
      </c>
      <c r="N1965" s="3"/>
      <c r="O1965" s="3" t="s">
        <v>7062</v>
      </c>
      <c r="P1965"/>
    </row>
    <row r="1966" spans="1:16" ht="58" hidden="1" x14ac:dyDescent="0.35">
      <c r="A1966" s="3" t="s">
        <v>1184</v>
      </c>
      <c r="B1966" s="3" t="s">
        <v>344</v>
      </c>
      <c r="C1966" s="3"/>
      <c r="D1966" s="3"/>
      <c r="E1966" s="3"/>
      <c r="F1966" s="3" t="s">
        <v>346</v>
      </c>
      <c r="G1966" s="3" t="s">
        <v>345</v>
      </c>
      <c r="H1966" s="3">
        <v>11</v>
      </c>
      <c r="I1966" s="3" t="s">
        <v>7009</v>
      </c>
      <c r="J1966" s="3" t="s">
        <v>7063</v>
      </c>
      <c r="K1966" s="3" t="s">
        <v>229</v>
      </c>
      <c r="L1966" s="3" t="s">
        <v>7064</v>
      </c>
      <c r="M1966" s="3" t="s">
        <v>7065</v>
      </c>
      <c r="N1966" s="3"/>
      <c r="O1966" s="3" t="s">
        <v>7066</v>
      </c>
      <c r="P1966"/>
    </row>
    <row r="1967" spans="1:16" ht="58" hidden="1" x14ac:dyDescent="0.35">
      <c r="A1967" s="3" t="s">
        <v>1184</v>
      </c>
      <c r="B1967" s="3" t="s">
        <v>344</v>
      </c>
      <c r="C1967" s="3"/>
      <c r="D1967" s="3"/>
      <c r="E1967" s="3"/>
      <c r="F1967" s="3" t="s">
        <v>346</v>
      </c>
      <c r="G1967" s="3" t="s">
        <v>345</v>
      </c>
      <c r="H1967" s="3">
        <v>12</v>
      </c>
      <c r="I1967" s="3" t="s">
        <v>7009</v>
      </c>
      <c r="J1967" s="3" t="s">
        <v>7067</v>
      </c>
      <c r="K1967" s="3" t="s">
        <v>229</v>
      </c>
      <c r="L1967" s="3" t="s">
        <v>7068</v>
      </c>
      <c r="M1967" s="3" t="s">
        <v>7069</v>
      </c>
      <c r="N1967" s="3"/>
      <c r="O1967" s="3" t="s">
        <v>7070</v>
      </c>
      <c r="P1967"/>
    </row>
    <row r="1968" spans="1:16" ht="58" hidden="1" x14ac:dyDescent="0.35">
      <c r="A1968" s="3" t="s">
        <v>1184</v>
      </c>
      <c r="B1968" s="3" t="s">
        <v>344</v>
      </c>
      <c r="C1968" s="3"/>
      <c r="D1968" s="3"/>
      <c r="E1968" s="3"/>
      <c r="F1968" s="3" t="s">
        <v>346</v>
      </c>
      <c r="G1968" s="3" t="s">
        <v>345</v>
      </c>
      <c r="H1968" s="3">
        <v>13</v>
      </c>
      <c r="I1968" s="3" t="s">
        <v>7009</v>
      </c>
      <c r="J1968" s="3" t="s">
        <v>7071</v>
      </c>
      <c r="K1968" s="3" t="s">
        <v>229</v>
      </c>
      <c r="L1968" s="3" t="s">
        <v>7072</v>
      </c>
      <c r="M1968" s="3" t="s">
        <v>7073</v>
      </c>
      <c r="N1968" s="3"/>
      <c r="O1968" s="3" t="s">
        <v>7074</v>
      </c>
      <c r="P1968"/>
    </row>
    <row r="1969" spans="1:16" ht="58" hidden="1" x14ac:dyDescent="0.35">
      <c r="A1969" s="3" t="s">
        <v>1184</v>
      </c>
      <c r="B1969" s="3" t="s">
        <v>344</v>
      </c>
      <c r="C1969" s="3"/>
      <c r="D1969" s="3"/>
      <c r="E1969" s="3"/>
      <c r="F1969" s="3" t="s">
        <v>346</v>
      </c>
      <c r="G1969" s="3" t="s">
        <v>345</v>
      </c>
      <c r="H1969" s="3">
        <v>14</v>
      </c>
      <c r="I1969" s="3" t="s">
        <v>7009</v>
      </c>
      <c r="J1969" s="3" t="s">
        <v>7075</v>
      </c>
      <c r="K1969" s="3" t="s">
        <v>229</v>
      </c>
      <c r="L1969" s="3" t="s">
        <v>7076</v>
      </c>
      <c r="M1969" s="3" t="s">
        <v>7077</v>
      </c>
      <c r="N1969" s="3"/>
      <c r="O1969" s="3" t="s">
        <v>7078</v>
      </c>
      <c r="P1969"/>
    </row>
    <row r="1970" spans="1:16" ht="58" hidden="1" x14ac:dyDescent="0.35">
      <c r="A1970" s="3" t="s">
        <v>1184</v>
      </c>
      <c r="B1970" s="3" t="s">
        <v>344</v>
      </c>
      <c r="C1970" s="3"/>
      <c r="D1970" s="3"/>
      <c r="E1970" s="3"/>
      <c r="F1970" s="3" t="s">
        <v>346</v>
      </c>
      <c r="G1970" s="3" t="s">
        <v>345</v>
      </c>
      <c r="H1970" s="3">
        <v>15</v>
      </c>
      <c r="I1970" s="3" t="s">
        <v>7009</v>
      </c>
      <c r="J1970" s="3" t="s">
        <v>7079</v>
      </c>
      <c r="K1970" s="3" t="s">
        <v>229</v>
      </c>
      <c r="L1970" s="3" t="s">
        <v>7080</v>
      </c>
      <c r="M1970" s="3" t="s">
        <v>7081</v>
      </c>
      <c r="N1970" s="3"/>
      <c r="O1970" s="3" t="s">
        <v>7082</v>
      </c>
      <c r="P1970"/>
    </row>
    <row r="1971" spans="1:16" ht="58" hidden="1" x14ac:dyDescent="0.35">
      <c r="A1971" s="3" t="s">
        <v>1184</v>
      </c>
      <c r="B1971" s="3" t="s">
        <v>344</v>
      </c>
      <c r="C1971" s="3"/>
      <c r="D1971" s="3"/>
      <c r="E1971" s="3"/>
      <c r="F1971" s="3" t="s">
        <v>346</v>
      </c>
      <c r="G1971" s="3" t="s">
        <v>345</v>
      </c>
      <c r="H1971" s="3">
        <v>16</v>
      </c>
      <c r="I1971" s="3" t="s">
        <v>7009</v>
      </c>
      <c r="J1971" s="3" t="s">
        <v>7083</v>
      </c>
      <c r="K1971" s="3" t="s">
        <v>229</v>
      </c>
      <c r="L1971" s="3" t="s">
        <v>5627</v>
      </c>
      <c r="M1971" s="3" t="s">
        <v>7084</v>
      </c>
      <c r="N1971" s="3"/>
      <c r="O1971" s="3" t="s">
        <v>7085</v>
      </c>
      <c r="P1971"/>
    </row>
    <row r="1972" spans="1:16" ht="58" hidden="1" x14ac:dyDescent="0.35">
      <c r="A1972" s="3" t="s">
        <v>1184</v>
      </c>
      <c r="B1972" s="3" t="s">
        <v>344</v>
      </c>
      <c r="C1972" s="3"/>
      <c r="D1972" s="3"/>
      <c r="E1972" s="3"/>
      <c r="F1972" s="3" t="s">
        <v>346</v>
      </c>
      <c r="G1972" s="3" t="s">
        <v>345</v>
      </c>
      <c r="H1972" s="3">
        <v>17</v>
      </c>
      <c r="I1972" s="3" t="s">
        <v>7009</v>
      </c>
      <c r="J1972" s="3" t="s">
        <v>7086</v>
      </c>
      <c r="K1972" s="3" t="s">
        <v>229</v>
      </c>
      <c r="L1972" s="3" t="s">
        <v>7087</v>
      </c>
      <c r="M1972" s="3" t="s">
        <v>7088</v>
      </c>
      <c r="N1972" s="3"/>
      <c r="O1972" s="3" t="s">
        <v>7089</v>
      </c>
      <c r="P1972"/>
    </row>
    <row r="1973" spans="1:16" ht="58" hidden="1" x14ac:dyDescent="0.35">
      <c r="A1973" s="3" t="s">
        <v>1184</v>
      </c>
      <c r="B1973" s="3" t="s">
        <v>344</v>
      </c>
      <c r="C1973" s="3"/>
      <c r="D1973" s="3"/>
      <c r="E1973" s="3"/>
      <c r="F1973" s="3" t="s">
        <v>346</v>
      </c>
      <c r="G1973" s="3" t="s">
        <v>345</v>
      </c>
      <c r="H1973" s="3">
        <v>18</v>
      </c>
      <c r="I1973" s="3" t="s">
        <v>7090</v>
      </c>
      <c r="J1973" s="3" t="s">
        <v>7091</v>
      </c>
      <c r="K1973" s="3" t="s">
        <v>229</v>
      </c>
      <c r="L1973" s="3" t="s">
        <v>7092</v>
      </c>
      <c r="M1973" s="3" t="s">
        <v>7093</v>
      </c>
      <c r="N1973" s="3"/>
      <c r="O1973" s="3" t="s">
        <v>7094</v>
      </c>
      <c r="P1973"/>
    </row>
    <row r="1974" spans="1:16" ht="58" hidden="1" x14ac:dyDescent="0.35">
      <c r="A1974" s="3" t="s">
        <v>1184</v>
      </c>
      <c r="B1974" s="3" t="s">
        <v>344</v>
      </c>
      <c r="C1974" s="3"/>
      <c r="D1974" s="3"/>
      <c r="E1974" s="3"/>
      <c r="F1974" s="3" t="s">
        <v>7095</v>
      </c>
      <c r="G1974" s="3" t="s">
        <v>7096</v>
      </c>
      <c r="I1974" s="3" t="s">
        <v>7090</v>
      </c>
      <c r="J1974" s="3" t="s">
        <v>7097</v>
      </c>
      <c r="K1974" s="3" t="s">
        <v>229</v>
      </c>
      <c r="L1974" s="3" t="s">
        <v>7098</v>
      </c>
      <c r="M1974" s="3" t="s">
        <v>7099</v>
      </c>
      <c r="N1974" s="3"/>
      <c r="O1974" s="3" t="s">
        <v>7100</v>
      </c>
      <c r="P1974"/>
    </row>
    <row r="1975" spans="1:16" ht="58" hidden="1" x14ac:dyDescent="0.35">
      <c r="A1975" s="3" t="s">
        <v>1184</v>
      </c>
      <c r="B1975" s="3" t="s">
        <v>344</v>
      </c>
      <c r="C1975" s="3"/>
      <c r="D1975" s="3"/>
      <c r="E1975" s="3"/>
      <c r="F1975" s="3" t="s">
        <v>7095</v>
      </c>
      <c r="G1975" s="3" t="s">
        <v>7096</v>
      </c>
      <c r="H1975" s="3" t="s">
        <v>2365</v>
      </c>
      <c r="I1975" s="3" t="s">
        <v>7090</v>
      </c>
      <c r="J1975" s="3" t="s">
        <v>7101</v>
      </c>
      <c r="K1975" s="3" t="s">
        <v>229</v>
      </c>
      <c r="L1975" s="3" t="s">
        <v>7102</v>
      </c>
      <c r="M1975" s="3" t="s">
        <v>7103</v>
      </c>
      <c r="N1975" s="3"/>
      <c r="O1975" s="3" t="s">
        <v>7104</v>
      </c>
      <c r="P1975"/>
    </row>
    <row r="1976" spans="1:16" ht="58" hidden="1" x14ac:dyDescent="0.35">
      <c r="A1976" s="3" t="s">
        <v>1184</v>
      </c>
      <c r="B1976" s="3" t="s">
        <v>344</v>
      </c>
      <c r="C1976" s="3"/>
      <c r="D1976" s="3"/>
      <c r="E1976" s="3"/>
      <c r="F1976" s="3" t="s">
        <v>7095</v>
      </c>
      <c r="G1976" s="3" t="s">
        <v>7096</v>
      </c>
      <c r="H1976" s="3" t="s">
        <v>7105</v>
      </c>
      <c r="I1976" s="3" t="s">
        <v>7090</v>
      </c>
      <c r="J1976" s="3" t="s">
        <v>7106</v>
      </c>
      <c r="K1976" s="3" t="s">
        <v>229</v>
      </c>
      <c r="L1976" s="3" t="s">
        <v>7107</v>
      </c>
      <c r="M1976" s="3" t="s">
        <v>7108</v>
      </c>
      <c r="N1976" s="3"/>
      <c r="O1976" s="3" t="s">
        <v>7109</v>
      </c>
      <c r="P1976"/>
    </row>
    <row r="1977" spans="1:16" ht="58" hidden="1" x14ac:dyDescent="0.35">
      <c r="A1977" s="3" t="s">
        <v>1184</v>
      </c>
      <c r="B1977" s="3" t="s">
        <v>344</v>
      </c>
      <c r="C1977" s="3"/>
      <c r="D1977" s="3"/>
      <c r="E1977" s="3"/>
      <c r="F1977" s="3" t="s">
        <v>7095</v>
      </c>
      <c r="G1977" s="3" t="s">
        <v>7096</v>
      </c>
      <c r="H1977" s="3" t="s">
        <v>7110</v>
      </c>
      <c r="I1977" s="3" t="s">
        <v>7090</v>
      </c>
      <c r="J1977" s="3" t="s">
        <v>7111</v>
      </c>
      <c r="K1977" s="3" t="s">
        <v>229</v>
      </c>
      <c r="L1977" s="3" t="s">
        <v>7112</v>
      </c>
      <c r="M1977" s="3" t="s">
        <v>7113</v>
      </c>
      <c r="N1977" s="3"/>
      <c r="O1977" s="3" t="s">
        <v>7114</v>
      </c>
      <c r="P1977"/>
    </row>
    <row r="1978" spans="1:16" ht="58" hidden="1" x14ac:dyDescent="0.35">
      <c r="A1978" s="3" t="s">
        <v>1184</v>
      </c>
      <c r="B1978" s="3" t="s">
        <v>344</v>
      </c>
      <c r="C1978" s="3"/>
      <c r="D1978" s="3"/>
      <c r="E1978" s="3"/>
      <c r="F1978" s="3" t="s">
        <v>7095</v>
      </c>
      <c r="G1978" s="3" t="s">
        <v>7096</v>
      </c>
      <c r="H1978" s="3" t="s">
        <v>7115</v>
      </c>
      <c r="I1978" s="3" t="s">
        <v>7090</v>
      </c>
      <c r="J1978" s="3" t="s">
        <v>7116</v>
      </c>
      <c r="K1978" s="3" t="s">
        <v>229</v>
      </c>
      <c r="L1978" s="3" t="s">
        <v>7117</v>
      </c>
      <c r="M1978" s="3" t="s">
        <v>7118</v>
      </c>
      <c r="N1978" s="3"/>
      <c r="O1978" s="3" t="s">
        <v>7119</v>
      </c>
      <c r="P1978"/>
    </row>
    <row r="1979" spans="1:16" ht="58" hidden="1" x14ac:dyDescent="0.35">
      <c r="A1979" s="3" t="s">
        <v>1184</v>
      </c>
      <c r="B1979" s="3" t="s">
        <v>344</v>
      </c>
      <c r="C1979" s="3"/>
      <c r="D1979" s="3"/>
      <c r="E1979" s="3"/>
      <c r="F1979" s="3" t="s">
        <v>7095</v>
      </c>
      <c r="G1979" s="3" t="s">
        <v>7096</v>
      </c>
      <c r="H1979" s="3" t="s">
        <v>413</v>
      </c>
      <c r="I1979" s="3" t="s">
        <v>7090</v>
      </c>
      <c r="J1979" s="3" t="s">
        <v>7120</v>
      </c>
      <c r="K1979" s="3" t="s">
        <v>229</v>
      </c>
      <c r="L1979" s="3" t="s">
        <v>7121</v>
      </c>
      <c r="M1979" s="3" t="s">
        <v>7122</v>
      </c>
      <c r="N1979" s="3"/>
      <c r="O1979" s="3" t="s">
        <v>5706</v>
      </c>
      <c r="P1979"/>
    </row>
    <row r="1980" spans="1:16" ht="58" hidden="1" x14ac:dyDescent="0.35">
      <c r="A1980" s="3" t="s">
        <v>1184</v>
      </c>
      <c r="B1980" s="3" t="s">
        <v>344</v>
      </c>
      <c r="C1980" s="3"/>
      <c r="D1980" s="3"/>
      <c r="E1980" s="3"/>
      <c r="F1980" s="3" t="s">
        <v>7095</v>
      </c>
      <c r="G1980" s="3" t="s">
        <v>7096</v>
      </c>
      <c r="H1980" s="3" t="s">
        <v>7123</v>
      </c>
      <c r="I1980" s="3" t="s">
        <v>7090</v>
      </c>
      <c r="J1980" s="3" t="s">
        <v>7124</v>
      </c>
      <c r="K1980" s="3" t="s">
        <v>229</v>
      </c>
      <c r="L1980" s="3" t="s">
        <v>7125</v>
      </c>
      <c r="M1980" s="3" t="s">
        <v>7126</v>
      </c>
      <c r="N1980" s="3"/>
      <c r="O1980" s="3" t="s">
        <v>7127</v>
      </c>
      <c r="P1980"/>
    </row>
    <row r="1981" spans="1:16" ht="58" hidden="1" x14ac:dyDescent="0.35">
      <c r="A1981" s="3" t="s">
        <v>1184</v>
      </c>
      <c r="B1981" s="3" t="s">
        <v>344</v>
      </c>
      <c r="C1981" s="3"/>
      <c r="D1981" s="3"/>
      <c r="E1981" s="3"/>
      <c r="F1981" s="3" t="s">
        <v>7095</v>
      </c>
      <c r="G1981" s="3" t="s">
        <v>7096</v>
      </c>
      <c r="H1981" s="3" t="s">
        <v>7128</v>
      </c>
      <c r="I1981" s="3" t="s">
        <v>7090</v>
      </c>
      <c r="J1981" s="3" t="s">
        <v>7129</v>
      </c>
      <c r="K1981" s="3" t="s">
        <v>229</v>
      </c>
      <c r="L1981" s="3" t="s">
        <v>302</v>
      </c>
      <c r="M1981" s="3" t="s">
        <v>7130</v>
      </c>
      <c r="N1981" s="3"/>
      <c r="O1981" s="3" t="s">
        <v>6973</v>
      </c>
      <c r="P1981"/>
    </row>
    <row r="1982" spans="1:16" ht="58" hidden="1" x14ac:dyDescent="0.35">
      <c r="A1982" s="3" t="s">
        <v>1184</v>
      </c>
      <c r="B1982" s="3" t="s">
        <v>344</v>
      </c>
      <c r="C1982" s="3"/>
      <c r="D1982" s="3"/>
      <c r="E1982" s="3"/>
      <c r="F1982" s="3" t="s">
        <v>7131</v>
      </c>
      <c r="G1982" s="5" t="s">
        <v>6642</v>
      </c>
      <c r="H1982" s="3"/>
      <c r="I1982" s="3" t="s">
        <v>7090</v>
      </c>
      <c r="J1982" s="3" t="s">
        <v>7132</v>
      </c>
      <c r="K1982" s="3" t="s">
        <v>229</v>
      </c>
      <c r="L1982" s="3" t="s">
        <v>7133</v>
      </c>
      <c r="M1982" s="3" t="s">
        <v>7134</v>
      </c>
      <c r="N1982" s="3"/>
      <c r="O1982" s="3" t="s">
        <v>7135</v>
      </c>
      <c r="P1982"/>
    </row>
    <row r="1983" spans="1:16" ht="58" hidden="1" x14ac:dyDescent="0.35">
      <c r="A1983" s="3" t="s">
        <v>1184</v>
      </c>
      <c r="B1983" s="3" t="s">
        <v>344</v>
      </c>
      <c r="C1983" s="3"/>
      <c r="D1983" s="3"/>
      <c r="E1983" s="3"/>
      <c r="F1983" s="3" t="s">
        <v>7131</v>
      </c>
      <c r="G1983" s="5" t="s">
        <v>6642</v>
      </c>
      <c r="H1983" s="3" t="s">
        <v>7136</v>
      </c>
      <c r="I1983" s="3" t="s">
        <v>7090</v>
      </c>
      <c r="J1983" s="3" t="s">
        <v>7137</v>
      </c>
      <c r="K1983" s="3" t="s">
        <v>229</v>
      </c>
      <c r="L1983" s="3" t="s">
        <v>7138</v>
      </c>
      <c r="M1983" s="3" t="s">
        <v>7139</v>
      </c>
      <c r="N1983" s="3"/>
      <c r="O1983" s="3" t="s">
        <v>7140</v>
      </c>
      <c r="P1983"/>
    </row>
    <row r="1984" spans="1:16" ht="58" hidden="1" x14ac:dyDescent="0.35">
      <c r="A1984" s="3" t="s">
        <v>1184</v>
      </c>
      <c r="B1984" s="3" t="s">
        <v>344</v>
      </c>
      <c r="C1984" s="3"/>
      <c r="D1984" s="3"/>
      <c r="E1984" s="3"/>
      <c r="F1984" s="3" t="s">
        <v>7131</v>
      </c>
      <c r="G1984" s="5" t="s">
        <v>6642</v>
      </c>
      <c r="H1984" s="3" t="s">
        <v>7141</v>
      </c>
      <c r="I1984" s="5" t="s">
        <v>7142</v>
      </c>
      <c r="J1984" s="3" t="s">
        <v>7143</v>
      </c>
      <c r="K1984" s="3" t="s">
        <v>229</v>
      </c>
      <c r="L1984" s="3" t="s">
        <v>7144</v>
      </c>
      <c r="M1984" s="3" t="s">
        <v>7145</v>
      </c>
      <c r="N1984" s="3"/>
      <c r="O1984" s="3" t="s">
        <v>7146</v>
      </c>
      <c r="P1984"/>
    </row>
    <row r="1985" spans="1:16" ht="58" hidden="1" x14ac:dyDescent="0.35">
      <c r="A1985" s="3" t="s">
        <v>1184</v>
      </c>
      <c r="B1985" s="3" t="s">
        <v>344</v>
      </c>
      <c r="C1985" s="3"/>
      <c r="D1985" s="3"/>
      <c r="E1985" s="3"/>
      <c r="F1985" s="3" t="s">
        <v>7131</v>
      </c>
      <c r="G1985" s="5" t="s">
        <v>6642</v>
      </c>
      <c r="H1985" s="3" t="s">
        <v>7147</v>
      </c>
      <c r="I1985" s="3" t="s">
        <v>7148</v>
      </c>
      <c r="J1985" s="3" t="s">
        <v>7149</v>
      </c>
      <c r="K1985" s="3" t="s">
        <v>229</v>
      </c>
      <c r="L1985" s="3" t="s">
        <v>7150</v>
      </c>
      <c r="M1985" s="3" t="s">
        <v>7151</v>
      </c>
      <c r="N1985" s="3"/>
      <c r="O1985" s="3" t="s">
        <v>7152</v>
      </c>
      <c r="P1985"/>
    </row>
    <row r="1986" spans="1:16" ht="58" hidden="1" x14ac:dyDescent="0.35">
      <c r="A1986" s="3" t="s">
        <v>1184</v>
      </c>
      <c r="B1986" s="3" t="s">
        <v>344</v>
      </c>
      <c r="C1986" s="3"/>
      <c r="D1986" s="3"/>
      <c r="E1986" s="3"/>
      <c r="F1986" s="3" t="s">
        <v>7131</v>
      </c>
      <c r="G1986" s="5" t="s">
        <v>6642</v>
      </c>
      <c r="H1986" s="3" t="s">
        <v>7153</v>
      </c>
      <c r="I1986" s="3" t="s">
        <v>7148</v>
      </c>
      <c r="J1986" s="3" t="s">
        <v>7154</v>
      </c>
      <c r="K1986" s="3" t="s">
        <v>229</v>
      </c>
      <c r="L1986" s="3" t="s">
        <v>7155</v>
      </c>
      <c r="M1986" s="3" t="s">
        <v>7156</v>
      </c>
      <c r="N1986" s="3"/>
      <c r="O1986" s="3" t="s">
        <v>7157</v>
      </c>
      <c r="P1986"/>
    </row>
    <row r="1987" spans="1:16" ht="58" hidden="1" x14ac:dyDescent="0.35">
      <c r="A1987" s="3" t="s">
        <v>1184</v>
      </c>
      <c r="B1987" s="3" t="s">
        <v>344</v>
      </c>
      <c r="C1987" s="3"/>
      <c r="D1987" s="3"/>
      <c r="E1987" s="3"/>
      <c r="F1987" s="3" t="s">
        <v>7131</v>
      </c>
      <c r="G1987" s="5" t="s">
        <v>6642</v>
      </c>
      <c r="H1987" s="3" t="s">
        <v>7158</v>
      </c>
      <c r="I1987" s="3" t="s">
        <v>7148</v>
      </c>
      <c r="J1987" s="3" t="s">
        <v>7159</v>
      </c>
      <c r="K1987" s="3" t="s">
        <v>229</v>
      </c>
      <c r="L1987" s="3" t="s">
        <v>2650</v>
      </c>
      <c r="M1987" s="3" t="s">
        <v>7160</v>
      </c>
      <c r="N1987" s="3"/>
      <c r="O1987" s="3" t="s">
        <v>2389</v>
      </c>
      <c r="P1987"/>
    </row>
    <row r="1988" spans="1:16" ht="58" hidden="1" x14ac:dyDescent="0.35">
      <c r="A1988" s="3" t="s">
        <v>1184</v>
      </c>
      <c r="B1988" s="3" t="s">
        <v>344</v>
      </c>
      <c r="C1988" s="3"/>
      <c r="D1988" s="3"/>
      <c r="E1988" s="3"/>
      <c r="F1988" s="3" t="s">
        <v>7131</v>
      </c>
      <c r="G1988" s="5" t="s">
        <v>6642</v>
      </c>
      <c r="H1988" s="3" t="s">
        <v>7161</v>
      </c>
      <c r="I1988" s="3" t="s">
        <v>7148</v>
      </c>
      <c r="J1988" s="3" t="s">
        <v>1180</v>
      </c>
      <c r="K1988" s="3" t="s">
        <v>229</v>
      </c>
      <c r="L1988" s="3" t="s">
        <v>7162</v>
      </c>
      <c r="M1988" s="3" t="s">
        <v>7163</v>
      </c>
      <c r="N1988" s="3"/>
      <c r="O1988" s="3" t="s">
        <v>7164</v>
      </c>
      <c r="P1988"/>
    </row>
    <row r="1989" spans="1:16" ht="87" hidden="1" x14ac:dyDescent="0.35">
      <c r="A1989" s="3" t="s">
        <v>1184</v>
      </c>
      <c r="B1989" s="3" t="s">
        <v>344</v>
      </c>
      <c r="C1989" s="3"/>
      <c r="D1989" s="3"/>
      <c r="E1989" s="3"/>
      <c r="F1989" s="3" t="s">
        <v>7131</v>
      </c>
      <c r="G1989" s="5" t="s">
        <v>6642</v>
      </c>
      <c r="H1989" s="3" t="s">
        <v>7165</v>
      </c>
      <c r="I1989" s="3" t="s">
        <v>7148</v>
      </c>
      <c r="J1989" s="3" t="s">
        <v>7166</v>
      </c>
      <c r="K1989" s="3" t="s">
        <v>1187</v>
      </c>
      <c r="L1989" s="3" t="s">
        <v>7167</v>
      </c>
      <c r="M1989" s="3" t="s">
        <v>7168</v>
      </c>
      <c r="N1989" s="3"/>
      <c r="O1989" s="3" t="s">
        <v>7169</v>
      </c>
      <c r="P1989"/>
    </row>
    <row r="1990" spans="1:16" ht="87" hidden="1" x14ac:dyDescent="0.35">
      <c r="A1990" s="3" t="s">
        <v>1184</v>
      </c>
      <c r="B1990" s="3" t="s">
        <v>344</v>
      </c>
      <c r="C1990" s="3"/>
      <c r="D1990" s="3"/>
      <c r="E1990" s="3"/>
      <c r="F1990" s="3" t="s">
        <v>7131</v>
      </c>
      <c r="G1990" s="5" t="s">
        <v>6642</v>
      </c>
      <c r="H1990" s="3" t="s">
        <v>7170</v>
      </c>
      <c r="I1990" s="3" t="s">
        <v>7171</v>
      </c>
      <c r="J1990" s="3" t="s">
        <v>7172</v>
      </c>
      <c r="K1990" s="3" t="s">
        <v>1187</v>
      </c>
      <c r="L1990" s="3" t="s">
        <v>7173</v>
      </c>
      <c r="M1990" s="3" t="s">
        <v>7174</v>
      </c>
      <c r="N1990" s="3"/>
      <c r="O1990" s="3" t="s">
        <v>7175</v>
      </c>
      <c r="P1990"/>
    </row>
    <row r="1991" spans="1:16" ht="58" hidden="1" x14ac:dyDescent="0.35">
      <c r="A1991" s="3" t="s">
        <v>1184</v>
      </c>
      <c r="B1991" s="3" t="s">
        <v>344</v>
      </c>
      <c r="C1991" s="3"/>
      <c r="D1991" s="3"/>
      <c r="E1991" s="3"/>
      <c r="F1991" s="3" t="s">
        <v>7131</v>
      </c>
      <c r="G1991" s="5" t="s">
        <v>6642</v>
      </c>
      <c r="H1991" s="3" t="s">
        <v>7176</v>
      </c>
      <c r="I1991" s="3" t="s">
        <v>7171</v>
      </c>
      <c r="J1991" s="3" t="s">
        <v>7177</v>
      </c>
      <c r="K1991" s="3" t="s">
        <v>229</v>
      </c>
      <c r="L1991" s="3" t="s">
        <v>7178</v>
      </c>
      <c r="M1991" s="3" t="s">
        <v>7179</v>
      </c>
      <c r="N1991" s="3"/>
      <c r="O1991" s="3" t="s">
        <v>7180</v>
      </c>
      <c r="P1991"/>
    </row>
    <row r="1992" spans="1:16" ht="87" hidden="1" x14ac:dyDescent="0.35">
      <c r="A1992" s="3" t="s">
        <v>1184</v>
      </c>
      <c r="B1992" s="3" t="s">
        <v>344</v>
      </c>
      <c r="C1992" s="3"/>
      <c r="D1992" s="3"/>
      <c r="E1992" s="3"/>
      <c r="F1992" s="3" t="s">
        <v>7131</v>
      </c>
      <c r="G1992" s="5" t="s">
        <v>6642</v>
      </c>
      <c r="H1992" s="3" t="s">
        <v>7181</v>
      </c>
      <c r="I1992" s="3" t="s">
        <v>7171</v>
      </c>
      <c r="J1992" s="3" t="s">
        <v>7182</v>
      </c>
      <c r="K1992" s="3" t="s">
        <v>1187</v>
      </c>
      <c r="L1992" s="3" t="s">
        <v>7183</v>
      </c>
      <c r="M1992" s="3" t="s">
        <v>7184</v>
      </c>
      <c r="N1992" s="3"/>
      <c r="O1992" s="3" t="s">
        <v>7185</v>
      </c>
      <c r="P1992"/>
    </row>
    <row r="1993" spans="1:16" ht="58" hidden="1" x14ac:dyDescent="0.35">
      <c r="A1993" s="3" t="s">
        <v>1184</v>
      </c>
      <c r="B1993" s="3" t="s">
        <v>344</v>
      </c>
      <c r="C1993" s="3"/>
      <c r="D1993" s="3"/>
      <c r="E1993" s="3"/>
      <c r="F1993" s="3" t="s">
        <v>7131</v>
      </c>
      <c r="G1993" s="5" t="s">
        <v>6642</v>
      </c>
      <c r="H1993" s="3" t="s">
        <v>7186</v>
      </c>
      <c r="I1993" s="3" t="s">
        <v>7171</v>
      </c>
      <c r="J1993" s="3" t="s">
        <v>7187</v>
      </c>
      <c r="K1993" s="3" t="s">
        <v>229</v>
      </c>
      <c r="L1993" s="3" t="s">
        <v>7188</v>
      </c>
      <c r="M1993" s="3" t="s">
        <v>7189</v>
      </c>
      <c r="N1993" s="3"/>
      <c r="O1993" s="3" t="s">
        <v>7190</v>
      </c>
      <c r="P1993"/>
    </row>
    <row r="1994" spans="1:16" ht="87" hidden="1" x14ac:dyDescent="0.35">
      <c r="A1994" s="3" t="s">
        <v>1184</v>
      </c>
      <c r="B1994" s="3" t="s">
        <v>344</v>
      </c>
      <c r="C1994" s="3"/>
      <c r="D1994" s="3"/>
      <c r="E1994" s="3"/>
      <c r="F1994" s="3" t="s">
        <v>7131</v>
      </c>
      <c r="G1994" s="5" t="s">
        <v>6642</v>
      </c>
      <c r="H1994" s="3" t="s">
        <v>7191</v>
      </c>
      <c r="I1994" s="3" t="s">
        <v>7171</v>
      </c>
      <c r="J1994" s="3" t="s">
        <v>7192</v>
      </c>
      <c r="K1994" s="3" t="s">
        <v>1187</v>
      </c>
      <c r="L1994" s="3" t="s">
        <v>7193</v>
      </c>
      <c r="M1994" s="3" t="s">
        <v>7194</v>
      </c>
      <c r="N1994" s="3"/>
      <c r="O1994" s="3" t="s">
        <v>7195</v>
      </c>
      <c r="P1994"/>
    </row>
    <row r="1995" spans="1:16" ht="58" hidden="1" x14ac:dyDescent="0.35">
      <c r="A1995" s="3" t="s">
        <v>1184</v>
      </c>
      <c r="B1995" s="3" t="s">
        <v>344</v>
      </c>
      <c r="C1995" s="3"/>
      <c r="D1995" s="3"/>
      <c r="E1995" s="3"/>
      <c r="F1995" s="3" t="s">
        <v>7131</v>
      </c>
      <c r="G1995" s="5" t="s">
        <v>6642</v>
      </c>
      <c r="H1995" s="3" t="s">
        <v>7196</v>
      </c>
      <c r="I1995" s="3" t="s">
        <v>7171</v>
      </c>
      <c r="J1995" s="3" t="s">
        <v>7197</v>
      </c>
      <c r="K1995" s="3" t="s">
        <v>229</v>
      </c>
      <c r="L1995" s="3" t="s">
        <v>7198</v>
      </c>
      <c r="M1995" s="3" t="s">
        <v>7199</v>
      </c>
      <c r="N1995" s="3"/>
      <c r="O1995" s="3" t="s">
        <v>7200</v>
      </c>
      <c r="P1995"/>
    </row>
    <row r="1996" spans="1:16" ht="87" hidden="1" x14ac:dyDescent="0.35">
      <c r="A1996" s="3" t="s">
        <v>1184</v>
      </c>
      <c r="B1996" s="3" t="s">
        <v>344</v>
      </c>
      <c r="C1996" s="3"/>
      <c r="D1996" s="3"/>
      <c r="E1996" s="3"/>
      <c r="F1996" s="3" t="s">
        <v>7131</v>
      </c>
      <c r="G1996" s="5" t="s">
        <v>6642</v>
      </c>
      <c r="H1996" s="3" t="s">
        <v>7201</v>
      </c>
      <c r="I1996" s="3" t="s">
        <v>7171</v>
      </c>
      <c r="J1996" s="3" t="s">
        <v>7202</v>
      </c>
      <c r="K1996" s="3" t="s">
        <v>1187</v>
      </c>
      <c r="L1996" s="3" t="s">
        <v>7203</v>
      </c>
      <c r="M1996" s="3" t="s">
        <v>7204</v>
      </c>
      <c r="N1996" s="3"/>
      <c r="O1996" s="3" t="s">
        <v>7205</v>
      </c>
      <c r="P1996"/>
    </row>
    <row r="1997" spans="1:16" ht="58" hidden="1" x14ac:dyDescent="0.35">
      <c r="A1997" s="3" t="s">
        <v>1184</v>
      </c>
      <c r="B1997" s="3" t="s">
        <v>344</v>
      </c>
      <c r="C1997" s="3"/>
      <c r="D1997" s="3"/>
      <c r="E1997" s="3"/>
      <c r="F1997" s="3" t="s">
        <v>7131</v>
      </c>
      <c r="G1997" s="5" t="s">
        <v>6642</v>
      </c>
      <c r="H1997" s="3" t="s">
        <v>7206</v>
      </c>
      <c r="I1997" s="3" t="s">
        <v>7171</v>
      </c>
      <c r="J1997" s="3" t="s">
        <v>7207</v>
      </c>
      <c r="K1997" s="3" t="s">
        <v>229</v>
      </c>
      <c r="L1997" s="3" t="s">
        <v>7208</v>
      </c>
      <c r="M1997" s="3" t="s">
        <v>7209</v>
      </c>
      <c r="N1997" s="3"/>
      <c r="O1997" s="3" t="s">
        <v>7210</v>
      </c>
      <c r="P1997"/>
    </row>
    <row r="1998" spans="1:16" ht="58" hidden="1" x14ac:dyDescent="0.35">
      <c r="A1998" s="3" t="s">
        <v>1184</v>
      </c>
      <c r="B1998" s="3" t="s">
        <v>344</v>
      </c>
      <c r="C1998" s="3"/>
      <c r="D1998" s="3"/>
      <c r="E1998" s="3"/>
      <c r="F1998" s="3" t="s">
        <v>7131</v>
      </c>
      <c r="G1998" s="5" t="s">
        <v>6642</v>
      </c>
      <c r="H1998" s="3" t="s">
        <v>7211</v>
      </c>
      <c r="I1998" s="3" t="s">
        <v>7171</v>
      </c>
      <c r="J1998" s="3" t="s">
        <v>7212</v>
      </c>
      <c r="K1998" s="3" t="s">
        <v>229</v>
      </c>
      <c r="L1998" s="3" t="s">
        <v>7213</v>
      </c>
      <c r="M1998" s="3" t="s">
        <v>7214</v>
      </c>
      <c r="N1998" s="3"/>
      <c r="O1998" s="3" t="s">
        <v>7215</v>
      </c>
      <c r="P1998"/>
    </row>
    <row r="1999" spans="1:16" ht="87" hidden="1" x14ac:dyDescent="0.35">
      <c r="A1999" s="3" t="s">
        <v>1184</v>
      </c>
      <c r="B1999" s="3" t="s">
        <v>344</v>
      </c>
      <c r="C1999" s="3"/>
      <c r="D1999" s="3"/>
      <c r="E1999" s="3"/>
      <c r="F1999" s="3" t="s">
        <v>7131</v>
      </c>
      <c r="G1999" s="5" t="s">
        <v>6642</v>
      </c>
      <c r="H1999" s="3" t="s">
        <v>7216</v>
      </c>
      <c r="I1999" s="3" t="s">
        <v>7171</v>
      </c>
      <c r="J1999" s="3" t="s">
        <v>7217</v>
      </c>
      <c r="K1999" s="3" t="s">
        <v>1187</v>
      </c>
      <c r="L1999" s="3" t="s">
        <v>7218</v>
      </c>
      <c r="M1999" s="3" t="s">
        <v>7219</v>
      </c>
      <c r="N1999" s="3"/>
      <c r="O1999" s="3" t="s">
        <v>7220</v>
      </c>
      <c r="P1999"/>
    </row>
    <row r="2000" spans="1:16" ht="87" hidden="1" x14ac:dyDescent="0.35">
      <c r="A2000" s="3" t="s">
        <v>1184</v>
      </c>
      <c r="B2000" s="3" t="s">
        <v>344</v>
      </c>
      <c r="C2000" s="3"/>
      <c r="D2000" s="3"/>
      <c r="E2000" s="3"/>
      <c r="F2000" s="3" t="s">
        <v>7131</v>
      </c>
      <c r="G2000" s="5" t="s">
        <v>6642</v>
      </c>
      <c r="H2000" s="3" t="s">
        <v>7221</v>
      </c>
      <c r="I2000" s="3" t="s">
        <v>7171</v>
      </c>
      <c r="J2000" s="3" t="s">
        <v>7222</v>
      </c>
      <c r="K2000" s="3" t="s">
        <v>1187</v>
      </c>
      <c r="L2000" s="3" t="s">
        <v>7223</v>
      </c>
      <c r="M2000" s="3" t="s">
        <v>7224</v>
      </c>
      <c r="N2000" s="3"/>
      <c r="O2000" s="3" t="s">
        <v>7225</v>
      </c>
      <c r="P2000"/>
    </row>
    <row r="2001" spans="1:16" ht="58" hidden="1" x14ac:dyDescent="0.35">
      <c r="A2001" s="3" t="s">
        <v>1184</v>
      </c>
      <c r="B2001" s="3" t="s">
        <v>344</v>
      </c>
      <c r="C2001" s="3"/>
      <c r="D2001" s="3"/>
      <c r="E2001" s="3"/>
      <c r="F2001" s="3" t="s">
        <v>7131</v>
      </c>
      <c r="G2001" s="5" t="s">
        <v>6642</v>
      </c>
      <c r="H2001" s="3" t="s">
        <v>7226</v>
      </c>
      <c r="I2001" s="3" t="s">
        <v>7171</v>
      </c>
      <c r="J2001" s="3" t="s">
        <v>7227</v>
      </c>
      <c r="K2001" s="3" t="s">
        <v>229</v>
      </c>
      <c r="L2001" s="3" t="s">
        <v>7228</v>
      </c>
      <c r="M2001" s="3" t="s">
        <v>7229</v>
      </c>
      <c r="N2001" s="3"/>
      <c r="O2001" s="3" t="s">
        <v>7230</v>
      </c>
      <c r="P2001"/>
    </row>
    <row r="2002" spans="1:16" ht="58" hidden="1" x14ac:dyDescent="0.35">
      <c r="A2002" s="3" t="s">
        <v>1184</v>
      </c>
      <c r="B2002" s="3" t="s">
        <v>344</v>
      </c>
      <c r="C2002" s="3"/>
      <c r="D2002" s="3"/>
      <c r="E2002" s="3"/>
      <c r="F2002" s="3" t="s">
        <v>7131</v>
      </c>
      <c r="G2002" s="5" t="s">
        <v>6642</v>
      </c>
      <c r="H2002" s="3" t="s">
        <v>7231</v>
      </c>
      <c r="I2002" s="3" t="s">
        <v>7232</v>
      </c>
      <c r="J2002" s="3" t="s">
        <v>7233</v>
      </c>
      <c r="K2002" s="3" t="s">
        <v>229</v>
      </c>
      <c r="L2002" s="3" t="s">
        <v>7234</v>
      </c>
      <c r="M2002" s="3" t="s">
        <v>7235</v>
      </c>
      <c r="N2002" s="3"/>
      <c r="O2002" s="3" t="s">
        <v>7236</v>
      </c>
      <c r="P2002"/>
    </row>
    <row r="2003" spans="1:16" ht="58" hidden="1" x14ac:dyDescent="0.35">
      <c r="A2003" s="3" t="s">
        <v>1184</v>
      </c>
      <c r="B2003" s="3" t="s">
        <v>344</v>
      </c>
      <c r="C2003" s="3"/>
      <c r="D2003" s="3"/>
      <c r="E2003" s="3"/>
      <c r="F2003" s="3" t="s">
        <v>7131</v>
      </c>
      <c r="G2003" s="5" t="s">
        <v>6642</v>
      </c>
      <c r="H2003" s="3" t="s">
        <v>7237</v>
      </c>
      <c r="I2003" s="3" t="s">
        <v>7232</v>
      </c>
      <c r="J2003" s="3" t="s">
        <v>7238</v>
      </c>
      <c r="K2003" s="3" t="s">
        <v>229</v>
      </c>
      <c r="L2003" s="3" t="s">
        <v>7239</v>
      </c>
      <c r="M2003" s="3" t="s">
        <v>7240</v>
      </c>
      <c r="N2003" s="3"/>
      <c r="O2003" s="3" t="s">
        <v>7241</v>
      </c>
      <c r="P2003"/>
    </row>
    <row r="2004" spans="1:16" ht="87" hidden="1" x14ac:dyDescent="0.35">
      <c r="A2004" s="3" t="s">
        <v>1184</v>
      </c>
      <c r="B2004" s="3" t="s">
        <v>344</v>
      </c>
      <c r="C2004" s="3"/>
      <c r="D2004" s="3"/>
      <c r="E2004" s="3"/>
      <c r="F2004" s="3" t="s">
        <v>7131</v>
      </c>
      <c r="G2004" s="5" t="s">
        <v>6642</v>
      </c>
      <c r="H2004" s="3" t="s">
        <v>7242</v>
      </c>
      <c r="I2004" s="3" t="s">
        <v>7232</v>
      </c>
      <c r="J2004" s="3" t="s">
        <v>7243</v>
      </c>
      <c r="K2004" s="3" t="s">
        <v>1187</v>
      </c>
      <c r="L2004" s="3" t="s">
        <v>7244</v>
      </c>
      <c r="M2004" s="3" t="s">
        <v>7245</v>
      </c>
      <c r="N2004" s="3"/>
      <c r="O2004" s="3" t="s">
        <v>7246</v>
      </c>
      <c r="P2004"/>
    </row>
    <row r="2005" spans="1:16" ht="58" hidden="1" x14ac:dyDescent="0.35">
      <c r="A2005" s="3" t="s">
        <v>1184</v>
      </c>
      <c r="B2005" s="3" t="s">
        <v>344</v>
      </c>
      <c r="C2005" s="3"/>
      <c r="D2005" s="3"/>
      <c r="E2005" s="3"/>
      <c r="F2005" s="3" t="s">
        <v>7131</v>
      </c>
      <c r="G2005" s="5" t="s">
        <v>6642</v>
      </c>
      <c r="H2005" s="3" t="s">
        <v>7247</v>
      </c>
      <c r="I2005" s="3" t="s">
        <v>7232</v>
      </c>
      <c r="J2005" s="3" t="s">
        <v>7248</v>
      </c>
      <c r="K2005" s="3" t="s">
        <v>229</v>
      </c>
      <c r="L2005" s="3" t="s">
        <v>7249</v>
      </c>
      <c r="M2005" s="3" t="s">
        <v>7250</v>
      </c>
      <c r="N2005" s="3"/>
      <c r="O2005" s="3" t="s">
        <v>7251</v>
      </c>
      <c r="P2005"/>
    </row>
    <row r="2006" spans="1:16" ht="58" hidden="1" x14ac:dyDescent="0.35">
      <c r="A2006" s="3" t="s">
        <v>1184</v>
      </c>
      <c r="B2006" s="3" t="s">
        <v>344</v>
      </c>
      <c r="C2006" s="3"/>
      <c r="D2006" s="3"/>
      <c r="E2006" s="3"/>
      <c r="F2006" s="3" t="s">
        <v>7131</v>
      </c>
      <c r="G2006" s="5" t="s">
        <v>6642</v>
      </c>
      <c r="H2006" s="3" t="s">
        <v>7252</v>
      </c>
      <c r="I2006" s="3" t="s">
        <v>7253</v>
      </c>
      <c r="J2006" s="3" t="s">
        <v>7254</v>
      </c>
      <c r="K2006" s="3" t="s">
        <v>229</v>
      </c>
      <c r="L2006" s="3" t="s">
        <v>7255</v>
      </c>
      <c r="M2006" s="3" t="s">
        <v>7256</v>
      </c>
      <c r="N2006" s="3"/>
      <c r="O2006" s="3" t="s">
        <v>7257</v>
      </c>
      <c r="P2006"/>
    </row>
    <row r="2007" spans="1:16" ht="58" hidden="1" x14ac:dyDescent="0.35">
      <c r="A2007" s="3" t="s">
        <v>1184</v>
      </c>
      <c r="B2007" s="3" t="s">
        <v>344</v>
      </c>
      <c r="C2007" s="3"/>
      <c r="D2007" s="3"/>
      <c r="E2007" s="3"/>
      <c r="F2007" s="3" t="s">
        <v>7131</v>
      </c>
      <c r="G2007" s="5" t="s">
        <v>6642</v>
      </c>
      <c r="H2007" s="3" t="s">
        <v>7258</v>
      </c>
      <c r="I2007" s="3" t="s">
        <v>7253</v>
      </c>
      <c r="J2007" s="3" t="s">
        <v>7259</v>
      </c>
      <c r="K2007" s="3" t="s">
        <v>229</v>
      </c>
      <c r="L2007" s="3" t="s">
        <v>7260</v>
      </c>
      <c r="M2007" s="3" t="s">
        <v>7261</v>
      </c>
      <c r="N2007" s="3"/>
      <c r="O2007" s="3" t="s">
        <v>7262</v>
      </c>
      <c r="P2007"/>
    </row>
    <row r="2008" spans="1:16" ht="58" hidden="1" x14ac:dyDescent="0.35">
      <c r="A2008" s="3" t="s">
        <v>1184</v>
      </c>
      <c r="B2008" s="3" t="s">
        <v>344</v>
      </c>
      <c r="C2008" s="3"/>
      <c r="D2008" s="3"/>
      <c r="E2008" s="3"/>
      <c r="F2008" s="3" t="s">
        <v>7131</v>
      </c>
      <c r="G2008" s="5" t="s">
        <v>6642</v>
      </c>
      <c r="H2008" s="3" t="s">
        <v>7263</v>
      </c>
      <c r="I2008" s="3" t="s">
        <v>7253</v>
      </c>
      <c r="J2008" s="3" t="s">
        <v>7264</v>
      </c>
      <c r="K2008" s="3" t="s">
        <v>229</v>
      </c>
      <c r="L2008" s="3" t="s">
        <v>7265</v>
      </c>
      <c r="M2008" s="3" t="s">
        <v>7266</v>
      </c>
      <c r="N2008" s="3"/>
      <c r="O2008" s="3" t="s">
        <v>7267</v>
      </c>
      <c r="P2008"/>
    </row>
    <row r="2009" spans="1:16" ht="87" hidden="1" x14ac:dyDescent="0.35">
      <c r="A2009" s="3" t="s">
        <v>1184</v>
      </c>
      <c r="B2009" s="3" t="s">
        <v>344</v>
      </c>
      <c r="C2009" s="3"/>
      <c r="D2009" s="3"/>
      <c r="E2009" s="3"/>
      <c r="F2009" s="3" t="s">
        <v>7131</v>
      </c>
      <c r="G2009" s="5" t="s">
        <v>6642</v>
      </c>
      <c r="H2009" s="3" t="s">
        <v>7268</v>
      </c>
      <c r="I2009" s="3" t="s">
        <v>7253</v>
      </c>
      <c r="J2009" s="3" t="s">
        <v>7269</v>
      </c>
      <c r="K2009" s="3" t="s">
        <v>1187</v>
      </c>
      <c r="L2009" s="3" t="s">
        <v>7270</v>
      </c>
      <c r="M2009" s="3" t="s">
        <v>7271</v>
      </c>
      <c r="N2009" s="3"/>
      <c r="O2009" s="3" t="s">
        <v>7272</v>
      </c>
      <c r="P2009"/>
    </row>
    <row r="2010" spans="1:16" ht="58" hidden="1" x14ac:dyDescent="0.35">
      <c r="A2010" s="3" t="s">
        <v>1184</v>
      </c>
      <c r="B2010" s="3" t="s">
        <v>344</v>
      </c>
      <c r="C2010" s="3"/>
      <c r="D2010" s="3"/>
      <c r="E2010" s="3"/>
      <c r="F2010" s="3" t="s">
        <v>7131</v>
      </c>
      <c r="G2010" s="5" t="s">
        <v>6642</v>
      </c>
      <c r="H2010" s="3" t="s">
        <v>7273</v>
      </c>
      <c r="I2010" s="3" t="s">
        <v>7253</v>
      </c>
      <c r="J2010" s="3" t="s">
        <v>7274</v>
      </c>
      <c r="K2010" s="3" t="s">
        <v>229</v>
      </c>
      <c r="L2010" s="3" t="s">
        <v>7275</v>
      </c>
      <c r="M2010" s="3" t="s">
        <v>7276</v>
      </c>
      <c r="N2010" s="3"/>
      <c r="O2010" s="3" t="s">
        <v>7277</v>
      </c>
      <c r="P2010"/>
    </row>
    <row r="2011" spans="1:16" ht="58" hidden="1" x14ac:dyDescent="0.35">
      <c r="A2011" s="3" t="s">
        <v>1184</v>
      </c>
      <c r="B2011" s="3" t="s">
        <v>344</v>
      </c>
      <c r="C2011" s="3"/>
      <c r="D2011" s="3"/>
      <c r="E2011" s="3"/>
      <c r="F2011" s="3" t="s">
        <v>7131</v>
      </c>
      <c r="G2011" s="5" t="s">
        <v>6642</v>
      </c>
      <c r="H2011" s="3" t="s">
        <v>7278</v>
      </c>
      <c r="I2011" s="3" t="s">
        <v>7253</v>
      </c>
      <c r="J2011" s="3" t="s">
        <v>7279</v>
      </c>
      <c r="K2011" s="3" t="s">
        <v>229</v>
      </c>
      <c r="L2011" s="3" t="s">
        <v>7280</v>
      </c>
      <c r="M2011" s="3" t="s">
        <v>7281</v>
      </c>
      <c r="N2011" s="3"/>
      <c r="O2011" s="3" t="s">
        <v>7282</v>
      </c>
      <c r="P2011"/>
    </row>
    <row r="2012" spans="1:16" ht="87" hidden="1" x14ac:dyDescent="0.35">
      <c r="A2012" s="3" t="s">
        <v>1184</v>
      </c>
      <c r="B2012" s="3" t="s">
        <v>344</v>
      </c>
      <c r="C2012" s="3"/>
      <c r="D2012" s="3"/>
      <c r="E2012" s="3"/>
      <c r="F2012" s="3" t="s">
        <v>7131</v>
      </c>
      <c r="G2012" s="5" t="s">
        <v>6642</v>
      </c>
      <c r="H2012" s="3" t="s">
        <v>7283</v>
      </c>
      <c r="I2012" s="3" t="s">
        <v>7284</v>
      </c>
      <c r="J2012" s="3" t="s">
        <v>7285</v>
      </c>
      <c r="K2012" s="3" t="s">
        <v>1187</v>
      </c>
      <c r="L2012" s="3" t="s">
        <v>7286</v>
      </c>
      <c r="M2012" s="3" t="s">
        <v>7287</v>
      </c>
      <c r="N2012" s="3"/>
      <c r="O2012" s="3" t="s">
        <v>7288</v>
      </c>
      <c r="P2012"/>
    </row>
    <row r="2013" spans="1:16" ht="87" hidden="1" x14ac:dyDescent="0.35">
      <c r="A2013" s="3" t="s">
        <v>1184</v>
      </c>
      <c r="B2013" s="3" t="s">
        <v>344</v>
      </c>
      <c r="C2013" s="3"/>
      <c r="D2013" s="3"/>
      <c r="E2013" s="3"/>
      <c r="F2013" s="3" t="s">
        <v>7131</v>
      </c>
      <c r="G2013" s="5" t="s">
        <v>6642</v>
      </c>
      <c r="H2013" s="3" t="s">
        <v>7289</v>
      </c>
      <c r="I2013" s="3" t="s">
        <v>7284</v>
      </c>
      <c r="J2013" s="3" t="s">
        <v>7290</v>
      </c>
      <c r="K2013" s="3" t="s">
        <v>1187</v>
      </c>
      <c r="L2013" s="3" t="s">
        <v>7291</v>
      </c>
      <c r="M2013" s="3" t="s">
        <v>7292</v>
      </c>
      <c r="N2013" s="3"/>
      <c r="O2013" s="3" t="s">
        <v>7293</v>
      </c>
      <c r="P2013"/>
    </row>
    <row r="2014" spans="1:16" ht="87" hidden="1" x14ac:dyDescent="0.35">
      <c r="A2014" s="3" t="s">
        <v>1184</v>
      </c>
      <c r="B2014" s="3" t="s">
        <v>344</v>
      </c>
      <c r="C2014" s="3"/>
      <c r="D2014" s="3"/>
      <c r="E2014" s="3"/>
      <c r="F2014" s="3" t="s">
        <v>7131</v>
      </c>
      <c r="G2014" s="5" t="s">
        <v>6642</v>
      </c>
      <c r="H2014" s="3" t="s">
        <v>7294</v>
      </c>
      <c r="I2014" s="3" t="s">
        <v>7284</v>
      </c>
      <c r="J2014" s="3" t="s">
        <v>7295</v>
      </c>
      <c r="K2014" s="3" t="s">
        <v>1187</v>
      </c>
      <c r="L2014" s="3" t="s">
        <v>7296</v>
      </c>
      <c r="M2014" s="3" t="s">
        <v>7297</v>
      </c>
      <c r="N2014" s="3"/>
      <c r="O2014" s="3" t="s">
        <v>7298</v>
      </c>
      <c r="P2014"/>
    </row>
    <row r="2015" spans="1:16" ht="87" hidden="1" x14ac:dyDescent="0.35">
      <c r="A2015" s="3" t="s">
        <v>1184</v>
      </c>
      <c r="B2015" s="3" t="s">
        <v>344</v>
      </c>
      <c r="C2015" s="3"/>
      <c r="D2015" s="3"/>
      <c r="E2015" s="3"/>
      <c r="F2015" s="3" t="s">
        <v>7131</v>
      </c>
      <c r="G2015" s="5" t="s">
        <v>6642</v>
      </c>
      <c r="H2015" s="3" t="s">
        <v>7299</v>
      </c>
      <c r="I2015" s="3" t="s">
        <v>7284</v>
      </c>
      <c r="J2015" s="3" t="s">
        <v>7300</v>
      </c>
      <c r="K2015" s="3" t="s">
        <v>1187</v>
      </c>
      <c r="L2015" s="3" t="s">
        <v>7301</v>
      </c>
      <c r="M2015" s="3" t="s">
        <v>7302</v>
      </c>
      <c r="N2015" s="3"/>
      <c r="O2015" s="3" t="s">
        <v>7303</v>
      </c>
      <c r="P2015"/>
    </row>
    <row r="2016" spans="1:16" ht="87" hidden="1" x14ac:dyDescent="0.35">
      <c r="A2016" s="3" t="s">
        <v>1184</v>
      </c>
      <c r="B2016" s="3" t="s">
        <v>344</v>
      </c>
      <c r="C2016" s="3"/>
      <c r="D2016" s="3"/>
      <c r="E2016" s="3"/>
      <c r="F2016" s="3" t="s">
        <v>7131</v>
      </c>
      <c r="G2016" s="5" t="s">
        <v>6642</v>
      </c>
      <c r="H2016" s="3" t="s">
        <v>7304</v>
      </c>
      <c r="I2016" s="3" t="s">
        <v>7284</v>
      </c>
      <c r="J2016" s="3" t="s">
        <v>7305</v>
      </c>
      <c r="K2016" s="3" t="s">
        <v>1187</v>
      </c>
      <c r="L2016" s="3" t="s">
        <v>7306</v>
      </c>
      <c r="M2016" s="3" t="s">
        <v>7307</v>
      </c>
      <c r="N2016" s="3"/>
      <c r="O2016" s="3" t="s">
        <v>7308</v>
      </c>
      <c r="P2016"/>
    </row>
    <row r="2017" spans="1:16" ht="58" hidden="1" x14ac:dyDescent="0.35">
      <c r="A2017" s="3" t="s">
        <v>1184</v>
      </c>
      <c r="B2017" s="3" t="s">
        <v>344</v>
      </c>
      <c r="C2017" s="3"/>
      <c r="D2017" s="3"/>
      <c r="E2017" s="3"/>
      <c r="F2017" s="3" t="s">
        <v>7131</v>
      </c>
      <c r="G2017" s="5" t="s">
        <v>6642</v>
      </c>
      <c r="H2017" s="3" t="s">
        <v>7309</v>
      </c>
      <c r="I2017" s="3" t="s">
        <v>7284</v>
      </c>
      <c r="J2017" s="3" t="s">
        <v>7310</v>
      </c>
      <c r="K2017" s="3" t="s">
        <v>229</v>
      </c>
      <c r="L2017" s="3" t="s">
        <v>7311</v>
      </c>
      <c r="M2017" s="3" t="s">
        <v>7312</v>
      </c>
      <c r="N2017" s="3"/>
      <c r="O2017" s="3" t="s">
        <v>7313</v>
      </c>
      <c r="P2017"/>
    </row>
    <row r="2018" spans="1:16" ht="58" hidden="1" x14ac:dyDescent="0.35">
      <c r="A2018" s="3" t="s">
        <v>1184</v>
      </c>
      <c r="B2018" s="3" t="s">
        <v>344</v>
      </c>
      <c r="C2018" s="3"/>
      <c r="D2018" s="3"/>
      <c r="E2018" s="3"/>
      <c r="F2018" s="3" t="s">
        <v>7131</v>
      </c>
      <c r="G2018" s="5" t="s">
        <v>6642</v>
      </c>
      <c r="H2018" s="3" t="s">
        <v>7314</v>
      </c>
      <c r="I2018" s="3" t="s">
        <v>7284</v>
      </c>
      <c r="J2018" s="3" t="s">
        <v>7315</v>
      </c>
      <c r="K2018" s="3" t="s">
        <v>229</v>
      </c>
      <c r="L2018" s="3" t="s">
        <v>7316</v>
      </c>
      <c r="M2018" s="3" t="s">
        <v>7317</v>
      </c>
      <c r="N2018" s="3"/>
      <c r="O2018" s="3" t="s">
        <v>7318</v>
      </c>
      <c r="P2018"/>
    </row>
    <row r="2019" spans="1:16" ht="58" hidden="1" x14ac:dyDescent="0.35">
      <c r="A2019" s="3" t="s">
        <v>1184</v>
      </c>
      <c r="B2019" s="3" t="s">
        <v>344</v>
      </c>
      <c r="C2019" s="3"/>
      <c r="D2019" s="3"/>
      <c r="E2019" s="3"/>
      <c r="F2019" s="3" t="s">
        <v>7131</v>
      </c>
      <c r="G2019" s="5" t="s">
        <v>6642</v>
      </c>
      <c r="H2019" s="3" t="s">
        <v>7319</v>
      </c>
      <c r="I2019" s="3" t="s">
        <v>7284</v>
      </c>
      <c r="J2019" s="3" t="s">
        <v>7320</v>
      </c>
      <c r="K2019" s="3" t="s">
        <v>229</v>
      </c>
      <c r="L2019" s="3" t="s">
        <v>7321</v>
      </c>
      <c r="M2019" s="3" t="s">
        <v>7322</v>
      </c>
      <c r="N2019" s="3"/>
      <c r="O2019" s="3" t="s">
        <v>7323</v>
      </c>
      <c r="P2019"/>
    </row>
    <row r="2020" spans="1:16" ht="58" hidden="1" x14ac:dyDescent="0.35">
      <c r="A2020" s="3" t="s">
        <v>1184</v>
      </c>
      <c r="B2020" s="3" t="s">
        <v>344</v>
      </c>
      <c r="C2020" s="3"/>
      <c r="D2020" s="3"/>
      <c r="E2020" s="3"/>
      <c r="F2020" s="3" t="s">
        <v>7131</v>
      </c>
      <c r="G2020" s="5" t="s">
        <v>6642</v>
      </c>
      <c r="H2020" s="3" t="s">
        <v>7324</v>
      </c>
      <c r="I2020" s="3" t="s">
        <v>7284</v>
      </c>
      <c r="J2020" s="3" t="s">
        <v>7325</v>
      </c>
      <c r="K2020" s="3" t="s">
        <v>229</v>
      </c>
      <c r="L2020" s="3" t="s">
        <v>7326</v>
      </c>
      <c r="M2020" s="3" t="s">
        <v>7327</v>
      </c>
      <c r="N2020" s="3"/>
      <c r="O2020" s="3" t="s">
        <v>7328</v>
      </c>
      <c r="P2020"/>
    </row>
    <row r="2021" spans="1:16" ht="58" hidden="1" x14ac:dyDescent="0.35">
      <c r="A2021" s="3" t="s">
        <v>1184</v>
      </c>
      <c r="B2021" s="3" t="s">
        <v>344</v>
      </c>
      <c r="C2021" s="3"/>
      <c r="D2021" s="3"/>
      <c r="E2021" s="3"/>
      <c r="F2021" s="3" t="s">
        <v>7131</v>
      </c>
      <c r="G2021" s="5" t="s">
        <v>6642</v>
      </c>
      <c r="H2021" s="3" t="s">
        <v>7329</v>
      </c>
      <c r="I2021" s="3" t="s">
        <v>7284</v>
      </c>
      <c r="J2021" s="3" t="s">
        <v>7330</v>
      </c>
      <c r="K2021" s="3" t="s">
        <v>229</v>
      </c>
      <c r="L2021" s="3" t="s">
        <v>7331</v>
      </c>
      <c r="M2021" s="3" t="s">
        <v>7332</v>
      </c>
      <c r="N2021" s="3"/>
      <c r="O2021" s="3" t="s">
        <v>7333</v>
      </c>
      <c r="P2021"/>
    </row>
    <row r="2022" spans="1:16" ht="58" hidden="1" x14ac:dyDescent="0.35">
      <c r="A2022" s="3" t="s">
        <v>1184</v>
      </c>
      <c r="B2022" s="3" t="s">
        <v>344</v>
      </c>
      <c r="C2022" s="3"/>
      <c r="D2022" s="3"/>
      <c r="E2022" s="3"/>
      <c r="F2022" s="3" t="s">
        <v>7131</v>
      </c>
      <c r="G2022" s="5" t="s">
        <v>6642</v>
      </c>
      <c r="H2022" s="3" t="s">
        <v>7334</v>
      </c>
      <c r="I2022" s="3" t="s">
        <v>7284</v>
      </c>
      <c r="J2022" s="3" t="s">
        <v>7335</v>
      </c>
      <c r="K2022" s="3" t="s">
        <v>229</v>
      </c>
      <c r="L2022" s="3" t="s">
        <v>1192</v>
      </c>
      <c r="M2022" s="3" t="s">
        <v>7336</v>
      </c>
      <c r="N2022" s="3"/>
      <c r="O2022" s="3" t="s">
        <v>7337</v>
      </c>
      <c r="P2022"/>
    </row>
    <row r="2023" spans="1:16" ht="58" hidden="1" x14ac:dyDescent="0.35">
      <c r="A2023" s="3" t="s">
        <v>1184</v>
      </c>
      <c r="B2023" s="3" t="s">
        <v>344</v>
      </c>
      <c r="C2023" s="3"/>
      <c r="D2023" s="3"/>
      <c r="E2023" s="3"/>
      <c r="F2023" s="3" t="s">
        <v>7131</v>
      </c>
      <c r="G2023" s="5" t="s">
        <v>6642</v>
      </c>
      <c r="H2023" s="3" t="s">
        <v>7338</v>
      </c>
      <c r="I2023" s="3" t="s">
        <v>7284</v>
      </c>
      <c r="J2023" s="3" t="s">
        <v>7339</v>
      </c>
      <c r="K2023" s="3" t="s">
        <v>229</v>
      </c>
      <c r="L2023" s="3" t="s">
        <v>7340</v>
      </c>
      <c r="M2023" s="3" t="s">
        <v>7341</v>
      </c>
      <c r="N2023" s="3"/>
      <c r="O2023" s="3" t="s">
        <v>7342</v>
      </c>
      <c r="P2023"/>
    </row>
    <row r="2024" spans="1:16" ht="58" hidden="1" x14ac:dyDescent="0.35">
      <c r="A2024" s="3" t="s">
        <v>1184</v>
      </c>
      <c r="B2024" s="3" t="s">
        <v>344</v>
      </c>
      <c r="C2024" s="3"/>
      <c r="D2024" s="3"/>
      <c r="E2024" s="3"/>
      <c r="F2024" s="3" t="s">
        <v>7131</v>
      </c>
      <c r="G2024" s="5" t="s">
        <v>6642</v>
      </c>
      <c r="H2024" s="3" t="s">
        <v>7343</v>
      </c>
      <c r="I2024" s="3" t="s">
        <v>7284</v>
      </c>
      <c r="J2024" s="3" t="s">
        <v>7344</v>
      </c>
      <c r="K2024" s="3" t="s">
        <v>229</v>
      </c>
      <c r="L2024" s="3" t="s">
        <v>7340</v>
      </c>
      <c r="M2024" s="3" t="s">
        <v>7345</v>
      </c>
      <c r="N2024" s="3"/>
      <c r="O2024" s="3" t="s">
        <v>7342</v>
      </c>
      <c r="P2024"/>
    </row>
    <row r="2025" spans="1:16" ht="58" hidden="1" x14ac:dyDescent="0.35">
      <c r="A2025" s="3" t="s">
        <v>1184</v>
      </c>
      <c r="B2025" s="3" t="s">
        <v>344</v>
      </c>
      <c r="C2025" s="3"/>
      <c r="D2025" s="3"/>
      <c r="E2025" s="3"/>
      <c r="F2025" s="3" t="s">
        <v>7131</v>
      </c>
      <c r="G2025" s="5" t="s">
        <v>6642</v>
      </c>
      <c r="H2025" s="3" t="s">
        <v>7346</v>
      </c>
      <c r="I2025" s="3" t="s">
        <v>7284</v>
      </c>
      <c r="J2025" s="3" t="s">
        <v>7347</v>
      </c>
      <c r="K2025" s="3" t="s">
        <v>229</v>
      </c>
      <c r="L2025" s="3" t="s">
        <v>1195</v>
      </c>
      <c r="M2025" s="3" t="s">
        <v>7348</v>
      </c>
      <c r="N2025" s="3"/>
      <c r="O2025" s="3" t="s">
        <v>7349</v>
      </c>
      <c r="P2025"/>
    </row>
    <row r="2026" spans="1:16" ht="58" hidden="1" x14ac:dyDescent="0.35">
      <c r="A2026" s="3" t="s">
        <v>1184</v>
      </c>
      <c r="B2026" s="3" t="s">
        <v>344</v>
      </c>
      <c r="C2026" s="3"/>
      <c r="D2026" s="3"/>
      <c r="E2026" s="3"/>
      <c r="F2026" s="3" t="s">
        <v>7131</v>
      </c>
      <c r="G2026" s="5" t="s">
        <v>6642</v>
      </c>
      <c r="H2026" s="3" t="s">
        <v>7350</v>
      </c>
      <c r="I2026" s="3" t="s">
        <v>7284</v>
      </c>
      <c r="J2026" s="3" t="s">
        <v>7351</v>
      </c>
      <c r="K2026" s="3" t="s">
        <v>229</v>
      </c>
      <c r="L2026" s="3" t="s">
        <v>7352</v>
      </c>
      <c r="M2026" s="3" t="s">
        <v>7353</v>
      </c>
      <c r="N2026" s="3"/>
      <c r="O2026" s="3" t="s">
        <v>7354</v>
      </c>
      <c r="P2026"/>
    </row>
    <row r="2027" spans="1:16" ht="58" hidden="1" x14ac:dyDescent="0.35">
      <c r="A2027" s="3" t="s">
        <v>1184</v>
      </c>
      <c r="B2027" s="3" t="s">
        <v>344</v>
      </c>
      <c r="C2027" s="3"/>
      <c r="D2027" s="3"/>
      <c r="E2027" s="3"/>
      <c r="F2027" s="3" t="s">
        <v>7131</v>
      </c>
      <c r="G2027" s="5" t="s">
        <v>6642</v>
      </c>
      <c r="H2027" s="3" t="s">
        <v>7355</v>
      </c>
      <c r="I2027" s="3" t="s">
        <v>7284</v>
      </c>
      <c r="J2027" s="3" t="s">
        <v>7356</v>
      </c>
      <c r="K2027" s="3" t="s">
        <v>229</v>
      </c>
      <c r="L2027" s="3" t="s">
        <v>7352</v>
      </c>
      <c r="M2027" s="3" t="s">
        <v>7357</v>
      </c>
      <c r="N2027" s="3"/>
      <c r="O2027" s="3" t="s">
        <v>7354</v>
      </c>
      <c r="P2027"/>
    </row>
    <row r="2028" spans="1:16" ht="58" hidden="1" x14ac:dyDescent="0.35">
      <c r="A2028" s="3" t="s">
        <v>1184</v>
      </c>
      <c r="B2028" s="3" t="s">
        <v>344</v>
      </c>
      <c r="C2028" s="3"/>
      <c r="D2028" s="3"/>
      <c r="E2028" s="3"/>
      <c r="F2028" s="3" t="s">
        <v>7131</v>
      </c>
      <c r="G2028" s="5" t="s">
        <v>6642</v>
      </c>
      <c r="H2028" s="3" t="s">
        <v>7358</v>
      </c>
      <c r="I2028" s="3" t="s">
        <v>7284</v>
      </c>
      <c r="J2028" s="3" t="s">
        <v>7359</v>
      </c>
      <c r="K2028" s="3" t="s">
        <v>229</v>
      </c>
      <c r="L2028" s="3" t="s">
        <v>7360</v>
      </c>
      <c r="M2028" s="3" t="s">
        <v>7361</v>
      </c>
      <c r="N2028" s="3"/>
      <c r="O2028" s="3" t="s">
        <v>7362</v>
      </c>
      <c r="P2028"/>
    </row>
    <row r="2029" spans="1:16" ht="58" hidden="1" x14ac:dyDescent="0.35">
      <c r="A2029" s="3" t="s">
        <v>1184</v>
      </c>
      <c r="B2029" s="3" t="s">
        <v>344</v>
      </c>
      <c r="C2029" s="3"/>
      <c r="D2029" s="3"/>
      <c r="E2029" s="3"/>
      <c r="F2029" s="3" t="s">
        <v>7131</v>
      </c>
      <c r="G2029" s="5" t="s">
        <v>6642</v>
      </c>
      <c r="H2029" s="3" t="s">
        <v>7363</v>
      </c>
      <c r="I2029" s="3" t="s">
        <v>7284</v>
      </c>
      <c r="J2029" s="3" t="s">
        <v>7364</v>
      </c>
      <c r="K2029" s="3" t="s">
        <v>229</v>
      </c>
      <c r="L2029" s="3" t="s">
        <v>7365</v>
      </c>
      <c r="M2029" s="3" t="s">
        <v>7366</v>
      </c>
      <c r="N2029" s="3"/>
      <c r="O2029" s="3" t="s">
        <v>7367</v>
      </c>
      <c r="P2029"/>
    </row>
    <row r="2030" spans="1:16" ht="58" hidden="1" x14ac:dyDescent="0.35">
      <c r="A2030" s="3" t="s">
        <v>1184</v>
      </c>
      <c r="B2030" s="3" t="s">
        <v>344</v>
      </c>
      <c r="C2030" s="3"/>
      <c r="D2030" s="3"/>
      <c r="E2030" s="3"/>
      <c r="F2030" s="3" t="s">
        <v>7131</v>
      </c>
      <c r="G2030" s="5" t="s">
        <v>6642</v>
      </c>
      <c r="H2030" s="3" t="s">
        <v>7368</v>
      </c>
      <c r="I2030" s="3" t="s">
        <v>7284</v>
      </c>
      <c r="J2030" s="3" t="s">
        <v>7369</v>
      </c>
      <c r="K2030" s="3" t="s">
        <v>229</v>
      </c>
      <c r="L2030" s="3" t="s">
        <v>7370</v>
      </c>
      <c r="M2030" s="3" t="s">
        <v>7371</v>
      </c>
      <c r="N2030" s="3"/>
      <c r="O2030" s="3" t="s">
        <v>7372</v>
      </c>
      <c r="P2030"/>
    </row>
    <row r="2031" spans="1:16" ht="58" hidden="1" x14ac:dyDescent="0.35">
      <c r="A2031" s="3" t="s">
        <v>1184</v>
      </c>
      <c r="B2031" s="3" t="s">
        <v>344</v>
      </c>
      <c r="C2031" s="3"/>
      <c r="D2031" s="3"/>
      <c r="E2031" s="3"/>
      <c r="F2031" s="3" t="s">
        <v>7131</v>
      </c>
      <c r="G2031" s="5" t="s">
        <v>6642</v>
      </c>
      <c r="H2031" s="3" t="s">
        <v>7373</v>
      </c>
      <c r="I2031" s="3" t="s">
        <v>7284</v>
      </c>
      <c r="J2031" s="3" t="s">
        <v>7374</v>
      </c>
      <c r="K2031" s="3" t="s">
        <v>229</v>
      </c>
      <c r="L2031" s="3" t="s">
        <v>7375</v>
      </c>
      <c r="M2031" s="3" t="s">
        <v>7376</v>
      </c>
      <c r="N2031" s="3"/>
      <c r="O2031" s="3" t="s">
        <v>7377</v>
      </c>
      <c r="P2031"/>
    </row>
    <row r="2032" spans="1:16" ht="58" hidden="1" x14ac:dyDescent="0.35">
      <c r="A2032" s="3" t="s">
        <v>1184</v>
      </c>
      <c r="B2032" s="3" t="s">
        <v>344</v>
      </c>
      <c r="C2032" s="3"/>
      <c r="D2032" s="3"/>
      <c r="E2032" s="3"/>
      <c r="F2032" s="3" t="s">
        <v>7131</v>
      </c>
      <c r="G2032" s="5" t="s">
        <v>6642</v>
      </c>
      <c r="H2032" s="3" t="s">
        <v>7378</v>
      </c>
      <c r="I2032" s="3" t="s">
        <v>7284</v>
      </c>
      <c r="J2032" s="3" t="s">
        <v>7379</v>
      </c>
      <c r="K2032" s="3" t="s">
        <v>229</v>
      </c>
      <c r="L2032" s="3" t="s">
        <v>7380</v>
      </c>
      <c r="M2032" s="3" t="s">
        <v>7381</v>
      </c>
      <c r="N2032" s="3"/>
      <c r="O2032" s="3" t="s">
        <v>7382</v>
      </c>
      <c r="P2032"/>
    </row>
    <row r="2033" spans="1:16" ht="87" hidden="1" x14ac:dyDescent="0.35">
      <c r="A2033" s="3" t="s">
        <v>1184</v>
      </c>
      <c r="B2033" s="3" t="s">
        <v>344</v>
      </c>
      <c r="C2033" s="3"/>
      <c r="D2033" s="3"/>
      <c r="E2033" s="3"/>
      <c r="F2033" s="3" t="s">
        <v>7131</v>
      </c>
      <c r="G2033" s="5" t="s">
        <v>6642</v>
      </c>
      <c r="H2033" s="3" t="s">
        <v>7383</v>
      </c>
      <c r="I2033" s="3" t="s">
        <v>7284</v>
      </c>
      <c r="J2033" s="3" t="s">
        <v>7384</v>
      </c>
      <c r="K2033" s="3" t="s">
        <v>1187</v>
      </c>
      <c r="L2033" s="3" t="s">
        <v>7385</v>
      </c>
      <c r="M2033" s="3" t="s">
        <v>7386</v>
      </c>
      <c r="N2033" s="3"/>
      <c r="O2033" s="3" t="s">
        <v>7387</v>
      </c>
      <c r="P2033"/>
    </row>
    <row r="2034" spans="1:16" ht="58" hidden="1" x14ac:dyDescent="0.35">
      <c r="A2034" s="3" t="s">
        <v>1184</v>
      </c>
      <c r="B2034" s="3" t="s">
        <v>344</v>
      </c>
      <c r="C2034" s="3"/>
      <c r="D2034" s="3"/>
      <c r="E2034" s="3"/>
      <c r="F2034" s="3" t="s">
        <v>7131</v>
      </c>
      <c r="G2034" s="5" t="s">
        <v>6642</v>
      </c>
      <c r="H2034" s="3" t="s">
        <v>7388</v>
      </c>
      <c r="I2034" s="3" t="s">
        <v>7284</v>
      </c>
      <c r="J2034" s="3" t="s">
        <v>7389</v>
      </c>
      <c r="K2034" s="3" t="s">
        <v>229</v>
      </c>
      <c r="L2034" s="3" t="s">
        <v>7390</v>
      </c>
      <c r="M2034" s="3" t="s">
        <v>7391</v>
      </c>
      <c r="N2034" s="3"/>
      <c r="O2034" s="3" t="s">
        <v>7392</v>
      </c>
      <c r="P2034"/>
    </row>
    <row r="2035" spans="1:16" ht="58" hidden="1" x14ac:dyDescent="0.35">
      <c r="A2035" s="3" t="s">
        <v>1184</v>
      </c>
      <c r="B2035" s="3" t="s">
        <v>344</v>
      </c>
      <c r="C2035" s="3"/>
      <c r="D2035" s="3"/>
      <c r="E2035" s="3"/>
      <c r="F2035" s="3" t="s">
        <v>7131</v>
      </c>
      <c r="G2035" s="5" t="s">
        <v>6642</v>
      </c>
      <c r="H2035" s="3" t="s">
        <v>7393</v>
      </c>
      <c r="I2035" s="3" t="s">
        <v>7284</v>
      </c>
      <c r="J2035" s="3" t="s">
        <v>7394</v>
      </c>
      <c r="K2035" s="3" t="s">
        <v>229</v>
      </c>
      <c r="L2035" s="3" t="s">
        <v>7395</v>
      </c>
      <c r="M2035" s="3" t="s">
        <v>7396</v>
      </c>
      <c r="N2035" s="3"/>
      <c r="O2035" s="3" t="s">
        <v>7397</v>
      </c>
      <c r="P2035"/>
    </row>
    <row r="2036" spans="1:16" ht="58" hidden="1" x14ac:dyDescent="0.35">
      <c r="A2036" s="3" t="s">
        <v>1184</v>
      </c>
      <c r="B2036" s="3" t="s">
        <v>344</v>
      </c>
      <c r="C2036" s="3"/>
      <c r="D2036" s="3"/>
      <c r="E2036" s="3"/>
      <c r="F2036" s="3" t="s">
        <v>7131</v>
      </c>
      <c r="G2036" s="5" t="s">
        <v>6642</v>
      </c>
      <c r="H2036" s="3" t="s">
        <v>7398</v>
      </c>
      <c r="I2036" s="3" t="s">
        <v>7399</v>
      </c>
      <c r="J2036" s="3" t="s">
        <v>7400</v>
      </c>
      <c r="K2036" s="3" t="s">
        <v>229</v>
      </c>
      <c r="L2036" s="3" t="s">
        <v>2924</v>
      </c>
      <c r="M2036" s="3" t="s">
        <v>7401</v>
      </c>
      <c r="N2036" s="3"/>
      <c r="O2036" s="3" t="s">
        <v>7402</v>
      </c>
      <c r="P2036"/>
    </row>
    <row r="2037" spans="1:16" ht="58" hidden="1" x14ac:dyDescent="0.35">
      <c r="A2037" s="3" t="s">
        <v>1184</v>
      </c>
      <c r="B2037" s="3" t="s">
        <v>344</v>
      </c>
      <c r="C2037" s="3"/>
      <c r="D2037" s="3"/>
      <c r="E2037" s="3"/>
      <c r="F2037" s="3" t="s">
        <v>7131</v>
      </c>
      <c r="G2037" s="5" t="s">
        <v>6642</v>
      </c>
      <c r="H2037" s="3" t="s">
        <v>7403</v>
      </c>
      <c r="I2037" s="3" t="s">
        <v>7399</v>
      </c>
      <c r="J2037" s="3" t="s">
        <v>7404</v>
      </c>
      <c r="K2037" s="3" t="s">
        <v>229</v>
      </c>
      <c r="L2037" s="3" t="s">
        <v>7405</v>
      </c>
      <c r="M2037" s="3" t="s">
        <v>7406</v>
      </c>
      <c r="N2037" s="3"/>
      <c r="O2037" s="3" t="s">
        <v>7407</v>
      </c>
      <c r="P2037"/>
    </row>
    <row r="2038" spans="1:16" ht="87" hidden="1" x14ac:dyDescent="0.35">
      <c r="A2038" s="3" t="s">
        <v>1184</v>
      </c>
      <c r="B2038" s="3" t="s">
        <v>344</v>
      </c>
      <c r="C2038" s="3"/>
      <c r="D2038" s="3"/>
      <c r="E2038" s="3"/>
      <c r="F2038" s="3" t="s">
        <v>7131</v>
      </c>
      <c r="G2038" s="5" t="s">
        <v>6642</v>
      </c>
      <c r="H2038" s="3" t="s">
        <v>7408</v>
      </c>
      <c r="I2038" s="3" t="s">
        <v>7409</v>
      </c>
      <c r="J2038" s="3" t="s">
        <v>7410</v>
      </c>
      <c r="K2038" s="3" t="s">
        <v>1187</v>
      </c>
      <c r="L2038" s="3" t="s">
        <v>7411</v>
      </c>
      <c r="M2038" s="3" t="s">
        <v>7412</v>
      </c>
      <c r="N2038" s="3"/>
      <c r="O2038" s="3" t="s">
        <v>7413</v>
      </c>
      <c r="P2038"/>
    </row>
    <row r="2039" spans="1:16" ht="58" hidden="1" x14ac:dyDescent="0.35">
      <c r="A2039" s="3" t="s">
        <v>1184</v>
      </c>
      <c r="B2039" s="3" t="s">
        <v>344</v>
      </c>
      <c r="C2039" s="3"/>
      <c r="D2039" s="3"/>
      <c r="E2039" s="3"/>
      <c r="F2039" s="3" t="s">
        <v>7131</v>
      </c>
      <c r="G2039" s="5" t="s">
        <v>6642</v>
      </c>
      <c r="H2039" s="3" t="s">
        <v>7414</v>
      </c>
      <c r="I2039" s="3" t="s">
        <v>7409</v>
      </c>
      <c r="J2039" s="3" t="s">
        <v>7227</v>
      </c>
      <c r="K2039" s="3" t="s">
        <v>229</v>
      </c>
      <c r="L2039" s="3" t="s">
        <v>7228</v>
      </c>
      <c r="M2039" s="3" t="s">
        <v>7415</v>
      </c>
      <c r="N2039" s="3"/>
      <c r="O2039" s="3" t="s">
        <v>7230</v>
      </c>
      <c r="P2039"/>
    </row>
    <row r="2040" spans="1:16" ht="58" hidden="1" x14ac:dyDescent="0.35">
      <c r="A2040" s="3" t="s">
        <v>1184</v>
      </c>
      <c r="B2040" s="3" t="s">
        <v>344</v>
      </c>
      <c r="C2040" s="3"/>
      <c r="D2040" s="3"/>
      <c r="E2040" s="3"/>
      <c r="F2040" s="3" t="s">
        <v>7131</v>
      </c>
      <c r="G2040" s="5" t="s">
        <v>6642</v>
      </c>
      <c r="H2040" s="3" t="s">
        <v>7416</v>
      </c>
      <c r="I2040" s="3" t="s">
        <v>7417</v>
      </c>
      <c r="J2040" s="3" t="s">
        <v>7238</v>
      </c>
      <c r="K2040" s="3" t="s">
        <v>229</v>
      </c>
      <c r="L2040" s="3" t="s">
        <v>7239</v>
      </c>
      <c r="M2040" s="3" t="s">
        <v>7418</v>
      </c>
      <c r="N2040" s="3"/>
      <c r="O2040" s="3" t="s">
        <v>7241</v>
      </c>
      <c r="P2040"/>
    </row>
    <row r="2041" spans="1:16" ht="58" hidden="1" x14ac:dyDescent="0.35">
      <c r="A2041" s="3" t="s">
        <v>1184</v>
      </c>
      <c r="B2041" s="3" t="s">
        <v>344</v>
      </c>
      <c r="C2041" s="3"/>
      <c r="D2041" s="3"/>
      <c r="E2041" s="3"/>
      <c r="F2041" s="3" t="s">
        <v>7131</v>
      </c>
      <c r="G2041" s="5" t="s">
        <v>6642</v>
      </c>
      <c r="H2041" s="3" t="s">
        <v>7419</v>
      </c>
      <c r="I2041" s="3" t="s">
        <v>6644</v>
      </c>
      <c r="J2041" s="3" t="s">
        <v>7420</v>
      </c>
      <c r="K2041" s="3" t="s">
        <v>229</v>
      </c>
      <c r="L2041" s="3" t="s">
        <v>7234</v>
      </c>
      <c r="M2041" s="3" t="s">
        <v>7421</v>
      </c>
      <c r="N2041" s="3"/>
      <c r="O2041" s="3" t="s">
        <v>7236</v>
      </c>
      <c r="P2041"/>
    </row>
    <row r="2042" spans="1:16" ht="58" hidden="1" x14ac:dyDescent="0.35">
      <c r="A2042" s="3" t="s">
        <v>1184</v>
      </c>
      <c r="B2042" s="3" t="s">
        <v>344</v>
      </c>
      <c r="C2042" s="3"/>
      <c r="D2042" s="3"/>
      <c r="E2042" s="3"/>
      <c r="F2042" s="3" t="s">
        <v>7131</v>
      </c>
      <c r="G2042" s="5" t="s">
        <v>6642</v>
      </c>
      <c r="H2042" s="3" t="s">
        <v>7422</v>
      </c>
      <c r="I2042" s="3" t="s">
        <v>6644</v>
      </c>
      <c r="J2042" s="3" t="s">
        <v>7423</v>
      </c>
      <c r="K2042" s="3" t="s">
        <v>229</v>
      </c>
      <c r="L2042" s="3" t="s">
        <v>7424</v>
      </c>
      <c r="M2042" s="3" t="s">
        <v>7425</v>
      </c>
      <c r="N2042" s="3"/>
      <c r="O2042" s="3" t="s">
        <v>7426</v>
      </c>
      <c r="P2042"/>
    </row>
    <row r="2043" spans="1:16" ht="58" hidden="1" x14ac:dyDescent="0.35">
      <c r="A2043" s="3" t="s">
        <v>1184</v>
      </c>
      <c r="B2043" s="3" t="s">
        <v>344</v>
      </c>
      <c r="C2043" s="3"/>
      <c r="D2043" s="3"/>
      <c r="E2043" s="3"/>
      <c r="F2043" s="3" t="s">
        <v>7131</v>
      </c>
      <c r="G2043" s="5" t="s">
        <v>6642</v>
      </c>
      <c r="H2043" s="3" t="s">
        <v>7427</v>
      </c>
      <c r="I2043" s="3" t="s">
        <v>6644</v>
      </c>
      <c r="J2043" s="3" t="s">
        <v>7428</v>
      </c>
      <c r="K2043" s="3" t="s">
        <v>229</v>
      </c>
      <c r="L2043" s="3" t="s">
        <v>7429</v>
      </c>
      <c r="M2043" s="3" t="s">
        <v>7430</v>
      </c>
      <c r="N2043" s="3"/>
      <c r="O2043" s="3" t="s">
        <v>7431</v>
      </c>
      <c r="P2043"/>
    </row>
    <row r="2044" spans="1:16" ht="58" hidden="1" x14ac:dyDescent="0.35">
      <c r="A2044" s="3" t="s">
        <v>1184</v>
      </c>
      <c r="B2044" s="3" t="s">
        <v>344</v>
      </c>
      <c r="C2044" s="3"/>
      <c r="D2044" s="3"/>
      <c r="E2044" s="3"/>
      <c r="F2044" s="3" t="s">
        <v>7131</v>
      </c>
      <c r="G2044" s="5" t="s">
        <v>6642</v>
      </c>
      <c r="H2044" s="3" t="s">
        <v>7432</v>
      </c>
      <c r="I2044" s="3" t="s">
        <v>6921</v>
      </c>
      <c r="J2044" s="3" t="s">
        <v>7433</v>
      </c>
      <c r="K2044" s="3" t="s">
        <v>229</v>
      </c>
      <c r="L2044" s="3" t="s">
        <v>7434</v>
      </c>
      <c r="M2044" s="3" t="s">
        <v>7435</v>
      </c>
      <c r="N2044" s="3"/>
      <c r="O2044" s="3" t="s">
        <v>7436</v>
      </c>
      <c r="P2044"/>
    </row>
    <row r="2045" spans="1:16" ht="58" hidden="1" x14ac:dyDescent="0.35">
      <c r="A2045" s="3" t="s">
        <v>1184</v>
      </c>
      <c r="B2045" s="3" t="s">
        <v>344</v>
      </c>
      <c r="C2045" s="3"/>
      <c r="D2045" s="3"/>
      <c r="E2045" s="3"/>
      <c r="F2045" s="3" t="s">
        <v>7131</v>
      </c>
      <c r="G2045" s="5" t="s">
        <v>6642</v>
      </c>
      <c r="H2045" s="3" t="s">
        <v>7437</v>
      </c>
      <c r="I2045" s="3" t="s">
        <v>6921</v>
      </c>
      <c r="J2045" s="3" t="s">
        <v>7438</v>
      </c>
      <c r="K2045" s="3" t="s">
        <v>229</v>
      </c>
      <c r="L2045" s="3" t="s">
        <v>7439</v>
      </c>
      <c r="M2045" s="3" t="s">
        <v>7440</v>
      </c>
      <c r="N2045" s="3"/>
      <c r="O2045" s="3" t="s">
        <v>7441</v>
      </c>
      <c r="P2045"/>
    </row>
    <row r="2046" spans="1:16" ht="58" hidden="1" x14ac:dyDescent="0.35">
      <c r="A2046" s="3" t="s">
        <v>1184</v>
      </c>
      <c r="B2046" s="3" t="s">
        <v>344</v>
      </c>
      <c r="C2046" s="3"/>
      <c r="D2046" s="3"/>
      <c r="E2046" s="3"/>
      <c r="F2046" s="3" t="s">
        <v>7131</v>
      </c>
      <c r="G2046" s="5" t="s">
        <v>6642</v>
      </c>
      <c r="H2046" s="3" t="s">
        <v>7442</v>
      </c>
      <c r="I2046" s="3" t="s">
        <v>7443</v>
      </c>
      <c r="J2046" s="3" t="s">
        <v>7444</v>
      </c>
      <c r="K2046" s="3" t="s">
        <v>229</v>
      </c>
      <c r="L2046" s="3" t="s">
        <v>7445</v>
      </c>
      <c r="M2046" s="3" t="s">
        <v>7446</v>
      </c>
      <c r="N2046" s="3"/>
      <c r="O2046" s="3" t="s">
        <v>7447</v>
      </c>
      <c r="P2046"/>
    </row>
    <row r="2047" spans="1:16" ht="58" hidden="1" x14ac:dyDescent="0.35">
      <c r="A2047" s="3" t="s">
        <v>1184</v>
      </c>
      <c r="B2047" s="3" t="s">
        <v>344</v>
      </c>
      <c r="C2047" s="3"/>
      <c r="D2047" s="3"/>
      <c r="E2047" s="3"/>
      <c r="F2047" s="3" t="s">
        <v>7131</v>
      </c>
      <c r="G2047" s="5" t="s">
        <v>6642</v>
      </c>
      <c r="H2047" s="3" t="s">
        <v>7448</v>
      </c>
      <c r="I2047" s="3" t="s">
        <v>7443</v>
      </c>
      <c r="J2047" s="3" t="s">
        <v>7449</v>
      </c>
      <c r="K2047" s="3" t="s">
        <v>229</v>
      </c>
      <c r="L2047" s="3" t="s">
        <v>7450</v>
      </c>
      <c r="M2047" s="3" t="s">
        <v>7451</v>
      </c>
      <c r="N2047" s="3"/>
      <c r="O2047" s="3" t="s">
        <v>7452</v>
      </c>
      <c r="P2047"/>
    </row>
    <row r="2048" spans="1:16" ht="58" hidden="1" x14ac:dyDescent="0.35">
      <c r="A2048" s="3" t="s">
        <v>1184</v>
      </c>
      <c r="B2048" s="3" t="s">
        <v>344</v>
      </c>
      <c r="C2048" s="3"/>
      <c r="D2048" s="3"/>
      <c r="E2048" s="3"/>
      <c r="F2048" s="3" t="s">
        <v>7131</v>
      </c>
      <c r="G2048" s="5" t="s">
        <v>6642</v>
      </c>
      <c r="H2048" s="3" t="s">
        <v>7453</v>
      </c>
      <c r="I2048" s="3" t="s">
        <v>7443</v>
      </c>
      <c r="J2048" s="3" t="s">
        <v>7454</v>
      </c>
      <c r="K2048" s="3" t="s">
        <v>229</v>
      </c>
      <c r="L2048" s="3" t="s">
        <v>7455</v>
      </c>
      <c r="M2048" s="3" t="s">
        <v>7456</v>
      </c>
      <c r="N2048" s="3"/>
      <c r="O2048" s="3" t="s">
        <v>7457</v>
      </c>
      <c r="P2048"/>
    </row>
    <row r="2049" spans="1:16" ht="87" hidden="1" x14ac:dyDescent="0.35">
      <c r="A2049" s="3" t="s">
        <v>1184</v>
      </c>
      <c r="B2049" s="3" t="s">
        <v>344</v>
      </c>
      <c r="C2049" s="3"/>
      <c r="D2049" s="3"/>
      <c r="E2049" s="3"/>
      <c r="F2049" s="3" t="s">
        <v>7131</v>
      </c>
      <c r="G2049" s="5" t="s">
        <v>6642</v>
      </c>
      <c r="H2049" s="3" t="s">
        <v>7458</v>
      </c>
      <c r="I2049" s="3" t="s">
        <v>7443</v>
      </c>
      <c r="J2049" s="3" t="s">
        <v>7459</v>
      </c>
      <c r="K2049" s="3" t="s">
        <v>1187</v>
      </c>
      <c r="L2049" s="3" t="s">
        <v>7460</v>
      </c>
      <c r="M2049" s="3" t="s">
        <v>7461</v>
      </c>
      <c r="N2049" s="3"/>
      <c r="O2049" s="3" t="s">
        <v>7462</v>
      </c>
      <c r="P2049"/>
    </row>
    <row r="2050" spans="1:16" ht="58" hidden="1" x14ac:dyDescent="0.35">
      <c r="A2050" s="3" t="s">
        <v>1184</v>
      </c>
      <c r="B2050" s="3" t="s">
        <v>344</v>
      </c>
      <c r="C2050" s="3"/>
      <c r="D2050" s="3"/>
      <c r="E2050" s="3"/>
      <c r="F2050" s="3" t="s">
        <v>7131</v>
      </c>
      <c r="G2050" s="5" t="s">
        <v>6642</v>
      </c>
      <c r="H2050" s="3" t="s">
        <v>7463</v>
      </c>
      <c r="I2050" s="3" t="s">
        <v>7443</v>
      </c>
      <c r="J2050" s="3" t="s">
        <v>7464</v>
      </c>
      <c r="K2050" s="3" t="s">
        <v>229</v>
      </c>
      <c r="L2050" s="3" t="s">
        <v>7465</v>
      </c>
      <c r="M2050" s="3" t="s">
        <v>7466</v>
      </c>
      <c r="N2050" s="3"/>
      <c r="O2050" s="3" t="s">
        <v>7467</v>
      </c>
      <c r="P2050"/>
    </row>
    <row r="2051" spans="1:16" ht="58" hidden="1" x14ac:dyDescent="0.35">
      <c r="A2051" s="3" t="s">
        <v>1184</v>
      </c>
      <c r="B2051" s="3" t="s">
        <v>344</v>
      </c>
      <c r="C2051" s="3"/>
      <c r="D2051" s="3"/>
      <c r="E2051" s="3"/>
      <c r="F2051" s="3" t="s">
        <v>7131</v>
      </c>
      <c r="G2051" s="5" t="s">
        <v>6642</v>
      </c>
      <c r="H2051" s="3" t="s">
        <v>7468</v>
      </c>
      <c r="I2051" s="3" t="s">
        <v>7443</v>
      </c>
      <c r="J2051" s="3" t="s">
        <v>7469</v>
      </c>
      <c r="K2051" s="3" t="s">
        <v>229</v>
      </c>
      <c r="L2051" s="3" t="s">
        <v>7470</v>
      </c>
      <c r="M2051" s="3" t="s">
        <v>7471</v>
      </c>
      <c r="N2051" s="3"/>
      <c r="O2051" s="3" t="s">
        <v>7472</v>
      </c>
      <c r="P2051"/>
    </row>
    <row r="2052" spans="1:16" ht="58" hidden="1" x14ac:dyDescent="0.35">
      <c r="A2052" s="3" t="s">
        <v>1184</v>
      </c>
      <c r="B2052" s="3" t="s">
        <v>344</v>
      </c>
      <c r="C2052" s="3"/>
      <c r="D2052" s="3"/>
      <c r="E2052" s="3"/>
      <c r="F2052" s="3" t="s">
        <v>7131</v>
      </c>
      <c r="G2052" s="5" t="s">
        <v>6642</v>
      </c>
      <c r="H2052" s="3" t="s">
        <v>7473</v>
      </c>
      <c r="I2052" s="3" t="s">
        <v>7443</v>
      </c>
      <c r="J2052" s="3" t="s">
        <v>7474</v>
      </c>
      <c r="K2052" s="3" t="s">
        <v>229</v>
      </c>
      <c r="L2052" s="3" t="s">
        <v>7475</v>
      </c>
      <c r="M2052" s="3" t="s">
        <v>7476</v>
      </c>
      <c r="N2052" s="3"/>
      <c r="O2052" s="3" t="s">
        <v>7477</v>
      </c>
      <c r="P2052"/>
    </row>
    <row r="2053" spans="1:16" ht="58" hidden="1" x14ac:dyDescent="0.35">
      <c r="A2053" s="3" t="s">
        <v>1184</v>
      </c>
      <c r="B2053" s="3" t="s">
        <v>344</v>
      </c>
      <c r="C2053" s="3"/>
      <c r="D2053" s="3"/>
      <c r="E2053" s="3"/>
      <c r="F2053" s="3" t="s">
        <v>7131</v>
      </c>
      <c r="G2053" s="5" t="s">
        <v>6642</v>
      </c>
      <c r="H2053" s="3" t="s">
        <v>7478</v>
      </c>
      <c r="I2053" s="3" t="s">
        <v>7443</v>
      </c>
      <c r="J2053" s="3" t="s">
        <v>7479</v>
      </c>
      <c r="K2053" s="3" t="s">
        <v>229</v>
      </c>
      <c r="L2053" s="3" t="s">
        <v>7480</v>
      </c>
      <c r="M2053" s="3" t="s">
        <v>7481</v>
      </c>
      <c r="N2053" s="3"/>
      <c r="O2053" s="3" t="s">
        <v>7482</v>
      </c>
      <c r="P2053"/>
    </row>
    <row r="2054" spans="1:16" ht="58" hidden="1" x14ac:dyDescent="0.35">
      <c r="A2054" s="3" t="s">
        <v>1184</v>
      </c>
      <c r="B2054" s="3" t="s">
        <v>344</v>
      </c>
      <c r="C2054" s="3"/>
      <c r="D2054" s="3"/>
      <c r="E2054" s="3"/>
      <c r="F2054" s="3" t="s">
        <v>7131</v>
      </c>
      <c r="G2054" s="5" t="s">
        <v>6642</v>
      </c>
      <c r="H2054" s="3" t="s">
        <v>7483</v>
      </c>
      <c r="I2054" s="3" t="s">
        <v>7443</v>
      </c>
      <c r="J2054" s="3" t="s">
        <v>7484</v>
      </c>
      <c r="K2054" s="3" t="s">
        <v>229</v>
      </c>
      <c r="L2054" s="3" t="s">
        <v>7485</v>
      </c>
      <c r="M2054" s="3" t="s">
        <v>7486</v>
      </c>
      <c r="N2054" s="3"/>
      <c r="O2054" s="3" t="s">
        <v>7487</v>
      </c>
      <c r="P2054"/>
    </row>
    <row r="2055" spans="1:16" ht="58" hidden="1" x14ac:dyDescent="0.35">
      <c r="A2055" s="3" t="s">
        <v>1184</v>
      </c>
      <c r="B2055" s="3" t="s">
        <v>344</v>
      </c>
      <c r="C2055" s="3"/>
      <c r="D2055" s="3"/>
      <c r="E2055" s="3"/>
      <c r="F2055" s="3" t="s">
        <v>7131</v>
      </c>
      <c r="G2055" s="5" t="s">
        <v>6642</v>
      </c>
      <c r="H2055" s="3" t="s">
        <v>7488</v>
      </c>
      <c r="I2055" s="3" t="s">
        <v>7443</v>
      </c>
      <c r="J2055" s="3" t="s">
        <v>7489</v>
      </c>
      <c r="K2055" s="3" t="s">
        <v>229</v>
      </c>
      <c r="L2055" s="3" t="s">
        <v>7490</v>
      </c>
      <c r="M2055" s="3" t="s">
        <v>7491</v>
      </c>
      <c r="N2055" s="3"/>
      <c r="O2055" s="3" t="s">
        <v>7492</v>
      </c>
      <c r="P2055"/>
    </row>
    <row r="2056" spans="1:16" ht="58" hidden="1" x14ac:dyDescent="0.35">
      <c r="A2056" s="3" t="s">
        <v>1184</v>
      </c>
      <c r="B2056" s="3" t="s">
        <v>344</v>
      </c>
      <c r="C2056" s="3"/>
      <c r="D2056" s="3"/>
      <c r="E2056" s="3"/>
      <c r="F2056" s="3" t="s">
        <v>7131</v>
      </c>
      <c r="G2056" s="5" t="s">
        <v>6642</v>
      </c>
      <c r="H2056" s="3" t="s">
        <v>7493</v>
      </c>
      <c r="I2056" s="3" t="s">
        <v>7443</v>
      </c>
      <c r="J2056" s="3" t="s">
        <v>7494</v>
      </c>
      <c r="K2056" s="3" t="s">
        <v>229</v>
      </c>
      <c r="L2056" s="3" t="s">
        <v>7495</v>
      </c>
      <c r="M2056" s="3" t="s">
        <v>7496</v>
      </c>
      <c r="N2056" s="3"/>
      <c r="O2056" s="3" t="s">
        <v>7497</v>
      </c>
      <c r="P2056"/>
    </row>
    <row r="2057" spans="1:16" ht="58" hidden="1" x14ac:dyDescent="0.35">
      <c r="A2057" s="3" t="s">
        <v>1184</v>
      </c>
      <c r="B2057" s="3" t="s">
        <v>344</v>
      </c>
      <c r="C2057" s="3"/>
      <c r="D2057" s="3"/>
      <c r="E2057" s="3"/>
      <c r="F2057" s="3" t="s">
        <v>7498</v>
      </c>
      <c r="G2057" s="3" t="s">
        <v>6900</v>
      </c>
      <c r="I2057" s="3" t="s">
        <v>7443</v>
      </c>
      <c r="J2057" s="3" t="s">
        <v>7499</v>
      </c>
      <c r="K2057" s="3" t="s">
        <v>229</v>
      </c>
      <c r="L2057" s="3" t="s">
        <v>7500</v>
      </c>
      <c r="M2057" s="3" t="s">
        <v>7501</v>
      </c>
      <c r="N2057" s="3"/>
      <c r="O2057" s="3" t="s">
        <v>7502</v>
      </c>
      <c r="P2057"/>
    </row>
    <row r="2058" spans="1:16" ht="58" hidden="1" x14ac:dyDescent="0.35">
      <c r="A2058" s="3" t="s">
        <v>1184</v>
      </c>
      <c r="B2058" s="3" t="s">
        <v>344</v>
      </c>
      <c r="C2058" s="3"/>
      <c r="D2058" s="3"/>
      <c r="E2058" s="3"/>
      <c r="F2058" s="3" t="s">
        <v>7498</v>
      </c>
      <c r="G2058" s="3" t="s">
        <v>6900</v>
      </c>
      <c r="H2058" s="3" t="s">
        <v>7503</v>
      </c>
      <c r="I2058" s="3" t="s">
        <v>7443</v>
      </c>
      <c r="J2058" s="3" t="s">
        <v>7137</v>
      </c>
      <c r="K2058" s="3" t="s">
        <v>229</v>
      </c>
      <c r="L2058" s="3" t="s">
        <v>7504</v>
      </c>
      <c r="M2058" s="3" t="s">
        <v>7505</v>
      </c>
      <c r="N2058" s="3"/>
      <c r="O2058" s="3" t="s">
        <v>7506</v>
      </c>
      <c r="P2058"/>
    </row>
    <row r="2059" spans="1:16" ht="58" hidden="1" x14ac:dyDescent="0.35">
      <c r="A2059" s="3" t="s">
        <v>1184</v>
      </c>
      <c r="B2059" s="3" t="s">
        <v>344</v>
      </c>
      <c r="C2059" s="3"/>
      <c r="D2059" s="3"/>
      <c r="E2059" s="3"/>
      <c r="F2059" s="3" t="s">
        <v>7498</v>
      </c>
      <c r="G2059" s="3" t="s">
        <v>6900</v>
      </c>
      <c r="H2059" s="3" t="s">
        <v>7507</v>
      </c>
      <c r="I2059" s="3" t="s">
        <v>7443</v>
      </c>
      <c r="J2059" s="3" t="s">
        <v>7508</v>
      </c>
      <c r="K2059" s="3" t="s">
        <v>229</v>
      </c>
      <c r="L2059" s="3" t="s">
        <v>1206</v>
      </c>
      <c r="M2059" s="3" t="s">
        <v>7509</v>
      </c>
      <c r="N2059" s="3"/>
      <c r="O2059" s="3" t="s">
        <v>7510</v>
      </c>
      <c r="P2059"/>
    </row>
    <row r="2060" spans="1:16" ht="58" hidden="1" x14ac:dyDescent="0.35">
      <c r="A2060" s="3" t="s">
        <v>1184</v>
      </c>
      <c r="B2060" s="3" t="s">
        <v>344</v>
      </c>
      <c r="C2060" s="3"/>
      <c r="D2060" s="3"/>
      <c r="E2060" s="3"/>
      <c r="F2060" s="3" t="s">
        <v>7498</v>
      </c>
      <c r="G2060" s="3" t="s">
        <v>6900</v>
      </c>
      <c r="H2060" s="3" t="s">
        <v>7511</v>
      </c>
      <c r="I2060" s="3" t="s">
        <v>7443</v>
      </c>
      <c r="J2060" s="3" t="s">
        <v>7512</v>
      </c>
      <c r="K2060" s="3" t="s">
        <v>229</v>
      </c>
      <c r="L2060" s="3" t="s">
        <v>7513</v>
      </c>
      <c r="M2060" s="3" t="s">
        <v>7151</v>
      </c>
      <c r="N2060" s="3"/>
      <c r="O2060" s="3" t="s">
        <v>7514</v>
      </c>
      <c r="P2060"/>
    </row>
    <row r="2061" spans="1:16" ht="58" hidden="1" x14ac:dyDescent="0.35">
      <c r="A2061" s="3" t="s">
        <v>1184</v>
      </c>
      <c r="B2061" s="3" t="s">
        <v>344</v>
      </c>
      <c r="C2061" s="3"/>
      <c r="D2061" s="3"/>
      <c r="E2061" s="3"/>
      <c r="F2061" s="3" t="s">
        <v>7498</v>
      </c>
      <c r="G2061" s="3" t="s">
        <v>6900</v>
      </c>
      <c r="H2061" s="3" t="s">
        <v>7515</v>
      </c>
      <c r="I2061" s="3" t="s">
        <v>7443</v>
      </c>
      <c r="J2061" s="3" t="s">
        <v>7516</v>
      </c>
      <c r="K2061" s="3" t="s">
        <v>229</v>
      </c>
      <c r="L2061" s="3" t="s">
        <v>7517</v>
      </c>
      <c r="M2061" s="3" t="s">
        <v>7518</v>
      </c>
      <c r="N2061" s="3"/>
      <c r="O2061" s="3" t="s">
        <v>7519</v>
      </c>
      <c r="P2061"/>
    </row>
    <row r="2062" spans="1:16" ht="159.5" hidden="1" x14ac:dyDescent="0.35">
      <c r="A2062" s="3" t="s">
        <v>1184</v>
      </c>
      <c r="B2062" s="3" t="s">
        <v>344</v>
      </c>
      <c r="C2062" s="3"/>
      <c r="D2062" s="3"/>
      <c r="E2062" s="3"/>
      <c r="F2062" s="3" t="s">
        <v>7498</v>
      </c>
      <c r="G2062" s="3" t="s">
        <v>6900</v>
      </c>
      <c r="H2062" s="3" t="s">
        <v>7520</v>
      </c>
      <c r="I2062" s="3" t="s">
        <v>7443</v>
      </c>
      <c r="J2062" s="3" t="s">
        <v>7521</v>
      </c>
      <c r="K2062" s="3" t="s">
        <v>1027</v>
      </c>
      <c r="L2062" s="3" t="s">
        <v>1218</v>
      </c>
      <c r="M2062" s="3" t="s">
        <v>7522</v>
      </c>
      <c r="N2062" s="3"/>
      <c r="O2062" s="3" t="s">
        <v>7523</v>
      </c>
      <c r="P2062"/>
    </row>
    <row r="2063" spans="1:16" ht="87" hidden="1" x14ac:dyDescent="0.35">
      <c r="A2063" s="3" t="s">
        <v>1184</v>
      </c>
      <c r="B2063" s="3" t="s">
        <v>344</v>
      </c>
      <c r="C2063" s="3"/>
      <c r="D2063" s="3"/>
      <c r="E2063" s="3"/>
      <c r="F2063" s="3" t="s">
        <v>7498</v>
      </c>
      <c r="G2063" s="3" t="s">
        <v>6900</v>
      </c>
      <c r="H2063" s="3" t="s">
        <v>7524</v>
      </c>
      <c r="I2063" s="3" t="s">
        <v>7443</v>
      </c>
      <c r="J2063" s="3" t="s">
        <v>7525</v>
      </c>
      <c r="K2063" s="3" t="s">
        <v>241</v>
      </c>
      <c r="L2063" s="3" t="s">
        <v>7526</v>
      </c>
      <c r="M2063" s="3" t="s">
        <v>7527</v>
      </c>
      <c r="N2063" s="3"/>
      <c r="O2063" s="3" t="s">
        <v>7528</v>
      </c>
      <c r="P2063"/>
    </row>
    <row r="2064" spans="1:16" ht="87" hidden="1" x14ac:dyDescent="0.35">
      <c r="A2064" s="3" t="s">
        <v>1184</v>
      </c>
      <c r="B2064" s="3" t="s">
        <v>344</v>
      </c>
      <c r="C2064" s="3"/>
      <c r="D2064" s="3"/>
      <c r="E2064" s="3"/>
      <c r="F2064" s="3" t="s">
        <v>7498</v>
      </c>
      <c r="G2064" s="3" t="s">
        <v>6900</v>
      </c>
      <c r="H2064" s="3" t="s">
        <v>7529</v>
      </c>
      <c r="I2064" s="3" t="s">
        <v>7443</v>
      </c>
      <c r="J2064" s="3" t="s">
        <v>7530</v>
      </c>
      <c r="K2064" s="3" t="s">
        <v>241</v>
      </c>
      <c r="L2064" s="3" t="s">
        <v>7531</v>
      </c>
      <c r="M2064" s="3" t="s">
        <v>7532</v>
      </c>
      <c r="N2064" s="3"/>
      <c r="O2064" s="3" t="s">
        <v>7533</v>
      </c>
      <c r="P2064"/>
    </row>
    <row r="2065" spans="1:16" ht="87" hidden="1" x14ac:dyDescent="0.35">
      <c r="A2065" s="3" t="s">
        <v>1184</v>
      </c>
      <c r="B2065" s="3" t="s">
        <v>344</v>
      </c>
      <c r="C2065" s="3"/>
      <c r="D2065" s="3"/>
      <c r="E2065" s="3"/>
      <c r="F2065" s="3" t="s">
        <v>7498</v>
      </c>
      <c r="G2065" s="3" t="s">
        <v>6900</v>
      </c>
      <c r="H2065" s="3" t="s">
        <v>7534</v>
      </c>
      <c r="I2065" s="3" t="s">
        <v>7443</v>
      </c>
      <c r="J2065" s="3" t="s">
        <v>7535</v>
      </c>
      <c r="K2065" s="3" t="s">
        <v>241</v>
      </c>
      <c r="L2065" s="3" t="s">
        <v>7536</v>
      </c>
      <c r="M2065" s="3" t="s">
        <v>7537</v>
      </c>
      <c r="N2065" s="3"/>
      <c r="O2065" s="3" t="s">
        <v>7538</v>
      </c>
      <c r="P2065"/>
    </row>
    <row r="2066" spans="1:16" ht="87" hidden="1" x14ac:dyDescent="0.35">
      <c r="A2066" s="3" t="s">
        <v>1184</v>
      </c>
      <c r="B2066" s="3" t="s">
        <v>344</v>
      </c>
      <c r="C2066" s="3"/>
      <c r="D2066" s="3"/>
      <c r="E2066" s="3"/>
      <c r="F2066" s="3" t="s">
        <v>7498</v>
      </c>
      <c r="G2066" s="3" t="s">
        <v>6900</v>
      </c>
      <c r="H2066" s="3" t="s">
        <v>7539</v>
      </c>
      <c r="I2066" s="3" t="s">
        <v>7443</v>
      </c>
      <c r="J2066" s="3" t="s">
        <v>7540</v>
      </c>
      <c r="K2066" s="3" t="s">
        <v>241</v>
      </c>
      <c r="L2066" s="3" t="s">
        <v>7541</v>
      </c>
      <c r="M2066" s="3" t="s">
        <v>7542</v>
      </c>
      <c r="N2066" s="3"/>
      <c r="O2066" s="3" t="s">
        <v>7543</v>
      </c>
      <c r="P2066"/>
    </row>
    <row r="2067" spans="1:16" ht="87" hidden="1" x14ac:dyDescent="0.35">
      <c r="A2067" s="3" t="s">
        <v>1184</v>
      </c>
      <c r="B2067" s="3" t="s">
        <v>344</v>
      </c>
      <c r="C2067" s="3"/>
      <c r="D2067" s="3"/>
      <c r="E2067" s="3"/>
      <c r="F2067" s="3" t="s">
        <v>7498</v>
      </c>
      <c r="G2067" s="3" t="s">
        <v>6900</v>
      </c>
      <c r="H2067" s="3" t="s">
        <v>7544</v>
      </c>
      <c r="I2067" s="3" t="s">
        <v>7443</v>
      </c>
      <c r="J2067" s="3" t="s">
        <v>7545</v>
      </c>
      <c r="K2067" s="3" t="s">
        <v>241</v>
      </c>
      <c r="L2067" s="3" t="s">
        <v>7546</v>
      </c>
      <c r="M2067" s="3" t="s">
        <v>7547</v>
      </c>
      <c r="N2067" s="3"/>
      <c r="O2067" s="3" t="s">
        <v>7548</v>
      </c>
      <c r="P2067"/>
    </row>
    <row r="2068" spans="1:16" ht="87" hidden="1" x14ac:dyDescent="0.35">
      <c r="A2068" s="3" t="s">
        <v>1184</v>
      </c>
      <c r="B2068" s="3" t="s">
        <v>344</v>
      </c>
      <c r="C2068" s="3"/>
      <c r="D2068" s="3"/>
      <c r="E2068" s="3"/>
      <c r="F2068" s="3" t="s">
        <v>7498</v>
      </c>
      <c r="G2068" s="3" t="s">
        <v>6900</v>
      </c>
      <c r="H2068" s="3" t="s">
        <v>7549</v>
      </c>
      <c r="I2068" s="3" t="s">
        <v>7443</v>
      </c>
      <c r="J2068" s="3" t="s">
        <v>7550</v>
      </c>
      <c r="K2068" s="3" t="s">
        <v>241</v>
      </c>
      <c r="L2068" s="3" t="s">
        <v>7551</v>
      </c>
      <c r="M2068" s="3" t="s">
        <v>7552</v>
      </c>
      <c r="N2068" s="3"/>
      <c r="O2068" s="3" t="s">
        <v>7553</v>
      </c>
      <c r="P2068"/>
    </row>
    <row r="2069" spans="1:16" ht="159.5" hidden="1" x14ac:dyDescent="0.35">
      <c r="A2069" s="3" t="s">
        <v>1184</v>
      </c>
      <c r="B2069" s="3" t="s">
        <v>344</v>
      </c>
      <c r="C2069" s="3"/>
      <c r="D2069" s="3"/>
      <c r="E2069" s="3"/>
      <c r="F2069" s="3" t="s">
        <v>7498</v>
      </c>
      <c r="G2069" s="3" t="s">
        <v>6900</v>
      </c>
      <c r="H2069" s="3" t="s">
        <v>7554</v>
      </c>
      <c r="I2069" s="3" t="s">
        <v>7443</v>
      </c>
      <c r="J2069" s="3" t="s">
        <v>7555</v>
      </c>
      <c r="K2069" s="3" t="s">
        <v>1027</v>
      </c>
      <c r="L2069" s="3" t="s">
        <v>7556</v>
      </c>
      <c r="M2069" s="3" t="s">
        <v>7557</v>
      </c>
      <c r="N2069" s="3"/>
      <c r="O2069" s="3" t="s">
        <v>7558</v>
      </c>
      <c r="P2069"/>
    </row>
    <row r="2070" spans="1:16" ht="159.5" hidden="1" x14ac:dyDescent="0.35">
      <c r="A2070" s="3" t="s">
        <v>1184</v>
      </c>
      <c r="B2070" s="3" t="s">
        <v>344</v>
      </c>
      <c r="C2070" s="3"/>
      <c r="D2070" s="3"/>
      <c r="E2070" s="3"/>
      <c r="F2070" s="3" t="s">
        <v>7498</v>
      </c>
      <c r="G2070" s="3" t="s">
        <v>6900</v>
      </c>
      <c r="H2070" s="3" t="s">
        <v>7559</v>
      </c>
      <c r="I2070" s="3" t="s">
        <v>7443</v>
      </c>
      <c r="J2070" s="3" t="s">
        <v>7560</v>
      </c>
      <c r="K2070" s="3" t="s">
        <v>1027</v>
      </c>
      <c r="L2070" s="3" t="s">
        <v>7561</v>
      </c>
      <c r="M2070" s="3" t="s">
        <v>7562</v>
      </c>
      <c r="N2070" s="3"/>
      <c r="O2070" s="3" t="s">
        <v>7563</v>
      </c>
      <c r="P2070"/>
    </row>
    <row r="2071" spans="1:16" ht="159.5" hidden="1" x14ac:dyDescent="0.35">
      <c r="A2071" s="3" t="s">
        <v>1184</v>
      </c>
      <c r="B2071" s="3" t="s">
        <v>344</v>
      </c>
      <c r="C2071" s="3"/>
      <c r="D2071" s="3"/>
      <c r="E2071" s="3"/>
      <c r="F2071" s="3" t="s">
        <v>7498</v>
      </c>
      <c r="G2071" s="3" t="s">
        <v>6900</v>
      </c>
      <c r="H2071" s="3" t="s">
        <v>7564</v>
      </c>
      <c r="I2071" s="3" t="s">
        <v>7565</v>
      </c>
      <c r="J2071" s="3" t="s">
        <v>7566</v>
      </c>
      <c r="K2071" s="3" t="s">
        <v>1027</v>
      </c>
      <c r="L2071" s="3" t="s">
        <v>7567</v>
      </c>
      <c r="M2071" s="3" t="s">
        <v>7568</v>
      </c>
      <c r="N2071" s="3"/>
      <c r="O2071" s="3" t="s">
        <v>7569</v>
      </c>
      <c r="P2071"/>
    </row>
    <row r="2072" spans="1:16" ht="87" hidden="1" x14ac:dyDescent="0.35">
      <c r="A2072" s="3" t="s">
        <v>1184</v>
      </c>
      <c r="B2072" s="3" t="s">
        <v>344</v>
      </c>
      <c r="C2072" s="3"/>
      <c r="D2072" s="3"/>
      <c r="E2072" s="3"/>
      <c r="F2072" s="3" t="s">
        <v>7498</v>
      </c>
      <c r="G2072" s="3" t="s">
        <v>6900</v>
      </c>
      <c r="H2072" s="3" t="s">
        <v>7570</v>
      </c>
      <c r="I2072" s="3" t="s">
        <v>7565</v>
      </c>
      <c r="J2072" s="3" t="s">
        <v>7571</v>
      </c>
      <c r="K2072" s="3" t="s">
        <v>241</v>
      </c>
      <c r="L2072" s="3" t="s">
        <v>7572</v>
      </c>
      <c r="M2072" s="3" t="s">
        <v>7573</v>
      </c>
      <c r="N2072" s="3"/>
      <c r="O2072" s="3" t="s">
        <v>7574</v>
      </c>
      <c r="P2072"/>
    </row>
    <row r="2073" spans="1:16" ht="87" hidden="1" x14ac:dyDescent="0.35">
      <c r="A2073" s="3" t="s">
        <v>1184</v>
      </c>
      <c r="B2073" s="3" t="s">
        <v>344</v>
      </c>
      <c r="C2073" s="3"/>
      <c r="D2073" s="3"/>
      <c r="E2073" s="3"/>
      <c r="F2073" s="3" t="s">
        <v>7498</v>
      </c>
      <c r="G2073" s="3" t="s">
        <v>6900</v>
      </c>
      <c r="H2073" s="3" t="s">
        <v>7575</v>
      </c>
      <c r="I2073" s="3" t="s">
        <v>7565</v>
      </c>
      <c r="J2073" s="3" t="s">
        <v>7576</v>
      </c>
      <c r="K2073" s="3" t="s">
        <v>241</v>
      </c>
      <c r="L2073" s="3" t="s">
        <v>7577</v>
      </c>
      <c r="M2073" s="3" t="s">
        <v>7578</v>
      </c>
      <c r="N2073" s="3"/>
      <c r="O2073" s="3" t="s">
        <v>7579</v>
      </c>
      <c r="P2073"/>
    </row>
    <row r="2074" spans="1:16" ht="87" hidden="1" x14ac:dyDescent="0.35">
      <c r="A2074" s="3" t="s">
        <v>1184</v>
      </c>
      <c r="B2074" s="3" t="s">
        <v>344</v>
      </c>
      <c r="C2074" s="3"/>
      <c r="D2074" s="3"/>
      <c r="E2074" s="3"/>
      <c r="F2074" s="3" t="s">
        <v>7498</v>
      </c>
      <c r="G2074" s="3" t="s">
        <v>6900</v>
      </c>
      <c r="H2074" s="3" t="s">
        <v>7580</v>
      </c>
      <c r="I2074" s="3" t="s">
        <v>7565</v>
      </c>
      <c r="J2074" s="3" t="s">
        <v>7581</v>
      </c>
      <c r="K2074" s="3" t="s">
        <v>241</v>
      </c>
      <c r="L2074" s="3" t="s">
        <v>7582</v>
      </c>
      <c r="M2074" s="3" t="s">
        <v>7583</v>
      </c>
      <c r="N2074" s="3"/>
      <c r="O2074" s="3" t="s">
        <v>7584</v>
      </c>
      <c r="P2074"/>
    </row>
    <row r="2075" spans="1:16" ht="87" hidden="1" x14ac:dyDescent="0.35">
      <c r="A2075" s="3" t="s">
        <v>1184</v>
      </c>
      <c r="B2075" s="3" t="s">
        <v>344</v>
      </c>
      <c r="C2075" s="3"/>
      <c r="D2075" s="3"/>
      <c r="E2075" s="3"/>
      <c r="F2075" s="3" t="s">
        <v>7498</v>
      </c>
      <c r="G2075" s="3" t="s">
        <v>6900</v>
      </c>
      <c r="H2075" s="3" t="s">
        <v>7585</v>
      </c>
      <c r="I2075" s="3" t="s">
        <v>7565</v>
      </c>
      <c r="J2075" s="3" t="s">
        <v>7586</v>
      </c>
      <c r="K2075" s="3" t="s">
        <v>241</v>
      </c>
      <c r="L2075" s="3" t="s">
        <v>7587</v>
      </c>
      <c r="M2075" s="3" t="s">
        <v>7588</v>
      </c>
      <c r="N2075" s="3"/>
      <c r="O2075" s="3" t="s">
        <v>7589</v>
      </c>
      <c r="P2075"/>
    </row>
    <row r="2076" spans="1:16" ht="87" hidden="1" x14ac:dyDescent="0.35">
      <c r="A2076" s="3" t="s">
        <v>1184</v>
      </c>
      <c r="B2076" s="3" t="s">
        <v>344</v>
      </c>
      <c r="C2076" s="3"/>
      <c r="D2076" s="3"/>
      <c r="E2076" s="3"/>
      <c r="F2076" s="3" t="s">
        <v>7498</v>
      </c>
      <c r="G2076" s="3" t="s">
        <v>6900</v>
      </c>
      <c r="H2076" s="3" t="s">
        <v>7590</v>
      </c>
      <c r="I2076" s="3" t="s">
        <v>7565</v>
      </c>
      <c r="J2076" s="3" t="s">
        <v>7591</v>
      </c>
      <c r="K2076" s="3" t="s">
        <v>241</v>
      </c>
      <c r="L2076" s="3" t="s">
        <v>7592</v>
      </c>
      <c r="M2076" s="3" t="s">
        <v>7593</v>
      </c>
      <c r="N2076" s="3"/>
      <c r="O2076" s="3" t="s">
        <v>7594</v>
      </c>
      <c r="P2076"/>
    </row>
    <row r="2077" spans="1:16" ht="58" hidden="1" x14ac:dyDescent="0.35">
      <c r="A2077" s="3" t="s">
        <v>1184</v>
      </c>
      <c r="B2077" s="3" t="s">
        <v>344</v>
      </c>
      <c r="C2077" s="3"/>
      <c r="D2077" s="3"/>
      <c r="E2077" s="3"/>
      <c r="F2077" s="3" t="s">
        <v>7595</v>
      </c>
      <c r="G2077" s="5" t="s">
        <v>6989</v>
      </c>
      <c r="I2077" s="5" t="s">
        <v>7596</v>
      </c>
      <c r="J2077" s="3" t="s">
        <v>7597</v>
      </c>
      <c r="K2077" s="3" t="s">
        <v>229</v>
      </c>
      <c r="L2077" s="3" t="s">
        <v>7598</v>
      </c>
      <c r="M2077" s="3" t="s">
        <v>7599</v>
      </c>
      <c r="N2077" s="3"/>
      <c r="O2077" s="3" t="s">
        <v>7600</v>
      </c>
      <c r="P2077"/>
    </row>
    <row r="2078" spans="1:16" ht="58" hidden="1" x14ac:dyDescent="0.35">
      <c r="A2078" s="3" t="s">
        <v>1184</v>
      </c>
      <c r="B2078" s="3" t="s">
        <v>344</v>
      </c>
      <c r="C2078" s="3"/>
      <c r="D2078" s="3"/>
      <c r="E2078" s="3"/>
      <c r="F2078" s="3" t="s">
        <v>7595</v>
      </c>
      <c r="G2078" s="5" t="s">
        <v>6989</v>
      </c>
      <c r="H2078" s="3" t="s">
        <v>7601</v>
      </c>
      <c r="I2078" s="3" t="s">
        <v>7602</v>
      </c>
      <c r="J2078" s="3" t="s">
        <v>7137</v>
      </c>
      <c r="K2078" s="3" t="s">
        <v>229</v>
      </c>
      <c r="L2078" s="3" t="s">
        <v>7504</v>
      </c>
      <c r="M2078" s="3" t="s">
        <v>7505</v>
      </c>
      <c r="N2078" s="3"/>
      <c r="O2078" s="3" t="s">
        <v>7506</v>
      </c>
      <c r="P2078"/>
    </row>
    <row r="2079" spans="1:16" ht="58" hidden="1" x14ac:dyDescent="0.35">
      <c r="A2079" s="3" t="s">
        <v>1184</v>
      </c>
      <c r="B2079" s="3" t="s">
        <v>344</v>
      </c>
      <c r="C2079" s="3"/>
      <c r="D2079" s="3"/>
      <c r="E2079" s="3"/>
      <c r="F2079" s="3" t="s">
        <v>7595</v>
      </c>
      <c r="G2079" s="5" t="s">
        <v>6989</v>
      </c>
      <c r="H2079" s="3" t="s">
        <v>7603</v>
      </c>
      <c r="I2079" s="3" t="s">
        <v>7602</v>
      </c>
      <c r="J2079" s="3" t="s">
        <v>7508</v>
      </c>
      <c r="K2079" s="3" t="s">
        <v>229</v>
      </c>
      <c r="L2079" s="3" t="s">
        <v>1206</v>
      </c>
      <c r="M2079" s="3" t="s">
        <v>7509</v>
      </c>
      <c r="N2079" s="3"/>
      <c r="O2079" s="3" t="s">
        <v>7510</v>
      </c>
      <c r="P2079"/>
    </row>
    <row r="2080" spans="1:16" ht="58" hidden="1" x14ac:dyDescent="0.35">
      <c r="A2080" s="3" t="s">
        <v>1184</v>
      </c>
      <c r="B2080" s="3" t="s">
        <v>344</v>
      </c>
      <c r="C2080" s="3"/>
      <c r="D2080" s="3"/>
      <c r="E2080" s="3"/>
      <c r="F2080" s="3" t="s">
        <v>7595</v>
      </c>
      <c r="G2080" s="5" t="s">
        <v>6989</v>
      </c>
      <c r="H2080" s="3" t="s">
        <v>7604</v>
      </c>
      <c r="I2080" s="3" t="s">
        <v>7602</v>
      </c>
      <c r="J2080" s="3" t="s">
        <v>7512</v>
      </c>
      <c r="K2080" s="3" t="s">
        <v>229</v>
      </c>
      <c r="L2080" s="3" t="s">
        <v>7513</v>
      </c>
      <c r="M2080" s="3" t="s">
        <v>7151</v>
      </c>
      <c r="N2080" s="3"/>
      <c r="O2080" s="3" t="s">
        <v>7514</v>
      </c>
      <c r="P2080"/>
    </row>
    <row r="2081" spans="1:16" ht="159.5" hidden="1" x14ac:dyDescent="0.35">
      <c r="A2081" s="3" t="s">
        <v>1184</v>
      </c>
      <c r="B2081" s="3" t="s">
        <v>344</v>
      </c>
      <c r="C2081" s="3"/>
      <c r="D2081" s="3"/>
      <c r="E2081" s="3"/>
      <c r="F2081" s="3" t="s">
        <v>7595</v>
      </c>
      <c r="G2081" s="5" t="s">
        <v>6989</v>
      </c>
      <c r="H2081" s="3" t="s">
        <v>7605</v>
      </c>
      <c r="I2081" s="3" t="s">
        <v>7602</v>
      </c>
      <c r="J2081" s="3" t="s">
        <v>7606</v>
      </c>
      <c r="K2081" s="3" t="s">
        <v>1027</v>
      </c>
      <c r="L2081" s="3" t="s">
        <v>7607</v>
      </c>
      <c r="M2081" s="3" t="s">
        <v>7608</v>
      </c>
      <c r="N2081" s="3"/>
      <c r="O2081" s="3" t="s">
        <v>7609</v>
      </c>
      <c r="P2081"/>
    </row>
    <row r="2082" spans="1:16" ht="159.5" hidden="1" x14ac:dyDescent="0.35">
      <c r="A2082" s="3" t="s">
        <v>1184</v>
      </c>
      <c r="B2082" s="3" t="s">
        <v>344</v>
      </c>
      <c r="C2082" s="3"/>
      <c r="D2082" s="3"/>
      <c r="E2082" s="3"/>
      <c r="F2082" s="3" t="s">
        <v>7595</v>
      </c>
      <c r="G2082" s="5" t="s">
        <v>6989</v>
      </c>
      <c r="H2082" s="3" t="s">
        <v>7610</v>
      </c>
      <c r="I2082" s="3" t="s">
        <v>7602</v>
      </c>
      <c r="J2082" s="3" t="s">
        <v>7611</v>
      </c>
      <c r="K2082" s="3" t="s">
        <v>1027</v>
      </c>
      <c r="L2082" s="3" t="s">
        <v>7612</v>
      </c>
      <c r="M2082" s="3" t="s">
        <v>7613</v>
      </c>
      <c r="N2082" s="3"/>
      <c r="O2082" s="3" t="s">
        <v>7614</v>
      </c>
      <c r="P2082"/>
    </row>
    <row r="2083" spans="1:16" ht="159.5" hidden="1" x14ac:dyDescent="0.35">
      <c r="A2083" s="3" t="s">
        <v>1184</v>
      </c>
      <c r="B2083" s="3" t="s">
        <v>344</v>
      </c>
      <c r="C2083" s="3"/>
      <c r="D2083" s="3"/>
      <c r="E2083" s="3"/>
      <c r="F2083" s="3" t="s">
        <v>7595</v>
      </c>
      <c r="G2083" s="5" t="s">
        <v>6989</v>
      </c>
      <c r="H2083" s="3" t="s">
        <v>7615</v>
      </c>
      <c r="I2083" s="3" t="s">
        <v>7602</v>
      </c>
      <c r="J2083" s="3" t="s">
        <v>7616</v>
      </c>
      <c r="K2083" s="3" t="s">
        <v>1027</v>
      </c>
      <c r="L2083" s="3" t="s">
        <v>7617</v>
      </c>
      <c r="M2083" s="3" t="s">
        <v>7618</v>
      </c>
      <c r="N2083" s="3"/>
      <c r="O2083" s="3" t="s">
        <v>7619</v>
      </c>
      <c r="P2083"/>
    </row>
    <row r="2084" spans="1:16" ht="159.5" hidden="1" x14ac:dyDescent="0.35">
      <c r="A2084" s="3" t="s">
        <v>1184</v>
      </c>
      <c r="B2084" s="3" t="s">
        <v>344</v>
      </c>
      <c r="C2084" s="3"/>
      <c r="D2084" s="3"/>
      <c r="E2084" s="3"/>
      <c r="F2084" s="3" t="s">
        <v>7595</v>
      </c>
      <c r="G2084" s="5" t="s">
        <v>6989</v>
      </c>
      <c r="H2084" s="3" t="s">
        <v>7620</v>
      </c>
      <c r="I2084" s="3" t="s">
        <v>7621</v>
      </c>
      <c r="J2084" s="3" t="s">
        <v>7622</v>
      </c>
      <c r="K2084" s="3" t="s">
        <v>1027</v>
      </c>
      <c r="L2084" s="3" t="s">
        <v>7623</v>
      </c>
      <c r="M2084" s="3" t="s">
        <v>7624</v>
      </c>
      <c r="N2084" s="3"/>
      <c r="O2084" s="3" t="s">
        <v>7625</v>
      </c>
      <c r="P2084"/>
    </row>
    <row r="2085" spans="1:16" ht="159.5" hidden="1" x14ac:dyDescent="0.35">
      <c r="A2085" s="3" t="s">
        <v>1184</v>
      </c>
      <c r="B2085" s="3" t="s">
        <v>344</v>
      </c>
      <c r="C2085" s="3"/>
      <c r="D2085" s="3"/>
      <c r="E2085" s="3"/>
      <c r="F2085" s="3" t="s">
        <v>7595</v>
      </c>
      <c r="G2085" s="5" t="s">
        <v>6989</v>
      </c>
      <c r="H2085" s="3" t="s">
        <v>7626</v>
      </c>
      <c r="I2085" s="3" t="s">
        <v>7621</v>
      </c>
      <c r="J2085" s="3" t="s">
        <v>7627</v>
      </c>
      <c r="K2085" s="3" t="s">
        <v>1027</v>
      </c>
      <c r="L2085" s="3" t="s">
        <v>7628</v>
      </c>
      <c r="M2085" s="3" t="s">
        <v>7629</v>
      </c>
      <c r="N2085" s="3"/>
      <c r="O2085" s="3" t="s">
        <v>7630</v>
      </c>
      <c r="P2085"/>
    </row>
    <row r="2086" spans="1:16" ht="159.5" hidden="1" x14ac:dyDescent="0.35">
      <c r="A2086" s="3" t="s">
        <v>1184</v>
      </c>
      <c r="B2086" s="3" t="s">
        <v>344</v>
      </c>
      <c r="C2086" s="3"/>
      <c r="D2086" s="3"/>
      <c r="E2086" s="3"/>
      <c r="F2086" s="3" t="s">
        <v>7595</v>
      </c>
      <c r="G2086" s="5" t="s">
        <v>6989</v>
      </c>
      <c r="H2086" s="3" t="s">
        <v>7631</v>
      </c>
      <c r="I2086" s="3" t="s">
        <v>7621</v>
      </c>
      <c r="J2086" s="3" t="s">
        <v>7632</v>
      </c>
      <c r="K2086" s="3" t="s">
        <v>1027</v>
      </c>
      <c r="L2086" s="3" t="s">
        <v>7633</v>
      </c>
      <c r="M2086" s="3" t="s">
        <v>7634</v>
      </c>
      <c r="N2086" s="3"/>
      <c r="O2086" s="3" t="s">
        <v>7635</v>
      </c>
      <c r="P2086"/>
    </row>
    <row r="2087" spans="1:16" ht="159.5" hidden="1" x14ac:dyDescent="0.35">
      <c r="A2087" s="3" t="s">
        <v>1184</v>
      </c>
      <c r="B2087" s="3" t="s">
        <v>344</v>
      </c>
      <c r="C2087" s="3"/>
      <c r="D2087" s="3"/>
      <c r="E2087" s="3"/>
      <c r="F2087" s="3" t="s">
        <v>7595</v>
      </c>
      <c r="G2087" s="5" t="s">
        <v>6989</v>
      </c>
      <c r="H2087" s="3" t="s">
        <v>7636</v>
      </c>
      <c r="I2087" s="3" t="s">
        <v>7621</v>
      </c>
      <c r="J2087" s="3" t="s">
        <v>7637</v>
      </c>
      <c r="K2087" s="3" t="s">
        <v>1027</v>
      </c>
      <c r="L2087" s="3" t="s">
        <v>7638</v>
      </c>
      <c r="M2087" s="3" t="s">
        <v>7639</v>
      </c>
      <c r="N2087" s="3"/>
      <c r="O2087" s="3" t="s">
        <v>7640</v>
      </c>
      <c r="P2087"/>
    </row>
    <row r="2088" spans="1:16" ht="159.5" hidden="1" x14ac:dyDescent="0.35">
      <c r="A2088" s="3" t="s">
        <v>1184</v>
      </c>
      <c r="B2088" s="3" t="s">
        <v>344</v>
      </c>
      <c r="C2088" s="3"/>
      <c r="D2088" s="3"/>
      <c r="E2088" s="3"/>
      <c r="F2088" s="3" t="s">
        <v>7595</v>
      </c>
      <c r="G2088" s="5" t="s">
        <v>6989</v>
      </c>
      <c r="H2088" s="3" t="s">
        <v>7641</v>
      </c>
      <c r="I2088" s="3" t="s">
        <v>7642</v>
      </c>
      <c r="J2088" s="3" t="s">
        <v>7643</v>
      </c>
      <c r="K2088" s="3" t="s">
        <v>1027</v>
      </c>
      <c r="L2088" s="3" t="s">
        <v>7644</v>
      </c>
      <c r="M2088" s="3" t="s">
        <v>7645</v>
      </c>
      <c r="N2088" s="3"/>
      <c r="O2088" s="3" t="s">
        <v>7646</v>
      </c>
      <c r="P2088"/>
    </row>
    <row r="2089" spans="1:16" ht="159.5" hidden="1" x14ac:dyDescent="0.35">
      <c r="A2089" s="3" t="s">
        <v>1184</v>
      </c>
      <c r="B2089" s="3" t="s">
        <v>344</v>
      </c>
      <c r="C2089" s="3"/>
      <c r="D2089" s="3"/>
      <c r="E2089" s="3"/>
      <c r="F2089" s="3" t="s">
        <v>7595</v>
      </c>
      <c r="G2089" s="5" t="s">
        <v>6989</v>
      </c>
      <c r="H2089" s="3" t="s">
        <v>7647</v>
      </c>
      <c r="I2089" s="3" t="s">
        <v>7642</v>
      </c>
      <c r="J2089" s="7" t="s">
        <v>7648</v>
      </c>
      <c r="K2089" s="7" t="s">
        <v>1027</v>
      </c>
      <c r="L2089" s="7" t="s">
        <v>7649</v>
      </c>
      <c r="M2089" s="7" t="s">
        <v>7650</v>
      </c>
      <c r="N2089" s="7"/>
      <c r="O2089" s="7" t="s">
        <v>7651</v>
      </c>
      <c r="P2089"/>
    </row>
    <row r="2090" spans="1:16" ht="159.5" hidden="1" x14ac:dyDescent="0.35">
      <c r="A2090" s="3" t="s">
        <v>1184</v>
      </c>
      <c r="B2090" s="3" t="s">
        <v>344</v>
      </c>
      <c r="C2090" s="3"/>
      <c r="D2090" s="3"/>
      <c r="E2090" s="3"/>
      <c r="F2090" s="3" t="s">
        <v>7595</v>
      </c>
      <c r="G2090" s="5" t="s">
        <v>6989</v>
      </c>
      <c r="H2090" s="3" t="s">
        <v>7652</v>
      </c>
      <c r="I2090" s="3" t="s">
        <v>7642</v>
      </c>
      <c r="J2090" s="3" t="s">
        <v>7653</v>
      </c>
      <c r="K2090" s="3" t="s">
        <v>1027</v>
      </c>
      <c r="L2090" s="3" t="s">
        <v>7654</v>
      </c>
      <c r="M2090" s="3" t="s">
        <v>7655</v>
      </c>
      <c r="N2090" s="3"/>
      <c r="O2090" s="3" t="s">
        <v>7656</v>
      </c>
      <c r="P2090"/>
    </row>
    <row r="2091" spans="1:16" ht="159.5" hidden="1" x14ac:dyDescent="0.35">
      <c r="A2091" s="3" t="s">
        <v>1184</v>
      </c>
      <c r="B2091" s="3" t="s">
        <v>344</v>
      </c>
      <c r="C2091" s="3"/>
      <c r="D2091" s="3"/>
      <c r="E2091" s="3"/>
      <c r="F2091" s="3" t="s">
        <v>7595</v>
      </c>
      <c r="G2091" s="5" t="s">
        <v>6989</v>
      </c>
      <c r="H2091" s="3" t="s">
        <v>7657</v>
      </c>
      <c r="I2091" s="3" t="s">
        <v>7642</v>
      </c>
      <c r="J2091" s="3" t="s">
        <v>7658</v>
      </c>
      <c r="K2091" s="3" t="s">
        <v>1027</v>
      </c>
      <c r="L2091" s="3" t="s">
        <v>7659</v>
      </c>
      <c r="M2091" s="3" t="s">
        <v>7660</v>
      </c>
      <c r="N2091" s="3"/>
      <c r="O2091" s="3" t="s">
        <v>7661</v>
      </c>
      <c r="P2091"/>
    </row>
    <row r="2092" spans="1:16" ht="159.5" hidden="1" x14ac:dyDescent="0.35">
      <c r="A2092" s="3" t="s">
        <v>1184</v>
      </c>
      <c r="B2092" s="3" t="s">
        <v>344</v>
      </c>
      <c r="C2092" s="3"/>
      <c r="D2092" s="3"/>
      <c r="E2092" s="3"/>
      <c r="F2092" s="3" t="s">
        <v>7595</v>
      </c>
      <c r="G2092" s="5" t="s">
        <v>6989</v>
      </c>
      <c r="H2092" s="3" t="s">
        <v>7662</v>
      </c>
      <c r="I2092" s="3" t="s">
        <v>7642</v>
      </c>
      <c r="J2092" s="3" t="s">
        <v>7663</v>
      </c>
      <c r="K2092" s="3" t="s">
        <v>1027</v>
      </c>
      <c r="L2092" s="3" t="s">
        <v>7664</v>
      </c>
      <c r="M2092" s="3" t="s">
        <v>7665</v>
      </c>
      <c r="N2092" s="3"/>
      <c r="O2092" s="3" t="s">
        <v>7666</v>
      </c>
      <c r="P2092"/>
    </row>
    <row r="2093" spans="1:16" ht="159.5" hidden="1" x14ac:dyDescent="0.35">
      <c r="A2093" s="3" t="s">
        <v>1184</v>
      </c>
      <c r="B2093" s="3" t="s">
        <v>344</v>
      </c>
      <c r="C2093" s="3"/>
      <c r="D2093" s="3"/>
      <c r="E2093" s="3"/>
      <c r="F2093" s="3" t="s">
        <v>7595</v>
      </c>
      <c r="G2093" s="5" t="s">
        <v>6989</v>
      </c>
      <c r="H2093" s="3" t="s">
        <v>7667</v>
      </c>
      <c r="I2093" s="3" t="s">
        <v>7642</v>
      </c>
      <c r="J2093" s="3" t="s">
        <v>7668</v>
      </c>
      <c r="K2093" s="3" t="s">
        <v>1027</v>
      </c>
      <c r="L2093" s="3" t="s">
        <v>7669</v>
      </c>
      <c r="M2093" s="3" t="s">
        <v>7670</v>
      </c>
      <c r="N2093" s="3"/>
      <c r="O2093" s="3" t="s">
        <v>7671</v>
      </c>
      <c r="P2093"/>
    </row>
    <row r="2094" spans="1:16" ht="159.5" hidden="1" x14ac:dyDescent="0.35">
      <c r="A2094" s="3" t="s">
        <v>1184</v>
      </c>
      <c r="B2094" s="3" t="s">
        <v>344</v>
      </c>
      <c r="C2094" s="3"/>
      <c r="D2094" s="3"/>
      <c r="E2094" s="3"/>
      <c r="F2094" s="3" t="s">
        <v>7595</v>
      </c>
      <c r="G2094" s="5" t="s">
        <v>6989</v>
      </c>
      <c r="H2094" s="3" t="s">
        <v>7672</v>
      </c>
      <c r="I2094" s="3" t="s">
        <v>7642</v>
      </c>
      <c r="J2094" s="3" t="s">
        <v>7673</v>
      </c>
      <c r="K2094" s="3" t="s">
        <v>1027</v>
      </c>
      <c r="L2094" s="3" t="s">
        <v>7674</v>
      </c>
      <c r="M2094" s="3" t="s">
        <v>7675</v>
      </c>
      <c r="N2094" s="3"/>
      <c r="O2094" s="3" t="s">
        <v>7676</v>
      </c>
      <c r="P2094"/>
    </row>
    <row r="2095" spans="1:16" ht="159.5" hidden="1" x14ac:dyDescent="0.35">
      <c r="A2095" s="3" t="s">
        <v>1184</v>
      </c>
      <c r="B2095" s="3" t="s">
        <v>344</v>
      </c>
      <c r="C2095" s="3"/>
      <c r="D2095" s="3"/>
      <c r="E2095" s="3"/>
      <c r="F2095" s="3" t="s">
        <v>7595</v>
      </c>
      <c r="G2095" s="5" t="s">
        <v>6989</v>
      </c>
      <c r="H2095" s="3" t="s">
        <v>7677</v>
      </c>
      <c r="I2095" s="3" t="s">
        <v>7678</v>
      </c>
      <c r="J2095" s="3" t="s">
        <v>7679</v>
      </c>
      <c r="K2095" s="3" t="s">
        <v>1027</v>
      </c>
      <c r="L2095" s="3" t="s">
        <v>1216</v>
      </c>
      <c r="M2095" s="3" t="s">
        <v>7680</v>
      </c>
      <c r="N2095" s="3"/>
      <c r="O2095" s="3" t="s">
        <v>7681</v>
      </c>
      <c r="P2095"/>
    </row>
    <row r="2096" spans="1:16" ht="159.5" hidden="1" x14ac:dyDescent="0.35">
      <c r="A2096" s="3" t="s">
        <v>1184</v>
      </c>
      <c r="B2096" s="3" t="s">
        <v>344</v>
      </c>
      <c r="C2096" s="3"/>
      <c r="D2096" s="3"/>
      <c r="E2096" s="3"/>
      <c r="F2096" s="3" t="s">
        <v>7595</v>
      </c>
      <c r="G2096" s="5" t="s">
        <v>6989</v>
      </c>
      <c r="H2096" s="3" t="s">
        <v>7682</v>
      </c>
      <c r="I2096" s="3" t="s">
        <v>7678</v>
      </c>
      <c r="J2096" s="3" t="s">
        <v>7683</v>
      </c>
      <c r="K2096" s="3" t="s">
        <v>1027</v>
      </c>
      <c r="L2096" s="3" t="s">
        <v>7684</v>
      </c>
      <c r="M2096" s="3" t="s">
        <v>7685</v>
      </c>
      <c r="N2096" s="3"/>
      <c r="O2096" s="3" t="s">
        <v>7686</v>
      </c>
      <c r="P2096"/>
    </row>
    <row r="2097" spans="1:16" ht="58" hidden="1" x14ac:dyDescent="0.35">
      <c r="A2097" s="3" t="s">
        <v>1184</v>
      </c>
      <c r="B2097" s="3" t="s">
        <v>344</v>
      </c>
      <c r="C2097" s="3"/>
      <c r="D2097" s="3"/>
      <c r="E2097" s="3"/>
      <c r="F2097" s="3" t="s">
        <v>7595</v>
      </c>
      <c r="G2097" s="5" t="s">
        <v>6989</v>
      </c>
      <c r="H2097" s="3" t="s">
        <v>7687</v>
      </c>
      <c r="I2097" s="3" t="s">
        <v>7678</v>
      </c>
      <c r="J2097" s="3" t="s">
        <v>7688</v>
      </c>
      <c r="K2097" s="3" t="s">
        <v>229</v>
      </c>
      <c r="L2097" s="3" t="s">
        <v>7689</v>
      </c>
      <c r="M2097" s="3" t="s">
        <v>7690</v>
      </c>
      <c r="N2097" s="3"/>
      <c r="O2097" s="3" t="s">
        <v>7691</v>
      </c>
      <c r="P2097"/>
    </row>
    <row r="2098" spans="1:16" ht="159.5" hidden="1" x14ac:dyDescent="0.35">
      <c r="A2098" s="3" t="s">
        <v>1184</v>
      </c>
      <c r="B2098" s="3" t="s">
        <v>344</v>
      </c>
      <c r="C2098" s="3"/>
      <c r="D2098" s="3"/>
      <c r="E2098" s="3"/>
      <c r="F2098" s="3" t="s">
        <v>7595</v>
      </c>
      <c r="G2098" s="5" t="s">
        <v>6989</v>
      </c>
      <c r="H2098" s="3" t="s">
        <v>7692</v>
      </c>
      <c r="I2098" s="3" t="s">
        <v>7678</v>
      </c>
      <c r="J2098" s="3" t="s">
        <v>7693</v>
      </c>
      <c r="K2098" s="3" t="s">
        <v>1027</v>
      </c>
      <c r="L2098" s="3" t="s">
        <v>7694</v>
      </c>
      <c r="M2098" s="3" t="s">
        <v>7695</v>
      </c>
      <c r="N2098" s="3"/>
      <c r="O2098" s="3" t="s">
        <v>7696</v>
      </c>
      <c r="P2098"/>
    </row>
    <row r="2099" spans="1:16" ht="58" hidden="1" x14ac:dyDescent="0.35">
      <c r="A2099" s="3" t="s">
        <v>1184</v>
      </c>
      <c r="B2099" s="3" t="s">
        <v>344</v>
      </c>
      <c r="C2099" s="3"/>
      <c r="D2099" s="3"/>
      <c r="E2099" s="3"/>
      <c r="F2099" s="3" t="s">
        <v>7595</v>
      </c>
      <c r="G2099" s="5" t="s">
        <v>6989</v>
      </c>
      <c r="H2099" s="3" t="s">
        <v>7697</v>
      </c>
      <c r="I2099" s="3" t="s">
        <v>7698</v>
      </c>
      <c r="J2099" s="3" t="s">
        <v>7699</v>
      </c>
      <c r="K2099" s="3" t="s">
        <v>229</v>
      </c>
      <c r="L2099" s="3" t="s">
        <v>7700</v>
      </c>
      <c r="M2099" s="3" t="s">
        <v>7701</v>
      </c>
      <c r="N2099" s="3"/>
      <c r="O2099" s="3" t="s">
        <v>7702</v>
      </c>
      <c r="P2099"/>
    </row>
    <row r="2100" spans="1:16" ht="159.5" hidden="1" x14ac:dyDescent="0.35">
      <c r="A2100" s="3" t="s">
        <v>1184</v>
      </c>
      <c r="B2100" s="3" t="s">
        <v>344</v>
      </c>
      <c r="C2100" s="3"/>
      <c r="D2100" s="3"/>
      <c r="E2100" s="3"/>
      <c r="F2100" s="3" t="s">
        <v>7595</v>
      </c>
      <c r="G2100" s="5" t="s">
        <v>6989</v>
      </c>
      <c r="H2100" s="3" t="s">
        <v>7703</v>
      </c>
      <c r="I2100" s="3" t="s">
        <v>7698</v>
      </c>
      <c r="J2100" s="3" t="s">
        <v>7704</v>
      </c>
      <c r="K2100" s="3" t="s">
        <v>1027</v>
      </c>
      <c r="L2100" s="3" t="s">
        <v>7705</v>
      </c>
      <c r="M2100" s="3" t="s">
        <v>7706</v>
      </c>
      <c r="N2100" s="3"/>
      <c r="O2100" s="3" t="s">
        <v>7707</v>
      </c>
      <c r="P2100"/>
    </row>
    <row r="2101" spans="1:16" ht="159.5" hidden="1" x14ac:dyDescent="0.35">
      <c r="A2101" s="3" t="s">
        <v>1184</v>
      </c>
      <c r="B2101" s="3" t="s">
        <v>344</v>
      </c>
      <c r="C2101" s="3"/>
      <c r="D2101" s="3"/>
      <c r="E2101" s="3"/>
      <c r="F2101" s="3" t="s">
        <v>7595</v>
      </c>
      <c r="G2101" s="5" t="s">
        <v>6989</v>
      </c>
      <c r="H2101" s="3" t="s">
        <v>7708</v>
      </c>
      <c r="I2101" s="3" t="s">
        <v>7698</v>
      </c>
      <c r="J2101" s="3" t="s">
        <v>7709</v>
      </c>
      <c r="K2101" s="3" t="s">
        <v>1027</v>
      </c>
      <c r="L2101" s="3" t="s">
        <v>7710</v>
      </c>
      <c r="M2101" s="3" t="s">
        <v>7711</v>
      </c>
      <c r="N2101" s="3"/>
      <c r="O2101" s="3" t="s">
        <v>7712</v>
      </c>
      <c r="P2101"/>
    </row>
    <row r="2102" spans="1:16" ht="159.5" hidden="1" x14ac:dyDescent="0.35">
      <c r="A2102" s="3" t="s">
        <v>1184</v>
      </c>
      <c r="B2102" s="3" t="s">
        <v>344</v>
      </c>
      <c r="C2102" s="3"/>
      <c r="D2102" s="3"/>
      <c r="E2102" s="3"/>
      <c r="F2102" s="3" t="s">
        <v>7595</v>
      </c>
      <c r="G2102" s="5" t="s">
        <v>6989</v>
      </c>
      <c r="H2102" s="3" t="s">
        <v>7713</v>
      </c>
      <c r="I2102" s="3" t="s">
        <v>7714</v>
      </c>
      <c r="J2102" s="3" t="s">
        <v>7715</v>
      </c>
      <c r="K2102" s="3" t="s">
        <v>1027</v>
      </c>
      <c r="L2102" s="3" t="s">
        <v>7716</v>
      </c>
      <c r="M2102" s="3" t="s">
        <v>7717</v>
      </c>
      <c r="N2102" s="3"/>
      <c r="O2102" s="3" t="s">
        <v>7718</v>
      </c>
      <c r="P2102"/>
    </row>
    <row r="2103" spans="1:16" ht="87" hidden="1" x14ac:dyDescent="0.35">
      <c r="A2103" s="3" t="s">
        <v>1184</v>
      </c>
      <c r="B2103" s="3" t="s">
        <v>344</v>
      </c>
      <c r="C2103" s="3"/>
      <c r="D2103" s="3"/>
      <c r="E2103" s="3"/>
      <c r="F2103" s="3" t="s">
        <v>7595</v>
      </c>
      <c r="G2103" s="5" t="s">
        <v>6989</v>
      </c>
      <c r="H2103" s="3" t="s">
        <v>7719</v>
      </c>
      <c r="I2103" s="3" t="s">
        <v>7714</v>
      </c>
      <c r="J2103" s="3" t="s">
        <v>7720</v>
      </c>
      <c r="K2103" s="3" t="s">
        <v>1187</v>
      </c>
      <c r="L2103" s="3" t="s">
        <v>7721</v>
      </c>
      <c r="M2103" s="3" t="s">
        <v>7722</v>
      </c>
      <c r="N2103" s="3"/>
      <c r="O2103" s="3" t="s">
        <v>7723</v>
      </c>
      <c r="P2103"/>
    </row>
    <row r="2104" spans="1:16" ht="58" hidden="1" x14ac:dyDescent="0.35">
      <c r="A2104" s="3" t="s">
        <v>1184</v>
      </c>
      <c r="B2104" s="3" t="s">
        <v>344</v>
      </c>
      <c r="C2104" s="3"/>
      <c r="D2104" s="3"/>
      <c r="E2104" s="3"/>
      <c r="F2104" s="3" t="s">
        <v>7595</v>
      </c>
      <c r="G2104" s="5" t="s">
        <v>6989</v>
      </c>
      <c r="H2104" s="3" t="s">
        <v>7724</v>
      </c>
      <c r="I2104" s="3" t="s">
        <v>7714</v>
      </c>
      <c r="J2104" s="3" t="s">
        <v>7725</v>
      </c>
      <c r="K2104" s="3" t="s">
        <v>229</v>
      </c>
      <c r="L2104" s="3" t="s">
        <v>7726</v>
      </c>
      <c r="M2104" s="3" t="s">
        <v>7727</v>
      </c>
      <c r="N2104" s="3"/>
      <c r="O2104" s="3" t="s">
        <v>7728</v>
      </c>
      <c r="P2104"/>
    </row>
    <row r="2105" spans="1:16" ht="58" hidden="1" x14ac:dyDescent="0.35">
      <c r="A2105" s="3" t="s">
        <v>1184</v>
      </c>
      <c r="B2105" s="3" t="s">
        <v>344</v>
      </c>
      <c r="C2105" s="3"/>
      <c r="D2105" s="3"/>
      <c r="E2105" s="3"/>
      <c r="F2105" s="3" t="s">
        <v>7595</v>
      </c>
      <c r="G2105" s="5" t="s">
        <v>6989</v>
      </c>
      <c r="H2105" s="3" t="s">
        <v>7729</v>
      </c>
      <c r="I2105" s="3" t="s">
        <v>7730</v>
      </c>
      <c r="J2105" s="3" t="s">
        <v>7731</v>
      </c>
      <c r="K2105" s="3" t="s">
        <v>229</v>
      </c>
      <c r="L2105" s="3" t="s">
        <v>7732</v>
      </c>
      <c r="M2105" s="3" t="s">
        <v>7733</v>
      </c>
      <c r="N2105" s="3"/>
      <c r="O2105" s="3" t="s">
        <v>7734</v>
      </c>
      <c r="P2105"/>
    </row>
    <row r="2106" spans="1:16" ht="58" hidden="1" x14ac:dyDescent="0.35">
      <c r="A2106" s="3" t="s">
        <v>1184</v>
      </c>
      <c r="B2106" s="3" t="s">
        <v>344</v>
      </c>
      <c r="C2106" s="3"/>
      <c r="D2106" s="3"/>
      <c r="E2106" s="3"/>
      <c r="F2106" s="3" t="s">
        <v>7595</v>
      </c>
      <c r="G2106" s="5" t="s">
        <v>6989</v>
      </c>
      <c r="H2106" s="3" t="s">
        <v>7735</v>
      </c>
      <c r="I2106" s="3" t="s">
        <v>7730</v>
      </c>
      <c r="J2106" s="3" t="s">
        <v>7736</v>
      </c>
      <c r="K2106" s="3" t="s">
        <v>229</v>
      </c>
      <c r="L2106" s="3" t="s">
        <v>7737</v>
      </c>
      <c r="M2106" s="3" t="s">
        <v>7738</v>
      </c>
      <c r="N2106" s="3"/>
      <c r="O2106" s="3" t="s">
        <v>7739</v>
      </c>
      <c r="P2106"/>
    </row>
    <row r="2107" spans="1:16" ht="58" hidden="1" x14ac:dyDescent="0.35">
      <c r="A2107" s="3" t="s">
        <v>1184</v>
      </c>
      <c r="B2107" s="3" t="s">
        <v>344</v>
      </c>
      <c r="C2107" s="3"/>
      <c r="D2107" s="3"/>
      <c r="E2107" s="3"/>
      <c r="F2107" s="3" t="s">
        <v>7595</v>
      </c>
      <c r="G2107" s="5" t="s">
        <v>6989</v>
      </c>
      <c r="H2107" s="3" t="s">
        <v>7740</v>
      </c>
      <c r="I2107" s="3" t="s">
        <v>7730</v>
      </c>
      <c r="J2107" s="3" t="s">
        <v>7741</v>
      </c>
      <c r="K2107" s="3" t="s">
        <v>229</v>
      </c>
      <c r="L2107" s="3" t="s">
        <v>7742</v>
      </c>
      <c r="M2107" s="3" t="s">
        <v>7743</v>
      </c>
      <c r="N2107" s="3"/>
      <c r="O2107" s="3" t="s">
        <v>7744</v>
      </c>
      <c r="P2107"/>
    </row>
    <row r="2108" spans="1:16" ht="58" hidden="1" x14ac:dyDescent="0.35">
      <c r="A2108" s="3" t="s">
        <v>1184</v>
      </c>
      <c r="B2108" s="3" t="s">
        <v>344</v>
      </c>
      <c r="C2108" s="3"/>
      <c r="D2108" s="3"/>
      <c r="E2108" s="3"/>
      <c r="F2108" s="3" t="s">
        <v>7595</v>
      </c>
      <c r="G2108" s="5" t="s">
        <v>6989</v>
      </c>
      <c r="H2108" s="3" t="s">
        <v>7745</v>
      </c>
      <c r="I2108" s="3" t="s">
        <v>7730</v>
      </c>
      <c r="J2108" s="3" t="s">
        <v>7746</v>
      </c>
      <c r="K2108" s="3" t="s">
        <v>229</v>
      </c>
      <c r="L2108" s="3" t="s">
        <v>7747</v>
      </c>
      <c r="M2108" s="3" t="s">
        <v>7748</v>
      </c>
      <c r="N2108" s="3"/>
      <c r="O2108" s="3" t="s">
        <v>7749</v>
      </c>
      <c r="P2108"/>
    </row>
    <row r="2109" spans="1:16" ht="58" hidden="1" x14ac:dyDescent="0.35">
      <c r="A2109" s="3" t="s">
        <v>1184</v>
      </c>
      <c r="B2109" s="3" t="s">
        <v>344</v>
      </c>
      <c r="C2109" s="3"/>
      <c r="D2109" s="3"/>
      <c r="E2109" s="3"/>
      <c r="F2109" s="3" t="s">
        <v>7595</v>
      </c>
      <c r="G2109" s="5" t="s">
        <v>6989</v>
      </c>
      <c r="H2109" s="3" t="s">
        <v>7750</v>
      </c>
      <c r="I2109" s="3" t="s">
        <v>7730</v>
      </c>
      <c r="J2109" s="3" t="s">
        <v>7751</v>
      </c>
      <c r="K2109" s="3" t="s">
        <v>229</v>
      </c>
      <c r="L2109" s="3" t="s">
        <v>7752</v>
      </c>
      <c r="M2109" s="3" t="s">
        <v>7753</v>
      </c>
      <c r="N2109" s="3"/>
      <c r="O2109" s="3" t="s">
        <v>7754</v>
      </c>
      <c r="P2109"/>
    </row>
    <row r="2110" spans="1:16" ht="87" hidden="1" x14ac:dyDescent="0.35">
      <c r="A2110" s="3" t="s">
        <v>1184</v>
      </c>
      <c r="B2110" s="3" t="s">
        <v>344</v>
      </c>
      <c r="C2110" s="3"/>
      <c r="D2110" s="3"/>
      <c r="E2110" s="3"/>
      <c r="F2110" s="3" t="s">
        <v>7595</v>
      </c>
      <c r="G2110" s="5" t="s">
        <v>6989</v>
      </c>
      <c r="H2110" s="3" t="s">
        <v>7755</v>
      </c>
      <c r="I2110" s="3" t="s">
        <v>7756</v>
      </c>
      <c r="J2110" s="3" t="s">
        <v>7757</v>
      </c>
      <c r="K2110" s="3" t="s">
        <v>241</v>
      </c>
      <c r="L2110" s="3" t="s">
        <v>7758</v>
      </c>
      <c r="M2110" s="3" t="s">
        <v>7759</v>
      </c>
      <c r="N2110" s="3"/>
      <c r="O2110" s="3" t="s">
        <v>7760</v>
      </c>
      <c r="P2110"/>
    </row>
    <row r="2111" spans="1:16" ht="159.5" hidden="1" x14ac:dyDescent="0.35">
      <c r="A2111" s="3" t="s">
        <v>1184</v>
      </c>
      <c r="B2111" s="3" t="s">
        <v>344</v>
      </c>
      <c r="C2111" s="3"/>
      <c r="D2111" s="3"/>
      <c r="E2111" s="3"/>
      <c r="F2111" s="3" t="s">
        <v>7595</v>
      </c>
      <c r="G2111" s="5" t="s">
        <v>6989</v>
      </c>
      <c r="H2111" s="3" t="s">
        <v>7761</v>
      </c>
      <c r="I2111" s="3" t="s">
        <v>7756</v>
      </c>
      <c r="J2111" s="3" t="s">
        <v>7762</v>
      </c>
      <c r="K2111" s="3" t="s">
        <v>1027</v>
      </c>
      <c r="L2111" s="3" t="s">
        <v>7763</v>
      </c>
      <c r="M2111" s="3" t="s">
        <v>7764</v>
      </c>
      <c r="N2111" s="3"/>
      <c r="O2111" s="3" t="s">
        <v>7765</v>
      </c>
      <c r="P2111"/>
    </row>
    <row r="2112" spans="1:16" ht="58" hidden="1" x14ac:dyDescent="0.35">
      <c r="A2112" s="3" t="s">
        <v>1184</v>
      </c>
      <c r="B2112" s="3" t="s">
        <v>344</v>
      </c>
      <c r="C2112" s="3"/>
      <c r="D2112" s="3"/>
      <c r="E2112" s="3"/>
      <c r="F2112" s="3" t="s">
        <v>7766</v>
      </c>
      <c r="G2112" s="5" t="s">
        <v>7142</v>
      </c>
      <c r="I2112" s="3" t="s">
        <v>7756</v>
      </c>
      <c r="J2112" s="3" t="s">
        <v>7767</v>
      </c>
      <c r="K2112" s="3" t="s">
        <v>229</v>
      </c>
      <c r="L2112" s="3" t="s">
        <v>7768</v>
      </c>
      <c r="M2112" s="3" t="s">
        <v>7769</v>
      </c>
      <c r="N2112" s="3"/>
      <c r="O2112" s="3" t="s">
        <v>7770</v>
      </c>
      <c r="P2112"/>
    </row>
    <row r="2113" spans="1:16" ht="58" hidden="1" x14ac:dyDescent="0.35">
      <c r="A2113" s="3" t="s">
        <v>1184</v>
      </c>
      <c r="B2113" s="3" t="s">
        <v>344</v>
      </c>
      <c r="C2113" s="3"/>
      <c r="D2113" s="3"/>
      <c r="E2113" s="3"/>
      <c r="F2113" s="3" t="s">
        <v>7766</v>
      </c>
      <c r="G2113" s="5" t="s">
        <v>7142</v>
      </c>
      <c r="H2113" s="3" t="s">
        <v>7771</v>
      </c>
      <c r="I2113" s="3" t="s">
        <v>7756</v>
      </c>
      <c r="J2113" s="3" t="s">
        <v>7137</v>
      </c>
      <c r="K2113" s="3" t="s">
        <v>229</v>
      </c>
      <c r="L2113" s="3" t="s">
        <v>7772</v>
      </c>
      <c r="M2113" s="3" t="s">
        <v>7773</v>
      </c>
      <c r="N2113" s="3"/>
      <c r="O2113" s="3" t="s">
        <v>7774</v>
      </c>
      <c r="P2113"/>
    </row>
    <row r="2114" spans="1:16" ht="58" hidden="1" x14ac:dyDescent="0.35">
      <c r="A2114" s="3" t="s">
        <v>1184</v>
      </c>
      <c r="B2114" s="3" t="s">
        <v>344</v>
      </c>
      <c r="C2114" s="3"/>
      <c r="D2114" s="3"/>
      <c r="E2114" s="3"/>
      <c r="F2114" s="3" t="s">
        <v>7766</v>
      </c>
      <c r="G2114" s="5" t="s">
        <v>7142</v>
      </c>
      <c r="H2114" s="3" t="s">
        <v>7775</v>
      </c>
      <c r="I2114" s="3" t="s">
        <v>7776</v>
      </c>
      <c r="J2114" s="3" t="s">
        <v>7777</v>
      </c>
      <c r="K2114" s="3" t="s">
        <v>229</v>
      </c>
      <c r="L2114" s="3" t="s">
        <v>1248</v>
      </c>
      <c r="M2114" s="3" t="s">
        <v>7778</v>
      </c>
      <c r="N2114" s="3"/>
      <c r="O2114" s="3" t="s">
        <v>7779</v>
      </c>
      <c r="P2114"/>
    </row>
    <row r="2115" spans="1:16" ht="58" hidden="1" x14ac:dyDescent="0.35">
      <c r="A2115" s="3" t="s">
        <v>1184</v>
      </c>
      <c r="B2115" s="3" t="s">
        <v>344</v>
      </c>
      <c r="C2115" s="3"/>
      <c r="D2115" s="3"/>
      <c r="E2115" s="3"/>
      <c r="F2115" s="3" t="s">
        <v>7766</v>
      </c>
      <c r="G2115" s="5" t="s">
        <v>7142</v>
      </c>
      <c r="H2115" s="3" t="s">
        <v>7780</v>
      </c>
      <c r="I2115" s="3" t="s">
        <v>7776</v>
      </c>
      <c r="J2115" s="3" t="s">
        <v>7781</v>
      </c>
      <c r="K2115" s="3" t="s">
        <v>229</v>
      </c>
      <c r="L2115" s="3" t="s">
        <v>7782</v>
      </c>
      <c r="M2115" s="3" t="s">
        <v>7151</v>
      </c>
      <c r="N2115" s="3"/>
      <c r="O2115" s="3" t="s">
        <v>7783</v>
      </c>
      <c r="P2115"/>
    </row>
    <row r="2116" spans="1:16" ht="87" hidden="1" x14ac:dyDescent="0.35">
      <c r="A2116" s="3" t="s">
        <v>1184</v>
      </c>
      <c r="B2116" s="3" t="s">
        <v>344</v>
      </c>
      <c r="C2116" s="3"/>
      <c r="D2116" s="3"/>
      <c r="E2116" s="3"/>
      <c r="F2116" s="3" t="s">
        <v>7766</v>
      </c>
      <c r="G2116" s="5" t="s">
        <v>7142</v>
      </c>
      <c r="H2116" s="3" t="s">
        <v>7784</v>
      </c>
      <c r="I2116" s="3" t="s">
        <v>7776</v>
      </c>
      <c r="J2116" s="3" t="s">
        <v>1251</v>
      </c>
      <c r="K2116" s="3" t="s">
        <v>1187</v>
      </c>
      <c r="L2116" s="3" t="s">
        <v>7785</v>
      </c>
      <c r="M2116" s="3" t="s">
        <v>7786</v>
      </c>
      <c r="N2116" s="3"/>
      <c r="O2116" s="3" t="s">
        <v>7787</v>
      </c>
      <c r="P2116"/>
    </row>
    <row r="2117" spans="1:16" ht="58" hidden="1" x14ac:dyDescent="0.35">
      <c r="A2117" s="3" t="s">
        <v>1184</v>
      </c>
      <c r="B2117" s="3" t="s">
        <v>344</v>
      </c>
      <c r="C2117" s="3"/>
      <c r="D2117" s="3"/>
      <c r="E2117" s="3"/>
      <c r="F2117" s="3" t="s">
        <v>7766</v>
      </c>
      <c r="G2117" s="5" t="s">
        <v>7142</v>
      </c>
      <c r="H2117" s="3" t="s">
        <v>7788</v>
      </c>
      <c r="I2117" s="3" t="s">
        <v>7789</v>
      </c>
      <c r="J2117" s="3" t="s">
        <v>7790</v>
      </c>
      <c r="K2117" s="3" t="s">
        <v>229</v>
      </c>
      <c r="L2117" s="3" t="s">
        <v>7791</v>
      </c>
      <c r="M2117" s="3" t="s">
        <v>7792</v>
      </c>
      <c r="N2117" s="3"/>
      <c r="O2117" s="3" t="s">
        <v>7793</v>
      </c>
      <c r="P2117"/>
    </row>
    <row r="2118" spans="1:16" ht="159.5" hidden="1" x14ac:dyDescent="0.35">
      <c r="A2118" s="3" t="s">
        <v>1184</v>
      </c>
      <c r="B2118" s="3" t="s">
        <v>344</v>
      </c>
      <c r="C2118" s="3"/>
      <c r="D2118" s="3"/>
      <c r="E2118" s="3"/>
      <c r="F2118" s="3" t="s">
        <v>7766</v>
      </c>
      <c r="G2118" s="5" t="s">
        <v>7142</v>
      </c>
      <c r="H2118" s="3" t="s">
        <v>7794</v>
      </c>
      <c r="I2118" s="5" t="s">
        <v>7795</v>
      </c>
      <c r="J2118" s="3" t="s">
        <v>7796</v>
      </c>
      <c r="K2118" s="3" t="s">
        <v>1027</v>
      </c>
      <c r="L2118" s="3" t="s">
        <v>7797</v>
      </c>
      <c r="M2118" s="3" t="s">
        <v>7798</v>
      </c>
      <c r="N2118" s="3"/>
      <c r="O2118" s="3" t="s">
        <v>7349</v>
      </c>
      <c r="P2118"/>
    </row>
    <row r="2119" spans="1:16" ht="159.5" hidden="1" x14ac:dyDescent="0.35">
      <c r="A2119" s="3" t="s">
        <v>1184</v>
      </c>
      <c r="B2119" s="3" t="s">
        <v>344</v>
      </c>
      <c r="C2119" s="3"/>
      <c r="D2119" s="3"/>
      <c r="E2119" s="3"/>
      <c r="F2119" s="3" t="s">
        <v>7766</v>
      </c>
      <c r="G2119" s="5" t="s">
        <v>7142</v>
      </c>
      <c r="H2119" s="3" t="s">
        <v>7799</v>
      </c>
      <c r="I2119" s="3" t="s">
        <v>7602</v>
      </c>
      <c r="J2119" s="3" t="s">
        <v>7800</v>
      </c>
      <c r="K2119" s="3" t="s">
        <v>1027</v>
      </c>
      <c r="L2119" s="3" t="s">
        <v>7801</v>
      </c>
      <c r="M2119" s="3" t="s">
        <v>7802</v>
      </c>
      <c r="N2119" s="3"/>
      <c r="O2119" s="3" t="s">
        <v>7803</v>
      </c>
      <c r="P2119"/>
    </row>
    <row r="2120" spans="1:16" ht="159.5" hidden="1" x14ac:dyDescent="0.35">
      <c r="A2120" s="3" t="s">
        <v>1184</v>
      </c>
      <c r="B2120" s="3" t="s">
        <v>344</v>
      </c>
      <c r="C2120" s="3"/>
      <c r="D2120" s="3"/>
      <c r="E2120" s="3"/>
      <c r="F2120" s="3" t="s">
        <v>7766</v>
      </c>
      <c r="G2120" s="5" t="s">
        <v>7142</v>
      </c>
      <c r="H2120" s="3" t="s">
        <v>7804</v>
      </c>
      <c r="I2120" s="3" t="s">
        <v>7602</v>
      </c>
      <c r="J2120" s="3" t="s">
        <v>7805</v>
      </c>
      <c r="K2120" s="3" t="s">
        <v>1027</v>
      </c>
      <c r="L2120" s="3" t="s">
        <v>7806</v>
      </c>
      <c r="M2120" s="3" t="s">
        <v>7807</v>
      </c>
      <c r="N2120" s="3"/>
      <c r="O2120" s="3" t="s">
        <v>7808</v>
      </c>
      <c r="P2120"/>
    </row>
    <row r="2121" spans="1:16" ht="87" hidden="1" x14ac:dyDescent="0.35">
      <c r="A2121" s="3" t="s">
        <v>1184</v>
      </c>
      <c r="B2121" s="3" t="s">
        <v>344</v>
      </c>
      <c r="C2121" s="3"/>
      <c r="D2121" s="3"/>
      <c r="E2121" s="3"/>
      <c r="F2121" s="3" t="s">
        <v>7766</v>
      </c>
      <c r="G2121" s="5" t="s">
        <v>7142</v>
      </c>
      <c r="H2121" s="3" t="s">
        <v>7809</v>
      </c>
      <c r="I2121" s="3" t="s">
        <v>7602</v>
      </c>
      <c r="J2121" s="3" t="s">
        <v>7810</v>
      </c>
      <c r="K2121" s="3" t="s">
        <v>241</v>
      </c>
      <c r="L2121" s="3" t="s">
        <v>7811</v>
      </c>
      <c r="M2121" s="3" t="s">
        <v>7812</v>
      </c>
      <c r="N2121" s="3"/>
      <c r="O2121" s="3" t="s">
        <v>7813</v>
      </c>
      <c r="P2121"/>
    </row>
    <row r="2122" spans="1:16" ht="87" hidden="1" x14ac:dyDescent="0.35">
      <c r="A2122" s="3" t="s">
        <v>1184</v>
      </c>
      <c r="B2122" s="3" t="s">
        <v>344</v>
      </c>
      <c r="C2122" s="3"/>
      <c r="D2122" s="3"/>
      <c r="E2122" s="3"/>
      <c r="F2122" s="3" t="s">
        <v>7766</v>
      </c>
      <c r="G2122" s="5" t="s">
        <v>7142</v>
      </c>
      <c r="H2122" s="3" t="s">
        <v>7814</v>
      </c>
      <c r="I2122" s="3" t="s">
        <v>7602</v>
      </c>
      <c r="J2122" s="3" t="s">
        <v>7815</v>
      </c>
      <c r="K2122" s="3" t="s">
        <v>241</v>
      </c>
      <c r="L2122" s="3" t="s">
        <v>7816</v>
      </c>
      <c r="M2122" s="3" t="s">
        <v>7817</v>
      </c>
      <c r="N2122" s="3"/>
      <c r="O2122" s="3" t="s">
        <v>7818</v>
      </c>
      <c r="P2122"/>
    </row>
    <row r="2123" spans="1:16" ht="87" hidden="1" x14ac:dyDescent="0.35">
      <c r="A2123" s="3" t="s">
        <v>1184</v>
      </c>
      <c r="B2123" s="3" t="s">
        <v>344</v>
      </c>
      <c r="C2123" s="3"/>
      <c r="D2123" s="3"/>
      <c r="E2123" s="3"/>
      <c r="F2123" s="3" t="s">
        <v>7766</v>
      </c>
      <c r="G2123" s="5" t="s">
        <v>7142</v>
      </c>
      <c r="H2123" s="3" t="s">
        <v>7819</v>
      </c>
      <c r="I2123" s="3" t="s">
        <v>7602</v>
      </c>
      <c r="J2123" s="3" t="s">
        <v>7820</v>
      </c>
      <c r="K2123" s="3" t="s">
        <v>241</v>
      </c>
      <c r="L2123" s="3" t="s">
        <v>7821</v>
      </c>
      <c r="M2123" s="3" t="s">
        <v>7822</v>
      </c>
      <c r="N2123" s="3"/>
      <c r="O2123" s="3" t="s">
        <v>7823</v>
      </c>
      <c r="P2123"/>
    </row>
    <row r="2124" spans="1:16" ht="87" hidden="1" x14ac:dyDescent="0.35">
      <c r="A2124" s="3" t="s">
        <v>1184</v>
      </c>
      <c r="B2124" s="3" t="s">
        <v>344</v>
      </c>
      <c r="C2124" s="3"/>
      <c r="D2124" s="3"/>
      <c r="E2124" s="3"/>
      <c r="F2124" s="3" t="s">
        <v>7766</v>
      </c>
      <c r="G2124" s="5" t="s">
        <v>7142</v>
      </c>
      <c r="H2124" s="3" t="s">
        <v>7824</v>
      </c>
      <c r="I2124" s="3" t="s">
        <v>7602</v>
      </c>
      <c r="J2124" s="3" t="s">
        <v>7825</v>
      </c>
      <c r="K2124" s="3" t="s">
        <v>241</v>
      </c>
      <c r="L2124" s="3" t="s">
        <v>7826</v>
      </c>
      <c r="M2124" s="3" t="s">
        <v>7827</v>
      </c>
      <c r="N2124" s="3"/>
      <c r="O2124" s="3" t="s">
        <v>7828</v>
      </c>
      <c r="P2124"/>
    </row>
    <row r="2125" spans="1:16" ht="87" hidden="1" x14ac:dyDescent="0.35">
      <c r="A2125" s="3" t="s">
        <v>1184</v>
      </c>
      <c r="B2125" s="3" t="s">
        <v>344</v>
      </c>
      <c r="C2125" s="3"/>
      <c r="D2125" s="3"/>
      <c r="E2125" s="3"/>
      <c r="F2125" s="3" t="s">
        <v>7766</v>
      </c>
      <c r="G2125" s="5" t="s">
        <v>7142</v>
      </c>
      <c r="H2125" s="3" t="s">
        <v>7829</v>
      </c>
      <c r="I2125" s="3" t="s">
        <v>7830</v>
      </c>
      <c r="J2125" s="3" t="s">
        <v>7831</v>
      </c>
      <c r="K2125" s="3" t="s">
        <v>241</v>
      </c>
      <c r="L2125" s="3" t="s">
        <v>7832</v>
      </c>
      <c r="M2125" s="3" t="s">
        <v>7833</v>
      </c>
      <c r="N2125" s="3"/>
      <c r="O2125" s="3" t="s">
        <v>7834</v>
      </c>
      <c r="P2125"/>
    </row>
    <row r="2126" spans="1:16" ht="87" hidden="1" x14ac:dyDescent="0.35">
      <c r="A2126" s="3" t="s">
        <v>1184</v>
      </c>
      <c r="B2126" s="3" t="s">
        <v>344</v>
      </c>
      <c r="C2126" s="3"/>
      <c r="D2126" s="3"/>
      <c r="E2126" s="3"/>
      <c r="F2126" s="3" t="s">
        <v>7766</v>
      </c>
      <c r="G2126" s="5" t="s">
        <v>7142</v>
      </c>
      <c r="H2126" s="3" t="s">
        <v>7835</v>
      </c>
      <c r="I2126" s="3" t="s">
        <v>7830</v>
      </c>
      <c r="J2126" s="3" t="s">
        <v>7836</v>
      </c>
      <c r="K2126" s="3" t="s">
        <v>241</v>
      </c>
      <c r="L2126" s="3" t="s">
        <v>7837</v>
      </c>
      <c r="M2126" s="3" t="s">
        <v>7838</v>
      </c>
      <c r="N2126" s="3"/>
      <c r="O2126" s="3" t="s">
        <v>7839</v>
      </c>
      <c r="P2126"/>
    </row>
    <row r="2127" spans="1:16" ht="87" hidden="1" x14ac:dyDescent="0.35">
      <c r="A2127" s="3" t="s">
        <v>1184</v>
      </c>
      <c r="B2127" s="3" t="s">
        <v>344</v>
      </c>
      <c r="C2127" s="3"/>
      <c r="D2127" s="3"/>
      <c r="E2127" s="3"/>
      <c r="F2127" s="3" t="s">
        <v>7766</v>
      </c>
      <c r="G2127" s="5" t="s">
        <v>7142</v>
      </c>
      <c r="H2127" s="3" t="s">
        <v>7840</v>
      </c>
      <c r="I2127" s="3" t="s">
        <v>7841</v>
      </c>
      <c r="J2127" s="3" t="s">
        <v>7842</v>
      </c>
      <c r="K2127" s="3" t="s">
        <v>241</v>
      </c>
      <c r="L2127" s="3" t="s">
        <v>7843</v>
      </c>
      <c r="M2127" s="3" t="s">
        <v>7844</v>
      </c>
      <c r="N2127" s="3"/>
      <c r="O2127" s="3" t="s">
        <v>7845</v>
      </c>
      <c r="P2127"/>
    </row>
    <row r="2128" spans="1:16" ht="87" hidden="1" x14ac:dyDescent="0.35">
      <c r="A2128" s="3" t="s">
        <v>1184</v>
      </c>
      <c r="B2128" s="3" t="s">
        <v>344</v>
      </c>
      <c r="C2128" s="3"/>
      <c r="D2128" s="3"/>
      <c r="E2128" s="3"/>
      <c r="F2128" s="3" t="s">
        <v>7766</v>
      </c>
      <c r="G2128" s="5" t="s">
        <v>7142</v>
      </c>
      <c r="H2128" s="3" t="s">
        <v>7846</v>
      </c>
      <c r="I2128" s="3" t="s">
        <v>7841</v>
      </c>
      <c r="J2128" s="3" t="s">
        <v>7847</v>
      </c>
      <c r="K2128" s="3" t="s">
        <v>241</v>
      </c>
      <c r="L2128" s="3" t="s">
        <v>7848</v>
      </c>
      <c r="M2128" s="3" t="s">
        <v>7849</v>
      </c>
      <c r="N2128" s="3"/>
      <c r="O2128" s="3" t="s">
        <v>7850</v>
      </c>
      <c r="P2128"/>
    </row>
    <row r="2129" spans="1:16" ht="87" hidden="1" x14ac:dyDescent="0.35">
      <c r="A2129" s="3" t="s">
        <v>1184</v>
      </c>
      <c r="B2129" s="3" t="s">
        <v>344</v>
      </c>
      <c r="C2129" s="3"/>
      <c r="D2129" s="3"/>
      <c r="E2129" s="3"/>
      <c r="F2129" s="3" t="s">
        <v>7766</v>
      </c>
      <c r="G2129" s="5" t="s">
        <v>7142</v>
      </c>
      <c r="H2129" s="3" t="s">
        <v>7851</v>
      </c>
      <c r="I2129" s="3" t="s">
        <v>7852</v>
      </c>
      <c r="J2129" s="3" t="s">
        <v>7853</v>
      </c>
      <c r="K2129" s="3" t="s">
        <v>241</v>
      </c>
      <c r="L2129" s="3" t="s">
        <v>7854</v>
      </c>
      <c r="M2129" s="3" t="s">
        <v>7855</v>
      </c>
      <c r="N2129" s="3"/>
      <c r="O2129" s="3" t="s">
        <v>7856</v>
      </c>
      <c r="P2129"/>
    </row>
    <row r="2130" spans="1:16" ht="87" hidden="1" x14ac:dyDescent="0.35">
      <c r="A2130" s="3" t="s">
        <v>1184</v>
      </c>
      <c r="B2130" s="3" t="s">
        <v>344</v>
      </c>
      <c r="C2130" s="3"/>
      <c r="D2130" s="3"/>
      <c r="E2130" s="3"/>
      <c r="F2130" s="3" t="s">
        <v>7766</v>
      </c>
      <c r="G2130" s="5" t="s">
        <v>7142</v>
      </c>
      <c r="H2130" s="3" t="s">
        <v>7857</v>
      </c>
      <c r="I2130" s="5" t="s">
        <v>7858</v>
      </c>
      <c r="J2130" s="3" t="s">
        <v>7859</v>
      </c>
      <c r="K2130" s="3" t="s">
        <v>1187</v>
      </c>
      <c r="L2130" s="3" t="s">
        <v>7860</v>
      </c>
      <c r="M2130" s="3" t="s">
        <v>7861</v>
      </c>
      <c r="N2130" s="3"/>
      <c r="O2130" s="3" t="s">
        <v>7862</v>
      </c>
      <c r="P2130"/>
    </row>
    <row r="2131" spans="1:16" ht="159.5" hidden="1" x14ac:dyDescent="0.35">
      <c r="A2131" s="3" t="s">
        <v>1184</v>
      </c>
      <c r="B2131" s="3" t="s">
        <v>344</v>
      </c>
      <c r="C2131" s="3"/>
      <c r="D2131" s="3"/>
      <c r="E2131" s="3"/>
      <c r="F2131" s="3" t="s">
        <v>7766</v>
      </c>
      <c r="G2131" s="5" t="s">
        <v>7142</v>
      </c>
      <c r="H2131" s="3" t="s">
        <v>7863</v>
      </c>
      <c r="I2131" s="3" t="s">
        <v>7864</v>
      </c>
      <c r="J2131" s="3" t="s">
        <v>7865</v>
      </c>
      <c r="K2131" s="3" t="s">
        <v>1027</v>
      </c>
      <c r="L2131" s="3" t="s">
        <v>7866</v>
      </c>
      <c r="M2131" s="3" t="s">
        <v>7867</v>
      </c>
      <c r="N2131" s="3"/>
      <c r="O2131" s="3" t="s">
        <v>7868</v>
      </c>
      <c r="P2131"/>
    </row>
    <row r="2132" spans="1:16" ht="87" hidden="1" x14ac:dyDescent="0.35">
      <c r="A2132" s="3" t="s">
        <v>1184</v>
      </c>
      <c r="B2132" s="3" t="s">
        <v>344</v>
      </c>
      <c r="C2132" s="3"/>
      <c r="D2132" s="3"/>
      <c r="E2132" s="3"/>
      <c r="F2132" s="3" t="s">
        <v>7766</v>
      </c>
      <c r="G2132" s="5" t="s">
        <v>7142</v>
      </c>
      <c r="H2132" s="3" t="s">
        <v>7869</v>
      </c>
      <c r="I2132" s="3" t="s">
        <v>7870</v>
      </c>
      <c r="J2132" s="3" t="s">
        <v>7871</v>
      </c>
      <c r="K2132" s="3" t="s">
        <v>1187</v>
      </c>
      <c r="L2132" s="3" t="s">
        <v>7872</v>
      </c>
      <c r="M2132" s="3" t="s">
        <v>7873</v>
      </c>
      <c r="N2132" s="3"/>
      <c r="O2132" s="3" t="s">
        <v>7874</v>
      </c>
      <c r="P2132"/>
    </row>
    <row r="2133" spans="1:16" ht="87" hidden="1" x14ac:dyDescent="0.35">
      <c r="A2133" s="3" t="s">
        <v>1184</v>
      </c>
      <c r="B2133" s="3" t="s">
        <v>344</v>
      </c>
      <c r="C2133" s="3"/>
      <c r="D2133" s="3"/>
      <c r="E2133" s="3"/>
      <c r="F2133" s="3" t="s">
        <v>7766</v>
      </c>
      <c r="G2133" s="5" t="s">
        <v>7142</v>
      </c>
      <c r="H2133" s="3" t="s">
        <v>7875</v>
      </c>
      <c r="I2133" s="3" t="s">
        <v>7870</v>
      </c>
      <c r="J2133" s="3" t="s">
        <v>7876</v>
      </c>
      <c r="K2133" s="3" t="s">
        <v>241</v>
      </c>
      <c r="L2133" s="3" t="s">
        <v>7877</v>
      </c>
      <c r="M2133" s="3" t="s">
        <v>7878</v>
      </c>
      <c r="N2133" s="3"/>
      <c r="O2133" s="3" t="s">
        <v>7879</v>
      </c>
      <c r="P2133"/>
    </row>
    <row r="2134" spans="1:16" ht="87" hidden="1" x14ac:dyDescent="0.35">
      <c r="A2134" s="3" t="s">
        <v>1184</v>
      </c>
      <c r="B2134" s="3" t="s">
        <v>344</v>
      </c>
      <c r="C2134" s="3"/>
      <c r="D2134" s="3"/>
      <c r="E2134" s="3"/>
      <c r="F2134" s="3" t="s">
        <v>7766</v>
      </c>
      <c r="G2134" s="5" t="s">
        <v>7142</v>
      </c>
      <c r="H2134" s="3" t="s">
        <v>7880</v>
      </c>
      <c r="I2134" s="3" t="s">
        <v>7870</v>
      </c>
      <c r="J2134" s="3" t="s">
        <v>7881</v>
      </c>
      <c r="K2134" s="3" t="s">
        <v>241</v>
      </c>
      <c r="L2134" s="3" t="s">
        <v>7882</v>
      </c>
      <c r="M2134" s="3" t="s">
        <v>7883</v>
      </c>
      <c r="N2134" s="3"/>
      <c r="O2134" s="3" t="s">
        <v>7884</v>
      </c>
      <c r="P2134"/>
    </row>
    <row r="2135" spans="1:16" ht="87" hidden="1" x14ac:dyDescent="0.35">
      <c r="A2135" s="3" t="s">
        <v>1184</v>
      </c>
      <c r="B2135" s="3" t="s">
        <v>344</v>
      </c>
      <c r="C2135" s="3"/>
      <c r="D2135" s="3"/>
      <c r="E2135" s="3"/>
      <c r="F2135" s="3" t="s">
        <v>7766</v>
      </c>
      <c r="G2135" s="5" t="s">
        <v>7142</v>
      </c>
      <c r="H2135" s="3" t="s">
        <v>7885</v>
      </c>
      <c r="I2135" s="3" t="s">
        <v>7870</v>
      </c>
      <c r="J2135" s="3" t="s">
        <v>7886</v>
      </c>
      <c r="K2135" s="3" t="s">
        <v>1187</v>
      </c>
      <c r="L2135" s="3" t="s">
        <v>7887</v>
      </c>
      <c r="M2135" s="3" t="s">
        <v>7888</v>
      </c>
      <c r="N2135" s="3"/>
      <c r="O2135" s="3" t="s">
        <v>7889</v>
      </c>
      <c r="P2135"/>
    </row>
    <row r="2136" spans="1:16" ht="145" hidden="1" x14ac:dyDescent="0.35">
      <c r="A2136" s="3" t="s">
        <v>1184</v>
      </c>
      <c r="B2136" s="3" t="s">
        <v>344</v>
      </c>
      <c r="C2136" s="3"/>
      <c r="D2136" s="3"/>
      <c r="E2136" s="3"/>
      <c r="F2136" s="3" t="s">
        <v>7766</v>
      </c>
      <c r="G2136" s="5" t="s">
        <v>7142</v>
      </c>
      <c r="H2136" s="3" t="s">
        <v>7890</v>
      </c>
      <c r="I2136" s="3" t="s">
        <v>7870</v>
      </c>
      <c r="J2136" s="3" t="s">
        <v>7891</v>
      </c>
      <c r="K2136" s="3" t="s">
        <v>1198</v>
      </c>
      <c r="L2136" s="3" t="s">
        <v>7892</v>
      </c>
      <c r="M2136" s="3" t="s">
        <v>7893</v>
      </c>
      <c r="N2136" s="3"/>
      <c r="O2136" s="3" t="s">
        <v>7894</v>
      </c>
      <c r="P2136"/>
    </row>
    <row r="2137" spans="1:16" ht="217.5" hidden="1" x14ac:dyDescent="0.35">
      <c r="A2137" s="3" t="s">
        <v>1184</v>
      </c>
      <c r="B2137" s="3" t="s">
        <v>344</v>
      </c>
      <c r="C2137" s="3"/>
      <c r="D2137" s="3"/>
      <c r="E2137" s="3"/>
      <c r="F2137" s="3" t="s">
        <v>7766</v>
      </c>
      <c r="G2137" s="5" t="s">
        <v>7142</v>
      </c>
      <c r="H2137" s="3" t="s">
        <v>7895</v>
      </c>
      <c r="J2137" s="3" t="s">
        <v>7896</v>
      </c>
      <c r="K2137" s="3" t="s">
        <v>7897</v>
      </c>
      <c r="L2137" s="3" t="s">
        <v>7898</v>
      </c>
      <c r="M2137" s="3" t="s">
        <v>7899</v>
      </c>
      <c r="N2137" s="3"/>
      <c r="O2137" s="3" t="s">
        <v>7900</v>
      </c>
      <c r="P2137"/>
    </row>
    <row r="2138" spans="1:16" ht="145" hidden="1" x14ac:dyDescent="0.35">
      <c r="A2138" s="3" t="s">
        <v>1184</v>
      </c>
      <c r="B2138" s="3" t="s">
        <v>344</v>
      </c>
      <c r="C2138" s="3"/>
      <c r="D2138" s="3"/>
      <c r="E2138" s="3"/>
      <c r="F2138" s="3" t="s">
        <v>7766</v>
      </c>
      <c r="G2138" s="5" t="s">
        <v>7142</v>
      </c>
      <c r="H2138" s="3" t="s">
        <v>7901</v>
      </c>
      <c r="J2138" s="3" t="s">
        <v>7902</v>
      </c>
      <c r="K2138" s="3" t="s">
        <v>1198</v>
      </c>
      <c r="L2138" s="3" t="s">
        <v>7903</v>
      </c>
      <c r="M2138" s="3" t="s">
        <v>7904</v>
      </c>
      <c r="N2138" s="3"/>
      <c r="O2138" s="3" t="s">
        <v>7905</v>
      </c>
      <c r="P2138"/>
    </row>
    <row r="2139" spans="1:16" ht="145" hidden="1" x14ac:dyDescent="0.35">
      <c r="A2139" s="3" t="s">
        <v>1184</v>
      </c>
      <c r="B2139" s="3" t="s">
        <v>344</v>
      </c>
      <c r="C2139" s="3"/>
      <c r="D2139" s="3"/>
      <c r="E2139" s="3"/>
      <c r="F2139" s="3" t="s">
        <v>7766</v>
      </c>
      <c r="G2139" s="5" t="s">
        <v>7142</v>
      </c>
      <c r="H2139" s="3" t="s">
        <v>7906</v>
      </c>
      <c r="J2139" s="3" t="s">
        <v>7907</v>
      </c>
      <c r="K2139" s="3" t="s">
        <v>1198</v>
      </c>
      <c r="L2139" s="3" t="s">
        <v>7908</v>
      </c>
      <c r="M2139" s="3" t="s">
        <v>7909</v>
      </c>
      <c r="N2139" s="3"/>
      <c r="O2139" s="3" t="s">
        <v>7323</v>
      </c>
      <c r="P2139"/>
    </row>
    <row r="2140" spans="1:16" ht="145" hidden="1" x14ac:dyDescent="0.35">
      <c r="A2140" s="3" t="s">
        <v>1184</v>
      </c>
      <c r="B2140" s="3" t="s">
        <v>344</v>
      </c>
      <c r="C2140" s="3"/>
      <c r="D2140" s="3"/>
      <c r="E2140" s="3"/>
      <c r="F2140" s="3" t="s">
        <v>7766</v>
      </c>
      <c r="G2140" s="5" t="s">
        <v>7142</v>
      </c>
      <c r="H2140" s="3" t="s">
        <v>7910</v>
      </c>
      <c r="I2140" t="s">
        <v>7911</v>
      </c>
      <c r="J2140" s="3" t="s">
        <v>7912</v>
      </c>
      <c r="K2140" s="3" t="s">
        <v>1198</v>
      </c>
      <c r="L2140" s="3" t="s">
        <v>7913</v>
      </c>
      <c r="M2140" s="3" t="s">
        <v>7914</v>
      </c>
      <c r="N2140" s="3"/>
      <c r="O2140" s="3" t="s">
        <v>7915</v>
      </c>
      <c r="P2140"/>
    </row>
    <row r="2141" spans="1:16" ht="58" hidden="1" x14ac:dyDescent="0.35">
      <c r="A2141" s="3" t="s">
        <v>1184</v>
      </c>
      <c r="B2141" s="3" t="s">
        <v>344</v>
      </c>
      <c r="C2141" s="3"/>
      <c r="D2141" s="3"/>
      <c r="E2141" s="3"/>
      <c r="F2141" s="3" t="s">
        <v>7766</v>
      </c>
      <c r="G2141" s="5" t="s">
        <v>7142</v>
      </c>
      <c r="H2141" s="3" t="s">
        <v>7916</v>
      </c>
      <c r="J2141" s="3" t="s">
        <v>7917</v>
      </c>
      <c r="K2141" s="3" t="s">
        <v>229</v>
      </c>
      <c r="L2141" s="3" t="s">
        <v>7918</v>
      </c>
      <c r="M2141" s="3" t="s">
        <v>7919</v>
      </c>
      <c r="N2141" s="3"/>
      <c r="O2141" s="3" t="s">
        <v>7920</v>
      </c>
      <c r="P2141"/>
    </row>
    <row r="2142" spans="1:16" ht="58" hidden="1" x14ac:dyDescent="0.35">
      <c r="A2142" s="3" t="s">
        <v>1184</v>
      </c>
      <c r="B2142" s="3" t="s">
        <v>344</v>
      </c>
      <c r="C2142" s="3"/>
      <c r="D2142" s="3"/>
      <c r="E2142" s="3"/>
      <c r="F2142" s="3" t="s">
        <v>7766</v>
      </c>
      <c r="G2142" s="5" t="s">
        <v>7142</v>
      </c>
      <c r="H2142" s="3" t="s">
        <v>7921</v>
      </c>
      <c r="J2142" s="3" t="s">
        <v>7922</v>
      </c>
      <c r="K2142" s="3" t="s">
        <v>229</v>
      </c>
      <c r="L2142" s="3" t="s">
        <v>2094</v>
      </c>
      <c r="M2142" s="3" t="s">
        <v>7923</v>
      </c>
      <c r="N2142" s="3"/>
      <c r="O2142" s="3" t="s">
        <v>7924</v>
      </c>
      <c r="P2142"/>
    </row>
    <row r="2143" spans="1:16" ht="159.5" hidden="1" x14ac:dyDescent="0.35">
      <c r="A2143" s="3" t="s">
        <v>1184</v>
      </c>
      <c r="B2143" s="3" t="s">
        <v>344</v>
      </c>
      <c r="C2143" s="3"/>
      <c r="D2143" s="3"/>
      <c r="E2143" s="3"/>
      <c r="F2143" s="3" t="s">
        <v>7766</v>
      </c>
      <c r="G2143" s="5" t="s">
        <v>7142</v>
      </c>
      <c r="H2143" s="3" t="s">
        <v>7925</v>
      </c>
      <c r="J2143" s="3" t="s">
        <v>7926</v>
      </c>
      <c r="K2143" s="3" t="s">
        <v>1027</v>
      </c>
      <c r="L2143" s="3" t="s">
        <v>7927</v>
      </c>
      <c r="M2143" s="3" t="s">
        <v>7928</v>
      </c>
      <c r="N2143" s="3"/>
      <c r="O2143" s="3" t="s">
        <v>7929</v>
      </c>
      <c r="P2143"/>
    </row>
    <row r="2144" spans="1:16" ht="58" hidden="1" x14ac:dyDescent="0.35">
      <c r="A2144" s="3" t="s">
        <v>1184</v>
      </c>
      <c r="B2144" s="3" t="s">
        <v>344</v>
      </c>
      <c r="C2144" s="3"/>
      <c r="D2144" s="3"/>
      <c r="E2144" s="3"/>
      <c r="F2144" s="3" t="s">
        <v>7766</v>
      </c>
      <c r="G2144" s="5" t="s">
        <v>7142</v>
      </c>
      <c r="H2144" s="3" t="s">
        <v>7930</v>
      </c>
      <c r="J2144" s="3" t="s">
        <v>7931</v>
      </c>
      <c r="K2144" s="3" t="s">
        <v>229</v>
      </c>
      <c r="L2144" s="3" t="s">
        <v>2102</v>
      </c>
      <c r="M2144" s="3" t="s">
        <v>7932</v>
      </c>
      <c r="N2144" s="3"/>
      <c r="O2144" s="3" t="s">
        <v>7933</v>
      </c>
      <c r="P2144"/>
    </row>
    <row r="2145" spans="1:16" ht="58" hidden="1" x14ac:dyDescent="0.35">
      <c r="A2145" s="3" t="s">
        <v>1184</v>
      </c>
      <c r="B2145" s="3" t="s">
        <v>344</v>
      </c>
      <c r="C2145" s="3"/>
      <c r="D2145" s="3"/>
      <c r="E2145" s="3"/>
      <c r="F2145" s="3" t="s">
        <v>7766</v>
      </c>
      <c r="G2145" s="5" t="s">
        <v>7142</v>
      </c>
      <c r="H2145" s="3" t="s">
        <v>7934</v>
      </c>
      <c r="J2145" s="3" t="s">
        <v>7935</v>
      </c>
      <c r="K2145" s="3" t="s">
        <v>229</v>
      </c>
      <c r="L2145" s="3" t="s">
        <v>7936</v>
      </c>
      <c r="M2145" s="3" t="s">
        <v>7937</v>
      </c>
      <c r="N2145" s="3"/>
      <c r="O2145" s="3" t="s">
        <v>7938</v>
      </c>
      <c r="P2145"/>
    </row>
    <row r="2146" spans="1:16" ht="58" hidden="1" x14ac:dyDescent="0.35">
      <c r="A2146" s="3" t="s">
        <v>1184</v>
      </c>
      <c r="B2146" s="3" t="s">
        <v>344</v>
      </c>
      <c r="C2146" s="3"/>
      <c r="D2146" s="3"/>
      <c r="E2146" s="3"/>
      <c r="F2146" s="3" t="s">
        <v>7766</v>
      </c>
      <c r="G2146" s="5" t="s">
        <v>7142</v>
      </c>
      <c r="H2146" s="3" t="s">
        <v>7939</v>
      </c>
      <c r="J2146" s="3" t="s">
        <v>7940</v>
      </c>
      <c r="K2146" s="3" t="s">
        <v>229</v>
      </c>
      <c r="L2146" s="3" t="s">
        <v>2110</v>
      </c>
      <c r="M2146" s="3" t="s">
        <v>7941</v>
      </c>
      <c r="N2146" s="3"/>
      <c r="O2146" s="3" t="s">
        <v>7942</v>
      </c>
      <c r="P2146"/>
    </row>
    <row r="2147" spans="1:16" ht="159.5" hidden="1" x14ac:dyDescent="0.35">
      <c r="A2147" s="3" t="s">
        <v>1184</v>
      </c>
      <c r="B2147" s="3" t="s">
        <v>344</v>
      </c>
      <c r="C2147" s="3"/>
      <c r="D2147" s="3"/>
      <c r="E2147" s="3"/>
      <c r="F2147" s="3" t="s">
        <v>7766</v>
      </c>
      <c r="G2147" s="5" t="s">
        <v>7142</v>
      </c>
      <c r="H2147" s="3" t="s">
        <v>7943</v>
      </c>
      <c r="J2147" s="3" t="s">
        <v>7944</v>
      </c>
      <c r="K2147" s="3" t="s">
        <v>1027</v>
      </c>
      <c r="L2147" s="3" t="s">
        <v>7945</v>
      </c>
      <c r="M2147" s="3" t="s">
        <v>7946</v>
      </c>
      <c r="N2147" s="3"/>
      <c r="O2147" s="3" t="s">
        <v>7947</v>
      </c>
      <c r="P2147"/>
    </row>
    <row r="2148" spans="1:16" ht="58" hidden="1" x14ac:dyDescent="0.35">
      <c r="A2148" s="3" t="s">
        <v>1184</v>
      </c>
      <c r="B2148" s="3" t="s">
        <v>344</v>
      </c>
      <c r="C2148" s="3"/>
      <c r="D2148" s="3"/>
      <c r="E2148" s="3"/>
      <c r="F2148" s="3" t="s">
        <v>7766</v>
      </c>
      <c r="G2148" s="5" t="s">
        <v>7142</v>
      </c>
      <c r="H2148" s="3" t="s">
        <v>7948</v>
      </c>
      <c r="I2148" t="s">
        <v>7949</v>
      </c>
      <c r="J2148" s="3" t="s">
        <v>7950</v>
      </c>
      <c r="K2148" s="3" t="s">
        <v>229</v>
      </c>
      <c r="L2148" s="3" t="s">
        <v>7951</v>
      </c>
      <c r="M2148" s="3" t="s">
        <v>7952</v>
      </c>
      <c r="N2148" s="3"/>
      <c r="O2148" s="3" t="s">
        <v>7953</v>
      </c>
      <c r="P2148"/>
    </row>
    <row r="2149" spans="1:16" ht="159.5" hidden="1" x14ac:dyDescent="0.35">
      <c r="A2149" s="3" t="s">
        <v>1184</v>
      </c>
      <c r="B2149" s="3" t="s">
        <v>344</v>
      </c>
      <c r="C2149" s="3"/>
      <c r="D2149" s="3"/>
      <c r="E2149" s="3"/>
      <c r="F2149" s="3" t="s">
        <v>7766</v>
      </c>
      <c r="G2149" s="5" t="s">
        <v>7142</v>
      </c>
      <c r="H2149" s="3" t="s">
        <v>7954</v>
      </c>
      <c r="J2149" s="3" t="s">
        <v>7955</v>
      </c>
      <c r="K2149" s="3" t="s">
        <v>1027</v>
      </c>
      <c r="L2149" s="3" t="s">
        <v>7956</v>
      </c>
      <c r="M2149" s="3" t="s">
        <v>7957</v>
      </c>
      <c r="N2149" s="3"/>
      <c r="O2149" s="3" t="s">
        <v>7958</v>
      </c>
      <c r="P2149"/>
    </row>
    <row r="2150" spans="1:16" ht="159.5" hidden="1" x14ac:dyDescent="0.35">
      <c r="A2150" s="3" t="s">
        <v>1184</v>
      </c>
      <c r="B2150" s="3" t="s">
        <v>344</v>
      </c>
      <c r="C2150" s="3"/>
      <c r="D2150" s="3"/>
      <c r="E2150" s="3"/>
      <c r="F2150" s="3" t="s">
        <v>7766</v>
      </c>
      <c r="G2150" s="5" t="s">
        <v>7142</v>
      </c>
      <c r="H2150" s="3" t="s">
        <v>7959</v>
      </c>
      <c r="J2150" s="3" t="s">
        <v>7960</v>
      </c>
      <c r="K2150" s="3" t="s">
        <v>1027</v>
      </c>
      <c r="L2150" s="3" t="s">
        <v>7956</v>
      </c>
      <c r="M2150" s="3" t="s">
        <v>7961</v>
      </c>
      <c r="N2150" s="3"/>
      <c r="O2150" s="3" t="s">
        <v>7958</v>
      </c>
      <c r="P2150"/>
    </row>
    <row r="2151" spans="1:16" ht="159.5" hidden="1" x14ac:dyDescent="0.35">
      <c r="A2151" s="3" t="s">
        <v>1184</v>
      </c>
      <c r="B2151" s="3" t="s">
        <v>344</v>
      </c>
      <c r="C2151" s="3"/>
      <c r="D2151" s="3"/>
      <c r="E2151" s="3"/>
      <c r="F2151" s="3" t="s">
        <v>7766</v>
      </c>
      <c r="G2151" s="5" t="s">
        <v>7142</v>
      </c>
      <c r="H2151" s="3" t="s">
        <v>7962</v>
      </c>
      <c r="J2151" s="3" t="s">
        <v>7963</v>
      </c>
      <c r="K2151" s="3" t="s">
        <v>1027</v>
      </c>
      <c r="L2151" s="3" t="s">
        <v>7964</v>
      </c>
      <c r="M2151" s="3" t="s">
        <v>7965</v>
      </c>
      <c r="N2151" s="3"/>
      <c r="O2151" s="3" t="s">
        <v>7966</v>
      </c>
      <c r="P2151"/>
    </row>
    <row r="2152" spans="1:16" ht="159.5" hidden="1" x14ac:dyDescent="0.35">
      <c r="A2152" s="3" t="s">
        <v>1184</v>
      </c>
      <c r="B2152" s="3" t="s">
        <v>344</v>
      </c>
      <c r="C2152" s="3"/>
      <c r="D2152" s="3"/>
      <c r="E2152" s="3"/>
      <c r="F2152" s="3" t="s">
        <v>7766</v>
      </c>
      <c r="G2152" s="5" t="s">
        <v>7142</v>
      </c>
      <c r="H2152" s="3" t="s">
        <v>7967</v>
      </c>
      <c r="I2152" t="s">
        <v>7968</v>
      </c>
      <c r="J2152" s="3" t="s">
        <v>7969</v>
      </c>
      <c r="K2152" s="3" t="s">
        <v>1027</v>
      </c>
      <c r="L2152" s="3" t="s">
        <v>7970</v>
      </c>
      <c r="M2152" s="3" t="s">
        <v>7971</v>
      </c>
      <c r="N2152" s="3"/>
      <c r="O2152" s="3" t="s">
        <v>7972</v>
      </c>
      <c r="P2152"/>
    </row>
    <row r="2153" spans="1:16" ht="159.5" hidden="1" x14ac:dyDescent="0.35">
      <c r="A2153" s="3" t="s">
        <v>1184</v>
      </c>
      <c r="B2153" s="3" t="s">
        <v>344</v>
      </c>
      <c r="C2153" s="3"/>
      <c r="D2153" s="3"/>
      <c r="E2153" s="3"/>
      <c r="F2153" s="3" t="s">
        <v>7766</v>
      </c>
      <c r="G2153" s="5" t="s">
        <v>7142</v>
      </c>
      <c r="H2153" s="3" t="s">
        <v>7973</v>
      </c>
      <c r="J2153" s="3" t="s">
        <v>7974</v>
      </c>
      <c r="K2153" s="3" t="s">
        <v>1027</v>
      </c>
      <c r="L2153" s="3" t="s">
        <v>7975</v>
      </c>
      <c r="M2153" s="3" t="s">
        <v>7976</v>
      </c>
      <c r="N2153" s="3"/>
      <c r="O2153" s="3" t="s">
        <v>7977</v>
      </c>
      <c r="P2153"/>
    </row>
    <row r="2154" spans="1:16" ht="159.5" hidden="1" x14ac:dyDescent="0.35">
      <c r="A2154" s="3" t="s">
        <v>1184</v>
      </c>
      <c r="B2154" s="3" t="s">
        <v>344</v>
      </c>
      <c r="C2154" s="3"/>
      <c r="D2154" s="3"/>
      <c r="E2154" s="3"/>
      <c r="F2154" s="3" t="s">
        <v>7766</v>
      </c>
      <c r="G2154" s="5" t="s">
        <v>7142</v>
      </c>
      <c r="H2154" s="3" t="s">
        <v>7978</v>
      </c>
      <c r="J2154" s="3" t="s">
        <v>7979</v>
      </c>
      <c r="K2154" s="3" t="s">
        <v>1027</v>
      </c>
      <c r="L2154" s="3" t="s">
        <v>7980</v>
      </c>
      <c r="M2154" s="3" t="s">
        <v>7981</v>
      </c>
      <c r="N2154" s="3"/>
      <c r="O2154" s="3" t="s">
        <v>7982</v>
      </c>
      <c r="P2154"/>
    </row>
    <row r="2155" spans="1:16" ht="87" hidden="1" x14ac:dyDescent="0.35">
      <c r="A2155" s="3" t="s">
        <v>1184</v>
      </c>
      <c r="B2155" s="3" t="s">
        <v>344</v>
      </c>
      <c r="C2155" s="3"/>
      <c r="D2155" s="3"/>
      <c r="E2155" s="3"/>
      <c r="F2155" s="3" t="s">
        <v>7766</v>
      </c>
      <c r="G2155" s="5" t="s">
        <v>7142</v>
      </c>
      <c r="H2155" s="3" t="s">
        <v>7983</v>
      </c>
      <c r="J2155" s="3" t="s">
        <v>7984</v>
      </c>
      <c r="K2155" s="3" t="s">
        <v>241</v>
      </c>
      <c r="L2155" s="3" t="s">
        <v>7985</v>
      </c>
      <c r="M2155" s="3" t="s">
        <v>7986</v>
      </c>
      <c r="N2155" s="3"/>
      <c r="O2155" s="3" t="s">
        <v>7987</v>
      </c>
      <c r="P2155"/>
    </row>
    <row r="2156" spans="1:16" ht="159.5" hidden="1" x14ac:dyDescent="0.35">
      <c r="A2156" s="3" t="s">
        <v>1184</v>
      </c>
      <c r="B2156" s="3" t="s">
        <v>344</v>
      </c>
      <c r="C2156" s="3"/>
      <c r="D2156" s="3"/>
      <c r="E2156" s="3"/>
      <c r="F2156" s="3" t="s">
        <v>7766</v>
      </c>
      <c r="G2156" s="5" t="s">
        <v>7142</v>
      </c>
      <c r="H2156" s="3" t="s">
        <v>7988</v>
      </c>
      <c r="J2156" s="3" t="s">
        <v>7989</v>
      </c>
      <c r="K2156" s="3" t="s">
        <v>1027</v>
      </c>
      <c r="L2156" s="3" t="s">
        <v>7990</v>
      </c>
      <c r="M2156" s="3" t="s">
        <v>7991</v>
      </c>
      <c r="N2156" s="3"/>
      <c r="O2156" s="3" t="s">
        <v>7992</v>
      </c>
      <c r="P2156"/>
    </row>
    <row r="2157" spans="1:16" ht="159.5" hidden="1" x14ac:dyDescent="0.35">
      <c r="A2157" s="3" t="s">
        <v>1184</v>
      </c>
      <c r="B2157" s="3" t="s">
        <v>344</v>
      </c>
      <c r="C2157" s="3"/>
      <c r="D2157" s="3"/>
      <c r="E2157" s="3"/>
      <c r="F2157" s="3" t="s">
        <v>7766</v>
      </c>
      <c r="G2157" s="5" t="s">
        <v>7142</v>
      </c>
      <c r="H2157" s="3" t="s">
        <v>7993</v>
      </c>
      <c r="J2157" s="3" t="s">
        <v>7994</v>
      </c>
      <c r="K2157" s="3" t="s">
        <v>1027</v>
      </c>
      <c r="L2157" s="3" t="s">
        <v>7995</v>
      </c>
      <c r="M2157" s="3" t="s">
        <v>7996</v>
      </c>
      <c r="N2157" s="3"/>
      <c r="O2157" s="3" t="s">
        <v>7997</v>
      </c>
      <c r="P2157"/>
    </row>
    <row r="2158" spans="1:16" ht="145" hidden="1" x14ac:dyDescent="0.35">
      <c r="A2158" s="3" t="s">
        <v>1184</v>
      </c>
      <c r="B2158" s="3" t="s">
        <v>344</v>
      </c>
      <c r="C2158" s="3"/>
      <c r="D2158" s="3"/>
      <c r="E2158" s="3"/>
      <c r="F2158" s="3" t="s">
        <v>7766</v>
      </c>
      <c r="G2158" s="5" t="s">
        <v>7142</v>
      </c>
      <c r="H2158" s="3" t="s">
        <v>7998</v>
      </c>
      <c r="J2158" s="3" t="s">
        <v>7999</v>
      </c>
      <c r="K2158" s="3" t="s">
        <v>1198</v>
      </c>
      <c r="L2158" s="3" t="s">
        <v>8000</v>
      </c>
      <c r="M2158" s="3" t="s">
        <v>8001</v>
      </c>
      <c r="N2158" s="3"/>
      <c r="O2158" s="3" t="s">
        <v>8002</v>
      </c>
      <c r="P2158"/>
    </row>
    <row r="2159" spans="1:16" ht="87" hidden="1" x14ac:dyDescent="0.35">
      <c r="A2159" s="3" t="s">
        <v>1184</v>
      </c>
      <c r="B2159" s="3" t="s">
        <v>344</v>
      </c>
      <c r="C2159" s="3"/>
      <c r="D2159" s="3"/>
      <c r="E2159" s="3"/>
      <c r="F2159" s="3" t="s">
        <v>7766</v>
      </c>
      <c r="G2159" s="5" t="s">
        <v>7142</v>
      </c>
      <c r="H2159" s="3" t="s">
        <v>8003</v>
      </c>
      <c r="J2159" s="3" t="s">
        <v>8004</v>
      </c>
      <c r="K2159" s="3" t="s">
        <v>1187</v>
      </c>
      <c r="L2159" s="3" t="s">
        <v>8005</v>
      </c>
      <c r="M2159" s="3" t="s">
        <v>8006</v>
      </c>
      <c r="N2159" s="3"/>
      <c r="O2159" s="3" t="s">
        <v>8007</v>
      </c>
      <c r="P2159"/>
    </row>
    <row r="2160" spans="1:16" ht="87" hidden="1" x14ac:dyDescent="0.35">
      <c r="A2160" s="3" t="s">
        <v>1184</v>
      </c>
      <c r="B2160" s="3" t="s">
        <v>344</v>
      </c>
      <c r="C2160" s="3"/>
      <c r="D2160" s="3"/>
      <c r="E2160" s="3"/>
      <c r="F2160" s="3" t="s">
        <v>7766</v>
      </c>
      <c r="G2160" s="5" t="s">
        <v>7142</v>
      </c>
      <c r="H2160" s="3" t="s">
        <v>8008</v>
      </c>
      <c r="J2160" s="3" t="s">
        <v>8009</v>
      </c>
      <c r="K2160" s="3" t="s">
        <v>1187</v>
      </c>
      <c r="L2160" s="3" t="s">
        <v>8010</v>
      </c>
      <c r="M2160" s="3" t="s">
        <v>8011</v>
      </c>
      <c r="N2160" s="3"/>
      <c r="O2160" s="3" t="s">
        <v>8012</v>
      </c>
      <c r="P2160"/>
    </row>
    <row r="2161" spans="1:16" ht="87" hidden="1" x14ac:dyDescent="0.35">
      <c r="A2161" s="3" t="s">
        <v>1184</v>
      </c>
      <c r="B2161" s="3" t="s">
        <v>344</v>
      </c>
      <c r="C2161" s="3"/>
      <c r="D2161" s="3"/>
      <c r="E2161" s="3"/>
      <c r="F2161" s="3" t="s">
        <v>7766</v>
      </c>
      <c r="G2161" s="5" t="s">
        <v>7142</v>
      </c>
      <c r="H2161" s="3" t="s">
        <v>8013</v>
      </c>
      <c r="J2161" s="3" t="s">
        <v>8014</v>
      </c>
      <c r="K2161" s="3" t="s">
        <v>1187</v>
      </c>
      <c r="L2161" s="3" t="s">
        <v>8015</v>
      </c>
      <c r="M2161" s="3" t="s">
        <v>8016</v>
      </c>
      <c r="N2161" s="3"/>
      <c r="O2161" s="3" t="s">
        <v>8017</v>
      </c>
      <c r="P2161"/>
    </row>
    <row r="2162" spans="1:16" ht="87" hidden="1" x14ac:dyDescent="0.35">
      <c r="A2162" s="3" t="s">
        <v>1184</v>
      </c>
      <c r="B2162" s="3" t="s">
        <v>344</v>
      </c>
      <c r="C2162" s="3"/>
      <c r="D2162" s="3"/>
      <c r="E2162" s="3"/>
      <c r="F2162" s="3" t="s">
        <v>7766</v>
      </c>
      <c r="G2162" s="5" t="s">
        <v>7142</v>
      </c>
      <c r="H2162" s="3" t="s">
        <v>8018</v>
      </c>
      <c r="J2162" s="3" t="s">
        <v>8019</v>
      </c>
      <c r="K2162" s="3" t="s">
        <v>1187</v>
      </c>
      <c r="L2162" s="3" t="s">
        <v>8020</v>
      </c>
      <c r="M2162" s="3" t="s">
        <v>8021</v>
      </c>
      <c r="N2162" s="3"/>
      <c r="O2162" s="3" t="s">
        <v>8022</v>
      </c>
      <c r="P2162"/>
    </row>
    <row r="2163" spans="1:16" ht="58" hidden="1" x14ac:dyDescent="0.35">
      <c r="A2163" s="3" t="s">
        <v>1184</v>
      </c>
      <c r="B2163" s="3" t="s">
        <v>344</v>
      </c>
      <c r="C2163" s="3"/>
      <c r="D2163" s="3"/>
      <c r="E2163" s="3"/>
      <c r="F2163" s="3" t="s">
        <v>7766</v>
      </c>
      <c r="G2163" s="5" t="s">
        <v>7142</v>
      </c>
      <c r="H2163" s="3" t="s">
        <v>8023</v>
      </c>
      <c r="J2163" s="3" t="s">
        <v>8024</v>
      </c>
      <c r="K2163" s="3" t="s">
        <v>229</v>
      </c>
      <c r="L2163" s="3" t="s">
        <v>302</v>
      </c>
      <c r="M2163" s="3" t="s">
        <v>8025</v>
      </c>
      <c r="N2163" s="3"/>
      <c r="O2163" s="3" t="s">
        <v>6973</v>
      </c>
      <c r="P2163"/>
    </row>
    <row r="2164" spans="1:16" ht="87" hidden="1" x14ac:dyDescent="0.35">
      <c r="A2164" s="3" t="s">
        <v>1184</v>
      </c>
      <c r="B2164" s="3" t="s">
        <v>344</v>
      </c>
      <c r="C2164" s="3"/>
      <c r="D2164" s="3"/>
      <c r="E2164" s="3"/>
      <c r="F2164" s="3" t="s">
        <v>7766</v>
      </c>
      <c r="G2164" s="5" t="s">
        <v>7142</v>
      </c>
      <c r="H2164" s="3" t="s">
        <v>8026</v>
      </c>
      <c r="J2164" s="3" t="s">
        <v>8027</v>
      </c>
      <c r="K2164" s="3" t="s">
        <v>241</v>
      </c>
      <c r="L2164" s="3" t="s">
        <v>8028</v>
      </c>
      <c r="M2164" s="3" t="s">
        <v>8029</v>
      </c>
      <c r="N2164" s="3"/>
      <c r="O2164" s="3" t="s">
        <v>8030</v>
      </c>
      <c r="P2164"/>
    </row>
    <row r="2165" spans="1:16" ht="217.5" hidden="1" x14ac:dyDescent="0.35">
      <c r="A2165" s="3" t="s">
        <v>1184</v>
      </c>
      <c r="B2165" s="3" t="s">
        <v>344</v>
      </c>
      <c r="C2165" s="3"/>
      <c r="D2165" s="3"/>
      <c r="E2165" s="3"/>
      <c r="F2165" s="3" t="s">
        <v>7766</v>
      </c>
      <c r="G2165" s="5" t="s">
        <v>7142</v>
      </c>
      <c r="H2165" s="3" t="s">
        <v>8031</v>
      </c>
      <c r="J2165" s="3" t="s">
        <v>8032</v>
      </c>
      <c r="K2165" s="3" t="s">
        <v>8033</v>
      </c>
      <c r="L2165" s="3" t="s">
        <v>8034</v>
      </c>
      <c r="M2165" s="3" t="s">
        <v>8035</v>
      </c>
      <c r="N2165" s="3"/>
      <c r="O2165" s="3" t="s">
        <v>8036</v>
      </c>
      <c r="P2165"/>
    </row>
    <row r="2166" spans="1:16" ht="87" hidden="1" x14ac:dyDescent="0.35">
      <c r="A2166" s="3" t="s">
        <v>1184</v>
      </c>
      <c r="B2166" s="3" t="s">
        <v>344</v>
      </c>
      <c r="C2166" s="3"/>
      <c r="D2166" s="3"/>
      <c r="E2166" s="3"/>
      <c r="F2166" s="3" t="s">
        <v>7766</v>
      </c>
      <c r="G2166" s="5" t="s">
        <v>7142</v>
      </c>
      <c r="H2166" s="3" t="s">
        <v>8037</v>
      </c>
      <c r="J2166" s="3" t="s">
        <v>8038</v>
      </c>
      <c r="K2166" s="3" t="s">
        <v>1187</v>
      </c>
      <c r="L2166" s="3" t="s">
        <v>8039</v>
      </c>
      <c r="M2166" s="3" t="s">
        <v>8040</v>
      </c>
      <c r="N2166" s="3"/>
      <c r="O2166" s="3" t="s">
        <v>8041</v>
      </c>
      <c r="P2166"/>
    </row>
    <row r="2167" spans="1:16" ht="58" hidden="1" x14ac:dyDescent="0.35">
      <c r="A2167" s="3" t="s">
        <v>1184</v>
      </c>
      <c r="B2167" s="3" t="s">
        <v>344</v>
      </c>
      <c r="C2167" s="3"/>
      <c r="D2167" s="3"/>
      <c r="E2167" s="3"/>
      <c r="F2167" s="3" t="s">
        <v>7766</v>
      </c>
      <c r="G2167" s="5" t="s">
        <v>7142</v>
      </c>
      <c r="H2167" s="3" t="s">
        <v>8042</v>
      </c>
      <c r="J2167" s="3" t="s">
        <v>8043</v>
      </c>
      <c r="K2167" s="3" t="s">
        <v>229</v>
      </c>
      <c r="L2167" s="3" t="s">
        <v>6862</v>
      </c>
      <c r="M2167" s="3" t="s">
        <v>8044</v>
      </c>
      <c r="N2167" s="3"/>
      <c r="O2167" s="3" t="s">
        <v>6864</v>
      </c>
      <c r="P2167"/>
    </row>
    <row r="2168" spans="1:16" ht="58" hidden="1" x14ac:dyDescent="0.35">
      <c r="A2168" s="3" t="s">
        <v>1184</v>
      </c>
      <c r="B2168" s="3" t="s">
        <v>344</v>
      </c>
      <c r="C2168" s="3"/>
      <c r="D2168" s="3"/>
      <c r="E2168" s="3"/>
      <c r="F2168" s="3" t="s">
        <v>8045</v>
      </c>
      <c r="G2168" s="3" t="s">
        <v>7417</v>
      </c>
      <c r="J2168" s="3" t="s">
        <v>8046</v>
      </c>
      <c r="K2168" s="3" t="s">
        <v>229</v>
      </c>
      <c r="L2168" s="3" t="s">
        <v>8047</v>
      </c>
      <c r="M2168" s="3" t="s">
        <v>8048</v>
      </c>
      <c r="N2168" s="3"/>
      <c r="O2168" s="3" t="s">
        <v>8049</v>
      </c>
      <c r="P2168"/>
    </row>
    <row r="2169" spans="1:16" ht="58" hidden="1" x14ac:dyDescent="0.35">
      <c r="A2169" s="3" t="s">
        <v>1184</v>
      </c>
      <c r="B2169" s="3" t="s">
        <v>344</v>
      </c>
      <c r="C2169" s="3"/>
      <c r="D2169" s="3"/>
      <c r="E2169" s="3"/>
      <c r="F2169" s="3" t="s">
        <v>8045</v>
      </c>
      <c r="G2169" s="3" t="s">
        <v>7417</v>
      </c>
      <c r="H2169" s="3" t="s">
        <v>8050</v>
      </c>
      <c r="J2169" s="3" t="s">
        <v>7137</v>
      </c>
      <c r="K2169" s="3" t="s">
        <v>229</v>
      </c>
      <c r="L2169" s="3" t="s">
        <v>8051</v>
      </c>
      <c r="M2169" s="3" t="s">
        <v>8052</v>
      </c>
      <c r="N2169" s="3"/>
      <c r="O2169" s="3" t="s">
        <v>8053</v>
      </c>
      <c r="P2169"/>
    </row>
    <row r="2170" spans="1:16" ht="58" hidden="1" x14ac:dyDescent="0.35">
      <c r="A2170" s="3" t="s">
        <v>1184</v>
      </c>
      <c r="B2170" s="3" t="s">
        <v>344</v>
      </c>
      <c r="C2170" s="3"/>
      <c r="D2170" s="3"/>
      <c r="E2170" s="3"/>
      <c r="F2170" s="3" t="s">
        <v>8045</v>
      </c>
      <c r="G2170" s="3" t="s">
        <v>7417</v>
      </c>
      <c r="H2170" s="3" t="s">
        <v>8054</v>
      </c>
      <c r="I2170" t="s">
        <v>8055</v>
      </c>
      <c r="J2170" s="3" t="s">
        <v>8056</v>
      </c>
      <c r="K2170" s="3" t="s">
        <v>229</v>
      </c>
      <c r="L2170" s="3" t="s">
        <v>1262</v>
      </c>
      <c r="M2170" s="3" t="s">
        <v>8057</v>
      </c>
      <c r="N2170" s="3"/>
      <c r="O2170" s="3" t="s">
        <v>8058</v>
      </c>
      <c r="P2170"/>
    </row>
    <row r="2171" spans="1:16" ht="58" hidden="1" x14ac:dyDescent="0.35">
      <c r="A2171" s="3" t="s">
        <v>1184</v>
      </c>
      <c r="B2171" s="3" t="s">
        <v>344</v>
      </c>
      <c r="C2171" s="3"/>
      <c r="D2171" s="3"/>
      <c r="E2171" s="3"/>
      <c r="F2171" s="3" t="s">
        <v>8045</v>
      </c>
      <c r="G2171" s="3" t="s">
        <v>7417</v>
      </c>
      <c r="H2171" s="3" t="s">
        <v>8059</v>
      </c>
      <c r="I2171" t="s">
        <v>8060</v>
      </c>
      <c r="J2171" s="3" t="s">
        <v>8061</v>
      </c>
      <c r="K2171" s="3" t="s">
        <v>229</v>
      </c>
      <c r="L2171" s="3" t="s">
        <v>8062</v>
      </c>
      <c r="M2171" s="3" t="s">
        <v>7151</v>
      </c>
      <c r="N2171" s="3"/>
      <c r="O2171" s="3" t="s">
        <v>8063</v>
      </c>
      <c r="P2171"/>
    </row>
    <row r="2172" spans="1:16" ht="58" hidden="1" x14ac:dyDescent="0.35">
      <c r="A2172" s="3" t="s">
        <v>1184</v>
      </c>
      <c r="B2172" s="3" t="s">
        <v>344</v>
      </c>
      <c r="C2172" s="3"/>
      <c r="D2172" s="3"/>
      <c r="E2172" s="3"/>
      <c r="F2172" s="3" t="s">
        <v>8045</v>
      </c>
      <c r="G2172" s="3" t="s">
        <v>7417</v>
      </c>
      <c r="H2172" s="3" t="s">
        <v>8064</v>
      </c>
      <c r="J2172" s="3" t="s">
        <v>8065</v>
      </c>
      <c r="K2172" s="3" t="s">
        <v>229</v>
      </c>
      <c r="L2172" s="3" t="s">
        <v>8066</v>
      </c>
      <c r="M2172" s="3" t="s">
        <v>8067</v>
      </c>
      <c r="N2172" s="3"/>
      <c r="O2172" s="3" t="s">
        <v>8068</v>
      </c>
      <c r="P2172"/>
    </row>
    <row r="2173" spans="1:16" ht="58" hidden="1" x14ac:dyDescent="0.35">
      <c r="A2173" s="3" t="s">
        <v>1184</v>
      </c>
      <c r="B2173" s="3" t="s">
        <v>344</v>
      </c>
      <c r="C2173" s="3"/>
      <c r="D2173" s="3"/>
      <c r="E2173" s="3"/>
      <c r="F2173" s="3" t="s">
        <v>8045</v>
      </c>
      <c r="G2173" s="3" t="s">
        <v>7417</v>
      </c>
      <c r="H2173" s="3" t="s">
        <v>8069</v>
      </c>
      <c r="J2173" s="3" t="s">
        <v>8070</v>
      </c>
      <c r="K2173" s="3" t="s">
        <v>229</v>
      </c>
      <c r="L2173" s="3" t="s">
        <v>8071</v>
      </c>
      <c r="M2173" s="3" t="s">
        <v>8072</v>
      </c>
      <c r="N2173" s="3"/>
      <c r="O2173" s="3" t="s">
        <v>8073</v>
      </c>
      <c r="P2173"/>
    </row>
    <row r="2174" spans="1:16" ht="159.5" hidden="1" x14ac:dyDescent="0.35">
      <c r="A2174" s="3" t="s">
        <v>1184</v>
      </c>
      <c r="B2174" s="3" t="s">
        <v>344</v>
      </c>
      <c r="C2174" s="3"/>
      <c r="D2174" s="3"/>
      <c r="E2174" s="3"/>
      <c r="F2174" s="3" t="s">
        <v>8045</v>
      </c>
      <c r="G2174" s="3" t="s">
        <v>7417</v>
      </c>
      <c r="H2174" s="3" t="s">
        <v>8074</v>
      </c>
      <c r="J2174" s="3" t="s">
        <v>8075</v>
      </c>
      <c r="K2174" s="3" t="s">
        <v>1027</v>
      </c>
      <c r="L2174" s="3" t="s">
        <v>8076</v>
      </c>
      <c r="M2174" s="3" t="s">
        <v>8077</v>
      </c>
      <c r="N2174" s="3"/>
      <c r="O2174" s="3" t="s">
        <v>8078</v>
      </c>
      <c r="P2174"/>
    </row>
    <row r="2175" spans="1:16" ht="87" hidden="1" x14ac:dyDescent="0.35">
      <c r="A2175" s="3" t="s">
        <v>1184</v>
      </c>
      <c r="B2175" s="3" t="s">
        <v>344</v>
      </c>
      <c r="C2175" s="3"/>
      <c r="D2175" s="3"/>
      <c r="E2175" s="3"/>
      <c r="F2175" s="3" t="s">
        <v>8045</v>
      </c>
      <c r="G2175" s="3" t="s">
        <v>7417</v>
      </c>
      <c r="H2175" s="3" t="s">
        <v>8079</v>
      </c>
      <c r="I2175" t="s">
        <v>8080</v>
      </c>
      <c r="J2175" s="3" t="s">
        <v>8081</v>
      </c>
      <c r="K2175" s="3" t="s">
        <v>241</v>
      </c>
      <c r="L2175" s="3" t="s">
        <v>8082</v>
      </c>
      <c r="M2175" s="3" t="s">
        <v>8083</v>
      </c>
      <c r="N2175" s="3"/>
      <c r="O2175" s="3" t="s">
        <v>8084</v>
      </c>
      <c r="P2175"/>
    </row>
    <row r="2176" spans="1:16" ht="58" hidden="1" x14ac:dyDescent="0.35">
      <c r="A2176" s="3" t="s">
        <v>1184</v>
      </c>
      <c r="B2176" s="3" t="s">
        <v>344</v>
      </c>
      <c r="C2176" s="3"/>
      <c r="D2176" s="3"/>
      <c r="E2176" s="3"/>
      <c r="F2176" s="3" t="s">
        <v>8045</v>
      </c>
      <c r="G2176" s="3" t="s">
        <v>7417</v>
      </c>
      <c r="H2176" s="3" t="s">
        <v>8085</v>
      </c>
      <c r="I2176" t="s">
        <v>8086</v>
      </c>
      <c r="J2176" s="3" t="s">
        <v>8087</v>
      </c>
      <c r="K2176" s="3" t="s">
        <v>229</v>
      </c>
      <c r="L2176" s="3" t="s">
        <v>8088</v>
      </c>
      <c r="M2176" s="3" t="s">
        <v>8089</v>
      </c>
      <c r="N2176" s="3"/>
      <c r="O2176" s="3" t="s">
        <v>8090</v>
      </c>
      <c r="P2176"/>
    </row>
    <row r="2177" spans="1:16" ht="58" hidden="1" x14ac:dyDescent="0.35">
      <c r="A2177" s="3" t="s">
        <v>1184</v>
      </c>
      <c r="B2177" s="3" t="s">
        <v>344</v>
      </c>
      <c r="C2177" s="3"/>
      <c r="D2177" s="3"/>
      <c r="E2177" s="3"/>
      <c r="F2177" s="3" t="s">
        <v>8045</v>
      </c>
      <c r="G2177" s="3" t="s">
        <v>7417</v>
      </c>
      <c r="H2177" s="3" t="s">
        <v>8091</v>
      </c>
      <c r="I2177" t="s">
        <v>8092</v>
      </c>
      <c r="J2177" s="3" t="s">
        <v>8093</v>
      </c>
      <c r="K2177" s="3" t="s">
        <v>229</v>
      </c>
      <c r="L2177" s="3" t="s">
        <v>8094</v>
      </c>
      <c r="M2177" s="3" t="s">
        <v>8095</v>
      </c>
      <c r="N2177" s="3"/>
      <c r="O2177" s="3" t="s">
        <v>8096</v>
      </c>
      <c r="P2177"/>
    </row>
    <row r="2178" spans="1:16" ht="58" hidden="1" x14ac:dyDescent="0.35">
      <c r="A2178" s="3" t="s">
        <v>1184</v>
      </c>
      <c r="B2178" s="3" t="s">
        <v>344</v>
      </c>
      <c r="C2178" s="3"/>
      <c r="D2178" s="3"/>
      <c r="E2178" s="3"/>
      <c r="F2178" s="3" t="s">
        <v>8045</v>
      </c>
      <c r="G2178" s="3" t="s">
        <v>7417</v>
      </c>
      <c r="H2178" s="3" t="s">
        <v>8097</v>
      </c>
      <c r="I2178" t="s">
        <v>8098</v>
      </c>
      <c r="J2178" s="3" t="s">
        <v>8099</v>
      </c>
      <c r="K2178" s="3" t="s">
        <v>229</v>
      </c>
      <c r="L2178" s="3" t="s">
        <v>8100</v>
      </c>
      <c r="M2178" s="3" t="s">
        <v>8101</v>
      </c>
      <c r="N2178" s="3"/>
      <c r="O2178" s="3" t="s">
        <v>8102</v>
      </c>
      <c r="P2178"/>
    </row>
    <row r="2179" spans="1:16" ht="58" hidden="1" x14ac:dyDescent="0.35">
      <c r="A2179" s="3" t="s">
        <v>1184</v>
      </c>
      <c r="B2179" s="3" t="s">
        <v>344</v>
      </c>
      <c r="C2179" s="3"/>
      <c r="D2179" s="3"/>
      <c r="E2179" s="3"/>
      <c r="F2179" s="3" t="s">
        <v>8045</v>
      </c>
      <c r="G2179" s="3" t="s">
        <v>7417</v>
      </c>
      <c r="H2179" s="3" t="s">
        <v>8103</v>
      </c>
      <c r="I2179" t="s">
        <v>8104</v>
      </c>
      <c r="J2179" s="3" t="s">
        <v>8105</v>
      </c>
      <c r="K2179" s="3" t="s">
        <v>229</v>
      </c>
      <c r="L2179" s="3" t="s">
        <v>8106</v>
      </c>
      <c r="M2179" s="3" t="s">
        <v>8107</v>
      </c>
      <c r="N2179" s="3"/>
      <c r="O2179" s="3" t="s">
        <v>8108</v>
      </c>
      <c r="P2179"/>
    </row>
    <row r="2180" spans="1:16" ht="87" hidden="1" x14ac:dyDescent="0.35">
      <c r="A2180" s="3" t="s">
        <v>1184</v>
      </c>
      <c r="B2180" s="3" t="s">
        <v>344</v>
      </c>
      <c r="C2180" s="3"/>
      <c r="D2180" s="3"/>
      <c r="E2180" s="3"/>
      <c r="F2180" s="3" t="s">
        <v>8045</v>
      </c>
      <c r="G2180" s="3" t="s">
        <v>7417</v>
      </c>
      <c r="H2180" s="3" t="s">
        <v>8109</v>
      </c>
      <c r="I2180" t="s">
        <v>8110</v>
      </c>
      <c r="J2180" s="3" t="s">
        <v>8111</v>
      </c>
      <c r="K2180" s="3" t="s">
        <v>1187</v>
      </c>
      <c r="L2180" s="3" t="s">
        <v>8112</v>
      </c>
      <c r="M2180" s="3" t="s">
        <v>8113</v>
      </c>
      <c r="N2180" s="3"/>
      <c r="O2180" s="3" t="s">
        <v>8114</v>
      </c>
      <c r="P2180"/>
    </row>
    <row r="2181" spans="1:16" ht="87" hidden="1" x14ac:dyDescent="0.35">
      <c r="A2181" s="3" t="s">
        <v>1184</v>
      </c>
      <c r="B2181" s="3" t="s">
        <v>344</v>
      </c>
      <c r="C2181" s="3"/>
      <c r="D2181" s="3"/>
      <c r="E2181" s="3"/>
      <c r="F2181" s="3" t="s">
        <v>8045</v>
      </c>
      <c r="G2181" s="3" t="s">
        <v>7417</v>
      </c>
      <c r="H2181" s="3" t="s">
        <v>8115</v>
      </c>
      <c r="I2181" t="s">
        <v>8116</v>
      </c>
      <c r="J2181" s="3" t="s">
        <v>8117</v>
      </c>
      <c r="K2181" s="3" t="s">
        <v>241</v>
      </c>
      <c r="L2181" s="3" t="s">
        <v>8118</v>
      </c>
      <c r="M2181" s="3" t="s">
        <v>8119</v>
      </c>
      <c r="N2181" s="3"/>
      <c r="O2181" s="3" t="s">
        <v>8120</v>
      </c>
      <c r="P2181"/>
    </row>
    <row r="2182" spans="1:16" ht="87" hidden="1" x14ac:dyDescent="0.35">
      <c r="A2182" s="3" t="s">
        <v>1184</v>
      </c>
      <c r="B2182" s="3" t="s">
        <v>344</v>
      </c>
      <c r="C2182" s="3"/>
      <c r="D2182" s="3"/>
      <c r="E2182" s="3"/>
      <c r="F2182" s="3" t="s">
        <v>8045</v>
      </c>
      <c r="G2182" s="3" t="s">
        <v>7417</v>
      </c>
      <c r="H2182" s="3" t="s">
        <v>8121</v>
      </c>
      <c r="I2182" t="s">
        <v>8122</v>
      </c>
      <c r="J2182" s="3" t="s">
        <v>8123</v>
      </c>
      <c r="K2182" s="3" t="s">
        <v>241</v>
      </c>
      <c r="L2182" s="3" t="s">
        <v>8124</v>
      </c>
      <c r="M2182" s="3" t="s">
        <v>8125</v>
      </c>
      <c r="N2182" s="3"/>
      <c r="O2182" s="3" t="s">
        <v>8126</v>
      </c>
      <c r="P2182"/>
    </row>
    <row r="2183" spans="1:16" ht="87" hidden="1" x14ac:dyDescent="0.35">
      <c r="A2183" s="3" t="s">
        <v>1184</v>
      </c>
      <c r="B2183" s="3" t="s">
        <v>344</v>
      </c>
      <c r="C2183" s="3"/>
      <c r="D2183" s="3"/>
      <c r="E2183" s="3"/>
      <c r="F2183" s="3" t="s">
        <v>8045</v>
      </c>
      <c r="G2183" s="3" t="s">
        <v>7417</v>
      </c>
      <c r="H2183" s="3" t="s">
        <v>8127</v>
      </c>
      <c r="I2183" t="s">
        <v>8128</v>
      </c>
      <c r="J2183" s="3" t="s">
        <v>8129</v>
      </c>
      <c r="K2183" s="3" t="s">
        <v>241</v>
      </c>
      <c r="L2183" s="3" t="s">
        <v>8130</v>
      </c>
      <c r="M2183" s="3" t="s">
        <v>8131</v>
      </c>
      <c r="N2183" s="3"/>
      <c r="O2183" s="3" t="s">
        <v>8132</v>
      </c>
      <c r="P2183"/>
    </row>
    <row r="2184" spans="1:16" ht="87" hidden="1" x14ac:dyDescent="0.35">
      <c r="A2184" s="3" t="s">
        <v>1184</v>
      </c>
      <c r="B2184" s="3" t="s">
        <v>344</v>
      </c>
      <c r="C2184" s="3"/>
      <c r="D2184" s="3"/>
      <c r="E2184" s="3"/>
      <c r="F2184" s="3" t="s">
        <v>8045</v>
      </c>
      <c r="G2184" s="3" t="s">
        <v>7417</v>
      </c>
      <c r="H2184" s="3" t="s">
        <v>8133</v>
      </c>
      <c r="I2184" t="s">
        <v>8134</v>
      </c>
      <c r="J2184" s="3" t="s">
        <v>8135</v>
      </c>
      <c r="K2184" s="3" t="s">
        <v>241</v>
      </c>
      <c r="L2184" s="3" t="s">
        <v>8136</v>
      </c>
      <c r="M2184" s="3" t="s">
        <v>8137</v>
      </c>
      <c r="N2184" s="3"/>
      <c r="O2184" s="3" t="s">
        <v>8138</v>
      </c>
      <c r="P2184"/>
    </row>
    <row r="2185" spans="1:16" ht="87" hidden="1" x14ac:dyDescent="0.35">
      <c r="A2185" s="3" t="s">
        <v>1184</v>
      </c>
      <c r="B2185" s="3" t="s">
        <v>344</v>
      </c>
      <c r="C2185" s="3"/>
      <c r="D2185" s="3"/>
      <c r="E2185" s="3"/>
      <c r="F2185" s="3" t="s">
        <v>8045</v>
      </c>
      <c r="G2185" s="3" t="s">
        <v>7417</v>
      </c>
      <c r="H2185" s="3" t="s">
        <v>8139</v>
      </c>
      <c r="I2185" t="s">
        <v>8140</v>
      </c>
      <c r="J2185" s="3" t="s">
        <v>8141</v>
      </c>
      <c r="K2185" s="3" t="s">
        <v>241</v>
      </c>
      <c r="L2185" s="3" t="s">
        <v>8142</v>
      </c>
      <c r="M2185" s="3" t="s">
        <v>8143</v>
      </c>
      <c r="N2185" s="3"/>
      <c r="O2185" s="3" t="s">
        <v>8144</v>
      </c>
      <c r="P2185"/>
    </row>
    <row r="2186" spans="1:16" ht="87" hidden="1" x14ac:dyDescent="0.35">
      <c r="A2186" s="3" t="s">
        <v>1184</v>
      </c>
      <c r="B2186" s="3" t="s">
        <v>344</v>
      </c>
      <c r="C2186" s="3"/>
      <c r="D2186" s="3"/>
      <c r="E2186" s="3"/>
      <c r="F2186" s="3" t="s">
        <v>8045</v>
      </c>
      <c r="G2186" s="3" t="s">
        <v>7417</v>
      </c>
      <c r="H2186" s="3" t="s">
        <v>8145</v>
      </c>
      <c r="I2186" t="s">
        <v>8146</v>
      </c>
      <c r="J2186" s="3" t="s">
        <v>8147</v>
      </c>
      <c r="K2186" s="3" t="s">
        <v>1187</v>
      </c>
      <c r="L2186" s="3" t="s">
        <v>8148</v>
      </c>
      <c r="M2186" s="3" t="s">
        <v>8149</v>
      </c>
      <c r="N2186" s="3"/>
      <c r="O2186" s="3" t="s">
        <v>8150</v>
      </c>
      <c r="P2186"/>
    </row>
    <row r="2187" spans="1:16" ht="87" hidden="1" x14ac:dyDescent="0.35">
      <c r="A2187" s="3" t="s">
        <v>1184</v>
      </c>
      <c r="B2187" s="3" t="s">
        <v>344</v>
      </c>
      <c r="C2187" s="3"/>
      <c r="D2187" s="3"/>
      <c r="E2187" s="3"/>
      <c r="F2187" s="3" t="s">
        <v>8045</v>
      </c>
      <c r="G2187" s="3" t="s">
        <v>7417</v>
      </c>
      <c r="H2187" s="3" t="s">
        <v>8151</v>
      </c>
      <c r="I2187" t="s">
        <v>8080</v>
      </c>
      <c r="J2187" s="3" t="s">
        <v>8152</v>
      </c>
      <c r="K2187" s="3" t="s">
        <v>241</v>
      </c>
      <c r="L2187" s="3" t="s">
        <v>8153</v>
      </c>
      <c r="M2187" s="3" t="s">
        <v>8154</v>
      </c>
      <c r="N2187" s="3"/>
      <c r="O2187" s="3" t="s">
        <v>8155</v>
      </c>
      <c r="P2187"/>
    </row>
    <row r="2188" spans="1:16" ht="203" hidden="1" x14ac:dyDescent="0.35">
      <c r="A2188" s="3" t="s">
        <v>1184</v>
      </c>
      <c r="B2188" s="3" t="s">
        <v>344</v>
      </c>
      <c r="C2188" s="3"/>
      <c r="D2188" s="3"/>
      <c r="E2188" s="3"/>
      <c r="F2188" s="3" t="s">
        <v>8045</v>
      </c>
      <c r="G2188" s="3" t="s">
        <v>7417</v>
      </c>
      <c r="H2188" s="3" t="s">
        <v>8156</v>
      </c>
      <c r="I2188" t="s">
        <v>8086</v>
      </c>
      <c r="J2188" s="3" t="s">
        <v>8157</v>
      </c>
      <c r="K2188" s="3" t="s">
        <v>8158</v>
      </c>
      <c r="L2188" s="3" t="s">
        <v>8159</v>
      </c>
      <c r="M2188" s="3" t="s">
        <v>8160</v>
      </c>
      <c r="N2188" s="3"/>
      <c r="O2188" s="3" t="s">
        <v>8161</v>
      </c>
      <c r="P2188"/>
    </row>
    <row r="2189" spans="1:16" ht="203" hidden="1" x14ac:dyDescent="0.35">
      <c r="A2189" s="3" t="s">
        <v>1184</v>
      </c>
      <c r="B2189" s="3" t="s">
        <v>344</v>
      </c>
      <c r="C2189" s="3"/>
      <c r="D2189" s="3"/>
      <c r="E2189" s="3"/>
      <c r="F2189" s="3" t="s">
        <v>8045</v>
      </c>
      <c r="G2189" s="3" t="s">
        <v>7417</v>
      </c>
      <c r="H2189" s="3" t="s">
        <v>8162</v>
      </c>
      <c r="I2189" t="s">
        <v>8092</v>
      </c>
      <c r="J2189" s="3" t="s">
        <v>8163</v>
      </c>
      <c r="K2189" s="3" t="s">
        <v>8158</v>
      </c>
      <c r="L2189" s="3" t="s">
        <v>8164</v>
      </c>
      <c r="M2189" s="3" t="s">
        <v>8165</v>
      </c>
      <c r="N2189" s="3"/>
      <c r="O2189" s="3" t="s">
        <v>8166</v>
      </c>
      <c r="P2189"/>
    </row>
    <row r="2190" spans="1:16" ht="203" hidden="1" x14ac:dyDescent="0.35">
      <c r="A2190" s="3" t="s">
        <v>1184</v>
      </c>
      <c r="B2190" s="3" t="s">
        <v>344</v>
      </c>
      <c r="C2190" s="3"/>
      <c r="D2190" s="3"/>
      <c r="E2190" s="3"/>
      <c r="F2190" s="3" t="s">
        <v>8045</v>
      </c>
      <c r="G2190" s="3" t="s">
        <v>7417</v>
      </c>
      <c r="H2190" s="3" t="s">
        <v>8167</v>
      </c>
      <c r="I2190" t="s">
        <v>8098</v>
      </c>
      <c r="J2190" s="3" t="s">
        <v>8168</v>
      </c>
      <c r="K2190" s="3" t="s">
        <v>8158</v>
      </c>
      <c r="L2190" s="3" t="s">
        <v>8169</v>
      </c>
      <c r="M2190" s="3" t="s">
        <v>8170</v>
      </c>
      <c r="N2190" s="3"/>
      <c r="O2190" s="3" t="s">
        <v>8171</v>
      </c>
      <c r="P2190"/>
    </row>
    <row r="2191" spans="1:16" ht="87" hidden="1" x14ac:dyDescent="0.35">
      <c r="A2191" s="3" t="s">
        <v>1184</v>
      </c>
      <c r="B2191" s="3" t="s">
        <v>344</v>
      </c>
      <c r="C2191" s="3"/>
      <c r="D2191" s="3"/>
      <c r="E2191" s="3"/>
      <c r="F2191" s="3" t="s">
        <v>8045</v>
      </c>
      <c r="G2191" s="3" t="s">
        <v>7417</v>
      </c>
      <c r="H2191" s="3" t="s">
        <v>8172</v>
      </c>
      <c r="I2191" t="s">
        <v>8104</v>
      </c>
      <c r="J2191" s="3" t="s">
        <v>8173</v>
      </c>
      <c r="K2191" s="3" t="s">
        <v>241</v>
      </c>
      <c r="L2191" s="3" t="s">
        <v>8174</v>
      </c>
      <c r="M2191" s="3" t="s">
        <v>8175</v>
      </c>
      <c r="N2191" s="3"/>
      <c r="O2191" s="3" t="s">
        <v>8176</v>
      </c>
      <c r="P2191"/>
    </row>
    <row r="2192" spans="1:16" ht="87" hidden="1" x14ac:dyDescent="0.35">
      <c r="A2192" s="3" t="s">
        <v>1184</v>
      </c>
      <c r="B2192" s="3" t="s">
        <v>344</v>
      </c>
      <c r="C2192" s="3"/>
      <c r="D2192" s="3"/>
      <c r="E2192" s="3"/>
      <c r="F2192" s="3" t="s">
        <v>8045</v>
      </c>
      <c r="G2192" s="3" t="s">
        <v>7417</v>
      </c>
      <c r="H2192" s="3" t="s">
        <v>8177</v>
      </c>
      <c r="I2192" t="s">
        <v>8110</v>
      </c>
      <c r="J2192" s="3" t="s">
        <v>8178</v>
      </c>
      <c r="K2192" s="3" t="s">
        <v>241</v>
      </c>
      <c r="L2192" s="3" t="s">
        <v>8179</v>
      </c>
      <c r="M2192" s="3" t="s">
        <v>8180</v>
      </c>
      <c r="N2192" s="3"/>
      <c r="O2192" s="3" t="s">
        <v>8181</v>
      </c>
      <c r="P2192"/>
    </row>
    <row r="2193" spans="1:16" ht="87" hidden="1" x14ac:dyDescent="0.35">
      <c r="A2193" s="3" t="s">
        <v>1184</v>
      </c>
      <c r="B2193" s="3" t="s">
        <v>344</v>
      </c>
      <c r="C2193" s="3"/>
      <c r="D2193" s="3"/>
      <c r="E2193" s="3"/>
      <c r="F2193" s="3" t="s">
        <v>8045</v>
      </c>
      <c r="G2193" s="3" t="s">
        <v>7417</v>
      </c>
      <c r="H2193" s="3" t="s">
        <v>8182</v>
      </c>
      <c r="I2193" t="s">
        <v>8116</v>
      </c>
      <c r="J2193" s="3" t="s">
        <v>8183</v>
      </c>
      <c r="K2193" s="3" t="s">
        <v>241</v>
      </c>
      <c r="L2193" s="3" t="s">
        <v>8184</v>
      </c>
      <c r="M2193" s="3" t="s">
        <v>8185</v>
      </c>
      <c r="N2193" s="3"/>
      <c r="O2193" s="3" t="s">
        <v>8186</v>
      </c>
      <c r="P2193"/>
    </row>
    <row r="2194" spans="1:16" ht="87" hidden="1" x14ac:dyDescent="0.35">
      <c r="A2194" s="3" t="s">
        <v>1184</v>
      </c>
      <c r="B2194" s="3" t="s">
        <v>344</v>
      </c>
      <c r="C2194" s="3"/>
      <c r="D2194" s="3"/>
      <c r="E2194" s="3"/>
      <c r="F2194" s="3" t="s">
        <v>8045</v>
      </c>
      <c r="G2194" s="3" t="s">
        <v>7417</v>
      </c>
      <c r="H2194" s="3" t="s">
        <v>8187</v>
      </c>
      <c r="I2194" t="s">
        <v>8122</v>
      </c>
      <c r="J2194" s="3" t="s">
        <v>8188</v>
      </c>
      <c r="K2194" s="3" t="s">
        <v>241</v>
      </c>
      <c r="L2194" s="3" t="s">
        <v>8189</v>
      </c>
      <c r="M2194" s="3" t="s">
        <v>8190</v>
      </c>
      <c r="N2194" s="3"/>
      <c r="O2194" s="3" t="s">
        <v>8191</v>
      </c>
      <c r="P2194"/>
    </row>
    <row r="2195" spans="1:16" ht="87" hidden="1" x14ac:dyDescent="0.35">
      <c r="A2195" s="3" t="s">
        <v>1184</v>
      </c>
      <c r="B2195" s="3" t="s">
        <v>344</v>
      </c>
      <c r="C2195" s="3"/>
      <c r="D2195" s="3"/>
      <c r="E2195" s="3"/>
      <c r="F2195" s="3" t="s">
        <v>8045</v>
      </c>
      <c r="G2195" s="3" t="s">
        <v>7417</v>
      </c>
      <c r="H2195" s="3" t="s">
        <v>8192</v>
      </c>
      <c r="I2195" t="s">
        <v>8128</v>
      </c>
      <c r="J2195" s="3" t="s">
        <v>8193</v>
      </c>
      <c r="K2195" s="3" t="s">
        <v>1187</v>
      </c>
      <c r="L2195" s="3" t="s">
        <v>8194</v>
      </c>
      <c r="M2195" s="3" t="s">
        <v>8195</v>
      </c>
      <c r="N2195" s="3"/>
      <c r="O2195" s="3" t="s">
        <v>8196</v>
      </c>
      <c r="P2195"/>
    </row>
    <row r="2196" spans="1:16" ht="87" hidden="1" x14ac:dyDescent="0.35">
      <c r="A2196" s="3" t="s">
        <v>1184</v>
      </c>
      <c r="B2196" s="3" t="s">
        <v>344</v>
      </c>
      <c r="C2196" s="3"/>
      <c r="D2196" s="3"/>
      <c r="E2196" s="3"/>
      <c r="F2196" s="3" t="s">
        <v>8045</v>
      </c>
      <c r="G2196" s="3" t="s">
        <v>7417</v>
      </c>
      <c r="H2196" s="3" t="s">
        <v>8197</v>
      </c>
      <c r="I2196" t="s">
        <v>8134</v>
      </c>
      <c r="J2196" s="3" t="s">
        <v>8198</v>
      </c>
      <c r="K2196" s="3" t="s">
        <v>1187</v>
      </c>
      <c r="L2196" s="3" t="s">
        <v>8199</v>
      </c>
      <c r="M2196" s="3" t="s">
        <v>8200</v>
      </c>
      <c r="N2196" s="3"/>
      <c r="O2196" s="3" t="s">
        <v>8201</v>
      </c>
      <c r="P2196"/>
    </row>
    <row r="2197" spans="1:16" ht="87" hidden="1" x14ac:dyDescent="0.35">
      <c r="A2197" s="3" t="s">
        <v>1184</v>
      </c>
      <c r="B2197" s="3" t="s">
        <v>344</v>
      </c>
      <c r="C2197" s="3"/>
      <c r="D2197" s="3"/>
      <c r="E2197" s="3"/>
      <c r="F2197" s="3" t="s">
        <v>8045</v>
      </c>
      <c r="G2197" s="3" t="s">
        <v>7417</v>
      </c>
      <c r="H2197" s="3" t="s">
        <v>8202</v>
      </c>
      <c r="I2197" t="s">
        <v>8140</v>
      </c>
      <c r="J2197" s="3" t="s">
        <v>8198</v>
      </c>
      <c r="K2197" s="3" t="s">
        <v>1187</v>
      </c>
      <c r="L2197" s="3" t="s">
        <v>8203</v>
      </c>
      <c r="M2197" s="3" t="s">
        <v>8204</v>
      </c>
      <c r="N2197" s="3"/>
      <c r="O2197" s="3" t="s">
        <v>8205</v>
      </c>
      <c r="P2197"/>
    </row>
    <row r="2198" spans="1:16" ht="87" hidden="1" x14ac:dyDescent="0.35">
      <c r="A2198" s="3" t="s">
        <v>1184</v>
      </c>
      <c r="B2198" s="3" t="s">
        <v>344</v>
      </c>
      <c r="C2198" s="3"/>
      <c r="D2198" s="3"/>
      <c r="E2198" s="3"/>
      <c r="F2198" s="3" t="s">
        <v>8045</v>
      </c>
      <c r="G2198" s="3" t="s">
        <v>7417</v>
      </c>
      <c r="H2198" s="3" t="s">
        <v>8206</v>
      </c>
      <c r="I2198" t="s">
        <v>8146</v>
      </c>
      <c r="J2198" s="3" t="s">
        <v>8207</v>
      </c>
      <c r="K2198" s="3" t="s">
        <v>1187</v>
      </c>
      <c r="L2198" s="3" t="s">
        <v>8208</v>
      </c>
      <c r="M2198" s="3" t="s">
        <v>8209</v>
      </c>
      <c r="N2198" s="3"/>
      <c r="O2198" s="3" t="s">
        <v>8210</v>
      </c>
      <c r="P2198"/>
    </row>
    <row r="2199" spans="1:16" ht="87" hidden="1" x14ac:dyDescent="0.35">
      <c r="A2199" s="3" t="s">
        <v>1184</v>
      </c>
      <c r="B2199" s="3" t="s">
        <v>344</v>
      </c>
      <c r="C2199" s="3"/>
      <c r="D2199" s="3"/>
      <c r="E2199" s="3"/>
      <c r="F2199" s="3" t="s">
        <v>8045</v>
      </c>
      <c r="G2199" s="3" t="s">
        <v>7417</v>
      </c>
      <c r="H2199" s="3" t="s">
        <v>8211</v>
      </c>
      <c r="I2199" t="s">
        <v>8080</v>
      </c>
      <c r="J2199" s="3" t="s">
        <v>8212</v>
      </c>
      <c r="K2199" s="3" t="s">
        <v>1187</v>
      </c>
      <c r="L2199" s="3" t="s">
        <v>8213</v>
      </c>
      <c r="M2199" s="3" t="s">
        <v>8214</v>
      </c>
      <c r="N2199" s="3"/>
      <c r="O2199" s="3" t="s">
        <v>8215</v>
      </c>
      <c r="P2199"/>
    </row>
    <row r="2200" spans="1:16" ht="58" hidden="1" x14ac:dyDescent="0.35">
      <c r="A2200" s="3" t="s">
        <v>1184</v>
      </c>
      <c r="B2200" s="3" t="s">
        <v>344</v>
      </c>
      <c r="C2200" s="3"/>
      <c r="D2200" s="3"/>
      <c r="E2200" s="3"/>
      <c r="F2200" s="3" t="s">
        <v>8045</v>
      </c>
      <c r="G2200" s="3" t="s">
        <v>7417</v>
      </c>
      <c r="H2200" s="3" t="s">
        <v>8216</v>
      </c>
      <c r="I2200" t="s">
        <v>8086</v>
      </c>
      <c r="J2200" s="3" t="s">
        <v>8217</v>
      </c>
      <c r="K2200" s="3" t="s">
        <v>229</v>
      </c>
      <c r="L2200" s="3" t="s">
        <v>8218</v>
      </c>
      <c r="M2200" s="3" t="s">
        <v>8219</v>
      </c>
      <c r="N2200" s="3"/>
      <c r="O2200" s="3" t="s">
        <v>8220</v>
      </c>
      <c r="P2200"/>
    </row>
    <row r="2201" spans="1:16" ht="217.5" hidden="1" x14ac:dyDescent="0.35">
      <c r="A2201" s="3" t="s">
        <v>1184</v>
      </c>
      <c r="B2201" s="3" t="s">
        <v>344</v>
      </c>
      <c r="C2201" s="3"/>
      <c r="D2201" s="3"/>
      <c r="E2201" s="3"/>
      <c r="F2201" s="3" t="s">
        <v>8045</v>
      </c>
      <c r="G2201" s="3" t="s">
        <v>7417</v>
      </c>
      <c r="H2201" s="3" t="s">
        <v>8221</v>
      </c>
      <c r="I2201" t="s">
        <v>8092</v>
      </c>
      <c r="J2201" s="3" t="s">
        <v>8222</v>
      </c>
      <c r="K2201" s="3" t="s">
        <v>7897</v>
      </c>
      <c r="L2201" s="3" t="s">
        <v>8223</v>
      </c>
      <c r="M2201" s="3" t="s">
        <v>8224</v>
      </c>
      <c r="N2201" s="3"/>
      <c r="O2201" s="3" t="s">
        <v>8225</v>
      </c>
      <c r="P2201"/>
    </row>
    <row r="2202" spans="1:16" ht="87" hidden="1" x14ac:dyDescent="0.35">
      <c r="A2202" s="3" t="s">
        <v>1184</v>
      </c>
      <c r="B2202" s="3" t="s">
        <v>344</v>
      </c>
      <c r="C2202" s="3"/>
      <c r="D2202" s="3"/>
      <c r="E2202" s="3"/>
      <c r="F2202" s="3" t="s">
        <v>8045</v>
      </c>
      <c r="G2202" s="3" t="s">
        <v>7417</v>
      </c>
      <c r="H2202" s="3" t="s">
        <v>8226</v>
      </c>
      <c r="I2202" t="s">
        <v>8098</v>
      </c>
      <c r="J2202" s="3" t="s">
        <v>8227</v>
      </c>
      <c r="K2202" s="3" t="s">
        <v>1187</v>
      </c>
      <c r="L2202" s="3" t="s">
        <v>8228</v>
      </c>
      <c r="M2202" s="3" t="s">
        <v>8229</v>
      </c>
      <c r="N2202" s="3"/>
      <c r="O2202" s="3" t="s">
        <v>8230</v>
      </c>
      <c r="P2202"/>
    </row>
    <row r="2203" spans="1:16" ht="130.5" hidden="1" x14ac:dyDescent="0.35">
      <c r="A2203" s="3" t="s">
        <v>1184</v>
      </c>
      <c r="B2203" s="3" t="s">
        <v>344</v>
      </c>
      <c r="C2203" s="3"/>
      <c r="D2203" s="3"/>
      <c r="E2203" s="3"/>
      <c r="F2203" s="3" t="s">
        <v>8045</v>
      </c>
      <c r="G2203" s="3" t="s">
        <v>7417</v>
      </c>
      <c r="H2203" s="3" t="s">
        <v>8231</v>
      </c>
      <c r="I2203" t="s">
        <v>8104</v>
      </c>
      <c r="J2203" s="3" t="s">
        <v>8232</v>
      </c>
      <c r="K2203" s="3" t="s">
        <v>8233</v>
      </c>
      <c r="L2203" s="3" t="s">
        <v>8234</v>
      </c>
      <c r="M2203" s="3" t="s">
        <v>8235</v>
      </c>
      <c r="N2203" s="3"/>
      <c r="O2203" s="3" t="s">
        <v>8236</v>
      </c>
      <c r="P2203"/>
    </row>
    <row r="2204" spans="1:16" ht="58" hidden="1" x14ac:dyDescent="0.35">
      <c r="A2204" s="3" t="s">
        <v>1184</v>
      </c>
      <c r="B2204" s="3" t="s">
        <v>344</v>
      </c>
      <c r="C2204" s="3"/>
      <c r="D2204" s="3"/>
      <c r="E2204" s="3"/>
      <c r="F2204" s="3" t="s">
        <v>8045</v>
      </c>
      <c r="G2204" s="3" t="s">
        <v>7417</v>
      </c>
      <c r="H2204" s="3" t="s">
        <v>8237</v>
      </c>
      <c r="I2204" t="s">
        <v>8110</v>
      </c>
      <c r="J2204" s="3" t="s">
        <v>8238</v>
      </c>
      <c r="K2204" s="3" t="s">
        <v>229</v>
      </c>
      <c r="L2204" s="3" t="s">
        <v>302</v>
      </c>
      <c r="M2204" s="3" t="s">
        <v>8239</v>
      </c>
      <c r="N2204" s="3"/>
      <c r="O2204" s="3" t="s">
        <v>6973</v>
      </c>
      <c r="P2204"/>
    </row>
    <row r="2205" spans="1:16" ht="58" hidden="1" x14ac:dyDescent="0.35">
      <c r="A2205" s="3" t="s">
        <v>1184</v>
      </c>
      <c r="B2205" s="3" t="s">
        <v>344</v>
      </c>
      <c r="C2205" s="3"/>
      <c r="D2205" s="3"/>
      <c r="E2205" s="3"/>
      <c r="F2205" s="3" t="s">
        <v>8240</v>
      </c>
      <c r="G2205" s="5" t="s">
        <v>7596</v>
      </c>
      <c r="I2205" t="s">
        <v>8116</v>
      </c>
      <c r="J2205" s="3" t="s">
        <v>8241</v>
      </c>
      <c r="K2205" s="3" t="s">
        <v>229</v>
      </c>
      <c r="L2205" s="3" t="s">
        <v>8242</v>
      </c>
      <c r="M2205" s="3" t="s">
        <v>8243</v>
      </c>
      <c r="N2205" s="3"/>
      <c r="O2205" s="3" t="s">
        <v>8244</v>
      </c>
      <c r="P2205"/>
    </row>
    <row r="2206" spans="1:16" ht="58" hidden="1" x14ac:dyDescent="0.35">
      <c r="A2206" s="3" t="s">
        <v>1184</v>
      </c>
      <c r="B2206" s="3" t="s">
        <v>344</v>
      </c>
      <c r="C2206" s="3"/>
      <c r="D2206" s="3"/>
      <c r="E2206" s="3"/>
      <c r="F2206" s="3" t="s">
        <v>8240</v>
      </c>
      <c r="G2206" s="5" t="s">
        <v>7596</v>
      </c>
      <c r="H2206" s="3" t="s">
        <v>8245</v>
      </c>
      <c r="I2206" t="s">
        <v>8122</v>
      </c>
      <c r="J2206" s="3" t="s">
        <v>8246</v>
      </c>
      <c r="K2206" s="3" t="s">
        <v>229</v>
      </c>
      <c r="L2206" s="3" t="s">
        <v>8247</v>
      </c>
      <c r="M2206" s="3" t="s">
        <v>8248</v>
      </c>
      <c r="N2206" s="3"/>
      <c r="O2206" s="3" t="s">
        <v>8249</v>
      </c>
      <c r="P2206"/>
    </row>
    <row r="2207" spans="1:16" ht="58" hidden="1" x14ac:dyDescent="0.35">
      <c r="A2207" s="3" t="s">
        <v>1184</v>
      </c>
      <c r="B2207" s="3" t="s">
        <v>344</v>
      </c>
      <c r="C2207" s="3"/>
      <c r="D2207" s="3"/>
      <c r="E2207" s="3"/>
      <c r="F2207" s="3" t="s">
        <v>8240</v>
      </c>
      <c r="G2207" s="5" t="s">
        <v>7596</v>
      </c>
      <c r="H2207" s="3" t="s">
        <v>8250</v>
      </c>
      <c r="I2207" t="s">
        <v>8128</v>
      </c>
      <c r="J2207" s="3" t="s">
        <v>7508</v>
      </c>
      <c r="K2207" s="3" t="s">
        <v>229</v>
      </c>
      <c r="L2207" s="3" t="s">
        <v>1206</v>
      </c>
      <c r="M2207" s="3" t="s">
        <v>7509</v>
      </c>
      <c r="N2207" s="3"/>
      <c r="O2207" s="3" t="s">
        <v>7146</v>
      </c>
      <c r="P2207"/>
    </row>
    <row r="2208" spans="1:16" ht="58" hidden="1" x14ac:dyDescent="0.35">
      <c r="A2208" s="3" t="s">
        <v>1184</v>
      </c>
      <c r="B2208" s="3" t="s">
        <v>344</v>
      </c>
      <c r="C2208" s="3"/>
      <c r="D2208" s="3"/>
      <c r="E2208" s="3"/>
      <c r="F2208" s="3" t="s">
        <v>8240</v>
      </c>
      <c r="G2208" s="5" t="s">
        <v>7596</v>
      </c>
      <c r="H2208" s="3" t="s">
        <v>8251</v>
      </c>
      <c r="I2208" t="s">
        <v>8134</v>
      </c>
      <c r="J2208" s="3" t="s">
        <v>7512</v>
      </c>
      <c r="K2208" s="3" t="s">
        <v>229</v>
      </c>
      <c r="L2208" s="3" t="s">
        <v>7513</v>
      </c>
      <c r="M2208" s="3" t="s">
        <v>7151</v>
      </c>
      <c r="N2208" s="3"/>
      <c r="O2208" s="3" t="s">
        <v>7152</v>
      </c>
      <c r="P2208"/>
    </row>
    <row r="2209" spans="1:16" ht="58" hidden="1" x14ac:dyDescent="0.35">
      <c r="A2209" s="3" t="s">
        <v>1184</v>
      </c>
      <c r="B2209" s="3" t="s">
        <v>344</v>
      </c>
      <c r="C2209" s="3"/>
      <c r="D2209" s="3"/>
      <c r="E2209" s="3"/>
      <c r="F2209" s="3" t="s">
        <v>8240</v>
      </c>
      <c r="G2209" s="5" t="s">
        <v>7596</v>
      </c>
      <c r="H2209" s="3" t="s">
        <v>8252</v>
      </c>
      <c r="I2209" t="s">
        <v>8140</v>
      </c>
      <c r="J2209" s="3" t="s">
        <v>8253</v>
      </c>
      <c r="K2209" s="3" t="s">
        <v>229</v>
      </c>
      <c r="L2209" s="3" t="s">
        <v>8254</v>
      </c>
      <c r="M2209" s="3" t="s">
        <v>8255</v>
      </c>
      <c r="N2209" s="3"/>
      <c r="O2209" s="3" t="s">
        <v>8256</v>
      </c>
      <c r="P2209"/>
    </row>
    <row r="2210" spans="1:16" ht="58" hidden="1" x14ac:dyDescent="0.35">
      <c r="A2210" s="3" t="s">
        <v>1184</v>
      </c>
      <c r="B2210" s="3" t="s">
        <v>344</v>
      </c>
      <c r="C2210" s="3"/>
      <c r="D2210" s="3"/>
      <c r="E2210" s="3"/>
      <c r="F2210" s="3" t="s">
        <v>8240</v>
      </c>
      <c r="G2210" s="5" t="s">
        <v>7596</v>
      </c>
      <c r="H2210" s="3" t="s">
        <v>8257</v>
      </c>
      <c r="I2210" t="s">
        <v>8146</v>
      </c>
      <c r="J2210" s="3" t="s">
        <v>8258</v>
      </c>
      <c r="K2210" s="3" t="s">
        <v>229</v>
      </c>
      <c r="L2210" s="3" t="s">
        <v>2389</v>
      </c>
      <c r="M2210" s="3" t="s">
        <v>8259</v>
      </c>
      <c r="N2210" s="3"/>
      <c r="O2210" s="3" t="s">
        <v>2389</v>
      </c>
      <c r="P2210"/>
    </row>
    <row r="2211" spans="1:16" ht="58" hidden="1" x14ac:dyDescent="0.35">
      <c r="A2211" s="3" t="s">
        <v>1184</v>
      </c>
      <c r="B2211" s="3" t="s">
        <v>344</v>
      </c>
      <c r="C2211" s="3"/>
      <c r="D2211" s="3"/>
      <c r="E2211" s="3"/>
      <c r="F2211" s="3" t="s">
        <v>8240</v>
      </c>
      <c r="G2211" s="5" t="s">
        <v>7596</v>
      </c>
      <c r="H2211" s="3" t="s">
        <v>8260</v>
      </c>
      <c r="I2211" t="s">
        <v>8080</v>
      </c>
      <c r="J2211" s="3" t="s">
        <v>8261</v>
      </c>
      <c r="K2211" s="3" t="s">
        <v>229</v>
      </c>
      <c r="L2211" s="3" t="s">
        <v>8262</v>
      </c>
      <c r="M2211" s="3" t="s">
        <v>8263</v>
      </c>
      <c r="N2211" s="3"/>
      <c r="O2211" s="3" t="s">
        <v>8262</v>
      </c>
      <c r="P2211"/>
    </row>
    <row r="2212" spans="1:16" ht="58" hidden="1" x14ac:dyDescent="0.35">
      <c r="A2212" s="3" t="s">
        <v>1184</v>
      </c>
      <c r="B2212" s="3" t="s">
        <v>344</v>
      </c>
      <c r="C2212" s="3"/>
      <c r="D2212" s="3"/>
      <c r="E2212" s="3"/>
      <c r="F2212" s="3" t="s">
        <v>8240</v>
      </c>
      <c r="G2212" s="5" t="s">
        <v>7596</v>
      </c>
      <c r="H2212" s="3" t="s">
        <v>8264</v>
      </c>
      <c r="I2212" t="s">
        <v>8086</v>
      </c>
      <c r="J2212" s="3" t="s">
        <v>8265</v>
      </c>
      <c r="K2212" s="3" t="s">
        <v>229</v>
      </c>
      <c r="L2212" s="3" t="s">
        <v>8266</v>
      </c>
      <c r="M2212" s="3" t="s">
        <v>8267</v>
      </c>
      <c r="N2212" s="3"/>
      <c r="O2212" s="3" t="s">
        <v>8268</v>
      </c>
      <c r="P2212"/>
    </row>
    <row r="2213" spans="1:16" ht="58" hidden="1" x14ac:dyDescent="0.35">
      <c r="A2213" s="3" t="s">
        <v>1184</v>
      </c>
      <c r="B2213" s="3" t="s">
        <v>344</v>
      </c>
      <c r="C2213" s="3"/>
      <c r="D2213" s="3"/>
      <c r="E2213" s="3"/>
      <c r="F2213" s="3" t="s">
        <v>8240</v>
      </c>
      <c r="G2213" s="5" t="s">
        <v>7596</v>
      </c>
      <c r="H2213" s="3" t="s">
        <v>8269</v>
      </c>
      <c r="I2213" t="s">
        <v>8092</v>
      </c>
      <c r="J2213" s="3" t="s">
        <v>8270</v>
      </c>
      <c r="K2213" s="3" t="s">
        <v>229</v>
      </c>
      <c r="L2213" s="3" t="s">
        <v>8271</v>
      </c>
      <c r="M2213" s="3" t="s">
        <v>8272</v>
      </c>
      <c r="N2213" s="3"/>
      <c r="O2213" s="3" t="s">
        <v>8273</v>
      </c>
      <c r="P2213"/>
    </row>
    <row r="2214" spans="1:16" ht="246.5" hidden="1" x14ac:dyDescent="0.35">
      <c r="A2214" s="3" t="s">
        <v>1184</v>
      </c>
      <c r="B2214" s="3" t="s">
        <v>344</v>
      </c>
      <c r="C2214" s="3"/>
      <c r="D2214" s="3"/>
      <c r="E2214" s="3"/>
      <c r="F2214" s="3" t="s">
        <v>8240</v>
      </c>
      <c r="G2214" s="5" t="s">
        <v>7596</v>
      </c>
      <c r="H2214" s="3" t="s">
        <v>8274</v>
      </c>
      <c r="I2214" t="s">
        <v>8098</v>
      </c>
      <c r="J2214" s="3" t="s">
        <v>8275</v>
      </c>
      <c r="K2214" s="3" t="s">
        <v>8276</v>
      </c>
      <c r="L2214" s="3" t="s">
        <v>8277</v>
      </c>
      <c r="M2214" s="3" t="s">
        <v>8278</v>
      </c>
      <c r="N2214" s="3"/>
      <c r="O2214" s="3" t="s">
        <v>8279</v>
      </c>
      <c r="P2214"/>
    </row>
    <row r="2215" spans="1:16" ht="87" hidden="1" x14ac:dyDescent="0.35">
      <c r="A2215" s="3" t="s">
        <v>1184</v>
      </c>
      <c r="B2215" s="3" t="s">
        <v>344</v>
      </c>
      <c r="C2215" s="3"/>
      <c r="D2215" s="3"/>
      <c r="E2215" s="3"/>
      <c r="F2215" s="3" t="s">
        <v>8240</v>
      </c>
      <c r="G2215" s="5" t="s">
        <v>7596</v>
      </c>
      <c r="H2215" s="3" t="s">
        <v>8280</v>
      </c>
      <c r="I2215" t="s">
        <v>8104</v>
      </c>
      <c r="J2215" s="3" t="s">
        <v>8281</v>
      </c>
      <c r="K2215" s="3" t="s">
        <v>241</v>
      </c>
      <c r="L2215" s="3" t="s">
        <v>8282</v>
      </c>
      <c r="M2215" s="3" t="s">
        <v>8283</v>
      </c>
      <c r="N2215" s="3"/>
      <c r="O2215" s="3" t="s">
        <v>8284</v>
      </c>
      <c r="P2215"/>
    </row>
    <row r="2216" spans="1:16" ht="58" hidden="1" x14ac:dyDescent="0.35">
      <c r="A2216" s="3" t="s">
        <v>1184</v>
      </c>
      <c r="B2216" s="3" t="s">
        <v>344</v>
      </c>
      <c r="C2216" s="3"/>
      <c r="D2216" s="3"/>
      <c r="E2216" s="3"/>
      <c r="F2216" s="3" t="s">
        <v>8240</v>
      </c>
      <c r="G2216" s="5" t="s">
        <v>7596</v>
      </c>
      <c r="H2216" s="3" t="s">
        <v>8285</v>
      </c>
      <c r="I2216" t="s">
        <v>8110</v>
      </c>
      <c r="J2216" s="3" t="s">
        <v>8286</v>
      </c>
      <c r="K2216" s="3" t="s">
        <v>229</v>
      </c>
      <c r="L2216" s="3" t="s">
        <v>8287</v>
      </c>
      <c r="M2216" s="3" t="s">
        <v>8288</v>
      </c>
      <c r="N2216" s="3"/>
      <c r="O2216" s="3" t="s">
        <v>8289</v>
      </c>
      <c r="P2216"/>
    </row>
    <row r="2217" spans="1:16" ht="58" hidden="1" x14ac:dyDescent="0.35">
      <c r="A2217" s="3" t="s">
        <v>1184</v>
      </c>
      <c r="B2217" s="3" t="s">
        <v>344</v>
      </c>
      <c r="C2217" s="3"/>
      <c r="D2217" s="3"/>
      <c r="E2217" s="3"/>
      <c r="F2217" s="3" t="s">
        <v>8240</v>
      </c>
      <c r="G2217" s="5" t="s">
        <v>7596</v>
      </c>
      <c r="H2217" s="3" t="s">
        <v>8290</v>
      </c>
      <c r="I2217" t="s">
        <v>8116</v>
      </c>
      <c r="J2217" s="3" t="s">
        <v>8291</v>
      </c>
      <c r="K2217" s="3" t="s">
        <v>229</v>
      </c>
      <c r="L2217" s="3" t="s">
        <v>8292</v>
      </c>
      <c r="M2217" s="3" t="s">
        <v>8293</v>
      </c>
      <c r="N2217" s="3"/>
      <c r="O2217" s="3" t="s">
        <v>8294</v>
      </c>
      <c r="P2217"/>
    </row>
    <row r="2218" spans="1:16" ht="87" hidden="1" x14ac:dyDescent="0.35">
      <c r="A2218" s="3" t="s">
        <v>1184</v>
      </c>
      <c r="B2218" s="3" t="s">
        <v>344</v>
      </c>
      <c r="C2218" s="3"/>
      <c r="D2218" s="3"/>
      <c r="E2218" s="3"/>
      <c r="F2218" s="3" t="s">
        <v>8240</v>
      </c>
      <c r="G2218" s="5" t="s">
        <v>7596</v>
      </c>
      <c r="H2218" s="3" t="s">
        <v>8295</v>
      </c>
      <c r="I2218" t="s">
        <v>8122</v>
      </c>
      <c r="J2218" s="3" t="s">
        <v>8296</v>
      </c>
      <c r="K2218" s="3" t="s">
        <v>241</v>
      </c>
      <c r="L2218" s="3" t="s">
        <v>8297</v>
      </c>
      <c r="M2218" s="3" t="s">
        <v>8298</v>
      </c>
      <c r="N2218" s="3"/>
      <c r="O2218" s="3" t="s">
        <v>8299</v>
      </c>
      <c r="P2218"/>
    </row>
    <row r="2219" spans="1:16" ht="87" hidden="1" x14ac:dyDescent="0.35">
      <c r="A2219" s="3" t="s">
        <v>1184</v>
      </c>
      <c r="B2219" s="3" t="s">
        <v>344</v>
      </c>
      <c r="C2219" s="3"/>
      <c r="D2219" s="3"/>
      <c r="E2219" s="3"/>
      <c r="F2219" s="3" t="s">
        <v>8240</v>
      </c>
      <c r="G2219" s="5" t="s">
        <v>7596</v>
      </c>
      <c r="H2219" s="3" t="s">
        <v>8300</v>
      </c>
      <c r="I2219" t="s">
        <v>8128</v>
      </c>
      <c r="J2219" s="3" t="s">
        <v>8301</v>
      </c>
      <c r="K2219" s="3" t="s">
        <v>241</v>
      </c>
      <c r="L2219" s="3" t="s">
        <v>8302</v>
      </c>
      <c r="M2219" s="3" t="s">
        <v>8303</v>
      </c>
      <c r="N2219" s="3"/>
      <c r="O2219" s="3" t="s">
        <v>8304</v>
      </c>
      <c r="P2219"/>
    </row>
    <row r="2220" spans="1:16" ht="87" hidden="1" x14ac:dyDescent="0.35">
      <c r="A2220" s="3" t="s">
        <v>1184</v>
      </c>
      <c r="B2220" s="3" t="s">
        <v>344</v>
      </c>
      <c r="C2220" s="3"/>
      <c r="D2220" s="3"/>
      <c r="E2220" s="3"/>
      <c r="F2220" s="3" t="s">
        <v>8240</v>
      </c>
      <c r="G2220" s="5" t="s">
        <v>7596</v>
      </c>
      <c r="H2220" s="3" t="s">
        <v>8305</v>
      </c>
      <c r="I2220" t="s">
        <v>8134</v>
      </c>
      <c r="J2220" s="3" t="s">
        <v>8306</v>
      </c>
      <c r="K2220" s="3" t="s">
        <v>241</v>
      </c>
      <c r="L2220" s="3" t="s">
        <v>8307</v>
      </c>
      <c r="M2220" s="3" t="s">
        <v>8308</v>
      </c>
      <c r="N2220" s="3"/>
      <c r="O2220" s="3" t="s">
        <v>8309</v>
      </c>
      <c r="P2220"/>
    </row>
    <row r="2221" spans="1:16" ht="58" hidden="1" x14ac:dyDescent="0.35">
      <c r="A2221" s="3" t="s">
        <v>1184</v>
      </c>
      <c r="B2221" s="3" t="s">
        <v>344</v>
      </c>
      <c r="C2221" s="3"/>
      <c r="D2221" s="3"/>
      <c r="E2221" s="3"/>
      <c r="F2221" s="3" t="s">
        <v>8240</v>
      </c>
      <c r="G2221" s="5" t="s">
        <v>7596</v>
      </c>
      <c r="H2221" s="3" t="s">
        <v>8310</v>
      </c>
      <c r="I2221" t="s">
        <v>8140</v>
      </c>
      <c r="J2221" s="3" t="s">
        <v>8311</v>
      </c>
      <c r="K2221" s="3" t="s">
        <v>229</v>
      </c>
      <c r="L2221" s="3" t="s">
        <v>8312</v>
      </c>
      <c r="M2221" s="3" t="s">
        <v>8313</v>
      </c>
      <c r="N2221" s="3"/>
      <c r="O2221" s="3" t="s">
        <v>8314</v>
      </c>
      <c r="P2221"/>
    </row>
    <row r="2222" spans="1:16" ht="58" hidden="1" x14ac:dyDescent="0.35">
      <c r="A2222" s="3" t="s">
        <v>1184</v>
      </c>
      <c r="B2222" s="3" t="s">
        <v>344</v>
      </c>
      <c r="C2222" s="3"/>
      <c r="D2222" s="3"/>
      <c r="E2222" s="3"/>
      <c r="F2222" s="3" t="s">
        <v>8240</v>
      </c>
      <c r="G2222" s="5" t="s">
        <v>7596</v>
      </c>
      <c r="H2222" s="3" t="s">
        <v>8315</v>
      </c>
      <c r="I2222" t="s">
        <v>8146</v>
      </c>
      <c r="J2222" s="3" t="s">
        <v>8316</v>
      </c>
      <c r="K2222" s="3" t="s">
        <v>229</v>
      </c>
      <c r="L2222" s="3" t="s">
        <v>8317</v>
      </c>
      <c r="M2222" s="3" t="s">
        <v>8318</v>
      </c>
      <c r="N2222" s="3"/>
      <c r="O2222" s="3" t="s">
        <v>8319</v>
      </c>
      <c r="P2222"/>
    </row>
    <row r="2223" spans="1:16" ht="58" hidden="1" x14ac:dyDescent="0.35">
      <c r="A2223" s="3" t="s">
        <v>1184</v>
      </c>
      <c r="B2223" s="3" t="s">
        <v>344</v>
      </c>
      <c r="C2223" s="3"/>
      <c r="D2223" s="3"/>
      <c r="E2223" s="3"/>
      <c r="F2223" s="3" t="s">
        <v>8240</v>
      </c>
      <c r="G2223" s="5" t="s">
        <v>7596</v>
      </c>
      <c r="H2223" s="3" t="s">
        <v>8320</v>
      </c>
      <c r="I2223" t="s">
        <v>8080</v>
      </c>
      <c r="J2223" s="3" t="s">
        <v>8321</v>
      </c>
      <c r="K2223" s="3" t="s">
        <v>229</v>
      </c>
      <c r="L2223" s="3" t="s">
        <v>8322</v>
      </c>
      <c r="M2223" s="3" t="s">
        <v>8323</v>
      </c>
      <c r="N2223" s="3"/>
      <c r="O2223" s="3" t="s">
        <v>8324</v>
      </c>
      <c r="P2223"/>
    </row>
    <row r="2224" spans="1:16" ht="87" hidden="1" x14ac:dyDescent="0.35">
      <c r="A2224" s="3" t="s">
        <v>1184</v>
      </c>
      <c r="B2224" s="3" t="s">
        <v>344</v>
      </c>
      <c r="C2224" s="3"/>
      <c r="D2224" s="3"/>
      <c r="E2224" s="3"/>
      <c r="F2224" s="3" t="s">
        <v>8240</v>
      </c>
      <c r="G2224" s="5" t="s">
        <v>7596</v>
      </c>
      <c r="H2224" s="3" t="s">
        <v>8325</v>
      </c>
      <c r="I2224" t="s">
        <v>8086</v>
      </c>
      <c r="J2224" s="3" t="s">
        <v>8326</v>
      </c>
      <c r="K2224" s="3" t="s">
        <v>241</v>
      </c>
      <c r="L2224" s="3" t="s">
        <v>8327</v>
      </c>
      <c r="M2224" s="3" t="s">
        <v>8328</v>
      </c>
      <c r="N2224" s="3"/>
      <c r="O2224" s="3" t="s">
        <v>8329</v>
      </c>
      <c r="P2224"/>
    </row>
    <row r="2225" spans="1:16" ht="159.5" hidden="1" x14ac:dyDescent="0.35">
      <c r="A2225" s="3" t="s">
        <v>1184</v>
      </c>
      <c r="B2225" s="3" t="s">
        <v>344</v>
      </c>
      <c r="C2225" s="3"/>
      <c r="D2225" s="3"/>
      <c r="E2225" s="3"/>
      <c r="F2225" s="3" t="s">
        <v>8240</v>
      </c>
      <c r="G2225" s="5" t="s">
        <v>7596</v>
      </c>
      <c r="H2225" s="3" t="s">
        <v>8330</v>
      </c>
      <c r="I2225" t="s">
        <v>8092</v>
      </c>
      <c r="J2225" s="3" t="s">
        <v>8331</v>
      </c>
      <c r="K2225" s="3" t="s">
        <v>1027</v>
      </c>
      <c r="L2225" s="3" t="s">
        <v>8312</v>
      </c>
      <c r="M2225" s="3" t="s">
        <v>8332</v>
      </c>
      <c r="N2225" s="3"/>
      <c r="O2225" s="3" t="s">
        <v>8333</v>
      </c>
      <c r="P2225"/>
    </row>
    <row r="2226" spans="1:16" ht="58" hidden="1" x14ac:dyDescent="0.35">
      <c r="A2226" s="3" t="s">
        <v>1184</v>
      </c>
      <c r="B2226" s="3" t="s">
        <v>344</v>
      </c>
      <c r="C2226" s="3"/>
      <c r="D2226" s="3"/>
      <c r="E2226" s="3"/>
      <c r="F2226" s="3" t="s">
        <v>8240</v>
      </c>
      <c r="G2226" s="5" t="s">
        <v>7596</v>
      </c>
      <c r="H2226" s="3" t="s">
        <v>8334</v>
      </c>
      <c r="I2226" t="s">
        <v>8098</v>
      </c>
      <c r="J2226" s="3" t="s">
        <v>8335</v>
      </c>
      <c r="K2226" s="3" t="s">
        <v>229</v>
      </c>
      <c r="L2226" s="3" t="s">
        <v>8317</v>
      </c>
      <c r="M2226" s="3" t="s">
        <v>8336</v>
      </c>
      <c r="N2226" s="3"/>
      <c r="O2226" s="3" t="s">
        <v>8337</v>
      </c>
      <c r="P2226"/>
    </row>
    <row r="2227" spans="1:16" ht="58" hidden="1" x14ac:dyDescent="0.35">
      <c r="A2227" s="3" t="s">
        <v>1184</v>
      </c>
      <c r="B2227" s="3" t="s">
        <v>344</v>
      </c>
      <c r="C2227" s="3"/>
      <c r="D2227" s="3"/>
      <c r="E2227" s="3"/>
      <c r="F2227" s="3" t="s">
        <v>8240</v>
      </c>
      <c r="G2227" s="5" t="s">
        <v>7596</v>
      </c>
      <c r="H2227" s="3" t="s">
        <v>8338</v>
      </c>
      <c r="I2227" t="s">
        <v>8104</v>
      </c>
      <c r="J2227" s="3" t="s">
        <v>8339</v>
      </c>
      <c r="K2227" s="3" t="s">
        <v>229</v>
      </c>
      <c r="L2227" s="3" t="s">
        <v>3837</v>
      </c>
      <c r="M2227" s="3" t="s">
        <v>8340</v>
      </c>
      <c r="N2227" s="3"/>
      <c r="O2227" s="3" t="s">
        <v>8341</v>
      </c>
      <c r="P2227"/>
    </row>
    <row r="2228" spans="1:16" ht="87" hidden="1" x14ac:dyDescent="0.35">
      <c r="A2228" s="3" t="s">
        <v>1184</v>
      </c>
      <c r="B2228" s="3" t="s">
        <v>344</v>
      </c>
      <c r="C2228" s="3"/>
      <c r="D2228" s="3"/>
      <c r="E2228" s="3"/>
      <c r="F2228" s="3" t="s">
        <v>8240</v>
      </c>
      <c r="G2228" s="5" t="s">
        <v>7596</v>
      </c>
      <c r="H2228" s="3" t="s">
        <v>8342</v>
      </c>
      <c r="I2228" t="s">
        <v>8110</v>
      </c>
      <c r="J2228" s="3" t="s">
        <v>8343</v>
      </c>
      <c r="K2228" s="3" t="s">
        <v>241</v>
      </c>
      <c r="L2228" s="3" t="s">
        <v>8344</v>
      </c>
      <c r="M2228" s="3" t="s">
        <v>8345</v>
      </c>
      <c r="N2228" s="3"/>
      <c r="O2228" s="3" t="s">
        <v>8346</v>
      </c>
      <c r="P2228"/>
    </row>
    <row r="2229" spans="1:16" ht="159.5" hidden="1" x14ac:dyDescent="0.35">
      <c r="A2229" s="3" t="s">
        <v>1184</v>
      </c>
      <c r="B2229" s="3" t="s">
        <v>344</v>
      </c>
      <c r="C2229" s="3"/>
      <c r="D2229" s="3"/>
      <c r="E2229" s="3"/>
      <c r="F2229" s="3" t="s">
        <v>8240</v>
      </c>
      <c r="G2229" s="5" t="s">
        <v>7596</v>
      </c>
      <c r="H2229" s="3" t="s">
        <v>8347</v>
      </c>
      <c r="I2229" t="s">
        <v>8116</v>
      </c>
      <c r="J2229" s="3" t="s">
        <v>8348</v>
      </c>
      <c r="K2229" s="3" t="s">
        <v>1027</v>
      </c>
      <c r="L2229" s="3" t="s">
        <v>8312</v>
      </c>
      <c r="M2229" s="3" t="s">
        <v>8349</v>
      </c>
      <c r="N2229" s="3"/>
      <c r="O2229" s="3" t="s">
        <v>8350</v>
      </c>
      <c r="P2229"/>
    </row>
    <row r="2230" spans="1:16" ht="58" hidden="1" x14ac:dyDescent="0.35">
      <c r="A2230" s="3" t="s">
        <v>1184</v>
      </c>
      <c r="B2230" s="3" t="s">
        <v>344</v>
      </c>
      <c r="C2230" s="3"/>
      <c r="D2230" s="3"/>
      <c r="E2230" s="3"/>
      <c r="F2230" s="3" t="s">
        <v>8240</v>
      </c>
      <c r="G2230" s="5" t="s">
        <v>7596</v>
      </c>
      <c r="H2230" s="3" t="s">
        <v>8351</v>
      </c>
      <c r="I2230" t="s">
        <v>8122</v>
      </c>
      <c r="J2230" s="3" t="s">
        <v>8352</v>
      </c>
      <c r="K2230" s="3" t="s">
        <v>229</v>
      </c>
      <c r="L2230" s="3" t="s">
        <v>8353</v>
      </c>
      <c r="M2230" s="3" t="s">
        <v>8354</v>
      </c>
      <c r="N2230" s="3"/>
      <c r="O2230" s="3" t="s">
        <v>8355</v>
      </c>
      <c r="P2230"/>
    </row>
    <row r="2231" spans="1:16" ht="58" hidden="1" x14ac:dyDescent="0.35">
      <c r="A2231" s="3" t="s">
        <v>1184</v>
      </c>
      <c r="B2231" s="3" t="s">
        <v>344</v>
      </c>
      <c r="C2231" s="3"/>
      <c r="D2231" s="3"/>
      <c r="E2231" s="3"/>
      <c r="F2231" s="3" t="s">
        <v>8240</v>
      </c>
      <c r="G2231" s="5" t="s">
        <v>7596</v>
      </c>
      <c r="H2231" s="3" t="s">
        <v>8356</v>
      </c>
      <c r="I2231" t="s">
        <v>8128</v>
      </c>
      <c r="J2231" s="3" t="s">
        <v>8357</v>
      </c>
      <c r="K2231" s="3" t="s">
        <v>229</v>
      </c>
      <c r="L2231" s="3" t="s">
        <v>8358</v>
      </c>
      <c r="M2231" s="3" t="s">
        <v>8359</v>
      </c>
      <c r="N2231" s="3"/>
      <c r="O2231" s="3" t="s">
        <v>8360</v>
      </c>
      <c r="P2231"/>
    </row>
    <row r="2232" spans="1:16" ht="159.5" hidden="1" x14ac:dyDescent="0.35">
      <c r="A2232" s="3" t="s">
        <v>1184</v>
      </c>
      <c r="B2232" s="3" t="s">
        <v>344</v>
      </c>
      <c r="C2232" s="3"/>
      <c r="D2232" s="3"/>
      <c r="E2232" s="3"/>
      <c r="F2232" s="3" t="s">
        <v>8240</v>
      </c>
      <c r="G2232" s="5" t="s">
        <v>7596</v>
      </c>
      <c r="H2232" s="3" t="s">
        <v>8361</v>
      </c>
      <c r="I2232" t="s">
        <v>8134</v>
      </c>
      <c r="J2232" s="3" t="s">
        <v>8362</v>
      </c>
      <c r="K2232" s="3" t="s">
        <v>1027</v>
      </c>
      <c r="L2232" s="3" t="s">
        <v>8363</v>
      </c>
      <c r="M2232" s="3" t="s">
        <v>8364</v>
      </c>
      <c r="N2232" s="3"/>
      <c r="O2232" s="3" t="s">
        <v>8365</v>
      </c>
      <c r="P2232"/>
    </row>
    <row r="2233" spans="1:16" ht="58" hidden="1" x14ac:dyDescent="0.35">
      <c r="A2233" s="3" t="s">
        <v>1184</v>
      </c>
      <c r="B2233" s="3" t="s">
        <v>344</v>
      </c>
      <c r="C2233" s="3"/>
      <c r="D2233" s="3"/>
      <c r="E2233" s="3"/>
      <c r="F2233" s="3" t="s">
        <v>8240</v>
      </c>
      <c r="G2233" s="5" t="s">
        <v>7596</v>
      </c>
      <c r="H2233" s="3" t="s">
        <v>8366</v>
      </c>
      <c r="I2233" t="s">
        <v>8140</v>
      </c>
      <c r="J2233" s="3" t="s">
        <v>8367</v>
      </c>
      <c r="K2233" s="3" t="s">
        <v>229</v>
      </c>
      <c r="L2233" s="3" t="s">
        <v>8368</v>
      </c>
      <c r="M2233" s="3" t="s">
        <v>8369</v>
      </c>
      <c r="N2233" s="3"/>
      <c r="O2233" s="3" t="s">
        <v>8370</v>
      </c>
      <c r="P2233"/>
    </row>
    <row r="2234" spans="1:16" ht="58" hidden="1" x14ac:dyDescent="0.35">
      <c r="A2234" s="3" t="s">
        <v>1184</v>
      </c>
      <c r="B2234" s="3" t="s">
        <v>344</v>
      </c>
      <c r="C2234" s="3"/>
      <c r="D2234" s="3"/>
      <c r="E2234" s="3"/>
      <c r="F2234" s="3" t="s">
        <v>8240</v>
      </c>
      <c r="G2234" s="5" t="s">
        <v>7596</v>
      </c>
      <c r="H2234" s="3" t="s">
        <v>8371</v>
      </c>
      <c r="I2234" t="s">
        <v>8146</v>
      </c>
      <c r="J2234" s="3" t="s">
        <v>8372</v>
      </c>
      <c r="K2234" s="3" t="s">
        <v>229</v>
      </c>
      <c r="L2234" s="3" t="s">
        <v>8373</v>
      </c>
      <c r="M2234" s="3" t="s">
        <v>8374</v>
      </c>
      <c r="N2234" s="3"/>
      <c r="O2234" s="3" t="s">
        <v>8375</v>
      </c>
      <c r="P2234"/>
    </row>
    <row r="2235" spans="1:16" ht="188.5" hidden="1" x14ac:dyDescent="0.35">
      <c r="A2235" s="3" t="s">
        <v>1184</v>
      </c>
      <c r="B2235" s="3" t="s">
        <v>344</v>
      </c>
      <c r="C2235" s="3"/>
      <c r="D2235" s="3"/>
      <c r="E2235" s="3"/>
      <c r="F2235" s="3" t="s">
        <v>8240</v>
      </c>
      <c r="G2235" s="5" t="s">
        <v>7596</v>
      </c>
      <c r="H2235" s="3" t="s">
        <v>8376</v>
      </c>
      <c r="I2235" t="s">
        <v>8080</v>
      </c>
      <c r="J2235" s="3" t="s">
        <v>8377</v>
      </c>
      <c r="K2235" s="3" t="s">
        <v>8378</v>
      </c>
      <c r="L2235" s="3" t="s">
        <v>8317</v>
      </c>
      <c r="M2235" s="3" t="s">
        <v>8379</v>
      </c>
      <c r="N2235" s="3"/>
      <c r="O2235" s="3" t="s">
        <v>8380</v>
      </c>
      <c r="P2235"/>
    </row>
    <row r="2236" spans="1:16" ht="87" hidden="1" x14ac:dyDescent="0.35">
      <c r="A2236" s="3" t="s">
        <v>1184</v>
      </c>
      <c r="B2236" s="3" t="s">
        <v>344</v>
      </c>
      <c r="C2236" s="3"/>
      <c r="D2236" s="3"/>
      <c r="E2236" s="3"/>
      <c r="F2236" s="3" t="s">
        <v>8240</v>
      </c>
      <c r="G2236" s="5" t="s">
        <v>7596</v>
      </c>
      <c r="H2236" s="3" t="s">
        <v>8381</v>
      </c>
      <c r="I2236" t="s">
        <v>8086</v>
      </c>
      <c r="J2236" s="3" t="s">
        <v>8382</v>
      </c>
      <c r="K2236" s="3" t="s">
        <v>1187</v>
      </c>
      <c r="L2236" s="3" t="s">
        <v>8383</v>
      </c>
      <c r="M2236" s="3" t="s">
        <v>8384</v>
      </c>
      <c r="N2236" s="3"/>
      <c r="O2236" s="3" t="s">
        <v>8385</v>
      </c>
      <c r="P2236"/>
    </row>
    <row r="2237" spans="1:16" ht="188.5" hidden="1" x14ac:dyDescent="0.35">
      <c r="A2237" s="3" t="s">
        <v>1184</v>
      </c>
      <c r="B2237" s="3" t="s">
        <v>344</v>
      </c>
      <c r="C2237" s="3"/>
      <c r="D2237" s="3"/>
      <c r="E2237" s="3"/>
      <c r="F2237" s="3" t="s">
        <v>8240</v>
      </c>
      <c r="G2237" s="5" t="s">
        <v>7596</v>
      </c>
      <c r="H2237" s="3" t="s">
        <v>8386</v>
      </c>
      <c r="I2237" t="s">
        <v>8092</v>
      </c>
      <c r="J2237" s="3" t="s">
        <v>8387</v>
      </c>
      <c r="K2237" s="3" t="s">
        <v>8378</v>
      </c>
      <c r="L2237" s="3" t="s">
        <v>8388</v>
      </c>
      <c r="M2237" s="3" t="s">
        <v>8389</v>
      </c>
      <c r="N2237" s="3"/>
      <c r="O2237" s="3" t="s">
        <v>8390</v>
      </c>
      <c r="P2237"/>
    </row>
    <row r="2238" spans="1:16" ht="58" hidden="1" x14ac:dyDescent="0.35">
      <c r="A2238" s="3" t="s">
        <v>1184</v>
      </c>
      <c r="B2238" s="3" t="s">
        <v>344</v>
      </c>
      <c r="C2238" s="3"/>
      <c r="D2238" s="3"/>
      <c r="E2238" s="3"/>
      <c r="F2238" s="3" t="s">
        <v>8240</v>
      </c>
      <c r="G2238" s="5" t="s">
        <v>7596</v>
      </c>
      <c r="H2238" s="3" t="s">
        <v>8391</v>
      </c>
      <c r="I2238" t="s">
        <v>8098</v>
      </c>
      <c r="J2238" s="3" t="s">
        <v>8392</v>
      </c>
      <c r="K2238" s="3" t="s">
        <v>229</v>
      </c>
      <c r="L2238" s="3" t="s">
        <v>8393</v>
      </c>
      <c r="M2238" s="3" t="s">
        <v>8394</v>
      </c>
      <c r="N2238" s="3"/>
      <c r="O2238" s="3" t="s">
        <v>8395</v>
      </c>
      <c r="P2238"/>
    </row>
    <row r="2239" spans="1:16" ht="87" hidden="1" x14ac:dyDescent="0.35">
      <c r="A2239" s="3" t="s">
        <v>1184</v>
      </c>
      <c r="B2239" s="3" t="s">
        <v>344</v>
      </c>
      <c r="C2239" s="3"/>
      <c r="D2239" s="3"/>
      <c r="E2239" s="3"/>
      <c r="F2239" s="3" t="s">
        <v>8240</v>
      </c>
      <c r="G2239" s="5" t="s">
        <v>7596</v>
      </c>
      <c r="H2239" s="3" t="s">
        <v>8396</v>
      </c>
      <c r="I2239" t="s">
        <v>8104</v>
      </c>
      <c r="J2239" s="3" t="s">
        <v>8397</v>
      </c>
      <c r="K2239" s="3" t="s">
        <v>241</v>
      </c>
      <c r="L2239" s="3" t="s">
        <v>8398</v>
      </c>
      <c r="M2239" s="3" t="s">
        <v>8399</v>
      </c>
      <c r="N2239" s="3"/>
      <c r="O2239" s="3" t="s">
        <v>8400</v>
      </c>
      <c r="P2239"/>
    </row>
    <row r="2240" spans="1:16" ht="145" hidden="1" x14ac:dyDescent="0.35">
      <c r="A2240" s="3" t="s">
        <v>1184</v>
      </c>
      <c r="B2240" s="3" t="s">
        <v>344</v>
      </c>
      <c r="C2240" s="3"/>
      <c r="D2240" s="3"/>
      <c r="E2240" s="3"/>
      <c r="F2240" s="3" t="s">
        <v>8240</v>
      </c>
      <c r="G2240" s="5" t="s">
        <v>7596</v>
      </c>
      <c r="H2240" s="3" t="s">
        <v>8401</v>
      </c>
      <c r="I2240" t="s">
        <v>8110</v>
      </c>
      <c r="J2240" s="3" t="s">
        <v>8402</v>
      </c>
      <c r="K2240" s="3" t="s">
        <v>1198</v>
      </c>
      <c r="L2240" s="3" t="s">
        <v>8403</v>
      </c>
      <c r="M2240" s="3" t="s">
        <v>8404</v>
      </c>
      <c r="N2240" s="3"/>
      <c r="O2240" s="3" t="s">
        <v>8405</v>
      </c>
      <c r="P2240"/>
    </row>
    <row r="2241" spans="1:16" ht="87" hidden="1" x14ac:dyDescent="0.35">
      <c r="A2241" s="3" t="s">
        <v>1184</v>
      </c>
      <c r="B2241" s="3" t="s">
        <v>344</v>
      </c>
      <c r="C2241" s="3"/>
      <c r="D2241" s="3"/>
      <c r="E2241" s="3"/>
      <c r="F2241" s="3" t="s">
        <v>8240</v>
      </c>
      <c r="G2241" s="5" t="s">
        <v>7596</v>
      </c>
      <c r="H2241" s="3" t="s">
        <v>8406</v>
      </c>
      <c r="I2241" t="s">
        <v>8116</v>
      </c>
      <c r="J2241" s="3" t="s">
        <v>8407</v>
      </c>
      <c r="K2241" s="3" t="s">
        <v>1187</v>
      </c>
      <c r="L2241" s="3" t="s">
        <v>8408</v>
      </c>
      <c r="M2241" s="3" t="s">
        <v>8409</v>
      </c>
      <c r="N2241" s="3"/>
      <c r="O2241" s="3" t="s">
        <v>8410</v>
      </c>
      <c r="P2241"/>
    </row>
    <row r="2242" spans="1:16" ht="58" hidden="1" x14ac:dyDescent="0.35">
      <c r="A2242" s="3" t="s">
        <v>1184</v>
      </c>
      <c r="B2242" s="3" t="s">
        <v>344</v>
      </c>
      <c r="C2242" s="3"/>
      <c r="D2242" s="3"/>
      <c r="E2242" s="3"/>
      <c r="F2242" s="3" t="s">
        <v>8240</v>
      </c>
      <c r="G2242" s="5" t="s">
        <v>7596</v>
      </c>
      <c r="H2242" s="3" t="s">
        <v>8411</v>
      </c>
      <c r="I2242" t="s">
        <v>8122</v>
      </c>
      <c r="J2242" s="3" t="s">
        <v>8412</v>
      </c>
      <c r="K2242" s="3" t="s">
        <v>229</v>
      </c>
      <c r="L2242" s="3" t="s">
        <v>8413</v>
      </c>
      <c r="M2242" s="3" t="s">
        <v>8414</v>
      </c>
      <c r="N2242" s="3"/>
      <c r="O2242" s="3" t="s">
        <v>8415</v>
      </c>
      <c r="P2242"/>
    </row>
    <row r="2243" spans="1:16" ht="145" hidden="1" x14ac:dyDescent="0.35">
      <c r="A2243" s="3" t="s">
        <v>1184</v>
      </c>
      <c r="B2243" s="3" t="s">
        <v>344</v>
      </c>
      <c r="C2243" s="3"/>
      <c r="D2243" s="3"/>
      <c r="E2243" s="3"/>
      <c r="F2243" s="3" t="s">
        <v>8240</v>
      </c>
      <c r="G2243" s="5" t="s">
        <v>7596</v>
      </c>
      <c r="H2243" s="3" t="s">
        <v>8416</v>
      </c>
      <c r="I2243" t="s">
        <v>8128</v>
      </c>
      <c r="J2243" s="3" t="s">
        <v>8417</v>
      </c>
      <c r="K2243" s="3" t="s">
        <v>1198</v>
      </c>
      <c r="L2243" s="3" t="s">
        <v>8418</v>
      </c>
      <c r="M2243" s="3" t="s">
        <v>8419</v>
      </c>
      <c r="N2243" s="3"/>
      <c r="O2243" s="3" t="s">
        <v>8420</v>
      </c>
      <c r="P2243"/>
    </row>
    <row r="2244" spans="1:16" ht="87" hidden="1" x14ac:dyDescent="0.35">
      <c r="A2244" s="3" t="s">
        <v>1184</v>
      </c>
      <c r="B2244" s="3" t="s">
        <v>344</v>
      </c>
      <c r="C2244" s="3"/>
      <c r="D2244" s="3"/>
      <c r="E2244" s="3"/>
      <c r="F2244" s="3" t="s">
        <v>8240</v>
      </c>
      <c r="G2244" s="5" t="s">
        <v>7596</v>
      </c>
      <c r="H2244" s="3" t="s">
        <v>8421</v>
      </c>
      <c r="I2244" t="s">
        <v>8134</v>
      </c>
      <c r="J2244" s="3" t="s">
        <v>8422</v>
      </c>
      <c r="K2244" s="3" t="s">
        <v>1187</v>
      </c>
      <c r="L2244" s="3" t="s">
        <v>8408</v>
      </c>
      <c r="M2244" s="3" t="s">
        <v>8423</v>
      </c>
      <c r="N2244" s="3"/>
      <c r="O2244" s="3" t="s">
        <v>8424</v>
      </c>
      <c r="P2244"/>
    </row>
    <row r="2245" spans="1:16" ht="58" hidden="1" x14ac:dyDescent="0.35">
      <c r="A2245" s="3" t="s">
        <v>1184</v>
      </c>
      <c r="B2245" s="3" t="s">
        <v>344</v>
      </c>
      <c r="C2245" s="3"/>
      <c r="D2245" s="3"/>
      <c r="E2245" s="3"/>
      <c r="F2245" s="3" t="s">
        <v>8240</v>
      </c>
      <c r="G2245" s="5" t="s">
        <v>7596</v>
      </c>
      <c r="H2245" s="3" t="s">
        <v>8425</v>
      </c>
      <c r="I2245" t="s">
        <v>8140</v>
      </c>
      <c r="J2245" s="3" t="s">
        <v>8426</v>
      </c>
      <c r="K2245" s="3" t="s">
        <v>229</v>
      </c>
      <c r="L2245" s="3" t="s">
        <v>302</v>
      </c>
      <c r="M2245" s="3" t="s">
        <v>8427</v>
      </c>
      <c r="N2245" s="3"/>
      <c r="O2245" s="3" t="s">
        <v>6973</v>
      </c>
      <c r="P2245"/>
    </row>
    <row r="2246" spans="1:16" ht="58" hidden="1" x14ac:dyDescent="0.35">
      <c r="A2246" s="3" t="s">
        <v>1184</v>
      </c>
      <c r="B2246" s="3" t="s">
        <v>344</v>
      </c>
      <c r="C2246" s="3"/>
      <c r="D2246" s="3"/>
      <c r="E2246" s="3"/>
      <c r="F2246" s="3" t="s">
        <v>8428</v>
      </c>
      <c r="G2246" s="5" t="s">
        <v>7795</v>
      </c>
      <c r="I2246" t="s">
        <v>8146</v>
      </c>
      <c r="J2246" s="3" t="s">
        <v>8429</v>
      </c>
      <c r="K2246" s="3" t="s">
        <v>229</v>
      </c>
      <c r="L2246" s="3" t="s">
        <v>8430</v>
      </c>
      <c r="M2246" s="3" t="s">
        <v>8431</v>
      </c>
      <c r="N2246" s="3"/>
      <c r="O2246" s="3" t="s">
        <v>8432</v>
      </c>
      <c r="P2246"/>
    </row>
    <row r="2247" spans="1:16" ht="58" hidden="1" x14ac:dyDescent="0.35">
      <c r="A2247" s="3" t="s">
        <v>1184</v>
      </c>
      <c r="B2247" s="3" t="s">
        <v>344</v>
      </c>
      <c r="C2247" s="3"/>
      <c r="D2247" s="3"/>
      <c r="E2247" s="3"/>
      <c r="F2247" s="3" t="s">
        <v>8428</v>
      </c>
      <c r="G2247" s="5" t="s">
        <v>7795</v>
      </c>
      <c r="H2247" s="3" t="s">
        <v>8433</v>
      </c>
      <c r="I2247" t="s">
        <v>8080</v>
      </c>
      <c r="J2247" s="3" t="s">
        <v>8246</v>
      </c>
      <c r="K2247" s="3" t="s">
        <v>229</v>
      </c>
      <c r="L2247" s="3" t="s">
        <v>8247</v>
      </c>
      <c r="M2247" s="3" t="s">
        <v>8434</v>
      </c>
      <c r="N2247" s="3"/>
      <c r="O2247" s="3" t="s">
        <v>8249</v>
      </c>
      <c r="P2247"/>
    </row>
    <row r="2248" spans="1:16" ht="58" hidden="1" x14ac:dyDescent="0.35">
      <c r="A2248" s="3" t="s">
        <v>1184</v>
      </c>
      <c r="B2248" s="3" t="s">
        <v>344</v>
      </c>
      <c r="C2248" s="3"/>
      <c r="D2248" s="3"/>
      <c r="E2248" s="3"/>
      <c r="F2248" s="3" t="s">
        <v>8428</v>
      </c>
      <c r="G2248" s="5" t="s">
        <v>7795</v>
      </c>
      <c r="H2248" s="3" t="s">
        <v>8435</v>
      </c>
      <c r="I2248" t="s">
        <v>8086</v>
      </c>
      <c r="J2248" s="3" t="s">
        <v>8056</v>
      </c>
      <c r="K2248" s="3" t="s">
        <v>229</v>
      </c>
      <c r="L2248" s="3" t="s">
        <v>1262</v>
      </c>
      <c r="M2248" s="3" t="s">
        <v>8057</v>
      </c>
      <c r="N2248" s="3"/>
      <c r="O2248" s="3" t="s">
        <v>7146</v>
      </c>
      <c r="P2248"/>
    </row>
    <row r="2249" spans="1:16" ht="58" hidden="1" x14ac:dyDescent="0.35">
      <c r="A2249" s="3" t="s">
        <v>1184</v>
      </c>
      <c r="B2249" s="3" t="s">
        <v>344</v>
      </c>
      <c r="C2249" s="3"/>
      <c r="D2249" s="3"/>
      <c r="E2249" s="3"/>
      <c r="F2249" s="3" t="s">
        <v>8428</v>
      </c>
      <c r="G2249" s="5" t="s">
        <v>7795</v>
      </c>
      <c r="H2249" s="3" t="s">
        <v>8436</v>
      </c>
      <c r="I2249" t="s">
        <v>8092</v>
      </c>
      <c r="J2249" s="3" t="s">
        <v>8061</v>
      </c>
      <c r="K2249" s="3" t="s">
        <v>229</v>
      </c>
      <c r="L2249" s="3" t="s">
        <v>8062</v>
      </c>
      <c r="M2249" s="3" t="s">
        <v>7151</v>
      </c>
      <c r="N2249" s="3"/>
      <c r="O2249" s="3" t="s">
        <v>7152</v>
      </c>
      <c r="P2249"/>
    </row>
    <row r="2250" spans="1:16" ht="58" hidden="1" x14ac:dyDescent="0.35">
      <c r="A2250" s="3" t="s">
        <v>1184</v>
      </c>
      <c r="B2250" s="3" t="s">
        <v>344</v>
      </c>
      <c r="C2250" s="3"/>
      <c r="D2250" s="3"/>
      <c r="E2250" s="3"/>
      <c r="F2250" s="3" t="s">
        <v>8428</v>
      </c>
      <c r="G2250" s="5" t="s">
        <v>7795</v>
      </c>
      <c r="H2250" s="3" t="s">
        <v>8437</v>
      </c>
      <c r="I2250" t="s">
        <v>8098</v>
      </c>
      <c r="J2250" s="3" t="s">
        <v>8438</v>
      </c>
      <c r="K2250" s="3" t="s">
        <v>229</v>
      </c>
      <c r="L2250" s="3" t="s">
        <v>8254</v>
      </c>
      <c r="M2250" s="3" t="s">
        <v>8439</v>
      </c>
      <c r="N2250" s="3"/>
      <c r="O2250" s="3" t="s">
        <v>8256</v>
      </c>
      <c r="P2250"/>
    </row>
    <row r="2251" spans="1:16" ht="58" hidden="1" x14ac:dyDescent="0.35">
      <c r="A2251" s="3" t="s">
        <v>1184</v>
      </c>
      <c r="B2251" s="3" t="s">
        <v>344</v>
      </c>
      <c r="C2251" s="3"/>
      <c r="D2251" s="3"/>
      <c r="E2251" s="3"/>
      <c r="F2251" s="3" t="s">
        <v>8428</v>
      </c>
      <c r="G2251" s="5" t="s">
        <v>7795</v>
      </c>
      <c r="H2251" s="3" t="s">
        <v>8440</v>
      </c>
      <c r="I2251" t="s">
        <v>8104</v>
      </c>
      <c r="J2251" s="3" t="s">
        <v>8441</v>
      </c>
      <c r="K2251" s="3" t="s">
        <v>229</v>
      </c>
      <c r="L2251" s="3" t="s">
        <v>2389</v>
      </c>
      <c r="M2251" s="3" t="s">
        <v>8442</v>
      </c>
      <c r="N2251" s="3"/>
      <c r="O2251" s="3" t="s">
        <v>2389</v>
      </c>
      <c r="P2251"/>
    </row>
    <row r="2252" spans="1:16" ht="58" hidden="1" x14ac:dyDescent="0.35">
      <c r="A2252" s="3" t="s">
        <v>1184</v>
      </c>
      <c r="B2252" s="3" t="s">
        <v>344</v>
      </c>
      <c r="C2252" s="3"/>
      <c r="D2252" s="3"/>
      <c r="E2252" s="3"/>
      <c r="F2252" s="3" t="s">
        <v>8428</v>
      </c>
      <c r="G2252" s="5" t="s">
        <v>7795</v>
      </c>
      <c r="H2252" s="3" t="s">
        <v>8443</v>
      </c>
      <c r="I2252" t="s">
        <v>8110</v>
      </c>
      <c r="J2252" s="3" t="s">
        <v>8261</v>
      </c>
      <c r="K2252" s="3" t="s">
        <v>229</v>
      </c>
      <c r="L2252" s="3" t="s">
        <v>8262</v>
      </c>
      <c r="M2252" s="3" t="s">
        <v>8263</v>
      </c>
      <c r="N2252" s="3"/>
      <c r="O2252" s="3" t="s">
        <v>8262</v>
      </c>
      <c r="P2252"/>
    </row>
    <row r="2253" spans="1:16" ht="58" hidden="1" x14ac:dyDescent="0.35">
      <c r="A2253" s="3" t="s">
        <v>1184</v>
      </c>
      <c r="B2253" s="3" t="s">
        <v>344</v>
      </c>
      <c r="C2253" s="3"/>
      <c r="D2253" s="3"/>
      <c r="E2253" s="3"/>
      <c r="F2253" s="3" t="s">
        <v>8428</v>
      </c>
      <c r="G2253" s="5" t="s">
        <v>7795</v>
      </c>
      <c r="H2253" s="3" t="s">
        <v>8444</v>
      </c>
      <c r="I2253" t="s">
        <v>8116</v>
      </c>
      <c r="J2253" s="3" t="s">
        <v>8445</v>
      </c>
      <c r="K2253" s="3" t="s">
        <v>229</v>
      </c>
      <c r="L2253" s="3" t="s">
        <v>8446</v>
      </c>
      <c r="M2253" s="3" t="s">
        <v>8447</v>
      </c>
      <c r="N2253" s="3"/>
      <c r="O2253" s="3" t="s">
        <v>8448</v>
      </c>
      <c r="P2253"/>
    </row>
    <row r="2254" spans="1:16" ht="58" hidden="1" x14ac:dyDescent="0.35">
      <c r="A2254" s="3" t="s">
        <v>1184</v>
      </c>
      <c r="B2254" s="3" t="s">
        <v>344</v>
      </c>
      <c r="C2254" s="3"/>
      <c r="D2254" s="3"/>
      <c r="E2254" s="3"/>
      <c r="F2254" s="3" t="s">
        <v>8428</v>
      </c>
      <c r="G2254" s="5" t="s">
        <v>7795</v>
      </c>
      <c r="H2254" s="3" t="s">
        <v>8449</v>
      </c>
      <c r="I2254" t="s">
        <v>8122</v>
      </c>
      <c r="J2254" s="3" t="s">
        <v>8450</v>
      </c>
      <c r="K2254" s="3" t="s">
        <v>229</v>
      </c>
      <c r="L2254" s="3" t="s">
        <v>8451</v>
      </c>
      <c r="M2254" s="3" t="s">
        <v>8452</v>
      </c>
      <c r="N2254" s="3"/>
      <c r="O2254" s="3" t="s">
        <v>8453</v>
      </c>
      <c r="P2254"/>
    </row>
    <row r="2255" spans="1:16" ht="58" hidden="1" x14ac:dyDescent="0.35">
      <c r="A2255" s="3" t="s">
        <v>1184</v>
      </c>
      <c r="B2255" s="3" t="s">
        <v>344</v>
      </c>
      <c r="C2255" s="3"/>
      <c r="D2255" s="3"/>
      <c r="E2255" s="3"/>
      <c r="F2255" s="3" t="s">
        <v>8428</v>
      </c>
      <c r="G2255" s="5" t="s">
        <v>7795</v>
      </c>
      <c r="H2255" s="3" t="s">
        <v>8454</v>
      </c>
      <c r="I2255" t="s">
        <v>8128</v>
      </c>
      <c r="J2255" s="3" t="s">
        <v>8455</v>
      </c>
      <c r="K2255" s="3" t="s">
        <v>229</v>
      </c>
      <c r="L2255" s="3" t="s">
        <v>8456</v>
      </c>
      <c r="M2255" s="3" t="s">
        <v>8457</v>
      </c>
      <c r="N2255" s="3"/>
      <c r="O2255" s="3" t="s">
        <v>8458</v>
      </c>
      <c r="P2255"/>
    </row>
    <row r="2256" spans="1:16" ht="58" hidden="1" x14ac:dyDescent="0.35">
      <c r="A2256" s="3" t="s">
        <v>1184</v>
      </c>
      <c r="B2256" s="3" t="s">
        <v>344</v>
      </c>
      <c r="C2256" s="3"/>
      <c r="D2256" s="3"/>
      <c r="E2256" s="3"/>
      <c r="F2256" s="3" t="s">
        <v>8428</v>
      </c>
      <c r="G2256" s="5" t="s">
        <v>7795</v>
      </c>
      <c r="H2256" s="3" t="s">
        <v>8459</v>
      </c>
      <c r="I2256" t="s">
        <v>8134</v>
      </c>
      <c r="J2256" s="3" t="s">
        <v>8460</v>
      </c>
      <c r="K2256" s="3" t="s">
        <v>229</v>
      </c>
      <c r="L2256" s="3" t="s">
        <v>8456</v>
      </c>
      <c r="M2256" s="3" t="s">
        <v>8461</v>
      </c>
      <c r="N2256" s="3"/>
      <c r="O2256" s="3" t="s">
        <v>8462</v>
      </c>
      <c r="P2256"/>
    </row>
    <row r="2257" spans="1:16" ht="58" hidden="1" x14ac:dyDescent="0.35">
      <c r="A2257" s="3" t="s">
        <v>1184</v>
      </c>
      <c r="B2257" s="3" t="s">
        <v>344</v>
      </c>
      <c r="C2257" s="3"/>
      <c r="D2257" s="3"/>
      <c r="E2257" s="3"/>
      <c r="F2257" s="3" t="s">
        <v>8428</v>
      </c>
      <c r="G2257" s="5" t="s">
        <v>7795</v>
      </c>
      <c r="H2257" s="3" t="s">
        <v>8463</v>
      </c>
      <c r="I2257" t="s">
        <v>8140</v>
      </c>
      <c r="J2257" s="3" t="s">
        <v>8426</v>
      </c>
      <c r="K2257" s="3" t="s">
        <v>229</v>
      </c>
      <c r="L2257" s="3" t="s">
        <v>302</v>
      </c>
      <c r="M2257" s="3" t="s">
        <v>8427</v>
      </c>
      <c r="N2257" s="3"/>
      <c r="O2257" s="3" t="s">
        <v>6973</v>
      </c>
      <c r="P2257"/>
    </row>
    <row r="2258" spans="1:16" ht="58" hidden="1" x14ac:dyDescent="0.35">
      <c r="A2258" s="3" t="s">
        <v>1184</v>
      </c>
      <c r="B2258" s="3" t="s">
        <v>344</v>
      </c>
      <c r="C2258" s="3"/>
      <c r="D2258" s="3"/>
      <c r="E2258" s="3"/>
      <c r="F2258" s="3" t="s">
        <v>8464</v>
      </c>
      <c r="G2258" s="5" t="s">
        <v>7858</v>
      </c>
      <c r="I2258" t="s">
        <v>8146</v>
      </c>
      <c r="J2258" s="3" t="s">
        <v>8465</v>
      </c>
      <c r="K2258" s="3" t="s">
        <v>229</v>
      </c>
      <c r="L2258" s="3" t="s">
        <v>8466</v>
      </c>
      <c r="M2258" s="3" t="s">
        <v>8467</v>
      </c>
      <c r="N2258" s="3"/>
      <c r="O2258" s="3" t="s">
        <v>8468</v>
      </c>
      <c r="P2258"/>
    </row>
    <row r="2259" spans="1:16" ht="58" hidden="1" x14ac:dyDescent="0.35">
      <c r="A2259" s="3" t="s">
        <v>1184</v>
      </c>
      <c r="B2259" s="3" t="s">
        <v>344</v>
      </c>
      <c r="C2259" s="3"/>
      <c r="D2259" s="3"/>
      <c r="E2259" s="3"/>
      <c r="F2259" s="3" t="s">
        <v>8464</v>
      </c>
      <c r="G2259" s="5" t="s">
        <v>7858</v>
      </c>
      <c r="H2259" s="3" t="s">
        <v>2365</v>
      </c>
      <c r="I2259" t="s">
        <v>8080</v>
      </c>
      <c r="J2259" s="3" t="s">
        <v>8469</v>
      </c>
      <c r="K2259" s="3" t="s">
        <v>229</v>
      </c>
      <c r="L2259" s="3" t="s">
        <v>8470</v>
      </c>
      <c r="M2259" s="3" t="s">
        <v>8471</v>
      </c>
      <c r="N2259" s="3"/>
      <c r="O2259" s="3" t="s">
        <v>8472</v>
      </c>
      <c r="P2259"/>
    </row>
    <row r="2260" spans="1:16" ht="58" hidden="1" x14ac:dyDescent="0.35">
      <c r="A2260" s="3" t="s">
        <v>1184</v>
      </c>
      <c r="B2260" s="3" t="s">
        <v>344</v>
      </c>
      <c r="C2260" s="3"/>
      <c r="D2260" s="3"/>
      <c r="E2260" s="3"/>
      <c r="F2260" s="3" t="s">
        <v>8464</v>
      </c>
      <c r="G2260" s="5" t="s">
        <v>7858</v>
      </c>
      <c r="H2260" s="3" t="s">
        <v>2375</v>
      </c>
      <c r="I2260" t="s">
        <v>8086</v>
      </c>
      <c r="J2260" s="3" t="s">
        <v>8473</v>
      </c>
      <c r="K2260" s="3" t="s">
        <v>229</v>
      </c>
      <c r="L2260" s="3" t="s">
        <v>8474</v>
      </c>
      <c r="M2260" s="3" t="s">
        <v>8475</v>
      </c>
      <c r="N2260" s="3"/>
      <c r="O2260" s="3" t="s">
        <v>8476</v>
      </c>
      <c r="P2260"/>
    </row>
    <row r="2261" spans="1:16" ht="58" hidden="1" x14ac:dyDescent="0.35">
      <c r="A2261" s="3" t="s">
        <v>1184</v>
      </c>
      <c r="B2261" s="3" t="s">
        <v>344</v>
      </c>
      <c r="C2261" s="3"/>
      <c r="D2261" s="3"/>
      <c r="E2261" s="3"/>
      <c r="F2261" s="3" t="s">
        <v>8464</v>
      </c>
      <c r="G2261" s="5" t="s">
        <v>7858</v>
      </c>
      <c r="H2261" s="3" t="s">
        <v>8477</v>
      </c>
      <c r="I2261" t="s">
        <v>8092</v>
      </c>
      <c r="J2261" s="3" t="s">
        <v>8478</v>
      </c>
      <c r="K2261" s="3" t="s">
        <v>229</v>
      </c>
      <c r="L2261" s="3" t="s">
        <v>8479</v>
      </c>
      <c r="M2261" s="3" t="s">
        <v>8480</v>
      </c>
      <c r="N2261" s="3"/>
      <c r="O2261" s="3" t="s">
        <v>8481</v>
      </c>
      <c r="P2261"/>
    </row>
    <row r="2262" spans="1:16" ht="58" hidden="1" x14ac:dyDescent="0.35">
      <c r="A2262" s="3" t="s">
        <v>1184</v>
      </c>
      <c r="B2262" s="3" t="s">
        <v>344</v>
      </c>
      <c r="C2262" s="3"/>
      <c r="D2262" s="3"/>
      <c r="E2262" s="3"/>
      <c r="F2262" s="3" t="s">
        <v>8464</v>
      </c>
      <c r="G2262" s="5" t="s">
        <v>7858</v>
      </c>
      <c r="H2262" s="3" t="s">
        <v>8482</v>
      </c>
      <c r="I2262" t="s">
        <v>8098</v>
      </c>
      <c r="J2262" s="3" t="s">
        <v>8483</v>
      </c>
      <c r="K2262" s="3" t="s">
        <v>229</v>
      </c>
      <c r="L2262" s="3" t="s">
        <v>8484</v>
      </c>
      <c r="M2262" s="3" t="s">
        <v>8485</v>
      </c>
      <c r="N2262" s="3"/>
      <c r="O2262" s="3" t="s">
        <v>8486</v>
      </c>
      <c r="P2262"/>
    </row>
    <row r="2263" spans="1:16" ht="58" hidden="1" x14ac:dyDescent="0.35">
      <c r="A2263" s="3" t="s">
        <v>1184</v>
      </c>
      <c r="B2263" s="3" t="s">
        <v>344</v>
      </c>
      <c r="C2263" s="3"/>
      <c r="D2263" s="3"/>
      <c r="E2263" s="3"/>
      <c r="F2263" s="3" t="s">
        <v>8464</v>
      </c>
      <c r="G2263" s="5" t="s">
        <v>7858</v>
      </c>
      <c r="H2263" s="3" t="s">
        <v>7123</v>
      </c>
      <c r="I2263" t="s">
        <v>8104</v>
      </c>
      <c r="J2263" s="3" t="s">
        <v>8487</v>
      </c>
      <c r="K2263" s="3" t="s">
        <v>229</v>
      </c>
      <c r="L2263" s="3" t="s">
        <v>8488</v>
      </c>
      <c r="M2263" s="3" t="s">
        <v>8489</v>
      </c>
      <c r="N2263" s="3"/>
      <c r="O2263" s="3" t="s">
        <v>8490</v>
      </c>
      <c r="P2263"/>
    </row>
    <row r="2264" spans="1:16" ht="58" hidden="1" x14ac:dyDescent="0.35">
      <c r="A2264" s="3" t="s">
        <v>1184</v>
      </c>
      <c r="B2264" s="3" t="s">
        <v>344</v>
      </c>
      <c r="C2264" s="3"/>
      <c r="D2264" s="3"/>
      <c r="E2264" s="3"/>
      <c r="F2264" s="3" t="s">
        <v>8464</v>
      </c>
      <c r="G2264" s="5" t="s">
        <v>7858</v>
      </c>
      <c r="H2264" s="3" t="s">
        <v>8491</v>
      </c>
      <c r="I2264" t="s">
        <v>8110</v>
      </c>
      <c r="J2264" s="3" t="s">
        <v>8492</v>
      </c>
      <c r="K2264" s="3" t="s">
        <v>229</v>
      </c>
      <c r="L2264" s="3" t="s">
        <v>8493</v>
      </c>
      <c r="M2264" s="3" t="s">
        <v>8494</v>
      </c>
      <c r="N2264" s="3"/>
      <c r="O2264" s="3" t="s">
        <v>8495</v>
      </c>
      <c r="P2264"/>
    </row>
    <row r="2265" spans="1:16" hidden="1" x14ac:dyDescent="0.35">
      <c r="A2265" s="3" t="s">
        <v>1184</v>
      </c>
      <c r="F2265">
        <v>1</v>
      </c>
      <c r="G2265" t="s">
        <v>518</v>
      </c>
      <c r="H2265">
        <v>1</v>
      </c>
      <c r="I2265" t="s">
        <v>8116</v>
      </c>
      <c r="J2265" s="5" t="s">
        <v>8496</v>
      </c>
      <c r="K2265" t="s">
        <v>8233</v>
      </c>
      <c r="L2265" t="s">
        <v>1033</v>
      </c>
      <c r="M2265" t="s">
        <v>8497</v>
      </c>
      <c r="P2265"/>
    </row>
    <row r="2266" spans="1:16" hidden="1" x14ac:dyDescent="0.35">
      <c r="A2266" s="3" t="s">
        <v>1184</v>
      </c>
      <c r="F2266">
        <v>1</v>
      </c>
      <c r="G2266" t="s">
        <v>518</v>
      </c>
      <c r="H2266">
        <v>2</v>
      </c>
      <c r="I2266" t="s">
        <v>8122</v>
      </c>
      <c r="J2266" s="5" t="s">
        <v>8498</v>
      </c>
      <c r="K2266" t="s">
        <v>253</v>
      </c>
      <c r="L2266" t="s">
        <v>8499</v>
      </c>
      <c r="M2266" t="s">
        <v>8500</v>
      </c>
      <c r="P2266"/>
    </row>
    <row r="2267" spans="1:16" hidden="1" x14ac:dyDescent="0.35">
      <c r="A2267" s="3" t="s">
        <v>1184</v>
      </c>
      <c r="F2267">
        <v>1</v>
      </c>
      <c r="G2267" t="s">
        <v>518</v>
      </c>
      <c r="H2267">
        <v>3</v>
      </c>
      <c r="I2267" t="s">
        <v>8128</v>
      </c>
      <c r="J2267" s="5" t="s">
        <v>8501</v>
      </c>
      <c r="K2267" t="s">
        <v>1027</v>
      </c>
      <c r="L2267" t="s">
        <v>8502</v>
      </c>
      <c r="M2267" t="s">
        <v>8503</v>
      </c>
      <c r="P2267"/>
    </row>
    <row r="2268" spans="1:16" ht="43.5" hidden="1" x14ac:dyDescent="0.35">
      <c r="A2268" s="3" t="s">
        <v>1184</v>
      </c>
      <c r="F2268">
        <v>1</v>
      </c>
      <c r="G2268" t="s">
        <v>518</v>
      </c>
      <c r="H2268">
        <v>4</v>
      </c>
      <c r="I2268" t="s">
        <v>8134</v>
      </c>
      <c r="J2268" s="5" t="s">
        <v>8504</v>
      </c>
      <c r="K2268" t="s">
        <v>253</v>
      </c>
      <c r="L2268" t="s">
        <v>7911</v>
      </c>
      <c r="M2268" t="s">
        <v>8505</v>
      </c>
      <c r="P2268"/>
    </row>
    <row r="2269" spans="1:16" hidden="1" x14ac:dyDescent="0.35">
      <c r="A2269" s="3" t="s">
        <v>1184</v>
      </c>
      <c r="F2269">
        <v>1</v>
      </c>
      <c r="G2269" t="s">
        <v>518</v>
      </c>
      <c r="H2269">
        <v>5</v>
      </c>
      <c r="I2269" t="s">
        <v>8140</v>
      </c>
      <c r="J2269" s="5" t="s">
        <v>8506</v>
      </c>
      <c r="L2269" t="s">
        <v>8507</v>
      </c>
      <c r="M2269" t="s">
        <v>8508</v>
      </c>
      <c r="P2269"/>
    </row>
    <row r="2270" spans="1:16" hidden="1" x14ac:dyDescent="0.35">
      <c r="A2270" s="3" t="s">
        <v>1184</v>
      </c>
      <c r="F2270">
        <v>1</v>
      </c>
      <c r="G2270" t="s">
        <v>518</v>
      </c>
      <c r="H2270">
        <v>5.0999999999999996</v>
      </c>
      <c r="I2270" t="s">
        <v>8146</v>
      </c>
      <c r="J2270" s="5" t="s">
        <v>8509</v>
      </c>
      <c r="K2270" t="s">
        <v>229</v>
      </c>
      <c r="L2270" t="s">
        <v>8510</v>
      </c>
      <c r="M2270" t="s">
        <v>8511</v>
      </c>
      <c r="P2270"/>
    </row>
    <row r="2271" spans="1:16" hidden="1" x14ac:dyDescent="0.35">
      <c r="A2271" s="3" t="s">
        <v>1184</v>
      </c>
      <c r="F2271">
        <v>1</v>
      </c>
      <c r="G2271" t="s">
        <v>518</v>
      </c>
      <c r="H2271">
        <v>5.2</v>
      </c>
      <c r="I2271" t="s">
        <v>8080</v>
      </c>
      <c r="J2271" s="5" t="s">
        <v>8512</v>
      </c>
      <c r="K2271" t="s">
        <v>229</v>
      </c>
      <c r="L2271" t="s">
        <v>8513</v>
      </c>
      <c r="M2271" t="s">
        <v>8514</v>
      </c>
      <c r="P2271"/>
    </row>
    <row r="2272" spans="1:16" hidden="1" x14ac:dyDescent="0.35">
      <c r="A2272" s="3" t="s">
        <v>1184</v>
      </c>
      <c r="F2272">
        <v>1</v>
      </c>
      <c r="G2272" t="s">
        <v>518</v>
      </c>
      <c r="H2272">
        <v>5.3</v>
      </c>
      <c r="I2272" t="s">
        <v>8086</v>
      </c>
      <c r="J2272" s="5" t="s">
        <v>8515</v>
      </c>
      <c r="K2272" t="s">
        <v>1027</v>
      </c>
      <c r="L2272" t="s">
        <v>8516</v>
      </c>
      <c r="M2272" t="s">
        <v>8517</v>
      </c>
      <c r="P2272"/>
    </row>
    <row r="2273" spans="1:16" hidden="1" x14ac:dyDescent="0.35">
      <c r="A2273" s="3" t="s">
        <v>1184</v>
      </c>
      <c r="F2273">
        <v>1</v>
      </c>
      <c r="G2273" t="s">
        <v>518</v>
      </c>
      <c r="H2273">
        <v>5.4</v>
      </c>
      <c r="I2273" t="s">
        <v>8092</v>
      </c>
      <c r="J2273" s="5" t="s">
        <v>8518</v>
      </c>
      <c r="K2273" t="s">
        <v>1027</v>
      </c>
      <c r="L2273" t="s">
        <v>4564</v>
      </c>
      <c r="M2273" t="s">
        <v>8519</v>
      </c>
      <c r="P2273"/>
    </row>
    <row r="2274" spans="1:16" x14ac:dyDescent="0.35">
      <c r="A2274" t="s">
        <v>8520</v>
      </c>
      <c r="F2274">
        <v>1</v>
      </c>
      <c r="G2274" t="s">
        <v>518</v>
      </c>
      <c r="H2274">
        <v>5.5</v>
      </c>
      <c r="I2274" t="s">
        <v>8098</v>
      </c>
      <c r="J2274" s="5" t="s">
        <v>8521</v>
      </c>
      <c r="K2274" t="s">
        <v>1027</v>
      </c>
      <c r="L2274" t="s">
        <v>2641</v>
      </c>
      <c r="M2274" t="s">
        <v>8522</v>
      </c>
    </row>
    <row r="2275" spans="1:16" ht="72.5" x14ac:dyDescent="0.35">
      <c r="A2275" t="s">
        <v>8520</v>
      </c>
      <c r="F2275">
        <v>1</v>
      </c>
      <c r="G2275" t="s">
        <v>518</v>
      </c>
      <c r="H2275">
        <v>6</v>
      </c>
      <c r="I2275" t="s">
        <v>8104</v>
      </c>
      <c r="J2275" s="5" t="s">
        <v>8523</v>
      </c>
      <c r="K2275" t="s">
        <v>8524</v>
      </c>
      <c r="L2275" t="s">
        <v>8525</v>
      </c>
      <c r="M2275" t="s">
        <v>8526</v>
      </c>
    </row>
    <row r="2276" spans="1:16" x14ac:dyDescent="0.35">
      <c r="A2276" t="s">
        <v>8520</v>
      </c>
      <c r="F2276">
        <v>1</v>
      </c>
      <c r="G2276" t="s">
        <v>518</v>
      </c>
      <c r="H2276">
        <v>7</v>
      </c>
      <c r="I2276" t="s">
        <v>8110</v>
      </c>
      <c r="J2276" s="5" t="s">
        <v>8527</v>
      </c>
      <c r="K2276" t="s">
        <v>8524</v>
      </c>
      <c r="L2276" t="s">
        <v>8528</v>
      </c>
      <c r="M2276" t="s">
        <v>8529</v>
      </c>
    </row>
    <row r="2277" spans="1:16" x14ac:dyDescent="0.35">
      <c r="A2277" t="s">
        <v>8520</v>
      </c>
      <c r="F2277">
        <v>1</v>
      </c>
      <c r="G2277" t="s">
        <v>518</v>
      </c>
      <c r="H2277">
        <v>7.1</v>
      </c>
      <c r="I2277" t="s">
        <v>8116</v>
      </c>
      <c r="J2277" s="5" t="s">
        <v>8509</v>
      </c>
      <c r="K2277" t="s">
        <v>229</v>
      </c>
      <c r="L2277" t="s">
        <v>8530</v>
      </c>
      <c r="M2277" t="s">
        <v>8531</v>
      </c>
    </row>
    <row r="2278" spans="1:16" x14ac:dyDescent="0.35">
      <c r="A2278" t="s">
        <v>8520</v>
      </c>
      <c r="F2278">
        <v>1</v>
      </c>
      <c r="G2278" t="s">
        <v>518</v>
      </c>
      <c r="H2278">
        <v>7.2</v>
      </c>
      <c r="I2278" t="s">
        <v>8122</v>
      </c>
      <c r="J2278" s="5" t="s">
        <v>8532</v>
      </c>
      <c r="K2278" t="s">
        <v>229</v>
      </c>
      <c r="L2278" t="s">
        <v>8533</v>
      </c>
      <c r="M2278" t="s">
        <v>8534</v>
      </c>
    </row>
    <row r="2279" spans="1:16" x14ac:dyDescent="0.35">
      <c r="A2279" t="s">
        <v>8520</v>
      </c>
      <c r="F2279">
        <v>1</v>
      </c>
      <c r="G2279" t="s">
        <v>518</v>
      </c>
      <c r="H2279">
        <v>7.3</v>
      </c>
      <c r="I2279" t="s">
        <v>8128</v>
      </c>
      <c r="J2279" s="5" t="s">
        <v>8535</v>
      </c>
      <c r="K2279" t="s">
        <v>229</v>
      </c>
      <c r="L2279" t="s">
        <v>8536</v>
      </c>
      <c r="M2279" t="s">
        <v>8537</v>
      </c>
    </row>
    <row r="2280" spans="1:16" x14ac:dyDescent="0.35">
      <c r="A2280" t="s">
        <v>8520</v>
      </c>
      <c r="F2280">
        <v>1</v>
      </c>
      <c r="G2280" t="s">
        <v>518</v>
      </c>
      <c r="H2280">
        <v>8</v>
      </c>
      <c r="I2280" t="s">
        <v>8134</v>
      </c>
      <c r="J2280" s="5" t="s">
        <v>8538</v>
      </c>
      <c r="K2280" t="s">
        <v>8524</v>
      </c>
      <c r="L2280" t="s">
        <v>8539</v>
      </c>
      <c r="M2280" t="s">
        <v>8540</v>
      </c>
    </row>
    <row r="2281" spans="1:16" x14ac:dyDescent="0.35">
      <c r="A2281" t="s">
        <v>8520</v>
      </c>
      <c r="F2281">
        <v>1</v>
      </c>
      <c r="G2281" t="s">
        <v>518</v>
      </c>
      <c r="H2281">
        <v>8.1</v>
      </c>
      <c r="I2281" t="s">
        <v>8140</v>
      </c>
      <c r="J2281" s="5" t="s">
        <v>8541</v>
      </c>
      <c r="K2281" t="s">
        <v>229</v>
      </c>
      <c r="L2281" t="s">
        <v>570</v>
      </c>
      <c r="M2281" t="s">
        <v>8542</v>
      </c>
    </row>
    <row r="2282" spans="1:16" x14ac:dyDescent="0.35">
      <c r="A2282" t="s">
        <v>8520</v>
      </c>
      <c r="F2282">
        <v>1</v>
      </c>
      <c r="G2282" t="s">
        <v>518</v>
      </c>
      <c r="H2282">
        <v>8.1999999999999993</v>
      </c>
      <c r="I2282" t="s">
        <v>8146</v>
      </c>
      <c r="J2282" s="5" t="s">
        <v>8543</v>
      </c>
      <c r="K2282" t="s">
        <v>229</v>
      </c>
      <c r="L2282" t="s">
        <v>8544</v>
      </c>
      <c r="M2282" t="s">
        <v>8545</v>
      </c>
    </row>
    <row r="2283" spans="1:16" x14ac:dyDescent="0.35">
      <c r="A2283" t="s">
        <v>8520</v>
      </c>
      <c r="F2283">
        <v>1</v>
      </c>
      <c r="G2283" t="s">
        <v>518</v>
      </c>
      <c r="H2283">
        <v>8.3000000000000007</v>
      </c>
      <c r="I2283" t="s">
        <v>8080</v>
      </c>
      <c r="J2283" s="5" t="s">
        <v>8546</v>
      </c>
      <c r="K2283" t="s">
        <v>248</v>
      </c>
      <c r="L2283" t="s">
        <v>8547</v>
      </c>
      <c r="M2283" t="s">
        <v>8548</v>
      </c>
    </row>
    <row r="2284" spans="1:16" x14ac:dyDescent="0.35">
      <c r="A2284" t="s">
        <v>8520</v>
      </c>
      <c r="F2284">
        <v>1</v>
      </c>
      <c r="G2284" t="s">
        <v>8549</v>
      </c>
      <c r="I2284" t="s">
        <v>8086</v>
      </c>
      <c r="J2284" s="5" t="s">
        <v>8550</v>
      </c>
      <c r="K2284" t="s">
        <v>8551</v>
      </c>
      <c r="L2284" t="s">
        <v>8552</v>
      </c>
      <c r="M2284" t="s">
        <v>8553</v>
      </c>
    </row>
    <row r="2285" spans="1:16" x14ac:dyDescent="0.35">
      <c r="A2285" t="s">
        <v>8520</v>
      </c>
      <c r="F2285">
        <v>1</v>
      </c>
      <c r="G2285" t="s">
        <v>8549</v>
      </c>
      <c r="H2285">
        <v>14</v>
      </c>
      <c r="I2285" t="s">
        <v>8092</v>
      </c>
      <c r="J2285" s="5" t="s">
        <v>8554</v>
      </c>
      <c r="K2285" t="s">
        <v>253</v>
      </c>
      <c r="L2285" t="s">
        <v>8555</v>
      </c>
      <c r="M2285" t="s">
        <v>8556</v>
      </c>
    </row>
    <row r="2286" spans="1:16" x14ac:dyDescent="0.35">
      <c r="A2286" t="s">
        <v>8520</v>
      </c>
      <c r="F2286">
        <v>1</v>
      </c>
      <c r="G2286" t="s">
        <v>8549</v>
      </c>
      <c r="H2286">
        <v>15</v>
      </c>
      <c r="I2286" t="s">
        <v>8098</v>
      </c>
      <c r="J2286" s="5" t="s">
        <v>8557</v>
      </c>
      <c r="K2286" t="s">
        <v>253</v>
      </c>
      <c r="L2286" t="s">
        <v>8558</v>
      </c>
      <c r="M2286" t="s">
        <v>8559</v>
      </c>
    </row>
    <row r="2287" spans="1:16" x14ac:dyDescent="0.35">
      <c r="A2287" t="s">
        <v>8520</v>
      </c>
      <c r="F2287">
        <v>1</v>
      </c>
      <c r="G2287" t="s">
        <v>8549</v>
      </c>
      <c r="H2287">
        <v>16</v>
      </c>
      <c r="I2287" t="s">
        <v>8104</v>
      </c>
      <c r="J2287" s="5" t="s">
        <v>8560</v>
      </c>
      <c r="K2287" t="s">
        <v>253</v>
      </c>
      <c r="L2287" t="s">
        <v>8561</v>
      </c>
      <c r="M2287" t="s">
        <v>8562</v>
      </c>
    </row>
    <row r="2288" spans="1:16" x14ac:dyDescent="0.35">
      <c r="A2288" t="s">
        <v>8520</v>
      </c>
      <c r="F2288">
        <v>2</v>
      </c>
      <c r="G2288" t="s">
        <v>8563</v>
      </c>
      <c r="I2288" t="s">
        <v>8110</v>
      </c>
      <c r="J2288" s="5" t="s">
        <v>8564</v>
      </c>
      <c r="K2288" t="s">
        <v>8524</v>
      </c>
      <c r="L2288" t="s">
        <v>8565</v>
      </c>
      <c r="M2288" t="s">
        <v>8566</v>
      </c>
    </row>
    <row r="2289" spans="1:16" x14ac:dyDescent="0.35">
      <c r="A2289" t="s">
        <v>8520</v>
      </c>
      <c r="F2289">
        <v>2</v>
      </c>
      <c r="G2289" t="s">
        <v>8563</v>
      </c>
      <c r="H2289">
        <v>17</v>
      </c>
      <c r="I2289" t="s">
        <v>8116</v>
      </c>
      <c r="J2289" s="5" t="s">
        <v>1753</v>
      </c>
      <c r="K2289" t="s">
        <v>229</v>
      </c>
      <c r="L2289" t="s">
        <v>8567</v>
      </c>
      <c r="M2289" t="s">
        <v>8568</v>
      </c>
    </row>
    <row r="2290" spans="1:16" x14ac:dyDescent="0.35">
      <c r="A2290" t="s">
        <v>8520</v>
      </c>
      <c r="F2290">
        <v>2</v>
      </c>
      <c r="G2290" t="s">
        <v>8563</v>
      </c>
      <c r="H2290">
        <v>18</v>
      </c>
      <c r="I2290" t="s">
        <v>8122</v>
      </c>
      <c r="J2290" s="5" t="s">
        <v>8569</v>
      </c>
      <c r="K2290" t="s">
        <v>1027</v>
      </c>
      <c r="L2290" t="s">
        <v>8570</v>
      </c>
      <c r="M2290" t="s">
        <v>8571</v>
      </c>
    </row>
    <row r="2291" spans="1:16" x14ac:dyDescent="0.35">
      <c r="A2291" t="s">
        <v>8520</v>
      </c>
      <c r="F2291">
        <v>2</v>
      </c>
      <c r="G2291" t="s">
        <v>8563</v>
      </c>
      <c r="H2291">
        <v>19</v>
      </c>
      <c r="I2291" t="s">
        <v>8128</v>
      </c>
      <c r="J2291" s="5" t="s">
        <v>8572</v>
      </c>
      <c r="K2291" t="s">
        <v>1027</v>
      </c>
      <c r="L2291" t="s">
        <v>8573</v>
      </c>
      <c r="M2291" t="s">
        <v>8574</v>
      </c>
    </row>
    <row r="2292" spans="1:16" x14ac:dyDescent="0.35">
      <c r="A2292" t="s">
        <v>8520</v>
      </c>
      <c r="F2292">
        <v>2</v>
      </c>
      <c r="G2292" t="s">
        <v>8563</v>
      </c>
      <c r="H2292">
        <v>20</v>
      </c>
      <c r="I2292" t="s">
        <v>8134</v>
      </c>
      <c r="J2292" s="5" t="s">
        <v>8575</v>
      </c>
      <c r="K2292" t="s">
        <v>1027</v>
      </c>
      <c r="L2292" t="s">
        <v>8576</v>
      </c>
      <c r="M2292" t="s">
        <v>8577</v>
      </c>
    </row>
    <row r="2293" spans="1:16" x14ac:dyDescent="0.35">
      <c r="A2293" t="s">
        <v>8520</v>
      </c>
      <c r="F2293">
        <v>3</v>
      </c>
      <c r="G2293" t="s">
        <v>6353</v>
      </c>
      <c r="I2293" t="s">
        <v>8140</v>
      </c>
      <c r="J2293" s="5" t="s">
        <v>8578</v>
      </c>
      <c r="K2293" t="s">
        <v>8579</v>
      </c>
      <c r="L2293" t="s">
        <v>8580</v>
      </c>
      <c r="M2293" t="s">
        <v>8581</v>
      </c>
    </row>
    <row r="2294" spans="1:16" x14ac:dyDescent="0.35">
      <c r="A2294" t="s">
        <v>8520</v>
      </c>
      <c r="F2294">
        <v>3</v>
      </c>
      <c r="G2294" t="s">
        <v>6353</v>
      </c>
      <c r="H2294">
        <v>21</v>
      </c>
      <c r="I2294" t="s">
        <v>8146</v>
      </c>
      <c r="J2294" s="5" t="s">
        <v>8582</v>
      </c>
      <c r="K2294" t="s">
        <v>229</v>
      </c>
      <c r="L2294" t="s">
        <v>8583</v>
      </c>
      <c r="M2294" t="s">
        <v>8584</v>
      </c>
    </row>
    <row r="2295" spans="1:16" x14ac:dyDescent="0.35">
      <c r="A2295" t="s">
        <v>8520</v>
      </c>
      <c r="F2295">
        <v>3</v>
      </c>
      <c r="G2295" t="s">
        <v>6353</v>
      </c>
      <c r="H2295">
        <v>22</v>
      </c>
      <c r="I2295" t="s">
        <v>8080</v>
      </c>
      <c r="J2295" s="5" t="s">
        <v>8585</v>
      </c>
      <c r="K2295" t="s">
        <v>241</v>
      </c>
      <c r="L2295" t="s">
        <v>8586</v>
      </c>
      <c r="M2295" t="s">
        <v>8587</v>
      </c>
    </row>
    <row r="2296" spans="1:16" x14ac:dyDescent="0.35">
      <c r="A2296" t="s">
        <v>8520</v>
      </c>
      <c r="F2296">
        <v>3</v>
      </c>
      <c r="G2296" t="s">
        <v>6353</v>
      </c>
      <c r="H2296">
        <v>23</v>
      </c>
      <c r="I2296" t="s">
        <v>8086</v>
      </c>
      <c r="J2296" s="5" t="s">
        <v>8588</v>
      </c>
      <c r="K2296" t="s">
        <v>241</v>
      </c>
      <c r="L2296" t="s">
        <v>8055</v>
      </c>
      <c r="M2296" t="s">
        <v>8589</v>
      </c>
    </row>
    <row r="2297" spans="1:16" x14ac:dyDescent="0.35">
      <c r="A2297" t="s">
        <v>8520</v>
      </c>
      <c r="F2297">
        <v>3</v>
      </c>
      <c r="G2297" t="s">
        <v>6353</v>
      </c>
      <c r="H2297">
        <v>24</v>
      </c>
      <c r="I2297" t="s">
        <v>8092</v>
      </c>
      <c r="J2297" s="5" t="s">
        <v>8590</v>
      </c>
      <c r="K2297" t="s">
        <v>241</v>
      </c>
      <c r="L2297" t="s">
        <v>8591</v>
      </c>
      <c r="M2297" t="s">
        <v>8592</v>
      </c>
    </row>
    <row r="2298" spans="1:16" x14ac:dyDescent="0.35">
      <c r="A2298" t="s">
        <v>8520</v>
      </c>
      <c r="F2298">
        <v>3</v>
      </c>
      <c r="G2298" t="s">
        <v>6353</v>
      </c>
      <c r="H2298">
        <v>25</v>
      </c>
      <c r="I2298" t="s">
        <v>8098</v>
      </c>
      <c r="J2298" s="5" t="s">
        <v>8593</v>
      </c>
      <c r="K2298" t="s">
        <v>8524</v>
      </c>
      <c r="L2298" t="s">
        <v>8594</v>
      </c>
      <c r="M2298" t="s">
        <v>8595</v>
      </c>
    </row>
    <row r="2299" spans="1:16" x14ac:dyDescent="0.35">
      <c r="A2299" t="s">
        <v>8520</v>
      </c>
      <c r="F2299">
        <v>4</v>
      </c>
      <c r="G2299" t="s">
        <v>8596</v>
      </c>
      <c r="I2299" t="s">
        <v>8104</v>
      </c>
      <c r="J2299" t="s">
        <v>8060</v>
      </c>
      <c r="K2299" t="s">
        <v>253</v>
      </c>
      <c r="L2299" t="s">
        <v>8597</v>
      </c>
      <c r="M2299" t="s">
        <v>8598</v>
      </c>
    </row>
    <row r="2300" spans="1:16" x14ac:dyDescent="0.35">
      <c r="A2300" t="s">
        <v>8520</v>
      </c>
      <c r="F2300">
        <v>4</v>
      </c>
      <c r="G2300" t="s">
        <v>8596</v>
      </c>
      <c r="H2300">
        <v>26</v>
      </c>
      <c r="I2300" t="s">
        <v>8110</v>
      </c>
      <c r="J2300" s="5" t="s">
        <v>8599</v>
      </c>
      <c r="K2300" t="s">
        <v>241</v>
      </c>
      <c r="L2300" t="s">
        <v>8600</v>
      </c>
      <c r="M2300" t="s">
        <v>8601</v>
      </c>
    </row>
    <row r="2301" spans="1:16" x14ac:dyDescent="0.35">
      <c r="A2301" t="s">
        <v>8520</v>
      </c>
      <c r="F2301">
        <v>4</v>
      </c>
      <c r="G2301" t="s">
        <v>8596</v>
      </c>
      <c r="H2301">
        <v>26.1</v>
      </c>
      <c r="I2301" t="s">
        <v>8116</v>
      </c>
      <c r="J2301" s="5" t="s">
        <v>1753</v>
      </c>
      <c r="K2301" t="s">
        <v>229</v>
      </c>
      <c r="L2301" t="s">
        <v>8602</v>
      </c>
      <c r="M2301" t="s">
        <v>8603</v>
      </c>
    </row>
    <row r="2302" spans="1:16" x14ac:dyDescent="0.35">
      <c r="A2302" t="s">
        <v>8520</v>
      </c>
      <c r="F2302">
        <v>4</v>
      </c>
      <c r="G2302" t="s">
        <v>8596</v>
      </c>
      <c r="H2302">
        <v>26.2</v>
      </c>
      <c r="I2302" t="s">
        <v>8122</v>
      </c>
      <c r="J2302" s="5" t="s">
        <v>8604</v>
      </c>
      <c r="K2302" t="s">
        <v>1027</v>
      </c>
      <c r="L2302" t="s">
        <v>8605</v>
      </c>
      <c r="M2302" t="s">
        <v>8606</v>
      </c>
    </row>
    <row r="2303" spans="1:16" x14ac:dyDescent="0.35">
      <c r="A2303" t="s">
        <v>8520</v>
      </c>
      <c r="F2303">
        <v>5</v>
      </c>
      <c r="G2303" t="s">
        <v>8607</v>
      </c>
      <c r="H2303">
        <v>27</v>
      </c>
      <c r="I2303" t="s">
        <v>8128</v>
      </c>
      <c r="J2303" s="5" t="s">
        <v>8608</v>
      </c>
      <c r="K2303" t="s">
        <v>229</v>
      </c>
      <c r="L2303" t="s">
        <v>8609</v>
      </c>
      <c r="M2303" t="s">
        <v>8610</v>
      </c>
      <c r="P2303" s="18" t="s">
        <v>8611</v>
      </c>
    </row>
    <row r="2304" spans="1:16" x14ac:dyDescent="0.35">
      <c r="A2304" t="s">
        <v>8520</v>
      </c>
      <c r="F2304">
        <v>5</v>
      </c>
      <c r="G2304" t="s">
        <v>8607</v>
      </c>
      <c r="H2304">
        <v>28</v>
      </c>
      <c r="I2304" t="s">
        <v>8134</v>
      </c>
      <c r="J2304" s="5" t="s">
        <v>8612</v>
      </c>
      <c r="K2304" t="s">
        <v>229</v>
      </c>
      <c r="L2304" t="s">
        <v>8613</v>
      </c>
      <c r="M2304" t="s">
        <v>8614</v>
      </c>
      <c r="P2304" s="18" t="s">
        <v>8615</v>
      </c>
    </row>
    <row r="2305" spans="1:16" x14ac:dyDescent="0.35">
      <c r="A2305" t="s">
        <v>8520</v>
      </c>
      <c r="F2305">
        <v>5</v>
      </c>
      <c r="G2305" t="s">
        <v>8607</v>
      </c>
      <c r="H2305">
        <v>29</v>
      </c>
      <c r="I2305" t="s">
        <v>8140</v>
      </c>
      <c r="J2305" s="5" t="s">
        <v>8616</v>
      </c>
      <c r="K2305" t="s">
        <v>229</v>
      </c>
      <c r="L2305" t="s">
        <v>7927</v>
      </c>
      <c r="M2305" t="s">
        <v>8617</v>
      </c>
    </row>
    <row r="2306" spans="1:16" x14ac:dyDescent="0.35">
      <c r="A2306" t="s">
        <v>8520</v>
      </c>
      <c r="F2306">
        <v>5</v>
      </c>
      <c r="G2306" t="s">
        <v>8607</v>
      </c>
      <c r="H2306">
        <v>30</v>
      </c>
      <c r="I2306" t="s">
        <v>8146</v>
      </c>
      <c r="J2306" s="5" t="s">
        <v>8618</v>
      </c>
      <c r="K2306" t="s">
        <v>8619</v>
      </c>
      <c r="L2306" t="s">
        <v>8620</v>
      </c>
      <c r="M2306" t="s">
        <v>8621</v>
      </c>
      <c r="P2306" s="21">
        <v>1643178</v>
      </c>
    </row>
    <row r="2307" spans="1:16" x14ac:dyDescent="0.35">
      <c r="A2307" t="s">
        <v>8520</v>
      </c>
      <c r="F2307">
        <v>5</v>
      </c>
      <c r="G2307" t="s">
        <v>8607</v>
      </c>
      <c r="H2307">
        <v>31</v>
      </c>
      <c r="I2307" t="s">
        <v>8080</v>
      </c>
      <c r="J2307" s="5" t="s">
        <v>8622</v>
      </c>
      <c r="K2307" t="s">
        <v>241</v>
      </c>
      <c r="L2307" t="s">
        <v>8623</v>
      </c>
      <c r="M2307" t="s">
        <v>8624</v>
      </c>
      <c r="P2307" s="21">
        <v>132301</v>
      </c>
    </row>
    <row r="2308" spans="1:16" x14ac:dyDescent="0.35">
      <c r="A2308" t="s">
        <v>8520</v>
      </c>
      <c r="F2308">
        <v>5</v>
      </c>
      <c r="G2308" t="s">
        <v>8607</v>
      </c>
      <c r="H2308">
        <v>32</v>
      </c>
      <c r="I2308" t="s">
        <v>8086</v>
      </c>
      <c r="J2308" s="5" t="s">
        <v>8625</v>
      </c>
      <c r="K2308" t="s">
        <v>229</v>
      </c>
      <c r="L2308" t="s">
        <v>8626</v>
      </c>
      <c r="M2308" t="s">
        <v>8627</v>
      </c>
      <c r="P2308" s="18" t="s">
        <v>8628</v>
      </c>
    </row>
    <row r="2309" spans="1:16" x14ac:dyDescent="0.35">
      <c r="A2309" t="s">
        <v>8520</v>
      </c>
      <c r="F2309">
        <v>5</v>
      </c>
      <c r="G2309" t="s">
        <v>8607</v>
      </c>
      <c r="H2309">
        <v>33</v>
      </c>
      <c r="I2309" t="s">
        <v>8092</v>
      </c>
      <c r="J2309" s="5" t="s">
        <v>8629</v>
      </c>
      <c r="K2309" t="s">
        <v>229</v>
      </c>
      <c r="L2309" t="s">
        <v>8630</v>
      </c>
      <c r="M2309" t="s">
        <v>8631</v>
      </c>
      <c r="P2309" s="18" t="s">
        <v>8632</v>
      </c>
    </row>
    <row r="2310" spans="1:16" x14ac:dyDescent="0.35">
      <c r="A2310" t="s">
        <v>8520</v>
      </c>
      <c r="F2310">
        <v>5</v>
      </c>
      <c r="G2310" t="s">
        <v>8607</v>
      </c>
      <c r="H2310">
        <v>34</v>
      </c>
      <c r="I2310" t="s">
        <v>8098</v>
      </c>
      <c r="J2310" s="5" t="s">
        <v>8633</v>
      </c>
      <c r="K2310" t="s">
        <v>4735</v>
      </c>
      <c r="L2310" t="s">
        <v>8634</v>
      </c>
      <c r="M2310" t="s">
        <v>8635</v>
      </c>
      <c r="P2310" s="18" t="s">
        <v>8636</v>
      </c>
    </row>
    <row r="2311" spans="1:16" x14ac:dyDescent="0.35">
      <c r="A2311" t="s">
        <v>8520</v>
      </c>
      <c r="F2311">
        <v>5</v>
      </c>
      <c r="G2311" t="s">
        <v>8607</v>
      </c>
      <c r="H2311">
        <v>35</v>
      </c>
      <c r="I2311" t="s">
        <v>8104</v>
      </c>
      <c r="J2311" s="5" t="s">
        <v>8637</v>
      </c>
      <c r="K2311" t="s">
        <v>229</v>
      </c>
      <c r="L2311" t="s">
        <v>8638</v>
      </c>
      <c r="M2311" t="s">
        <v>8639</v>
      </c>
    </row>
    <row r="2312" spans="1:16" x14ac:dyDescent="0.35">
      <c r="A2312" t="s">
        <v>8520</v>
      </c>
      <c r="F2312">
        <v>5</v>
      </c>
      <c r="G2312" t="s">
        <v>8607</v>
      </c>
      <c r="H2312">
        <v>36</v>
      </c>
      <c r="I2312" t="s">
        <v>8110</v>
      </c>
      <c r="J2312" s="5" t="s">
        <v>8640</v>
      </c>
      <c r="K2312" t="s">
        <v>241</v>
      </c>
      <c r="L2312" t="s">
        <v>8641</v>
      </c>
      <c r="M2312" t="s">
        <v>8642</v>
      </c>
      <c r="P2312" s="21">
        <v>128447</v>
      </c>
    </row>
    <row r="2313" spans="1:16" x14ac:dyDescent="0.35">
      <c r="A2313" t="s">
        <v>8520</v>
      </c>
      <c r="F2313">
        <v>5</v>
      </c>
      <c r="G2313" t="s">
        <v>8607</v>
      </c>
      <c r="H2313">
        <v>37</v>
      </c>
      <c r="I2313" t="s">
        <v>8116</v>
      </c>
      <c r="J2313" s="5" t="s">
        <v>8643</v>
      </c>
      <c r="K2313" t="s">
        <v>241</v>
      </c>
      <c r="L2313" t="s">
        <v>8644</v>
      </c>
      <c r="M2313" t="s">
        <v>8645</v>
      </c>
      <c r="P2313" s="18">
        <v>0</v>
      </c>
    </row>
    <row r="2314" spans="1:16" x14ac:dyDescent="0.35">
      <c r="A2314" t="s">
        <v>8520</v>
      </c>
      <c r="F2314">
        <v>5</v>
      </c>
      <c r="G2314" t="s">
        <v>8607</v>
      </c>
      <c r="H2314">
        <v>38</v>
      </c>
      <c r="I2314" t="s">
        <v>8122</v>
      </c>
      <c r="J2314" s="5" t="s">
        <v>8646</v>
      </c>
      <c r="K2314" t="s">
        <v>241</v>
      </c>
      <c r="L2314" t="s">
        <v>8647</v>
      </c>
      <c r="M2314" t="s">
        <v>8648</v>
      </c>
      <c r="P2314" s="21">
        <v>3854</v>
      </c>
    </row>
    <row r="2315" spans="1:16" x14ac:dyDescent="0.35">
      <c r="A2315" t="s">
        <v>8520</v>
      </c>
      <c r="F2315">
        <v>5</v>
      </c>
      <c r="G2315" t="s">
        <v>8607</v>
      </c>
      <c r="H2315">
        <v>27</v>
      </c>
      <c r="I2315" t="s">
        <v>8128</v>
      </c>
      <c r="J2315" s="5" t="s">
        <v>8608</v>
      </c>
      <c r="K2315" t="s">
        <v>229</v>
      </c>
      <c r="L2315" t="s">
        <v>8609</v>
      </c>
      <c r="M2315" t="s">
        <v>8610</v>
      </c>
      <c r="P2315" s="18" t="s">
        <v>8649</v>
      </c>
    </row>
    <row r="2316" spans="1:16" x14ac:dyDescent="0.35">
      <c r="A2316" t="s">
        <v>8520</v>
      </c>
      <c r="F2316">
        <v>5</v>
      </c>
      <c r="G2316" t="s">
        <v>8607</v>
      </c>
      <c r="H2316">
        <v>28</v>
      </c>
      <c r="I2316" t="s">
        <v>8134</v>
      </c>
      <c r="J2316" s="5" t="s">
        <v>8612</v>
      </c>
      <c r="K2316" t="s">
        <v>229</v>
      </c>
      <c r="L2316" t="s">
        <v>8613</v>
      </c>
      <c r="M2316" t="s">
        <v>8614</v>
      </c>
      <c r="P2316" s="18" t="s">
        <v>8615</v>
      </c>
    </row>
    <row r="2317" spans="1:16" x14ac:dyDescent="0.35">
      <c r="A2317" t="s">
        <v>8520</v>
      </c>
      <c r="F2317">
        <v>5</v>
      </c>
      <c r="G2317" t="s">
        <v>8607</v>
      </c>
      <c r="H2317">
        <v>29</v>
      </c>
      <c r="I2317" t="s">
        <v>8140</v>
      </c>
      <c r="J2317" s="5" t="s">
        <v>8616</v>
      </c>
      <c r="K2317" t="s">
        <v>229</v>
      </c>
      <c r="L2317" t="s">
        <v>7927</v>
      </c>
      <c r="M2317" t="s">
        <v>8617</v>
      </c>
      <c r="P2317" s="18" t="s">
        <v>8650</v>
      </c>
    </row>
    <row r="2318" spans="1:16" x14ac:dyDescent="0.35">
      <c r="A2318" t="s">
        <v>8520</v>
      </c>
      <c r="F2318">
        <v>5</v>
      </c>
      <c r="G2318" t="s">
        <v>8607</v>
      </c>
      <c r="H2318">
        <v>30</v>
      </c>
      <c r="I2318" t="s">
        <v>8146</v>
      </c>
      <c r="J2318" s="5" t="s">
        <v>8618</v>
      </c>
      <c r="K2318" t="s">
        <v>8619</v>
      </c>
      <c r="L2318" t="s">
        <v>8620</v>
      </c>
      <c r="M2318" t="s">
        <v>8621</v>
      </c>
      <c r="P2318" s="21">
        <v>1220791</v>
      </c>
    </row>
    <row r="2319" spans="1:16" x14ac:dyDescent="0.35">
      <c r="A2319" t="s">
        <v>8520</v>
      </c>
      <c r="F2319">
        <v>5</v>
      </c>
      <c r="G2319" t="s">
        <v>8607</v>
      </c>
      <c r="H2319">
        <v>31</v>
      </c>
      <c r="I2319" t="s">
        <v>8080</v>
      </c>
      <c r="J2319" s="5" t="s">
        <v>8622</v>
      </c>
      <c r="K2319" t="s">
        <v>241</v>
      </c>
      <c r="L2319" t="s">
        <v>8623</v>
      </c>
      <c r="M2319" t="s">
        <v>8624</v>
      </c>
      <c r="P2319" s="21">
        <v>43168</v>
      </c>
    </row>
    <row r="2320" spans="1:16" x14ac:dyDescent="0.35">
      <c r="A2320" t="s">
        <v>8520</v>
      </c>
      <c r="F2320">
        <v>5</v>
      </c>
      <c r="G2320" t="s">
        <v>8607</v>
      </c>
      <c r="H2320">
        <v>32</v>
      </c>
      <c r="I2320" t="s">
        <v>8086</v>
      </c>
      <c r="J2320" s="5" t="s">
        <v>8625</v>
      </c>
      <c r="K2320" t="s">
        <v>229</v>
      </c>
      <c r="L2320" t="s">
        <v>8626</v>
      </c>
      <c r="M2320" t="s">
        <v>8627</v>
      </c>
      <c r="P2320" s="18" t="s">
        <v>8628</v>
      </c>
    </row>
    <row r="2321" spans="1:16" x14ac:dyDescent="0.35">
      <c r="A2321" t="s">
        <v>8520</v>
      </c>
      <c r="F2321">
        <v>5</v>
      </c>
      <c r="G2321" t="s">
        <v>8607</v>
      </c>
      <c r="H2321">
        <v>33</v>
      </c>
      <c r="I2321" t="s">
        <v>8092</v>
      </c>
      <c r="J2321" s="5" t="s">
        <v>8629</v>
      </c>
      <c r="K2321" t="s">
        <v>229</v>
      </c>
      <c r="L2321" t="s">
        <v>8630</v>
      </c>
      <c r="M2321" t="s">
        <v>8631</v>
      </c>
    </row>
    <row r="2322" spans="1:16" x14ac:dyDescent="0.35">
      <c r="A2322" t="s">
        <v>8520</v>
      </c>
      <c r="F2322">
        <v>5</v>
      </c>
      <c r="G2322" t="s">
        <v>8607</v>
      </c>
      <c r="H2322">
        <v>34</v>
      </c>
      <c r="I2322" t="s">
        <v>8098</v>
      </c>
      <c r="J2322" s="5" t="s">
        <v>8633</v>
      </c>
      <c r="K2322" t="s">
        <v>4735</v>
      </c>
      <c r="L2322" t="s">
        <v>8634</v>
      </c>
      <c r="M2322" t="s">
        <v>8635</v>
      </c>
      <c r="P2322" s="18" t="s">
        <v>8632</v>
      </c>
    </row>
    <row r="2323" spans="1:16" hidden="1" x14ac:dyDescent="0.35">
      <c r="A2323" t="s">
        <v>8651</v>
      </c>
      <c r="F2323">
        <v>5</v>
      </c>
      <c r="G2323" t="s">
        <v>8607</v>
      </c>
      <c r="H2323">
        <v>35</v>
      </c>
      <c r="I2323" t="s">
        <v>8104</v>
      </c>
      <c r="J2323" s="5" t="s">
        <v>8637</v>
      </c>
      <c r="K2323" t="s">
        <v>229</v>
      </c>
      <c r="L2323" t="s">
        <v>8638</v>
      </c>
      <c r="M2323" t="s">
        <v>8639</v>
      </c>
      <c r="P2323" s="18" t="s">
        <v>8652</v>
      </c>
    </row>
    <row r="2324" spans="1:16" x14ac:dyDescent="0.35">
      <c r="A2324" t="s">
        <v>8520</v>
      </c>
      <c r="F2324">
        <v>5</v>
      </c>
      <c r="G2324" t="s">
        <v>8607</v>
      </c>
      <c r="H2324">
        <v>36</v>
      </c>
      <c r="I2324" t="s">
        <v>8110</v>
      </c>
      <c r="J2324" s="5" t="s">
        <v>8640</v>
      </c>
      <c r="K2324" t="s">
        <v>241</v>
      </c>
      <c r="L2324" t="s">
        <v>8641</v>
      </c>
      <c r="M2324" t="s">
        <v>8642</v>
      </c>
      <c r="P2324" s="18">
        <v>0</v>
      </c>
    </row>
    <row r="2325" spans="1:16" x14ac:dyDescent="0.35">
      <c r="A2325" t="s">
        <v>8520</v>
      </c>
      <c r="F2325">
        <v>5</v>
      </c>
      <c r="G2325" t="s">
        <v>8607</v>
      </c>
      <c r="H2325">
        <v>37</v>
      </c>
      <c r="I2325" t="s">
        <v>8116</v>
      </c>
      <c r="J2325" s="5" t="s">
        <v>8643</v>
      </c>
      <c r="K2325" t="s">
        <v>241</v>
      </c>
      <c r="L2325" t="s">
        <v>8644</v>
      </c>
      <c r="M2325" t="s">
        <v>8645</v>
      </c>
      <c r="P2325" s="18">
        <v>0</v>
      </c>
    </row>
    <row r="2326" spans="1:16" x14ac:dyDescent="0.35">
      <c r="A2326" t="s">
        <v>8520</v>
      </c>
      <c r="F2326">
        <v>5</v>
      </c>
      <c r="G2326" t="s">
        <v>8607</v>
      </c>
      <c r="H2326">
        <v>38</v>
      </c>
      <c r="I2326" t="s">
        <v>8122</v>
      </c>
      <c r="J2326" s="5" t="s">
        <v>8646</v>
      </c>
      <c r="K2326" t="s">
        <v>241</v>
      </c>
      <c r="L2326" t="s">
        <v>8647</v>
      </c>
      <c r="M2326" t="s">
        <v>8648</v>
      </c>
      <c r="P2326" s="21">
        <v>43168</v>
      </c>
    </row>
    <row r="2327" spans="1:16" x14ac:dyDescent="0.35">
      <c r="A2327" t="s">
        <v>8520</v>
      </c>
      <c r="F2327">
        <v>5</v>
      </c>
      <c r="G2327" t="s">
        <v>8607</v>
      </c>
      <c r="H2327">
        <v>27</v>
      </c>
      <c r="I2327" t="s">
        <v>8128</v>
      </c>
      <c r="J2327" s="5" t="s">
        <v>8608</v>
      </c>
      <c r="K2327" t="s">
        <v>229</v>
      </c>
      <c r="L2327" t="s">
        <v>8609</v>
      </c>
      <c r="M2327" t="s">
        <v>8610</v>
      </c>
      <c r="P2327" s="18" t="s">
        <v>8653</v>
      </c>
    </row>
    <row r="2328" spans="1:16" x14ac:dyDescent="0.35">
      <c r="A2328" t="s">
        <v>8520</v>
      </c>
      <c r="F2328">
        <v>5</v>
      </c>
      <c r="G2328" t="s">
        <v>8607</v>
      </c>
      <c r="H2328">
        <v>28</v>
      </c>
      <c r="I2328" t="s">
        <v>8134</v>
      </c>
      <c r="J2328" s="5" t="s">
        <v>8612</v>
      </c>
      <c r="K2328" t="s">
        <v>229</v>
      </c>
      <c r="L2328" t="s">
        <v>8613</v>
      </c>
      <c r="M2328" t="s">
        <v>8614</v>
      </c>
      <c r="P2328" s="18" t="s">
        <v>8615</v>
      </c>
    </row>
    <row r="2329" spans="1:16" x14ac:dyDescent="0.35">
      <c r="A2329" t="s">
        <v>8520</v>
      </c>
      <c r="F2329">
        <v>5</v>
      </c>
      <c r="G2329" t="s">
        <v>8607</v>
      </c>
      <c r="H2329">
        <v>29</v>
      </c>
      <c r="I2329" t="s">
        <v>8140</v>
      </c>
      <c r="J2329" s="5" t="s">
        <v>8616</v>
      </c>
      <c r="K2329" t="s">
        <v>229</v>
      </c>
      <c r="L2329" t="s">
        <v>7927</v>
      </c>
      <c r="M2329" t="s">
        <v>8617</v>
      </c>
      <c r="P2329" s="18">
        <v>2824100</v>
      </c>
    </row>
    <row r="2330" spans="1:16" x14ac:dyDescent="0.35">
      <c r="A2330" t="s">
        <v>8520</v>
      </c>
      <c r="F2330">
        <v>5</v>
      </c>
      <c r="G2330" t="s">
        <v>8607</v>
      </c>
      <c r="H2330">
        <v>30</v>
      </c>
      <c r="I2330" t="s">
        <v>8146</v>
      </c>
      <c r="J2330" s="5" t="s">
        <v>8618</v>
      </c>
      <c r="K2330" t="s">
        <v>8619</v>
      </c>
      <c r="L2330" t="s">
        <v>8620</v>
      </c>
      <c r="M2330" t="s">
        <v>8621</v>
      </c>
      <c r="P2330" s="21">
        <v>96603291</v>
      </c>
    </row>
    <row r="2331" spans="1:16" x14ac:dyDescent="0.35">
      <c r="A2331" t="s">
        <v>8520</v>
      </c>
      <c r="F2331">
        <v>5</v>
      </c>
      <c r="G2331" t="s">
        <v>8607</v>
      </c>
      <c r="H2331">
        <v>31</v>
      </c>
      <c r="I2331" t="s">
        <v>8080</v>
      </c>
      <c r="J2331" s="5" t="s">
        <v>8622</v>
      </c>
      <c r="K2331" t="s">
        <v>241</v>
      </c>
      <c r="L2331" t="s">
        <v>8623</v>
      </c>
      <c r="M2331" t="s">
        <v>8624</v>
      </c>
      <c r="P2331" s="21">
        <v>728257</v>
      </c>
    </row>
    <row r="2332" spans="1:16" x14ac:dyDescent="0.35">
      <c r="A2332" t="s">
        <v>8520</v>
      </c>
      <c r="F2332">
        <v>5</v>
      </c>
      <c r="G2332" t="s">
        <v>8607</v>
      </c>
      <c r="H2332">
        <v>32</v>
      </c>
      <c r="I2332" t="s">
        <v>8086</v>
      </c>
      <c r="J2332" s="5" t="s">
        <v>8625</v>
      </c>
      <c r="K2332" t="s">
        <v>229</v>
      </c>
      <c r="L2332" t="s">
        <v>8626</v>
      </c>
      <c r="M2332" t="s">
        <v>8627</v>
      </c>
      <c r="P2332" s="18" t="s">
        <v>8628</v>
      </c>
    </row>
    <row r="2333" spans="1:16" x14ac:dyDescent="0.35">
      <c r="A2333" t="s">
        <v>8520</v>
      </c>
      <c r="F2333">
        <v>5</v>
      </c>
      <c r="G2333" t="s">
        <v>8607</v>
      </c>
      <c r="H2333">
        <v>33</v>
      </c>
      <c r="I2333" t="s">
        <v>8092</v>
      </c>
      <c r="J2333" s="5" t="s">
        <v>8629</v>
      </c>
      <c r="K2333" t="s">
        <v>229</v>
      </c>
      <c r="L2333" t="s">
        <v>8630</v>
      </c>
      <c r="M2333" t="s">
        <v>8631</v>
      </c>
    </row>
    <row r="2334" spans="1:16" x14ac:dyDescent="0.35">
      <c r="A2334" t="s">
        <v>8520</v>
      </c>
      <c r="F2334">
        <v>5</v>
      </c>
      <c r="G2334" t="s">
        <v>8607</v>
      </c>
      <c r="H2334">
        <v>34</v>
      </c>
      <c r="I2334" t="s">
        <v>8098</v>
      </c>
      <c r="J2334" s="5" t="s">
        <v>8633</v>
      </c>
      <c r="K2334" t="s">
        <v>4735</v>
      </c>
      <c r="L2334" t="s">
        <v>8634</v>
      </c>
      <c r="M2334" t="s">
        <v>8635</v>
      </c>
      <c r="P2334" s="18" t="s">
        <v>8632</v>
      </c>
    </row>
    <row r="2335" spans="1:16" hidden="1" x14ac:dyDescent="0.35">
      <c r="A2335" t="s">
        <v>8651</v>
      </c>
      <c r="F2335">
        <v>5</v>
      </c>
      <c r="G2335" t="s">
        <v>8607</v>
      </c>
      <c r="H2335">
        <v>35</v>
      </c>
      <c r="I2335" t="s">
        <v>8104</v>
      </c>
      <c r="J2335" s="5" t="s">
        <v>8637</v>
      </c>
      <c r="K2335" t="s">
        <v>229</v>
      </c>
      <c r="L2335" t="s">
        <v>8638</v>
      </c>
      <c r="M2335" t="s">
        <v>8639</v>
      </c>
      <c r="P2335" s="18" t="s">
        <v>8652</v>
      </c>
    </row>
    <row r="2336" spans="1:16" x14ac:dyDescent="0.35">
      <c r="A2336" t="s">
        <v>8520</v>
      </c>
      <c r="F2336">
        <v>5</v>
      </c>
      <c r="G2336" t="s">
        <v>8607</v>
      </c>
      <c r="H2336">
        <v>36</v>
      </c>
      <c r="I2336" t="s">
        <v>8110</v>
      </c>
      <c r="J2336" s="5" t="s">
        <v>8640</v>
      </c>
      <c r="K2336" t="s">
        <v>241</v>
      </c>
      <c r="L2336" t="s">
        <v>8641</v>
      </c>
      <c r="M2336" t="s">
        <v>8642</v>
      </c>
      <c r="P2336" s="21">
        <v>438964</v>
      </c>
    </row>
    <row r="2337" spans="1:16" x14ac:dyDescent="0.35">
      <c r="A2337" t="s">
        <v>8520</v>
      </c>
      <c r="F2337">
        <v>5</v>
      </c>
      <c r="G2337" t="s">
        <v>8607</v>
      </c>
      <c r="H2337">
        <v>37</v>
      </c>
      <c r="I2337" t="s">
        <v>8116</v>
      </c>
      <c r="J2337" s="5" t="s">
        <v>8643</v>
      </c>
      <c r="K2337" t="s">
        <v>241</v>
      </c>
      <c r="L2337" t="s">
        <v>8644</v>
      </c>
      <c r="M2337" t="s">
        <v>8645</v>
      </c>
      <c r="P2337" s="18">
        <v>0</v>
      </c>
    </row>
    <row r="2338" spans="1:16" x14ac:dyDescent="0.35">
      <c r="A2338" t="s">
        <v>8520</v>
      </c>
      <c r="F2338">
        <v>5</v>
      </c>
      <c r="G2338" t="s">
        <v>8607</v>
      </c>
      <c r="H2338">
        <v>38</v>
      </c>
      <c r="I2338" t="s">
        <v>8122</v>
      </c>
      <c r="J2338" s="5" t="s">
        <v>8646</v>
      </c>
      <c r="K2338" t="s">
        <v>241</v>
      </c>
      <c r="L2338" t="s">
        <v>8647</v>
      </c>
      <c r="M2338" t="s">
        <v>8648</v>
      </c>
      <c r="P2338" s="21">
        <v>289293</v>
      </c>
    </row>
    <row r="2339" spans="1:16" x14ac:dyDescent="0.35">
      <c r="A2339" t="s">
        <v>8520</v>
      </c>
      <c r="F2339">
        <v>5</v>
      </c>
      <c r="G2339" t="s">
        <v>8607</v>
      </c>
      <c r="H2339">
        <v>27</v>
      </c>
      <c r="I2339" t="s">
        <v>8128</v>
      </c>
      <c r="J2339" s="5" t="s">
        <v>8608</v>
      </c>
      <c r="K2339" t="s">
        <v>229</v>
      </c>
      <c r="L2339" t="s">
        <v>8609</v>
      </c>
      <c r="M2339" t="s">
        <v>8610</v>
      </c>
      <c r="P2339" s="18" t="s">
        <v>8654</v>
      </c>
    </row>
    <row r="2340" spans="1:16" x14ac:dyDescent="0.35">
      <c r="A2340" t="s">
        <v>8520</v>
      </c>
      <c r="F2340">
        <v>5</v>
      </c>
      <c r="G2340" t="s">
        <v>8607</v>
      </c>
      <c r="H2340">
        <v>28</v>
      </c>
      <c r="I2340" t="s">
        <v>8134</v>
      </c>
      <c r="J2340" s="5" t="s">
        <v>8612</v>
      </c>
      <c r="K2340" t="s">
        <v>229</v>
      </c>
      <c r="L2340" t="s">
        <v>8613</v>
      </c>
      <c r="M2340" t="s">
        <v>8614</v>
      </c>
      <c r="P2340" s="18" t="s">
        <v>8615</v>
      </c>
    </row>
    <row r="2341" spans="1:16" x14ac:dyDescent="0.35">
      <c r="A2341" t="s">
        <v>8520</v>
      </c>
      <c r="F2341">
        <v>5</v>
      </c>
      <c r="G2341" t="s">
        <v>8607</v>
      </c>
      <c r="H2341">
        <v>29</v>
      </c>
      <c r="I2341" t="s">
        <v>8140</v>
      </c>
      <c r="J2341" s="5" t="s">
        <v>8616</v>
      </c>
      <c r="K2341" t="s">
        <v>229</v>
      </c>
      <c r="L2341" t="s">
        <v>7927</v>
      </c>
      <c r="M2341" t="s">
        <v>8617</v>
      </c>
      <c r="P2341" s="18" t="s">
        <v>8655</v>
      </c>
    </row>
    <row r="2342" spans="1:16" x14ac:dyDescent="0.35">
      <c r="A2342" t="s">
        <v>8520</v>
      </c>
      <c r="F2342">
        <v>5</v>
      </c>
      <c r="G2342" t="s">
        <v>8607</v>
      </c>
      <c r="H2342">
        <v>30</v>
      </c>
      <c r="I2342" t="s">
        <v>8146</v>
      </c>
      <c r="J2342" s="5" t="s">
        <v>8618</v>
      </c>
      <c r="K2342" t="s">
        <v>8619</v>
      </c>
      <c r="L2342" t="s">
        <v>8620</v>
      </c>
      <c r="M2342" t="s">
        <v>8621</v>
      </c>
      <c r="P2342" s="21">
        <v>66521343</v>
      </c>
    </row>
    <row r="2343" spans="1:16" x14ac:dyDescent="0.35">
      <c r="A2343" t="s">
        <v>8520</v>
      </c>
      <c r="F2343">
        <v>5</v>
      </c>
      <c r="G2343" t="s">
        <v>8607</v>
      </c>
      <c r="H2343">
        <v>31</v>
      </c>
      <c r="I2343" t="s">
        <v>8080</v>
      </c>
      <c r="J2343" s="5" t="s">
        <v>8622</v>
      </c>
      <c r="K2343" t="s">
        <v>241</v>
      </c>
      <c r="L2343" t="s">
        <v>8623</v>
      </c>
      <c r="M2343" t="s">
        <v>8624</v>
      </c>
      <c r="P2343" s="21">
        <v>317494</v>
      </c>
    </row>
    <row r="2344" spans="1:16" x14ac:dyDescent="0.35">
      <c r="A2344" t="s">
        <v>8520</v>
      </c>
      <c r="F2344">
        <v>5</v>
      </c>
      <c r="G2344" t="s">
        <v>8607</v>
      </c>
      <c r="H2344">
        <v>32</v>
      </c>
      <c r="I2344" t="s">
        <v>8086</v>
      </c>
      <c r="J2344" s="5" t="s">
        <v>8625</v>
      </c>
      <c r="K2344" t="s">
        <v>229</v>
      </c>
      <c r="L2344" t="s">
        <v>8626</v>
      </c>
      <c r="M2344" t="s">
        <v>8627</v>
      </c>
      <c r="P2344" s="18" t="s">
        <v>8628</v>
      </c>
    </row>
    <row r="2345" spans="1:16" x14ac:dyDescent="0.35">
      <c r="A2345" t="s">
        <v>8520</v>
      </c>
      <c r="F2345">
        <v>5</v>
      </c>
      <c r="G2345" t="s">
        <v>8607</v>
      </c>
      <c r="H2345">
        <v>33</v>
      </c>
      <c r="I2345" t="s">
        <v>8092</v>
      </c>
      <c r="J2345" s="5" t="s">
        <v>8629</v>
      </c>
      <c r="K2345" t="s">
        <v>229</v>
      </c>
      <c r="L2345" t="s">
        <v>8630</v>
      </c>
      <c r="M2345" t="s">
        <v>8631</v>
      </c>
    </row>
    <row r="2346" spans="1:16" x14ac:dyDescent="0.35">
      <c r="A2346" t="s">
        <v>8520</v>
      </c>
      <c r="F2346">
        <v>5</v>
      </c>
      <c r="G2346" t="s">
        <v>8607</v>
      </c>
      <c r="H2346">
        <v>34</v>
      </c>
      <c r="I2346" t="s">
        <v>8098</v>
      </c>
      <c r="J2346" s="5" t="s">
        <v>8633</v>
      </c>
      <c r="K2346" t="s">
        <v>4735</v>
      </c>
      <c r="L2346" t="s">
        <v>8634</v>
      </c>
      <c r="M2346" t="s">
        <v>8635</v>
      </c>
      <c r="P2346" s="18" t="s">
        <v>8632</v>
      </c>
    </row>
    <row r="2347" spans="1:16" hidden="1" x14ac:dyDescent="0.35">
      <c r="A2347" t="s">
        <v>8651</v>
      </c>
      <c r="F2347">
        <v>5</v>
      </c>
      <c r="G2347" t="s">
        <v>8607</v>
      </c>
      <c r="H2347">
        <v>35</v>
      </c>
      <c r="I2347" t="s">
        <v>8104</v>
      </c>
      <c r="J2347" s="5" t="s">
        <v>8637</v>
      </c>
      <c r="K2347" t="s">
        <v>229</v>
      </c>
      <c r="L2347" t="s">
        <v>8638</v>
      </c>
      <c r="M2347" t="s">
        <v>8639</v>
      </c>
      <c r="P2347" s="18" t="s">
        <v>8652</v>
      </c>
    </row>
    <row r="2348" spans="1:16" x14ac:dyDescent="0.35">
      <c r="A2348" t="s">
        <v>8520</v>
      </c>
      <c r="F2348">
        <v>5</v>
      </c>
      <c r="G2348" t="s">
        <v>8607</v>
      </c>
      <c r="H2348">
        <v>36</v>
      </c>
      <c r="I2348" t="s">
        <v>8110</v>
      </c>
      <c r="J2348" s="5" t="s">
        <v>8640</v>
      </c>
      <c r="K2348" t="s">
        <v>241</v>
      </c>
      <c r="L2348" t="s">
        <v>8641</v>
      </c>
      <c r="M2348" t="s">
        <v>8642</v>
      </c>
      <c r="P2348" s="21">
        <v>156537</v>
      </c>
    </row>
    <row r="2349" spans="1:16" x14ac:dyDescent="0.35">
      <c r="A2349" t="s">
        <v>8520</v>
      </c>
      <c r="F2349">
        <v>5</v>
      </c>
      <c r="G2349" t="s">
        <v>8607</v>
      </c>
      <c r="H2349">
        <v>37</v>
      </c>
      <c r="I2349" t="s">
        <v>8116</v>
      </c>
      <c r="J2349" s="5" t="s">
        <v>8643</v>
      </c>
      <c r="K2349" t="s">
        <v>241</v>
      </c>
      <c r="L2349" t="s">
        <v>8644</v>
      </c>
      <c r="M2349" t="s">
        <v>8645</v>
      </c>
      <c r="P2349" s="18">
        <v>0</v>
      </c>
    </row>
    <row r="2350" spans="1:16" x14ac:dyDescent="0.35">
      <c r="A2350" t="s">
        <v>8520</v>
      </c>
      <c r="F2350">
        <v>5</v>
      </c>
      <c r="G2350" t="s">
        <v>8607</v>
      </c>
      <c r="H2350">
        <v>38</v>
      </c>
      <c r="I2350" t="s">
        <v>8122</v>
      </c>
      <c r="J2350" s="5" t="s">
        <v>8646</v>
      </c>
      <c r="K2350" t="s">
        <v>241</v>
      </c>
      <c r="L2350" t="s">
        <v>8647</v>
      </c>
      <c r="M2350" t="s">
        <v>8648</v>
      </c>
      <c r="P2350" s="21">
        <v>160957</v>
      </c>
    </row>
    <row r="2351" spans="1:16" x14ac:dyDescent="0.35">
      <c r="A2351" t="s">
        <v>8520</v>
      </c>
      <c r="F2351">
        <v>5</v>
      </c>
      <c r="G2351" t="s">
        <v>8607</v>
      </c>
      <c r="H2351">
        <v>27</v>
      </c>
      <c r="I2351" t="s">
        <v>8128</v>
      </c>
      <c r="J2351" s="5" t="s">
        <v>8608</v>
      </c>
      <c r="K2351" t="s">
        <v>229</v>
      </c>
      <c r="L2351" t="s">
        <v>8609</v>
      </c>
      <c r="M2351" t="s">
        <v>8610</v>
      </c>
      <c r="P2351" s="18" t="s">
        <v>8656</v>
      </c>
    </row>
    <row r="2352" spans="1:16" x14ac:dyDescent="0.35">
      <c r="A2352" t="s">
        <v>8520</v>
      </c>
      <c r="F2352">
        <v>5</v>
      </c>
      <c r="G2352" t="s">
        <v>8607</v>
      </c>
      <c r="H2352">
        <v>28</v>
      </c>
      <c r="I2352" t="s">
        <v>8134</v>
      </c>
      <c r="J2352" s="5" t="s">
        <v>8612</v>
      </c>
      <c r="K2352" t="s">
        <v>229</v>
      </c>
      <c r="L2352" t="s">
        <v>8613</v>
      </c>
      <c r="M2352" t="s">
        <v>8614</v>
      </c>
      <c r="P2352" s="18" t="s">
        <v>8615</v>
      </c>
    </row>
    <row r="2353" spans="1:16" x14ac:dyDescent="0.35">
      <c r="A2353" t="s">
        <v>8520</v>
      </c>
      <c r="F2353">
        <v>5</v>
      </c>
      <c r="G2353" t="s">
        <v>8607</v>
      </c>
      <c r="H2353">
        <v>29</v>
      </c>
      <c r="I2353" t="s">
        <v>8140</v>
      </c>
      <c r="J2353" s="5" t="s">
        <v>8616</v>
      </c>
      <c r="K2353" t="s">
        <v>229</v>
      </c>
      <c r="L2353" t="s">
        <v>7927</v>
      </c>
      <c r="M2353" t="s">
        <v>8617</v>
      </c>
      <c r="P2353" s="18" t="s">
        <v>8657</v>
      </c>
    </row>
    <row r="2354" spans="1:16" x14ac:dyDescent="0.35">
      <c r="A2354" t="s">
        <v>8520</v>
      </c>
      <c r="F2354">
        <v>5</v>
      </c>
      <c r="G2354" t="s">
        <v>8607</v>
      </c>
      <c r="H2354">
        <v>30</v>
      </c>
      <c r="I2354" t="s">
        <v>8146</v>
      </c>
      <c r="J2354" s="5" t="s">
        <v>8618</v>
      </c>
      <c r="K2354" t="s">
        <v>8619</v>
      </c>
      <c r="L2354" t="s">
        <v>8620</v>
      </c>
      <c r="M2354" t="s">
        <v>8621</v>
      </c>
      <c r="P2354" s="21">
        <v>3118866</v>
      </c>
    </row>
    <row r="2355" spans="1:16" x14ac:dyDescent="0.35">
      <c r="A2355" t="s">
        <v>8520</v>
      </c>
      <c r="F2355">
        <v>5</v>
      </c>
      <c r="G2355" t="s">
        <v>8607</v>
      </c>
      <c r="H2355">
        <v>31</v>
      </c>
      <c r="I2355" t="s">
        <v>8080</v>
      </c>
      <c r="J2355" s="5" t="s">
        <v>8622</v>
      </c>
      <c r="K2355" t="s">
        <v>241</v>
      </c>
      <c r="L2355" t="s">
        <v>8623</v>
      </c>
      <c r="M2355" t="s">
        <v>8624</v>
      </c>
      <c r="P2355" s="21">
        <v>8132</v>
      </c>
    </row>
    <row r="2356" spans="1:16" x14ac:dyDescent="0.35">
      <c r="A2356" t="s">
        <v>8520</v>
      </c>
      <c r="F2356">
        <v>5</v>
      </c>
      <c r="G2356" t="s">
        <v>8607</v>
      </c>
      <c r="H2356">
        <v>32</v>
      </c>
      <c r="I2356" t="s">
        <v>8086</v>
      </c>
      <c r="J2356" s="5" t="s">
        <v>8625</v>
      </c>
      <c r="K2356" t="s">
        <v>229</v>
      </c>
      <c r="L2356" t="s">
        <v>8626</v>
      </c>
      <c r="M2356" t="s">
        <v>8627</v>
      </c>
      <c r="P2356" s="18" t="s">
        <v>8628</v>
      </c>
    </row>
    <row r="2357" spans="1:16" x14ac:dyDescent="0.35">
      <c r="A2357" t="s">
        <v>8520</v>
      </c>
      <c r="F2357">
        <v>5</v>
      </c>
      <c r="G2357" t="s">
        <v>8607</v>
      </c>
      <c r="H2357">
        <v>33</v>
      </c>
      <c r="I2357" t="s">
        <v>8092</v>
      </c>
      <c r="J2357" s="5" t="s">
        <v>8629</v>
      </c>
      <c r="K2357" t="s">
        <v>229</v>
      </c>
      <c r="L2357" t="s">
        <v>8630</v>
      </c>
      <c r="M2357" t="s">
        <v>8631</v>
      </c>
    </row>
    <row r="2358" spans="1:16" x14ac:dyDescent="0.35">
      <c r="A2358" t="s">
        <v>8520</v>
      </c>
      <c r="F2358">
        <v>5</v>
      </c>
      <c r="G2358" t="s">
        <v>8607</v>
      </c>
      <c r="H2358">
        <v>34</v>
      </c>
      <c r="I2358" t="s">
        <v>8098</v>
      </c>
      <c r="J2358" s="5" t="s">
        <v>8633</v>
      </c>
      <c r="K2358" t="s">
        <v>4735</v>
      </c>
      <c r="L2358" t="s">
        <v>8634</v>
      </c>
      <c r="M2358" t="s">
        <v>8635</v>
      </c>
      <c r="P2358" s="18" t="s">
        <v>8632</v>
      </c>
    </row>
    <row r="2359" spans="1:16" hidden="1" x14ac:dyDescent="0.35">
      <c r="A2359" t="s">
        <v>8651</v>
      </c>
      <c r="F2359">
        <v>5</v>
      </c>
      <c r="G2359" t="s">
        <v>8607</v>
      </c>
      <c r="H2359">
        <v>35</v>
      </c>
      <c r="I2359" t="s">
        <v>8104</v>
      </c>
      <c r="J2359" s="5" t="s">
        <v>8637</v>
      </c>
      <c r="K2359" t="s">
        <v>229</v>
      </c>
      <c r="L2359" t="s">
        <v>8638</v>
      </c>
      <c r="M2359" t="s">
        <v>8639</v>
      </c>
      <c r="P2359" s="18" t="s">
        <v>8652</v>
      </c>
    </row>
    <row r="2360" spans="1:16" x14ac:dyDescent="0.35">
      <c r="A2360" t="s">
        <v>8520</v>
      </c>
      <c r="F2360">
        <v>5</v>
      </c>
      <c r="G2360" t="s">
        <v>8607</v>
      </c>
      <c r="H2360">
        <v>36</v>
      </c>
      <c r="I2360" t="s">
        <v>8110</v>
      </c>
      <c r="J2360" s="5" t="s">
        <v>8640</v>
      </c>
      <c r="K2360" t="s">
        <v>241</v>
      </c>
      <c r="L2360" t="s">
        <v>8641</v>
      </c>
      <c r="M2360" t="s">
        <v>8642</v>
      </c>
      <c r="P2360" s="18">
        <v>0</v>
      </c>
    </row>
    <row r="2361" spans="1:16" x14ac:dyDescent="0.35">
      <c r="A2361" t="s">
        <v>8520</v>
      </c>
      <c r="F2361">
        <v>5</v>
      </c>
      <c r="G2361" t="s">
        <v>8607</v>
      </c>
      <c r="H2361">
        <v>37</v>
      </c>
      <c r="I2361" t="s">
        <v>8116</v>
      </c>
      <c r="J2361" s="5" t="s">
        <v>8643</v>
      </c>
      <c r="K2361" t="s">
        <v>241</v>
      </c>
      <c r="L2361" t="s">
        <v>8644</v>
      </c>
      <c r="M2361" t="s">
        <v>8645</v>
      </c>
      <c r="P2361" s="18">
        <v>0</v>
      </c>
    </row>
    <row r="2362" spans="1:16" x14ac:dyDescent="0.35">
      <c r="A2362" t="s">
        <v>8520</v>
      </c>
      <c r="F2362">
        <v>5</v>
      </c>
      <c r="G2362" t="s">
        <v>8607</v>
      </c>
      <c r="H2362">
        <v>38</v>
      </c>
      <c r="I2362" t="s">
        <v>8122</v>
      </c>
      <c r="J2362" s="5" t="s">
        <v>8646</v>
      </c>
      <c r="K2362" t="s">
        <v>241</v>
      </c>
      <c r="L2362" t="s">
        <v>8647</v>
      </c>
      <c r="M2362" t="s">
        <v>8648</v>
      </c>
      <c r="P2362" s="21">
        <v>8132</v>
      </c>
    </row>
    <row r="2363" spans="1:16" x14ac:dyDescent="0.35">
      <c r="A2363" t="s">
        <v>8520</v>
      </c>
      <c r="F2363">
        <v>5</v>
      </c>
      <c r="G2363" t="s">
        <v>8607</v>
      </c>
      <c r="H2363">
        <v>27</v>
      </c>
      <c r="I2363" t="s">
        <v>8128</v>
      </c>
      <c r="J2363" s="5" t="s">
        <v>8608</v>
      </c>
      <c r="K2363" t="s">
        <v>229</v>
      </c>
      <c r="L2363" t="s">
        <v>8609</v>
      </c>
      <c r="M2363" t="s">
        <v>8610</v>
      </c>
      <c r="P2363" s="18" t="s">
        <v>8658</v>
      </c>
    </row>
    <row r="2364" spans="1:16" x14ac:dyDescent="0.35">
      <c r="A2364" t="s">
        <v>8520</v>
      </c>
      <c r="F2364">
        <v>5</v>
      </c>
      <c r="G2364" t="s">
        <v>8607</v>
      </c>
      <c r="H2364">
        <v>28</v>
      </c>
      <c r="I2364" t="s">
        <v>8134</v>
      </c>
      <c r="J2364" s="5" t="s">
        <v>8612</v>
      </c>
      <c r="K2364" t="s">
        <v>229</v>
      </c>
      <c r="L2364" t="s">
        <v>8613</v>
      </c>
      <c r="M2364" t="s">
        <v>8614</v>
      </c>
      <c r="P2364" s="18" t="s">
        <v>8615</v>
      </c>
    </row>
    <row r="2365" spans="1:16" x14ac:dyDescent="0.35">
      <c r="A2365" t="s">
        <v>8520</v>
      </c>
      <c r="F2365">
        <v>5</v>
      </c>
      <c r="G2365" t="s">
        <v>8607</v>
      </c>
      <c r="H2365">
        <v>29</v>
      </c>
      <c r="I2365" t="s">
        <v>8140</v>
      </c>
      <c r="J2365" s="5" t="s">
        <v>8616</v>
      </c>
      <c r="K2365" t="s">
        <v>229</v>
      </c>
      <c r="L2365" t="s">
        <v>7927</v>
      </c>
      <c r="M2365" t="s">
        <v>8617</v>
      </c>
      <c r="P2365" s="18" t="s">
        <v>8659</v>
      </c>
    </row>
    <row r="2366" spans="1:16" x14ac:dyDescent="0.35">
      <c r="A2366" t="s">
        <v>8520</v>
      </c>
      <c r="F2366">
        <v>5</v>
      </c>
      <c r="G2366" t="s">
        <v>8607</v>
      </c>
      <c r="H2366">
        <v>30</v>
      </c>
      <c r="I2366" t="s">
        <v>8146</v>
      </c>
      <c r="J2366" s="5" t="s">
        <v>8618</v>
      </c>
      <c r="K2366" t="s">
        <v>8619</v>
      </c>
      <c r="L2366" t="s">
        <v>8620</v>
      </c>
      <c r="M2366" t="s">
        <v>8621</v>
      </c>
      <c r="P2366" s="21">
        <v>336069</v>
      </c>
    </row>
    <row r="2367" spans="1:16" x14ac:dyDescent="0.35">
      <c r="A2367" t="s">
        <v>8520</v>
      </c>
      <c r="F2367">
        <v>5</v>
      </c>
      <c r="G2367" t="s">
        <v>8607</v>
      </c>
      <c r="H2367">
        <v>31</v>
      </c>
      <c r="I2367" t="s">
        <v>8080</v>
      </c>
      <c r="J2367" s="5" t="s">
        <v>8622</v>
      </c>
      <c r="K2367" t="s">
        <v>241</v>
      </c>
      <c r="L2367" t="s">
        <v>8623</v>
      </c>
      <c r="M2367" t="s">
        <v>8624</v>
      </c>
      <c r="P2367" s="21">
        <v>8571</v>
      </c>
    </row>
    <row r="2368" spans="1:16" x14ac:dyDescent="0.35">
      <c r="A2368" t="s">
        <v>8520</v>
      </c>
      <c r="F2368">
        <v>5</v>
      </c>
      <c r="G2368" t="s">
        <v>8607</v>
      </c>
      <c r="H2368">
        <v>32</v>
      </c>
      <c r="I2368" t="s">
        <v>8086</v>
      </c>
      <c r="J2368" s="5" t="s">
        <v>8625</v>
      </c>
      <c r="K2368" t="s">
        <v>229</v>
      </c>
      <c r="L2368" t="s">
        <v>8626</v>
      </c>
      <c r="M2368" t="s">
        <v>8627</v>
      </c>
      <c r="P2368" s="18" t="s">
        <v>8628</v>
      </c>
    </row>
    <row r="2369" spans="1:16" x14ac:dyDescent="0.35">
      <c r="A2369" t="s">
        <v>8520</v>
      </c>
      <c r="F2369">
        <v>5</v>
      </c>
      <c r="G2369" t="s">
        <v>8607</v>
      </c>
      <c r="H2369">
        <v>33</v>
      </c>
      <c r="I2369" t="s">
        <v>8092</v>
      </c>
      <c r="J2369" s="5" t="s">
        <v>8629</v>
      </c>
      <c r="K2369" t="s">
        <v>229</v>
      </c>
      <c r="L2369" t="s">
        <v>8630</v>
      </c>
      <c r="M2369" t="s">
        <v>8631</v>
      </c>
    </row>
    <row r="2370" spans="1:16" x14ac:dyDescent="0.35">
      <c r="A2370" t="s">
        <v>8520</v>
      </c>
      <c r="F2370">
        <v>5</v>
      </c>
      <c r="G2370" t="s">
        <v>8607</v>
      </c>
      <c r="H2370">
        <v>34</v>
      </c>
      <c r="I2370" t="s">
        <v>8098</v>
      </c>
      <c r="J2370" s="5" t="s">
        <v>8633</v>
      </c>
      <c r="K2370" t="s">
        <v>4735</v>
      </c>
      <c r="L2370" t="s">
        <v>8634</v>
      </c>
      <c r="M2370" t="s">
        <v>8635</v>
      </c>
      <c r="P2370" s="18" t="s">
        <v>8632</v>
      </c>
    </row>
    <row r="2371" spans="1:16" hidden="1" x14ac:dyDescent="0.35">
      <c r="A2371" t="s">
        <v>8651</v>
      </c>
      <c r="F2371">
        <v>5</v>
      </c>
      <c r="G2371" t="s">
        <v>8607</v>
      </c>
      <c r="H2371">
        <v>35</v>
      </c>
      <c r="I2371" t="s">
        <v>8104</v>
      </c>
      <c r="J2371" s="5" t="s">
        <v>8637</v>
      </c>
      <c r="K2371" t="s">
        <v>229</v>
      </c>
      <c r="L2371" t="s">
        <v>8638</v>
      </c>
      <c r="M2371" t="s">
        <v>8639</v>
      </c>
      <c r="P2371" s="18" t="s">
        <v>8652</v>
      </c>
    </row>
    <row r="2372" spans="1:16" x14ac:dyDescent="0.35">
      <c r="A2372" t="s">
        <v>8520</v>
      </c>
      <c r="F2372">
        <v>5</v>
      </c>
      <c r="G2372" t="s">
        <v>8607</v>
      </c>
      <c r="H2372">
        <v>36</v>
      </c>
      <c r="I2372" t="s">
        <v>8110</v>
      </c>
      <c r="J2372" s="5" t="s">
        <v>8640</v>
      </c>
      <c r="K2372" t="s">
        <v>241</v>
      </c>
      <c r="L2372" t="s">
        <v>8641</v>
      </c>
      <c r="M2372" t="s">
        <v>8642</v>
      </c>
      <c r="P2372" s="18">
        <v>0</v>
      </c>
    </row>
    <row r="2373" spans="1:16" x14ac:dyDescent="0.35">
      <c r="A2373" t="s">
        <v>8520</v>
      </c>
      <c r="F2373">
        <v>5</v>
      </c>
      <c r="G2373" t="s">
        <v>8607</v>
      </c>
      <c r="H2373">
        <v>37</v>
      </c>
      <c r="I2373" t="s">
        <v>8116</v>
      </c>
      <c r="J2373" s="5" t="s">
        <v>8643</v>
      </c>
      <c r="K2373" t="s">
        <v>241</v>
      </c>
      <c r="L2373" t="s">
        <v>8644</v>
      </c>
      <c r="M2373" t="s">
        <v>8645</v>
      </c>
      <c r="P2373" s="18">
        <v>0</v>
      </c>
    </row>
    <row r="2374" spans="1:16" x14ac:dyDescent="0.35">
      <c r="A2374" t="s">
        <v>8520</v>
      </c>
      <c r="F2374">
        <v>5</v>
      </c>
      <c r="G2374" t="s">
        <v>8607</v>
      </c>
      <c r="H2374">
        <v>38</v>
      </c>
      <c r="I2374" t="s">
        <v>8122</v>
      </c>
      <c r="J2374" s="5" t="s">
        <v>8646</v>
      </c>
      <c r="K2374" t="s">
        <v>241</v>
      </c>
      <c r="L2374" t="s">
        <v>8647</v>
      </c>
      <c r="M2374" t="s">
        <v>8648</v>
      </c>
      <c r="P2374" s="21">
        <v>8571</v>
      </c>
    </row>
    <row r="2375" spans="1:16" x14ac:dyDescent="0.35">
      <c r="A2375" t="s">
        <v>8520</v>
      </c>
      <c r="F2375">
        <v>5</v>
      </c>
      <c r="G2375" t="s">
        <v>8607</v>
      </c>
      <c r="H2375">
        <v>27</v>
      </c>
      <c r="I2375" t="s">
        <v>8128</v>
      </c>
      <c r="J2375" s="5" t="s">
        <v>8608</v>
      </c>
      <c r="K2375" t="s">
        <v>229</v>
      </c>
      <c r="L2375" t="s">
        <v>8609</v>
      </c>
      <c r="M2375" t="s">
        <v>8610</v>
      </c>
      <c r="P2375" s="18" t="s">
        <v>8660</v>
      </c>
    </row>
    <row r="2376" spans="1:16" x14ac:dyDescent="0.35">
      <c r="A2376" t="s">
        <v>8520</v>
      </c>
      <c r="F2376">
        <v>5</v>
      </c>
      <c r="G2376" t="s">
        <v>8607</v>
      </c>
      <c r="H2376">
        <v>28</v>
      </c>
      <c r="I2376" t="s">
        <v>8134</v>
      </c>
      <c r="J2376" s="5" t="s">
        <v>8612</v>
      </c>
      <c r="K2376" t="s">
        <v>229</v>
      </c>
      <c r="L2376" t="s">
        <v>8613</v>
      </c>
      <c r="M2376" t="s">
        <v>8614</v>
      </c>
      <c r="P2376" s="18" t="s">
        <v>8661</v>
      </c>
    </row>
    <row r="2377" spans="1:16" x14ac:dyDescent="0.35">
      <c r="A2377" t="s">
        <v>8520</v>
      </c>
      <c r="F2377">
        <v>5</v>
      </c>
      <c r="G2377" t="s">
        <v>8607</v>
      </c>
      <c r="H2377">
        <v>29</v>
      </c>
      <c r="I2377" t="s">
        <v>8140</v>
      </c>
      <c r="J2377" s="5" t="s">
        <v>8616</v>
      </c>
      <c r="K2377" t="s">
        <v>229</v>
      </c>
      <c r="L2377" t="s">
        <v>7927</v>
      </c>
      <c r="M2377" t="s">
        <v>8617</v>
      </c>
      <c r="P2377" s="18">
        <v>9066101</v>
      </c>
    </row>
    <row r="2378" spans="1:16" x14ac:dyDescent="0.35">
      <c r="A2378" t="s">
        <v>8520</v>
      </c>
      <c r="F2378">
        <v>5</v>
      </c>
      <c r="G2378" t="s">
        <v>8607</v>
      </c>
      <c r="H2378">
        <v>30</v>
      </c>
      <c r="I2378" t="s">
        <v>8146</v>
      </c>
      <c r="J2378" s="5" t="s">
        <v>8618</v>
      </c>
      <c r="K2378" t="s">
        <v>8619</v>
      </c>
      <c r="L2378" t="s">
        <v>8620</v>
      </c>
      <c r="M2378" t="s">
        <v>8621</v>
      </c>
      <c r="P2378" s="21">
        <v>5613425</v>
      </c>
    </row>
    <row r="2379" spans="1:16" x14ac:dyDescent="0.35">
      <c r="A2379" t="s">
        <v>8520</v>
      </c>
      <c r="F2379">
        <v>5</v>
      </c>
      <c r="G2379" t="s">
        <v>8607</v>
      </c>
      <c r="H2379">
        <v>31</v>
      </c>
      <c r="I2379" t="s">
        <v>8080</v>
      </c>
      <c r="J2379" s="5" t="s">
        <v>8622</v>
      </c>
      <c r="K2379" t="s">
        <v>241</v>
      </c>
      <c r="L2379" t="s">
        <v>8623</v>
      </c>
      <c r="M2379" t="s">
        <v>8624</v>
      </c>
      <c r="P2379" s="21">
        <v>46990</v>
      </c>
    </row>
    <row r="2380" spans="1:16" x14ac:dyDescent="0.35">
      <c r="A2380" t="s">
        <v>8520</v>
      </c>
      <c r="F2380">
        <v>5</v>
      </c>
      <c r="G2380" t="s">
        <v>8607</v>
      </c>
      <c r="H2380">
        <v>32</v>
      </c>
      <c r="I2380" t="s">
        <v>8086</v>
      </c>
      <c r="J2380" s="5" t="s">
        <v>8625</v>
      </c>
      <c r="K2380" t="s">
        <v>229</v>
      </c>
      <c r="L2380" t="s">
        <v>8626</v>
      </c>
      <c r="M2380" t="s">
        <v>8627</v>
      </c>
      <c r="P2380" s="18" t="s">
        <v>8628</v>
      </c>
    </row>
    <row r="2381" spans="1:16" x14ac:dyDescent="0.35">
      <c r="A2381" t="s">
        <v>8520</v>
      </c>
      <c r="F2381">
        <v>5</v>
      </c>
      <c r="G2381" t="s">
        <v>8607</v>
      </c>
      <c r="H2381">
        <v>33</v>
      </c>
      <c r="I2381" t="s">
        <v>8092</v>
      </c>
      <c r="J2381" s="5" t="s">
        <v>8629</v>
      </c>
      <c r="K2381" t="s">
        <v>229</v>
      </c>
      <c r="L2381" t="s">
        <v>8630</v>
      </c>
      <c r="M2381" t="s">
        <v>8631</v>
      </c>
    </row>
    <row r="2382" spans="1:16" x14ac:dyDescent="0.35">
      <c r="A2382" t="s">
        <v>8520</v>
      </c>
      <c r="F2382">
        <v>5</v>
      </c>
      <c r="G2382" t="s">
        <v>8607</v>
      </c>
      <c r="H2382">
        <v>34</v>
      </c>
      <c r="I2382" t="s">
        <v>8098</v>
      </c>
      <c r="J2382" s="5" t="s">
        <v>8633</v>
      </c>
      <c r="K2382" t="s">
        <v>4735</v>
      </c>
      <c r="L2382" t="s">
        <v>8634</v>
      </c>
      <c r="M2382" t="s">
        <v>8635</v>
      </c>
      <c r="P2382" s="18" t="s">
        <v>8632</v>
      </c>
    </row>
    <row r="2383" spans="1:16" hidden="1" x14ac:dyDescent="0.35">
      <c r="A2383" t="s">
        <v>8651</v>
      </c>
      <c r="F2383">
        <v>5</v>
      </c>
      <c r="G2383" t="s">
        <v>8607</v>
      </c>
      <c r="H2383">
        <v>35</v>
      </c>
      <c r="I2383" t="s">
        <v>8104</v>
      </c>
      <c r="J2383" s="5" t="s">
        <v>8637</v>
      </c>
      <c r="K2383" t="s">
        <v>229</v>
      </c>
      <c r="L2383" t="s">
        <v>8638</v>
      </c>
      <c r="M2383" t="s">
        <v>8639</v>
      </c>
      <c r="P2383" s="18" t="s">
        <v>8652</v>
      </c>
    </row>
    <row r="2384" spans="1:16" x14ac:dyDescent="0.35">
      <c r="A2384" t="s">
        <v>8520</v>
      </c>
      <c r="F2384">
        <v>5</v>
      </c>
      <c r="G2384" t="s">
        <v>8607</v>
      </c>
      <c r="H2384">
        <v>36</v>
      </c>
      <c r="I2384" t="s">
        <v>8110</v>
      </c>
      <c r="J2384" s="5" t="s">
        <v>8640</v>
      </c>
      <c r="K2384" t="s">
        <v>241</v>
      </c>
      <c r="L2384" t="s">
        <v>8641</v>
      </c>
      <c r="M2384" t="s">
        <v>8642</v>
      </c>
      <c r="P2384" s="21">
        <v>45770</v>
      </c>
    </row>
    <row r="2385" spans="1:16" x14ac:dyDescent="0.35">
      <c r="A2385" t="s">
        <v>8520</v>
      </c>
      <c r="F2385">
        <v>5</v>
      </c>
      <c r="G2385" t="s">
        <v>8607</v>
      </c>
      <c r="H2385">
        <v>37</v>
      </c>
      <c r="I2385" t="s">
        <v>8116</v>
      </c>
      <c r="J2385" s="5" t="s">
        <v>8643</v>
      </c>
      <c r="K2385" t="s">
        <v>241</v>
      </c>
      <c r="L2385" t="s">
        <v>8644</v>
      </c>
      <c r="M2385" t="s">
        <v>8645</v>
      </c>
      <c r="P2385" s="18">
        <v>0</v>
      </c>
    </row>
    <row r="2386" spans="1:16" x14ac:dyDescent="0.35">
      <c r="A2386" t="s">
        <v>8520</v>
      </c>
      <c r="F2386">
        <v>5</v>
      </c>
      <c r="G2386" t="s">
        <v>8607</v>
      </c>
      <c r="H2386">
        <v>38</v>
      </c>
      <c r="I2386" t="s">
        <v>8122</v>
      </c>
      <c r="J2386" s="5" t="s">
        <v>8646</v>
      </c>
      <c r="K2386" t="s">
        <v>241</v>
      </c>
      <c r="L2386" t="s">
        <v>8647</v>
      </c>
      <c r="M2386" t="s">
        <v>8648</v>
      </c>
      <c r="P2386" s="21">
        <v>1220</v>
      </c>
    </row>
    <row r="2387" spans="1:16" x14ac:dyDescent="0.35">
      <c r="A2387" t="s">
        <v>8520</v>
      </c>
      <c r="F2387">
        <v>5</v>
      </c>
      <c r="G2387" t="s">
        <v>8607</v>
      </c>
      <c r="H2387">
        <v>27</v>
      </c>
      <c r="I2387" t="s">
        <v>8128</v>
      </c>
      <c r="J2387" s="5" t="s">
        <v>8608</v>
      </c>
      <c r="K2387" t="s">
        <v>229</v>
      </c>
      <c r="L2387" t="s">
        <v>8609</v>
      </c>
      <c r="M2387" t="s">
        <v>8610</v>
      </c>
      <c r="P2387" s="18" t="s">
        <v>8662</v>
      </c>
    </row>
    <row r="2388" spans="1:16" x14ac:dyDescent="0.35">
      <c r="A2388" t="s">
        <v>8520</v>
      </c>
      <c r="F2388">
        <v>5</v>
      </c>
      <c r="G2388" t="s">
        <v>8607</v>
      </c>
      <c r="H2388">
        <v>28</v>
      </c>
      <c r="I2388" t="s">
        <v>8134</v>
      </c>
      <c r="J2388" s="5" t="s">
        <v>8612</v>
      </c>
      <c r="K2388" t="s">
        <v>229</v>
      </c>
      <c r="L2388" t="s">
        <v>8613</v>
      </c>
      <c r="M2388" t="s">
        <v>8614</v>
      </c>
      <c r="P2388" s="18" t="s">
        <v>8615</v>
      </c>
    </row>
    <row r="2389" spans="1:16" x14ac:dyDescent="0.35">
      <c r="A2389" t="s">
        <v>8520</v>
      </c>
      <c r="F2389">
        <v>5</v>
      </c>
      <c r="G2389" t="s">
        <v>8607</v>
      </c>
      <c r="H2389">
        <v>29</v>
      </c>
      <c r="I2389" t="s">
        <v>8140</v>
      </c>
      <c r="J2389" s="5" t="s">
        <v>8616</v>
      </c>
      <c r="K2389" t="s">
        <v>229</v>
      </c>
      <c r="L2389" t="s">
        <v>7927</v>
      </c>
      <c r="M2389" t="s">
        <v>8617</v>
      </c>
      <c r="P2389" s="18">
        <v>9158106</v>
      </c>
    </row>
    <row r="2390" spans="1:16" x14ac:dyDescent="0.35">
      <c r="A2390" t="s">
        <v>8520</v>
      </c>
      <c r="F2390">
        <v>5</v>
      </c>
      <c r="G2390" t="s">
        <v>8607</v>
      </c>
      <c r="H2390">
        <v>30</v>
      </c>
      <c r="I2390" t="s">
        <v>8146</v>
      </c>
      <c r="J2390" s="5" t="s">
        <v>8618</v>
      </c>
      <c r="K2390" t="s">
        <v>8619</v>
      </c>
      <c r="L2390" t="s">
        <v>8620</v>
      </c>
      <c r="M2390" t="s">
        <v>8621</v>
      </c>
      <c r="P2390" s="21">
        <v>19351176</v>
      </c>
    </row>
    <row r="2391" spans="1:16" x14ac:dyDescent="0.35">
      <c r="A2391" t="s">
        <v>8520</v>
      </c>
      <c r="F2391">
        <v>5</v>
      </c>
      <c r="G2391" t="s">
        <v>8607</v>
      </c>
      <c r="H2391">
        <v>31</v>
      </c>
      <c r="I2391" t="s">
        <v>8080</v>
      </c>
      <c r="J2391" s="5" t="s">
        <v>8622</v>
      </c>
      <c r="K2391" t="s">
        <v>241</v>
      </c>
      <c r="L2391" t="s">
        <v>8623</v>
      </c>
      <c r="M2391" t="s">
        <v>8624</v>
      </c>
      <c r="P2391" s="21">
        <v>65615</v>
      </c>
    </row>
    <row r="2392" spans="1:16" x14ac:dyDescent="0.35">
      <c r="A2392" t="s">
        <v>8520</v>
      </c>
      <c r="F2392">
        <v>5</v>
      </c>
      <c r="G2392" t="s">
        <v>8607</v>
      </c>
      <c r="H2392">
        <v>32</v>
      </c>
      <c r="I2392" t="s">
        <v>8086</v>
      </c>
      <c r="J2392" s="5" t="s">
        <v>8625</v>
      </c>
      <c r="K2392" t="s">
        <v>229</v>
      </c>
      <c r="L2392" t="s">
        <v>8626</v>
      </c>
      <c r="M2392" t="s">
        <v>8627</v>
      </c>
      <c r="P2392" s="18" t="s">
        <v>8628</v>
      </c>
    </row>
    <row r="2393" spans="1:16" x14ac:dyDescent="0.35">
      <c r="A2393" t="s">
        <v>8520</v>
      </c>
      <c r="F2393">
        <v>5</v>
      </c>
      <c r="G2393" t="s">
        <v>8607</v>
      </c>
      <c r="H2393">
        <v>33</v>
      </c>
      <c r="I2393" t="s">
        <v>8092</v>
      </c>
      <c r="J2393" s="5" t="s">
        <v>8629</v>
      </c>
      <c r="K2393" t="s">
        <v>229</v>
      </c>
      <c r="L2393" t="s">
        <v>8630</v>
      </c>
      <c r="M2393" t="s">
        <v>8631</v>
      </c>
    </row>
    <row r="2394" spans="1:16" x14ac:dyDescent="0.35">
      <c r="A2394" t="s">
        <v>8520</v>
      </c>
      <c r="F2394">
        <v>5</v>
      </c>
      <c r="G2394" t="s">
        <v>8607</v>
      </c>
      <c r="H2394">
        <v>34</v>
      </c>
      <c r="I2394" t="s">
        <v>8098</v>
      </c>
      <c r="J2394" s="5" t="s">
        <v>8633</v>
      </c>
      <c r="K2394" t="s">
        <v>4735</v>
      </c>
      <c r="L2394" t="s">
        <v>8634</v>
      </c>
      <c r="M2394" t="s">
        <v>8635</v>
      </c>
      <c r="P2394" s="18" t="s">
        <v>8632</v>
      </c>
    </row>
    <row r="2395" spans="1:16" hidden="1" x14ac:dyDescent="0.35">
      <c r="A2395" t="s">
        <v>8651</v>
      </c>
      <c r="F2395">
        <v>5</v>
      </c>
      <c r="G2395" t="s">
        <v>8607</v>
      </c>
      <c r="H2395">
        <v>35</v>
      </c>
      <c r="I2395" t="s">
        <v>8104</v>
      </c>
      <c r="J2395" s="5" t="s">
        <v>8637</v>
      </c>
      <c r="K2395" t="s">
        <v>229</v>
      </c>
      <c r="L2395" t="s">
        <v>8638</v>
      </c>
      <c r="M2395" t="s">
        <v>8639</v>
      </c>
      <c r="P2395" s="18" t="s">
        <v>8652</v>
      </c>
    </row>
    <row r="2396" spans="1:16" x14ac:dyDescent="0.35">
      <c r="A2396" t="s">
        <v>8520</v>
      </c>
      <c r="F2396">
        <v>5</v>
      </c>
      <c r="G2396" t="s">
        <v>8607</v>
      </c>
      <c r="H2396">
        <v>36</v>
      </c>
      <c r="I2396" t="s">
        <v>8110</v>
      </c>
      <c r="J2396" s="5" t="s">
        <v>8640</v>
      </c>
      <c r="K2396" t="s">
        <v>241</v>
      </c>
      <c r="L2396" t="s">
        <v>8641</v>
      </c>
      <c r="M2396" t="s">
        <v>8642</v>
      </c>
      <c r="P2396" s="21">
        <v>42291</v>
      </c>
    </row>
    <row r="2397" spans="1:16" x14ac:dyDescent="0.35">
      <c r="A2397" t="s">
        <v>8520</v>
      </c>
      <c r="F2397">
        <v>5</v>
      </c>
      <c r="G2397" t="s">
        <v>8607</v>
      </c>
      <c r="H2397">
        <v>37</v>
      </c>
      <c r="I2397" t="s">
        <v>8116</v>
      </c>
      <c r="J2397" s="5" t="s">
        <v>8643</v>
      </c>
      <c r="K2397" t="s">
        <v>241</v>
      </c>
      <c r="L2397" t="s">
        <v>8644</v>
      </c>
      <c r="M2397" t="s">
        <v>8645</v>
      </c>
      <c r="P2397" s="18">
        <v>0</v>
      </c>
    </row>
    <row r="2398" spans="1:16" x14ac:dyDescent="0.35">
      <c r="A2398" t="s">
        <v>8520</v>
      </c>
      <c r="F2398">
        <v>5</v>
      </c>
      <c r="G2398" t="s">
        <v>8607</v>
      </c>
      <c r="H2398">
        <v>38</v>
      </c>
      <c r="I2398" t="s">
        <v>8122</v>
      </c>
      <c r="J2398" s="5" t="s">
        <v>8646</v>
      </c>
      <c r="K2398" t="s">
        <v>241</v>
      </c>
      <c r="L2398" t="s">
        <v>8647</v>
      </c>
      <c r="M2398" t="s">
        <v>8648</v>
      </c>
      <c r="P2398" s="21">
        <v>23324</v>
      </c>
    </row>
    <row r="2399" spans="1:16" x14ac:dyDescent="0.35">
      <c r="A2399" t="s">
        <v>8520</v>
      </c>
      <c r="G2399" t="s">
        <v>8607</v>
      </c>
      <c r="H2399">
        <v>27</v>
      </c>
      <c r="I2399" t="s">
        <v>8128</v>
      </c>
      <c r="J2399" s="5" t="s">
        <v>8608</v>
      </c>
      <c r="K2399" t="s">
        <v>229</v>
      </c>
      <c r="L2399" t="s">
        <v>8609</v>
      </c>
      <c r="M2399" t="s">
        <v>8610</v>
      </c>
      <c r="P2399" s="18" t="s">
        <v>8663</v>
      </c>
    </row>
    <row r="2400" spans="1:16" x14ac:dyDescent="0.35">
      <c r="A2400" t="s">
        <v>8520</v>
      </c>
      <c r="G2400" t="s">
        <v>8607</v>
      </c>
      <c r="H2400">
        <v>28</v>
      </c>
      <c r="I2400" t="s">
        <v>8134</v>
      </c>
      <c r="J2400" s="5" t="s">
        <v>8612</v>
      </c>
      <c r="K2400" t="s">
        <v>229</v>
      </c>
      <c r="L2400" t="s">
        <v>8613</v>
      </c>
      <c r="M2400" t="s">
        <v>8614</v>
      </c>
      <c r="P2400" s="18" t="s">
        <v>8615</v>
      </c>
    </row>
    <row r="2401" spans="1:16" x14ac:dyDescent="0.35">
      <c r="A2401" t="s">
        <v>8520</v>
      </c>
      <c r="G2401" t="s">
        <v>8607</v>
      </c>
      <c r="H2401">
        <v>29</v>
      </c>
      <c r="I2401" t="s">
        <v>8140</v>
      </c>
      <c r="J2401" s="5" t="s">
        <v>8616</v>
      </c>
      <c r="K2401" t="s">
        <v>229</v>
      </c>
      <c r="L2401" t="s">
        <v>7927</v>
      </c>
      <c r="M2401" t="s">
        <v>8617</v>
      </c>
      <c r="P2401" s="18" t="s">
        <v>8664</v>
      </c>
    </row>
    <row r="2402" spans="1:16" x14ac:dyDescent="0.35">
      <c r="A2402" t="s">
        <v>8520</v>
      </c>
      <c r="G2402" t="s">
        <v>8607</v>
      </c>
      <c r="H2402">
        <v>30</v>
      </c>
      <c r="I2402" t="s">
        <v>8146</v>
      </c>
      <c r="J2402" s="5" t="s">
        <v>8618</v>
      </c>
      <c r="K2402" t="s">
        <v>8619</v>
      </c>
      <c r="L2402" t="s">
        <v>8620</v>
      </c>
      <c r="M2402" t="s">
        <v>8621</v>
      </c>
      <c r="P2402" s="21">
        <v>27268923</v>
      </c>
    </row>
    <row r="2403" spans="1:16" x14ac:dyDescent="0.35">
      <c r="A2403" t="s">
        <v>8520</v>
      </c>
      <c r="G2403" t="s">
        <v>8607</v>
      </c>
      <c r="H2403">
        <v>31</v>
      </c>
      <c r="I2403" t="s">
        <v>8080</v>
      </c>
      <c r="J2403" s="5" t="s">
        <v>8622</v>
      </c>
      <c r="K2403" t="s">
        <v>241</v>
      </c>
      <c r="L2403" t="s">
        <v>8623</v>
      </c>
      <c r="M2403" t="s">
        <v>8624</v>
      </c>
      <c r="P2403" s="21">
        <v>524100</v>
      </c>
    </row>
    <row r="2404" spans="1:16" x14ac:dyDescent="0.35">
      <c r="A2404" t="s">
        <v>8520</v>
      </c>
      <c r="G2404" t="s">
        <v>8607</v>
      </c>
      <c r="H2404">
        <v>32</v>
      </c>
      <c r="I2404" t="s">
        <v>8086</v>
      </c>
      <c r="J2404" s="5" t="s">
        <v>8625</v>
      </c>
      <c r="K2404" t="s">
        <v>229</v>
      </c>
      <c r="L2404" t="s">
        <v>8626</v>
      </c>
      <c r="M2404" t="s">
        <v>8627</v>
      </c>
      <c r="P2404" s="18" t="s">
        <v>8628</v>
      </c>
    </row>
    <row r="2405" spans="1:16" x14ac:dyDescent="0.35">
      <c r="A2405" t="s">
        <v>8520</v>
      </c>
      <c r="G2405" t="s">
        <v>8607</v>
      </c>
      <c r="H2405">
        <v>33</v>
      </c>
      <c r="I2405" t="s">
        <v>8092</v>
      </c>
      <c r="J2405" s="5" t="s">
        <v>8629</v>
      </c>
      <c r="K2405" t="s">
        <v>229</v>
      </c>
      <c r="L2405" t="s">
        <v>8630</v>
      </c>
      <c r="M2405" t="s">
        <v>8631</v>
      </c>
    </row>
    <row r="2406" spans="1:16" x14ac:dyDescent="0.35">
      <c r="A2406" t="s">
        <v>8520</v>
      </c>
      <c r="G2406" t="s">
        <v>8607</v>
      </c>
      <c r="H2406">
        <v>34</v>
      </c>
      <c r="I2406" t="s">
        <v>8098</v>
      </c>
      <c r="J2406" s="5" t="s">
        <v>8633</v>
      </c>
      <c r="K2406" t="s">
        <v>4735</v>
      </c>
      <c r="L2406" t="s">
        <v>8634</v>
      </c>
      <c r="M2406" t="s">
        <v>8635</v>
      </c>
      <c r="P2406" s="18" t="s">
        <v>8632</v>
      </c>
    </row>
    <row r="2407" spans="1:16" hidden="1" x14ac:dyDescent="0.35">
      <c r="A2407" t="s">
        <v>8651</v>
      </c>
      <c r="G2407" t="s">
        <v>8607</v>
      </c>
      <c r="H2407">
        <v>35</v>
      </c>
      <c r="I2407" t="s">
        <v>8104</v>
      </c>
      <c r="J2407" s="5" t="s">
        <v>8637</v>
      </c>
      <c r="K2407" t="s">
        <v>229</v>
      </c>
      <c r="L2407" t="s">
        <v>8638</v>
      </c>
      <c r="M2407" t="s">
        <v>8639</v>
      </c>
      <c r="P2407" s="18" t="s">
        <v>8652</v>
      </c>
    </row>
    <row r="2408" spans="1:16" x14ac:dyDescent="0.35">
      <c r="A2408" t="s">
        <v>8520</v>
      </c>
      <c r="G2408" t="s">
        <v>8607</v>
      </c>
      <c r="H2408">
        <v>36</v>
      </c>
      <c r="I2408" t="s">
        <v>8110</v>
      </c>
      <c r="J2408" s="5" t="s">
        <v>8640</v>
      </c>
      <c r="K2408" t="s">
        <v>241</v>
      </c>
      <c r="L2408" t="s">
        <v>8641</v>
      </c>
      <c r="M2408" t="s">
        <v>8642</v>
      </c>
      <c r="P2408" s="21">
        <v>524100</v>
      </c>
    </row>
    <row r="2409" spans="1:16" x14ac:dyDescent="0.35">
      <c r="A2409" t="s">
        <v>8520</v>
      </c>
      <c r="G2409" t="s">
        <v>8607</v>
      </c>
      <c r="H2409">
        <v>37</v>
      </c>
      <c r="I2409" t="s">
        <v>8116</v>
      </c>
      <c r="J2409" s="5" t="s">
        <v>8643</v>
      </c>
      <c r="K2409" t="s">
        <v>241</v>
      </c>
      <c r="L2409" t="s">
        <v>8644</v>
      </c>
      <c r="M2409" t="s">
        <v>8645</v>
      </c>
      <c r="P2409" s="18">
        <v>0</v>
      </c>
    </row>
    <row r="2410" spans="1:16" x14ac:dyDescent="0.35">
      <c r="A2410" t="s">
        <v>8520</v>
      </c>
      <c r="G2410" t="s">
        <v>8607</v>
      </c>
      <c r="H2410">
        <v>38</v>
      </c>
      <c r="I2410" t="s">
        <v>8122</v>
      </c>
      <c r="J2410" s="5" t="s">
        <v>8646</v>
      </c>
      <c r="K2410" t="s">
        <v>241</v>
      </c>
      <c r="L2410" t="s">
        <v>8647</v>
      </c>
      <c r="M2410" t="s">
        <v>8648</v>
      </c>
      <c r="P2410" s="18">
        <v>0</v>
      </c>
    </row>
    <row r="2411" spans="1:16" x14ac:dyDescent="0.35">
      <c r="A2411" t="s">
        <v>8520</v>
      </c>
      <c r="G2411" t="s">
        <v>8607</v>
      </c>
      <c r="H2411">
        <v>27</v>
      </c>
      <c r="I2411" t="s">
        <v>8128</v>
      </c>
      <c r="J2411" s="5" t="s">
        <v>8608</v>
      </c>
      <c r="K2411" t="s">
        <v>229</v>
      </c>
      <c r="L2411" t="s">
        <v>8609</v>
      </c>
      <c r="M2411" t="s">
        <v>8610</v>
      </c>
      <c r="P2411" s="18" t="s">
        <v>8665</v>
      </c>
    </row>
    <row r="2412" spans="1:16" x14ac:dyDescent="0.35">
      <c r="A2412" t="s">
        <v>8520</v>
      </c>
      <c r="G2412" t="s">
        <v>8607</v>
      </c>
      <c r="H2412">
        <v>28</v>
      </c>
      <c r="I2412" t="s">
        <v>8134</v>
      </c>
      <c r="J2412" s="5" t="s">
        <v>8612</v>
      </c>
      <c r="K2412" t="s">
        <v>229</v>
      </c>
      <c r="L2412" t="s">
        <v>8613</v>
      </c>
      <c r="M2412" t="s">
        <v>8614</v>
      </c>
      <c r="P2412" s="18" t="s">
        <v>8615</v>
      </c>
    </row>
    <row r="2413" spans="1:16" x14ac:dyDescent="0.35">
      <c r="A2413" t="s">
        <v>8520</v>
      </c>
      <c r="G2413" t="s">
        <v>8607</v>
      </c>
      <c r="H2413">
        <v>29</v>
      </c>
      <c r="I2413" t="s">
        <v>8140</v>
      </c>
      <c r="J2413" s="5" t="s">
        <v>8616</v>
      </c>
      <c r="K2413" t="s">
        <v>229</v>
      </c>
      <c r="L2413" t="s">
        <v>7927</v>
      </c>
      <c r="M2413" t="s">
        <v>8617</v>
      </c>
      <c r="P2413" s="18" t="s">
        <v>8666</v>
      </c>
    </row>
    <row r="2414" spans="1:16" x14ac:dyDescent="0.35">
      <c r="A2414" t="s">
        <v>8520</v>
      </c>
      <c r="G2414" t="s">
        <v>8607</v>
      </c>
      <c r="H2414">
        <v>30</v>
      </c>
      <c r="I2414" t="s">
        <v>8146</v>
      </c>
      <c r="J2414" s="5" t="s">
        <v>8618</v>
      </c>
      <c r="K2414" t="s">
        <v>8619</v>
      </c>
      <c r="L2414" t="s">
        <v>8620</v>
      </c>
      <c r="M2414" t="s">
        <v>8621</v>
      </c>
      <c r="P2414" s="21">
        <v>18080809</v>
      </c>
    </row>
    <row r="2415" spans="1:16" x14ac:dyDescent="0.35">
      <c r="A2415" t="s">
        <v>8520</v>
      </c>
      <c r="G2415" t="s">
        <v>8607</v>
      </c>
      <c r="H2415">
        <v>31</v>
      </c>
      <c r="J2415" s="5" t="s">
        <v>8622</v>
      </c>
      <c r="K2415" t="s">
        <v>241</v>
      </c>
      <c r="L2415" t="s">
        <v>8623</v>
      </c>
      <c r="M2415" t="s">
        <v>8624</v>
      </c>
      <c r="P2415" s="21">
        <v>66961</v>
      </c>
    </row>
    <row r="2416" spans="1:16" x14ac:dyDescent="0.35">
      <c r="A2416" t="s">
        <v>8520</v>
      </c>
      <c r="G2416" t="s">
        <v>8607</v>
      </c>
      <c r="H2416">
        <v>32</v>
      </c>
      <c r="J2416" s="5" t="s">
        <v>8625</v>
      </c>
      <c r="K2416" t="s">
        <v>229</v>
      </c>
      <c r="L2416" t="s">
        <v>8626</v>
      </c>
      <c r="M2416" t="s">
        <v>8627</v>
      </c>
      <c r="P2416" s="18" t="s">
        <v>8628</v>
      </c>
    </row>
    <row r="2417" spans="1:16" x14ac:dyDescent="0.35">
      <c r="A2417" t="s">
        <v>8520</v>
      </c>
      <c r="G2417" t="s">
        <v>8607</v>
      </c>
      <c r="H2417">
        <v>33</v>
      </c>
      <c r="J2417" s="5" t="s">
        <v>8629</v>
      </c>
      <c r="K2417" t="s">
        <v>229</v>
      </c>
      <c r="L2417" t="s">
        <v>8630</v>
      </c>
      <c r="M2417" t="s">
        <v>8631</v>
      </c>
    </row>
    <row r="2418" spans="1:16" x14ac:dyDescent="0.35">
      <c r="A2418" t="s">
        <v>8520</v>
      </c>
      <c r="G2418" t="s">
        <v>8607</v>
      </c>
      <c r="H2418">
        <v>34</v>
      </c>
      <c r="J2418" s="5" t="s">
        <v>8633</v>
      </c>
      <c r="K2418" t="s">
        <v>4735</v>
      </c>
      <c r="L2418" t="s">
        <v>8634</v>
      </c>
      <c r="M2418" t="s">
        <v>8635</v>
      </c>
      <c r="P2418" s="18" t="s">
        <v>8632</v>
      </c>
    </row>
    <row r="2419" spans="1:16" hidden="1" x14ac:dyDescent="0.35">
      <c r="A2419" t="s">
        <v>8651</v>
      </c>
      <c r="G2419" t="s">
        <v>8607</v>
      </c>
      <c r="H2419">
        <v>35</v>
      </c>
      <c r="J2419" s="5" t="s">
        <v>8637</v>
      </c>
      <c r="K2419" t="s">
        <v>229</v>
      </c>
      <c r="L2419" t="s">
        <v>8638</v>
      </c>
      <c r="M2419" t="s">
        <v>8639</v>
      </c>
      <c r="P2419" s="18" t="s">
        <v>8652</v>
      </c>
    </row>
    <row r="2420" spans="1:16" x14ac:dyDescent="0.35">
      <c r="A2420" t="s">
        <v>8520</v>
      </c>
      <c r="G2420" t="s">
        <v>8607</v>
      </c>
      <c r="H2420">
        <v>36</v>
      </c>
      <c r="J2420" s="5" t="s">
        <v>8640</v>
      </c>
      <c r="K2420" t="s">
        <v>241</v>
      </c>
      <c r="L2420" t="s">
        <v>8641</v>
      </c>
      <c r="M2420" t="s">
        <v>8642</v>
      </c>
      <c r="P2420" s="21">
        <v>65059</v>
      </c>
    </row>
    <row r="2421" spans="1:16" x14ac:dyDescent="0.35">
      <c r="A2421" t="s">
        <v>8520</v>
      </c>
      <c r="G2421" t="s">
        <v>8607</v>
      </c>
      <c r="H2421">
        <v>37</v>
      </c>
      <c r="J2421" s="5" t="s">
        <v>8643</v>
      </c>
      <c r="K2421" t="s">
        <v>241</v>
      </c>
      <c r="L2421" t="s">
        <v>8644</v>
      </c>
      <c r="M2421" t="s">
        <v>8645</v>
      </c>
      <c r="P2421" s="18">
        <v>0</v>
      </c>
    </row>
    <row r="2422" spans="1:16" x14ac:dyDescent="0.35">
      <c r="A2422" t="s">
        <v>8520</v>
      </c>
      <c r="G2422" t="s">
        <v>8607</v>
      </c>
      <c r="H2422">
        <v>38</v>
      </c>
      <c r="J2422" s="5" t="s">
        <v>8646</v>
      </c>
      <c r="K2422" t="s">
        <v>241</v>
      </c>
      <c r="L2422" t="s">
        <v>8647</v>
      </c>
      <c r="M2422" t="s">
        <v>8648</v>
      </c>
      <c r="P2422" s="21">
        <v>1902</v>
      </c>
    </row>
    <row r="2423" spans="1:16" x14ac:dyDescent="0.35">
      <c r="A2423" t="s">
        <v>8520</v>
      </c>
      <c r="G2423" t="s">
        <v>8607</v>
      </c>
      <c r="H2423">
        <v>27</v>
      </c>
      <c r="J2423" s="5" t="s">
        <v>8608</v>
      </c>
      <c r="K2423" t="s">
        <v>229</v>
      </c>
      <c r="L2423" t="s">
        <v>8609</v>
      </c>
      <c r="M2423" t="s">
        <v>8610</v>
      </c>
      <c r="P2423" s="18" t="s">
        <v>8667</v>
      </c>
    </row>
    <row r="2424" spans="1:16" x14ac:dyDescent="0.35">
      <c r="A2424" t="s">
        <v>8520</v>
      </c>
      <c r="G2424" t="s">
        <v>8607</v>
      </c>
      <c r="H2424">
        <v>28</v>
      </c>
      <c r="J2424" s="5" t="s">
        <v>8612</v>
      </c>
      <c r="K2424" t="s">
        <v>229</v>
      </c>
      <c r="L2424" t="s">
        <v>8613</v>
      </c>
      <c r="M2424" t="s">
        <v>8614</v>
      </c>
      <c r="P2424" s="18" t="s">
        <v>8668</v>
      </c>
    </row>
    <row r="2425" spans="1:16" x14ac:dyDescent="0.35">
      <c r="A2425" t="s">
        <v>8520</v>
      </c>
      <c r="G2425" t="s">
        <v>8607</v>
      </c>
      <c r="H2425">
        <v>29</v>
      </c>
      <c r="J2425" s="5" t="s">
        <v>8616</v>
      </c>
      <c r="K2425" t="s">
        <v>229</v>
      </c>
      <c r="L2425" t="s">
        <v>7927</v>
      </c>
      <c r="M2425" t="s">
        <v>8617</v>
      </c>
      <c r="P2425" s="18" t="s">
        <v>8669</v>
      </c>
    </row>
    <row r="2426" spans="1:16" x14ac:dyDescent="0.35">
      <c r="A2426" t="s">
        <v>8520</v>
      </c>
      <c r="G2426" t="s">
        <v>8607</v>
      </c>
      <c r="H2426">
        <v>30</v>
      </c>
      <c r="J2426" s="5" t="s">
        <v>8618</v>
      </c>
      <c r="K2426" t="s">
        <v>8619</v>
      </c>
      <c r="L2426" t="s">
        <v>8620</v>
      </c>
      <c r="M2426" t="s">
        <v>8621</v>
      </c>
      <c r="P2426" s="18">
        <v>114322709</v>
      </c>
    </row>
    <row r="2427" spans="1:16" x14ac:dyDescent="0.35">
      <c r="A2427" t="s">
        <v>8520</v>
      </c>
      <c r="G2427" t="s">
        <v>8607</v>
      </c>
      <c r="H2427">
        <v>31</v>
      </c>
      <c r="J2427" s="5" t="s">
        <v>8622</v>
      </c>
      <c r="K2427" t="s">
        <v>241</v>
      </c>
      <c r="L2427" t="s">
        <v>8623</v>
      </c>
      <c r="M2427" t="s">
        <v>8624</v>
      </c>
      <c r="P2427" s="18">
        <v>731759</v>
      </c>
    </row>
    <row r="2428" spans="1:16" x14ac:dyDescent="0.35">
      <c r="A2428" t="s">
        <v>8520</v>
      </c>
      <c r="G2428" t="s">
        <v>8607</v>
      </c>
      <c r="H2428">
        <v>32</v>
      </c>
      <c r="J2428" s="5" t="s">
        <v>8625</v>
      </c>
      <c r="K2428" t="s">
        <v>229</v>
      </c>
      <c r="L2428" t="s">
        <v>8626</v>
      </c>
      <c r="M2428" t="s">
        <v>8627</v>
      </c>
      <c r="P2428" s="18" t="s">
        <v>8628</v>
      </c>
    </row>
    <row r="2429" spans="1:16" x14ac:dyDescent="0.35">
      <c r="A2429" t="s">
        <v>8520</v>
      </c>
      <c r="G2429" t="s">
        <v>8607</v>
      </c>
      <c r="H2429">
        <v>33</v>
      </c>
      <c r="J2429" s="5" t="s">
        <v>8629</v>
      </c>
      <c r="K2429" t="s">
        <v>229</v>
      </c>
      <c r="L2429" t="s">
        <v>8630</v>
      </c>
      <c r="M2429" t="s">
        <v>8631</v>
      </c>
    </row>
    <row r="2430" spans="1:16" x14ac:dyDescent="0.35">
      <c r="A2430" t="s">
        <v>8520</v>
      </c>
      <c r="G2430" t="s">
        <v>8607</v>
      </c>
      <c r="H2430">
        <v>34</v>
      </c>
      <c r="J2430" s="5" t="s">
        <v>8633</v>
      </c>
      <c r="K2430" t="s">
        <v>4735</v>
      </c>
      <c r="L2430" t="s">
        <v>8634</v>
      </c>
      <c r="M2430" t="s">
        <v>8635</v>
      </c>
      <c r="P2430" s="18" t="s">
        <v>8632</v>
      </c>
    </row>
    <row r="2431" spans="1:16" hidden="1" x14ac:dyDescent="0.35">
      <c r="A2431" t="s">
        <v>8651</v>
      </c>
      <c r="G2431" t="s">
        <v>8607</v>
      </c>
      <c r="H2431">
        <v>35</v>
      </c>
      <c r="J2431" s="5" t="s">
        <v>8637</v>
      </c>
      <c r="K2431" t="s">
        <v>229</v>
      </c>
      <c r="L2431" t="s">
        <v>8638</v>
      </c>
      <c r="M2431" t="s">
        <v>8639</v>
      </c>
      <c r="P2431" s="18" t="s">
        <v>8636</v>
      </c>
    </row>
    <row r="2432" spans="1:16" x14ac:dyDescent="0.35">
      <c r="A2432" t="s">
        <v>8520</v>
      </c>
      <c r="G2432" t="s">
        <v>8607</v>
      </c>
      <c r="H2432">
        <v>36</v>
      </c>
      <c r="J2432" s="5" t="s">
        <v>8640</v>
      </c>
      <c r="K2432" t="s">
        <v>241</v>
      </c>
      <c r="L2432" t="s">
        <v>8641</v>
      </c>
      <c r="M2432" t="s">
        <v>8642</v>
      </c>
      <c r="P2432" s="18">
        <v>564211</v>
      </c>
    </row>
    <row r="2433" spans="1:16" x14ac:dyDescent="0.35">
      <c r="A2433" t="s">
        <v>8520</v>
      </c>
      <c r="G2433" t="s">
        <v>8607</v>
      </c>
      <c r="H2433">
        <v>37</v>
      </c>
      <c r="J2433" s="5" t="s">
        <v>8643</v>
      </c>
      <c r="K2433" t="s">
        <v>241</v>
      </c>
      <c r="L2433" t="s">
        <v>8644</v>
      </c>
      <c r="M2433" t="s">
        <v>8645</v>
      </c>
      <c r="P2433" s="18">
        <v>0</v>
      </c>
    </row>
    <row r="2434" spans="1:16" x14ac:dyDescent="0.35">
      <c r="A2434" t="s">
        <v>8520</v>
      </c>
      <c r="G2434" t="s">
        <v>8607</v>
      </c>
      <c r="H2434">
        <v>38</v>
      </c>
      <c r="J2434" s="5" t="s">
        <v>8646</v>
      </c>
      <c r="K2434" t="s">
        <v>241</v>
      </c>
      <c r="L2434" t="s">
        <v>8647</v>
      </c>
      <c r="M2434" t="s">
        <v>8648</v>
      </c>
      <c r="P2434" s="21">
        <v>167548</v>
      </c>
    </row>
    <row r="2435" spans="1:16" x14ac:dyDescent="0.35">
      <c r="A2435" t="s">
        <v>8520</v>
      </c>
      <c r="G2435" t="s">
        <v>8607</v>
      </c>
      <c r="H2435">
        <v>27</v>
      </c>
      <c r="J2435" s="5" t="s">
        <v>8608</v>
      </c>
      <c r="K2435" t="s">
        <v>229</v>
      </c>
      <c r="L2435" t="s">
        <v>8609</v>
      </c>
      <c r="M2435" t="s">
        <v>8610</v>
      </c>
      <c r="P2435" s="18" t="s">
        <v>8667</v>
      </c>
    </row>
    <row r="2436" spans="1:16" x14ac:dyDescent="0.35">
      <c r="A2436" t="s">
        <v>8520</v>
      </c>
      <c r="G2436" t="s">
        <v>8607</v>
      </c>
      <c r="H2436">
        <v>28</v>
      </c>
      <c r="J2436" s="5" t="s">
        <v>8612</v>
      </c>
      <c r="K2436" t="s">
        <v>229</v>
      </c>
      <c r="L2436" t="s">
        <v>8613</v>
      </c>
      <c r="M2436" t="s">
        <v>8614</v>
      </c>
      <c r="P2436" s="18" t="s">
        <v>8670</v>
      </c>
    </row>
    <row r="2437" spans="1:16" x14ac:dyDescent="0.35">
      <c r="A2437" t="s">
        <v>8520</v>
      </c>
      <c r="G2437" t="s">
        <v>8607</v>
      </c>
      <c r="H2437">
        <v>29</v>
      </c>
      <c r="J2437" s="5" t="s">
        <v>8616</v>
      </c>
      <c r="K2437" t="s">
        <v>229</v>
      </c>
      <c r="L2437" t="s">
        <v>7927</v>
      </c>
      <c r="M2437" t="s">
        <v>8617</v>
      </c>
      <c r="P2437" s="18" t="s">
        <v>8671</v>
      </c>
    </row>
    <row r="2438" spans="1:16" x14ac:dyDescent="0.35">
      <c r="A2438" t="s">
        <v>8520</v>
      </c>
      <c r="G2438" t="s">
        <v>8607</v>
      </c>
      <c r="H2438">
        <v>30</v>
      </c>
      <c r="J2438" s="5" t="s">
        <v>8618</v>
      </c>
      <c r="K2438" t="s">
        <v>8619</v>
      </c>
      <c r="L2438" t="s">
        <v>8620</v>
      </c>
      <c r="M2438" t="s">
        <v>8621</v>
      </c>
      <c r="P2438" s="18">
        <v>61583988</v>
      </c>
    </row>
    <row r="2439" spans="1:16" x14ac:dyDescent="0.35">
      <c r="A2439" t="s">
        <v>8520</v>
      </c>
      <c r="G2439" t="s">
        <v>8607</v>
      </c>
      <c r="H2439">
        <v>31</v>
      </c>
      <c r="J2439" s="5" t="s">
        <v>8622</v>
      </c>
      <c r="K2439" t="s">
        <v>241</v>
      </c>
      <c r="L2439" t="s">
        <v>8623</v>
      </c>
      <c r="M2439" t="s">
        <v>8624</v>
      </c>
      <c r="P2439" s="18">
        <v>398241</v>
      </c>
    </row>
    <row r="2440" spans="1:16" x14ac:dyDescent="0.35">
      <c r="A2440" t="s">
        <v>8520</v>
      </c>
      <c r="G2440" t="s">
        <v>8607</v>
      </c>
      <c r="H2440">
        <v>32</v>
      </c>
      <c r="J2440" s="5" t="s">
        <v>8625</v>
      </c>
      <c r="K2440" t="s">
        <v>229</v>
      </c>
      <c r="L2440" t="s">
        <v>8626</v>
      </c>
      <c r="M2440" t="s">
        <v>8627</v>
      </c>
      <c r="P2440" s="18" t="s">
        <v>8628</v>
      </c>
    </row>
    <row r="2441" spans="1:16" x14ac:dyDescent="0.35">
      <c r="A2441" t="s">
        <v>8520</v>
      </c>
      <c r="G2441" t="s">
        <v>8607</v>
      </c>
      <c r="H2441">
        <v>33</v>
      </c>
      <c r="J2441" s="5" t="s">
        <v>8629</v>
      </c>
      <c r="K2441" t="s">
        <v>229</v>
      </c>
      <c r="L2441" t="s">
        <v>8630</v>
      </c>
      <c r="M2441" t="s">
        <v>8631</v>
      </c>
    </row>
    <row r="2442" spans="1:16" x14ac:dyDescent="0.35">
      <c r="A2442" t="s">
        <v>8520</v>
      </c>
      <c r="G2442" t="s">
        <v>8607</v>
      </c>
      <c r="H2442">
        <v>34</v>
      </c>
      <c r="J2442" s="5" t="s">
        <v>8633</v>
      </c>
      <c r="K2442" t="s">
        <v>4735</v>
      </c>
      <c r="L2442" t="s">
        <v>8634</v>
      </c>
      <c r="M2442" t="s">
        <v>8635</v>
      </c>
      <c r="P2442" s="18" t="s">
        <v>8632</v>
      </c>
    </row>
    <row r="2443" spans="1:16" hidden="1" x14ac:dyDescent="0.35">
      <c r="A2443" t="s">
        <v>8651</v>
      </c>
      <c r="G2443" t="s">
        <v>8607</v>
      </c>
      <c r="H2443">
        <v>35</v>
      </c>
      <c r="J2443" s="5" t="s">
        <v>8637</v>
      </c>
      <c r="K2443" t="s">
        <v>229</v>
      </c>
      <c r="L2443" t="s">
        <v>8638</v>
      </c>
      <c r="M2443" t="s">
        <v>8639</v>
      </c>
      <c r="P2443" s="18" t="s">
        <v>8636</v>
      </c>
    </row>
    <row r="2444" spans="1:16" x14ac:dyDescent="0.35">
      <c r="A2444" t="s">
        <v>8520</v>
      </c>
      <c r="G2444" t="s">
        <v>8607</v>
      </c>
      <c r="H2444">
        <v>36</v>
      </c>
      <c r="J2444" s="5" t="s">
        <v>8640</v>
      </c>
      <c r="K2444" t="s">
        <v>241</v>
      </c>
      <c r="L2444" t="s">
        <v>8641</v>
      </c>
      <c r="M2444" t="s">
        <v>8642</v>
      </c>
      <c r="P2444" s="18">
        <v>300868</v>
      </c>
    </row>
    <row r="2445" spans="1:16" x14ac:dyDescent="0.35">
      <c r="A2445" t="s">
        <v>8520</v>
      </c>
      <c r="G2445" t="s">
        <v>8607</v>
      </c>
      <c r="H2445">
        <v>37</v>
      </c>
      <c r="J2445" s="5" t="s">
        <v>8643</v>
      </c>
      <c r="K2445" t="s">
        <v>241</v>
      </c>
      <c r="L2445" t="s">
        <v>8644</v>
      </c>
      <c r="M2445" t="s">
        <v>8645</v>
      </c>
      <c r="P2445" s="18">
        <v>0</v>
      </c>
    </row>
    <row r="2446" spans="1:16" x14ac:dyDescent="0.35">
      <c r="A2446" t="s">
        <v>8520</v>
      </c>
      <c r="G2446" t="s">
        <v>8607</v>
      </c>
      <c r="H2446">
        <v>38</v>
      </c>
      <c r="J2446" s="5" t="s">
        <v>8646</v>
      </c>
      <c r="K2446" t="s">
        <v>241</v>
      </c>
      <c r="L2446" t="s">
        <v>8647</v>
      </c>
      <c r="M2446" t="s">
        <v>8648</v>
      </c>
      <c r="P2446" s="21">
        <v>97373</v>
      </c>
    </row>
    <row r="2447" spans="1:16" x14ac:dyDescent="0.35">
      <c r="A2447" t="s">
        <v>8520</v>
      </c>
      <c r="G2447" t="s">
        <v>8607</v>
      </c>
      <c r="H2447">
        <v>27</v>
      </c>
      <c r="J2447" s="5" t="s">
        <v>8608</v>
      </c>
      <c r="K2447" t="s">
        <v>229</v>
      </c>
      <c r="L2447" t="s">
        <v>8609</v>
      </c>
      <c r="M2447" t="s">
        <v>8610</v>
      </c>
      <c r="P2447" s="18" t="s">
        <v>8672</v>
      </c>
    </row>
    <row r="2448" spans="1:16" x14ac:dyDescent="0.35">
      <c r="A2448" t="s">
        <v>8520</v>
      </c>
      <c r="G2448" t="s">
        <v>8607</v>
      </c>
      <c r="H2448">
        <v>28</v>
      </c>
      <c r="J2448" s="5" t="s">
        <v>8612</v>
      </c>
      <c r="K2448" t="s">
        <v>229</v>
      </c>
      <c r="L2448" t="s">
        <v>8613</v>
      </c>
      <c r="M2448" t="s">
        <v>8614</v>
      </c>
      <c r="P2448" s="18" t="s">
        <v>8615</v>
      </c>
    </row>
    <row r="2449" spans="1:16" x14ac:dyDescent="0.35">
      <c r="A2449" t="s">
        <v>8520</v>
      </c>
      <c r="G2449" t="s">
        <v>8607</v>
      </c>
      <c r="H2449">
        <v>29</v>
      </c>
      <c r="J2449" s="5" t="s">
        <v>8616</v>
      </c>
      <c r="K2449" t="s">
        <v>229</v>
      </c>
      <c r="L2449" t="s">
        <v>7927</v>
      </c>
      <c r="M2449" t="s">
        <v>8617</v>
      </c>
      <c r="P2449" s="18" t="s">
        <v>8673</v>
      </c>
    </row>
    <row r="2450" spans="1:16" x14ac:dyDescent="0.35">
      <c r="A2450" t="s">
        <v>8520</v>
      </c>
      <c r="G2450" t="s">
        <v>8607</v>
      </c>
      <c r="H2450">
        <v>30</v>
      </c>
      <c r="J2450" s="5" t="s">
        <v>8618</v>
      </c>
      <c r="K2450" t="s">
        <v>8619</v>
      </c>
      <c r="L2450" t="s">
        <v>8620</v>
      </c>
      <c r="M2450" t="s">
        <v>8621</v>
      </c>
      <c r="P2450" s="18">
        <v>23959864</v>
      </c>
    </row>
    <row r="2451" spans="1:16" x14ac:dyDescent="0.35">
      <c r="A2451" t="s">
        <v>8520</v>
      </c>
      <c r="G2451" t="s">
        <v>8607</v>
      </c>
      <c r="H2451">
        <v>31</v>
      </c>
      <c r="J2451" s="5" t="s">
        <v>8622</v>
      </c>
      <c r="K2451" t="s">
        <v>241</v>
      </c>
      <c r="L2451" t="s">
        <v>8623</v>
      </c>
      <c r="M2451" t="s">
        <v>8624</v>
      </c>
      <c r="P2451" s="18">
        <v>399198</v>
      </c>
    </row>
    <row r="2452" spans="1:16" x14ac:dyDescent="0.35">
      <c r="A2452" t="s">
        <v>8520</v>
      </c>
      <c r="G2452" t="s">
        <v>8607</v>
      </c>
      <c r="H2452">
        <v>32</v>
      </c>
      <c r="J2452" s="5" t="s">
        <v>8625</v>
      </c>
      <c r="K2452" t="s">
        <v>229</v>
      </c>
      <c r="L2452" t="s">
        <v>8626</v>
      </c>
      <c r="M2452" t="s">
        <v>8627</v>
      </c>
      <c r="P2452" s="18" t="s">
        <v>8628</v>
      </c>
    </row>
    <row r="2453" spans="1:16" x14ac:dyDescent="0.35">
      <c r="A2453" t="s">
        <v>8520</v>
      </c>
      <c r="G2453" t="s">
        <v>8607</v>
      </c>
      <c r="H2453">
        <v>33</v>
      </c>
      <c r="J2453" s="5" t="s">
        <v>8629</v>
      </c>
      <c r="K2453" t="s">
        <v>229</v>
      </c>
      <c r="L2453" t="s">
        <v>8630</v>
      </c>
      <c r="M2453" t="s">
        <v>8631</v>
      </c>
    </row>
    <row r="2454" spans="1:16" x14ac:dyDescent="0.35">
      <c r="A2454" t="s">
        <v>8520</v>
      </c>
      <c r="G2454" t="s">
        <v>8607</v>
      </c>
      <c r="H2454">
        <v>34</v>
      </c>
      <c r="J2454" s="5" t="s">
        <v>8633</v>
      </c>
      <c r="K2454" t="s">
        <v>4735</v>
      </c>
      <c r="L2454" t="s">
        <v>8634</v>
      </c>
      <c r="M2454" t="s">
        <v>8635</v>
      </c>
      <c r="P2454" s="18" t="s">
        <v>8632</v>
      </c>
    </row>
    <row r="2455" spans="1:16" hidden="1" x14ac:dyDescent="0.35">
      <c r="A2455" t="s">
        <v>8651</v>
      </c>
      <c r="G2455" t="s">
        <v>8607</v>
      </c>
      <c r="H2455">
        <v>35</v>
      </c>
      <c r="J2455" s="5" t="s">
        <v>8637</v>
      </c>
      <c r="K2455" t="s">
        <v>229</v>
      </c>
      <c r="L2455" t="s">
        <v>8638</v>
      </c>
      <c r="M2455" t="s">
        <v>8639</v>
      </c>
      <c r="P2455" s="18" t="s">
        <v>8636</v>
      </c>
    </row>
    <row r="2456" spans="1:16" x14ac:dyDescent="0.35">
      <c r="A2456" t="s">
        <v>8520</v>
      </c>
      <c r="G2456" t="s">
        <v>8607</v>
      </c>
      <c r="H2456">
        <v>36</v>
      </c>
      <c r="J2456" s="5" t="s">
        <v>8640</v>
      </c>
      <c r="K2456" t="s">
        <v>241</v>
      </c>
      <c r="L2456" t="s">
        <v>8641</v>
      </c>
      <c r="M2456" t="s">
        <v>8642</v>
      </c>
      <c r="P2456" s="18">
        <v>0</v>
      </c>
    </row>
    <row r="2457" spans="1:16" x14ac:dyDescent="0.35">
      <c r="A2457" t="s">
        <v>8520</v>
      </c>
      <c r="G2457" t="s">
        <v>8607</v>
      </c>
      <c r="H2457">
        <v>37</v>
      </c>
      <c r="J2457" s="5" t="s">
        <v>8643</v>
      </c>
      <c r="K2457" t="s">
        <v>241</v>
      </c>
      <c r="L2457" t="s">
        <v>8644</v>
      </c>
      <c r="M2457" t="s">
        <v>8645</v>
      </c>
      <c r="P2457" s="18">
        <v>0</v>
      </c>
    </row>
    <row r="2458" spans="1:16" x14ac:dyDescent="0.35">
      <c r="A2458" t="s">
        <v>8520</v>
      </c>
      <c r="G2458" t="s">
        <v>8607</v>
      </c>
      <c r="H2458">
        <v>38</v>
      </c>
      <c r="J2458" s="5" t="s">
        <v>8646</v>
      </c>
      <c r="K2458" t="s">
        <v>241</v>
      </c>
      <c r="L2458" t="s">
        <v>8647</v>
      </c>
      <c r="M2458" t="s">
        <v>8648</v>
      </c>
      <c r="P2458" s="21">
        <v>399198</v>
      </c>
    </row>
    <row r="2459" spans="1:16" x14ac:dyDescent="0.35">
      <c r="A2459" t="s">
        <v>8520</v>
      </c>
      <c r="G2459" t="s">
        <v>8607</v>
      </c>
      <c r="H2459">
        <v>27</v>
      </c>
      <c r="J2459" s="5" t="s">
        <v>8608</v>
      </c>
      <c r="K2459" t="s">
        <v>229</v>
      </c>
      <c r="L2459" t="s">
        <v>8609</v>
      </c>
      <c r="M2459" t="s">
        <v>8610</v>
      </c>
      <c r="P2459" s="18" t="s">
        <v>8674</v>
      </c>
    </row>
    <row r="2460" spans="1:16" x14ac:dyDescent="0.35">
      <c r="A2460" t="s">
        <v>8520</v>
      </c>
      <c r="G2460" t="s">
        <v>8607</v>
      </c>
      <c r="H2460">
        <v>28</v>
      </c>
      <c r="J2460" s="5" t="s">
        <v>8612</v>
      </c>
      <c r="K2460" t="s">
        <v>229</v>
      </c>
      <c r="L2460" t="s">
        <v>8613</v>
      </c>
      <c r="M2460" t="s">
        <v>8614</v>
      </c>
      <c r="P2460" s="18" t="s">
        <v>8615</v>
      </c>
    </row>
    <row r="2461" spans="1:16" x14ac:dyDescent="0.35">
      <c r="A2461" t="s">
        <v>8520</v>
      </c>
      <c r="G2461" t="s">
        <v>8607</v>
      </c>
      <c r="H2461">
        <v>29</v>
      </c>
      <c r="J2461" s="5" t="s">
        <v>8616</v>
      </c>
      <c r="K2461" t="s">
        <v>229</v>
      </c>
      <c r="L2461" t="s">
        <v>7927</v>
      </c>
      <c r="M2461" t="s">
        <v>8617</v>
      </c>
      <c r="P2461" s="18">
        <v>23135106</v>
      </c>
    </row>
    <row r="2462" spans="1:16" x14ac:dyDescent="0.35">
      <c r="A2462" t="s">
        <v>8520</v>
      </c>
      <c r="G2462" t="s">
        <v>8607</v>
      </c>
      <c r="H2462">
        <v>30</v>
      </c>
      <c r="J2462" s="5" t="s">
        <v>8618</v>
      </c>
      <c r="K2462" t="s">
        <v>8619</v>
      </c>
      <c r="L2462" t="s">
        <v>8620</v>
      </c>
      <c r="M2462" t="s">
        <v>8621</v>
      </c>
      <c r="P2462" s="18">
        <v>124909115</v>
      </c>
    </row>
    <row r="2463" spans="1:16" x14ac:dyDescent="0.35">
      <c r="A2463" t="s">
        <v>8520</v>
      </c>
      <c r="G2463" t="s">
        <v>8607</v>
      </c>
      <c r="H2463">
        <v>31</v>
      </c>
      <c r="J2463" s="5" t="s">
        <v>8622</v>
      </c>
      <c r="K2463" t="s">
        <v>241</v>
      </c>
      <c r="L2463" t="s">
        <v>8623</v>
      </c>
      <c r="M2463" t="s">
        <v>8624</v>
      </c>
      <c r="P2463" s="18">
        <v>656518</v>
      </c>
    </row>
    <row r="2464" spans="1:16" x14ac:dyDescent="0.35">
      <c r="A2464" t="s">
        <v>8520</v>
      </c>
      <c r="G2464" t="s">
        <v>8607</v>
      </c>
      <c r="H2464">
        <v>32</v>
      </c>
      <c r="J2464" s="5" t="s">
        <v>8625</v>
      </c>
      <c r="K2464" t="s">
        <v>229</v>
      </c>
      <c r="L2464" t="s">
        <v>8626</v>
      </c>
      <c r="M2464" t="s">
        <v>8627</v>
      </c>
      <c r="P2464" s="18" t="s">
        <v>8628</v>
      </c>
    </row>
    <row r="2465" spans="1:16" x14ac:dyDescent="0.35">
      <c r="A2465" t="s">
        <v>8520</v>
      </c>
      <c r="G2465" t="s">
        <v>8607</v>
      </c>
      <c r="H2465">
        <v>33</v>
      </c>
      <c r="J2465" s="5" t="s">
        <v>8629</v>
      </c>
      <c r="K2465" t="s">
        <v>229</v>
      </c>
      <c r="L2465" t="s">
        <v>8630</v>
      </c>
      <c r="M2465" t="s">
        <v>8631</v>
      </c>
    </row>
    <row r="2466" spans="1:16" x14ac:dyDescent="0.35">
      <c r="A2466" t="s">
        <v>8520</v>
      </c>
      <c r="G2466" t="s">
        <v>8607</v>
      </c>
      <c r="H2466">
        <v>34</v>
      </c>
      <c r="J2466" s="5" t="s">
        <v>8633</v>
      </c>
      <c r="K2466" t="s">
        <v>4735</v>
      </c>
      <c r="L2466" t="s">
        <v>8634</v>
      </c>
      <c r="M2466" t="s">
        <v>8635</v>
      </c>
      <c r="P2466" s="18" t="s">
        <v>8632</v>
      </c>
    </row>
    <row r="2467" spans="1:16" hidden="1" x14ac:dyDescent="0.35">
      <c r="A2467" t="s">
        <v>8651</v>
      </c>
      <c r="G2467" t="s">
        <v>8607</v>
      </c>
      <c r="H2467">
        <v>35</v>
      </c>
      <c r="J2467" s="5" t="s">
        <v>8637</v>
      </c>
      <c r="K2467" t="s">
        <v>229</v>
      </c>
      <c r="L2467" t="s">
        <v>8638</v>
      </c>
      <c r="M2467" t="s">
        <v>8639</v>
      </c>
      <c r="P2467" s="18" t="s">
        <v>8636</v>
      </c>
    </row>
    <row r="2468" spans="1:16" x14ac:dyDescent="0.35">
      <c r="A2468" t="s">
        <v>8520</v>
      </c>
      <c r="G2468" t="s">
        <v>8607</v>
      </c>
      <c r="H2468">
        <v>36</v>
      </c>
      <c r="J2468" s="5" t="s">
        <v>8640</v>
      </c>
      <c r="K2468" t="s">
        <v>241</v>
      </c>
      <c r="L2468" t="s">
        <v>8641</v>
      </c>
      <c r="M2468" t="s">
        <v>8642</v>
      </c>
      <c r="P2468" s="18">
        <v>548442</v>
      </c>
    </row>
    <row r="2469" spans="1:16" x14ac:dyDescent="0.35">
      <c r="A2469" t="s">
        <v>8520</v>
      </c>
      <c r="G2469" t="s">
        <v>8607</v>
      </c>
      <c r="H2469">
        <v>37</v>
      </c>
      <c r="J2469" s="5" t="s">
        <v>8643</v>
      </c>
      <c r="K2469" t="s">
        <v>241</v>
      </c>
      <c r="L2469" t="s">
        <v>8644</v>
      </c>
      <c r="M2469" t="s">
        <v>8645</v>
      </c>
      <c r="P2469" s="18">
        <v>0</v>
      </c>
    </row>
    <row r="2470" spans="1:16" x14ac:dyDescent="0.35">
      <c r="A2470" t="s">
        <v>8520</v>
      </c>
      <c r="G2470" t="s">
        <v>8607</v>
      </c>
      <c r="H2470">
        <v>38</v>
      </c>
      <c r="J2470" s="5" t="s">
        <v>8646</v>
      </c>
      <c r="K2470" t="s">
        <v>241</v>
      </c>
      <c r="L2470" t="s">
        <v>8647</v>
      </c>
      <c r="M2470" t="s">
        <v>8648</v>
      </c>
      <c r="P2470" s="21">
        <v>108076</v>
      </c>
    </row>
    <row r="2471" spans="1:16" x14ac:dyDescent="0.35">
      <c r="A2471" t="s">
        <v>8520</v>
      </c>
      <c r="G2471" t="s">
        <v>8607</v>
      </c>
      <c r="H2471">
        <v>27</v>
      </c>
      <c r="J2471" s="5" t="s">
        <v>8608</v>
      </c>
      <c r="K2471" t="s">
        <v>229</v>
      </c>
      <c r="L2471" t="s">
        <v>8609</v>
      </c>
      <c r="M2471" t="s">
        <v>8610</v>
      </c>
      <c r="P2471" s="18" t="s">
        <v>8675</v>
      </c>
    </row>
    <row r="2472" spans="1:16" x14ac:dyDescent="0.35">
      <c r="A2472" t="s">
        <v>8520</v>
      </c>
      <c r="G2472" t="s">
        <v>8607</v>
      </c>
      <c r="H2472">
        <v>28</v>
      </c>
      <c r="J2472" s="5" t="s">
        <v>8612</v>
      </c>
      <c r="K2472" t="s">
        <v>229</v>
      </c>
      <c r="L2472" t="s">
        <v>8613</v>
      </c>
      <c r="M2472" t="s">
        <v>8614</v>
      </c>
      <c r="P2472" s="18" t="s">
        <v>8676</v>
      </c>
    </row>
    <row r="2473" spans="1:16" x14ac:dyDescent="0.35">
      <c r="A2473" t="s">
        <v>8520</v>
      </c>
      <c r="G2473" t="s">
        <v>8607</v>
      </c>
      <c r="H2473">
        <v>29</v>
      </c>
      <c r="J2473" s="5" t="s">
        <v>8616</v>
      </c>
      <c r="K2473" t="s">
        <v>229</v>
      </c>
      <c r="L2473" t="s">
        <v>7927</v>
      </c>
      <c r="M2473" t="s">
        <v>8617</v>
      </c>
      <c r="P2473" s="18" t="s">
        <v>8677</v>
      </c>
    </row>
    <row r="2474" spans="1:16" x14ac:dyDescent="0.35">
      <c r="A2474" t="s">
        <v>8520</v>
      </c>
      <c r="G2474" t="s">
        <v>8607</v>
      </c>
      <c r="H2474">
        <v>30</v>
      </c>
      <c r="J2474" s="5" t="s">
        <v>8618</v>
      </c>
      <c r="K2474" t="s">
        <v>8619</v>
      </c>
      <c r="L2474" t="s">
        <v>8620</v>
      </c>
      <c r="M2474" t="s">
        <v>8621</v>
      </c>
      <c r="P2474" s="18">
        <v>36738252</v>
      </c>
    </row>
    <row r="2475" spans="1:16" x14ac:dyDescent="0.35">
      <c r="A2475" t="s">
        <v>8520</v>
      </c>
      <c r="G2475" t="s">
        <v>8607</v>
      </c>
      <c r="H2475">
        <v>31</v>
      </c>
      <c r="J2475" s="5" t="s">
        <v>8622</v>
      </c>
      <c r="K2475" t="s">
        <v>241</v>
      </c>
      <c r="L2475" t="s">
        <v>8623</v>
      </c>
      <c r="M2475" t="s">
        <v>8624</v>
      </c>
      <c r="P2475" s="18">
        <v>2583562</v>
      </c>
    </row>
    <row r="2476" spans="1:16" x14ac:dyDescent="0.35">
      <c r="A2476" t="s">
        <v>8520</v>
      </c>
      <c r="G2476" t="s">
        <v>8607</v>
      </c>
      <c r="H2476">
        <v>32</v>
      </c>
      <c r="J2476" s="5" t="s">
        <v>8625</v>
      </c>
      <c r="K2476" t="s">
        <v>229</v>
      </c>
      <c r="L2476" t="s">
        <v>8626</v>
      </c>
      <c r="M2476" t="s">
        <v>8627</v>
      </c>
      <c r="P2476" s="18" t="s">
        <v>8628</v>
      </c>
    </row>
    <row r="2477" spans="1:16" x14ac:dyDescent="0.35">
      <c r="A2477" t="s">
        <v>8520</v>
      </c>
      <c r="G2477" t="s">
        <v>8607</v>
      </c>
      <c r="H2477">
        <v>33</v>
      </c>
      <c r="J2477" s="5" t="s">
        <v>8629</v>
      </c>
      <c r="K2477" t="s">
        <v>229</v>
      </c>
      <c r="L2477" t="s">
        <v>8630</v>
      </c>
      <c r="M2477" t="s">
        <v>8631</v>
      </c>
    </row>
    <row r="2478" spans="1:16" x14ac:dyDescent="0.35">
      <c r="A2478" t="s">
        <v>8520</v>
      </c>
      <c r="G2478" t="s">
        <v>8607</v>
      </c>
      <c r="H2478">
        <v>34</v>
      </c>
      <c r="J2478" s="5" t="s">
        <v>8633</v>
      </c>
      <c r="K2478" t="s">
        <v>4735</v>
      </c>
      <c r="L2478" t="s">
        <v>8634</v>
      </c>
      <c r="M2478" t="s">
        <v>8635</v>
      </c>
      <c r="P2478" s="18" t="s">
        <v>8632</v>
      </c>
    </row>
    <row r="2479" spans="1:16" hidden="1" x14ac:dyDescent="0.35">
      <c r="A2479" t="s">
        <v>8651</v>
      </c>
      <c r="G2479" t="s">
        <v>8607</v>
      </c>
      <c r="H2479">
        <v>35</v>
      </c>
      <c r="J2479" s="5" t="s">
        <v>8637</v>
      </c>
      <c r="K2479" t="s">
        <v>229</v>
      </c>
      <c r="L2479" t="s">
        <v>8638</v>
      </c>
      <c r="M2479" t="s">
        <v>8639</v>
      </c>
      <c r="P2479" s="18" t="s">
        <v>8636</v>
      </c>
    </row>
    <row r="2480" spans="1:16" x14ac:dyDescent="0.35">
      <c r="A2480" t="s">
        <v>8520</v>
      </c>
      <c r="G2480" t="s">
        <v>8607</v>
      </c>
      <c r="H2480">
        <v>36</v>
      </c>
      <c r="J2480" s="5" t="s">
        <v>8640</v>
      </c>
      <c r="K2480" t="s">
        <v>241</v>
      </c>
      <c r="L2480" t="s">
        <v>8641</v>
      </c>
      <c r="M2480" t="s">
        <v>8642</v>
      </c>
      <c r="P2480" s="18">
        <v>2563911</v>
      </c>
    </row>
    <row r="2481" spans="1:16" x14ac:dyDescent="0.35">
      <c r="A2481" t="s">
        <v>8520</v>
      </c>
      <c r="G2481" t="s">
        <v>8607</v>
      </c>
      <c r="H2481">
        <v>37</v>
      </c>
      <c r="J2481" s="5" t="s">
        <v>8643</v>
      </c>
      <c r="K2481" t="s">
        <v>241</v>
      </c>
      <c r="L2481" t="s">
        <v>8644</v>
      </c>
      <c r="M2481" t="s">
        <v>8645</v>
      </c>
      <c r="P2481" s="18">
        <v>0</v>
      </c>
    </row>
    <row r="2482" spans="1:16" x14ac:dyDescent="0.35">
      <c r="A2482" t="s">
        <v>8520</v>
      </c>
      <c r="G2482" t="s">
        <v>8607</v>
      </c>
      <c r="H2482">
        <v>38</v>
      </c>
      <c r="J2482" s="5" t="s">
        <v>8646</v>
      </c>
      <c r="K2482" t="s">
        <v>241</v>
      </c>
      <c r="L2482" t="s">
        <v>8647</v>
      </c>
      <c r="M2482" t="s">
        <v>8648</v>
      </c>
      <c r="P2482" s="21">
        <v>19651</v>
      </c>
    </row>
    <row r="2483" spans="1:16" x14ac:dyDescent="0.35">
      <c r="A2483" t="s">
        <v>8520</v>
      </c>
      <c r="G2483" t="s">
        <v>8607</v>
      </c>
      <c r="H2483">
        <v>27</v>
      </c>
      <c r="J2483" s="5" t="s">
        <v>8608</v>
      </c>
      <c r="K2483" t="s">
        <v>229</v>
      </c>
      <c r="L2483" t="s">
        <v>8609</v>
      </c>
      <c r="M2483" t="s">
        <v>8610</v>
      </c>
      <c r="P2483" s="18" t="s">
        <v>8678</v>
      </c>
    </row>
    <row r="2484" spans="1:16" x14ac:dyDescent="0.35">
      <c r="A2484" t="s">
        <v>8520</v>
      </c>
      <c r="G2484" t="s">
        <v>8607</v>
      </c>
      <c r="H2484">
        <v>28</v>
      </c>
      <c r="J2484" s="5" t="s">
        <v>8612</v>
      </c>
      <c r="K2484" t="s">
        <v>229</v>
      </c>
      <c r="L2484" t="s">
        <v>8613</v>
      </c>
      <c r="M2484" t="s">
        <v>8614</v>
      </c>
      <c r="P2484" s="18" t="s">
        <v>8615</v>
      </c>
    </row>
    <row r="2485" spans="1:16" x14ac:dyDescent="0.35">
      <c r="A2485" t="s">
        <v>8520</v>
      </c>
      <c r="G2485" t="s">
        <v>8607</v>
      </c>
      <c r="H2485">
        <v>29</v>
      </c>
      <c r="J2485" s="5" t="s">
        <v>8616</v>
      </c>
      <c r="K2485" t="s">
        <v>229</v>
      </c>
      <c r="L2485" t="s">
        <v>7927</v>
      </c>
      <c r="M2485" t="s">
        <v>8617</v>
      </c>
      <c r="P2485" s="18">
        <v>25816109</v>
      </c>
    </row>
    <row r="2486" spans="1:16" x14ac:dyDescent="0.35">
      <c r="A2486" t="s">
        <v>8520</v>
      </c>
      <c r="G2486" t="s">
        <v>8607</v>
      </c>
      <c r="H2486">
        <v>30</v>
      </c>
      <c r="J2486" s="5" t="s">
        <v>8618</v>
      </c>
      <c r="K2486" t="s">
        <v>8619</v>
      </c>
      <c r="L2486" t="s">
        <v>8620</v>
      </c>
      <c r="M2486" t="s">
        <v>8621</v>
      </c>
      <c r="P2486" s="18">
        <v>5247282</v>
      </c>
    </row>
    <row r="2487" spans="1:16" x14ac:dyDescent="0.35">
      <c r="A2487" t="s">
        <v>8520</v>
      </c>
      <c r="G2487" t="s">
        <v>8607</v>
      </c>
      <c r="H2487">
        <v>31</v>
      </c>
      <c r="J2487" s="5" t="s">
        <v>8622</v>
      </c>
      <c r="K2487" t="s">
        <v>241</v>
      </c>
      <c r="L2487" t="s">
        <v>8623</v>
      </c>
      <c r="M2487" t="s">
        <v>8624</v>
      </c>
      <c r="P2487" s="18">
        <v>19503</v>
      </c>
    </row>
    <row r="2488" spans="1:16" x14ac:dyDescent="0.35">
      <c r="A2488" t="s">
        <v>8520</v>
      </c>
      <c r="G2488" t="s">
        <v>8607</v>
      </c>
      <c r="H2488">
        <v>32</v>
      </c>
      <c r="J2488" s="5" t="s">
        <v>8625</v>
      </c>
      <c r="K2488" t="s">
        <v>229</v>
      </c>
      <c r="L2488" t="s">
        <v>8626</v>
      </c>
      <c r="M2488" t="s">
        <v>8627</v>
      </c>
      <c r="P2488" s="18" t="s">
        <v>8628</v>
      </c>
    </row>
    <row r="2489" spans="1:16" x14ac:dyDescent="0.35">
      <c r="A2489" t="s">
        <v>8520</v>
      </c>
      <c r="G2489" t="s">
        <v>8607</v>
      </c>
      <c r="H2489">
        <v>33</v>
      </c>
      <c r="J2489" s="5" t="s">
        <v>8629</v>
      </c>
      <c r="K2489" t="s">
        <v>229</v>
      </c>
      <c r="L2489" t="s">
        <v>8630</v>
      </c>
      <c r="M2489" t="s">
        <v>8631</v>
      </c>
    </row>
    <row r="2490" spans="1:16" x14ac:dyDescent="0.35">
      <c r="A2490" t="s">
        <v>8520</v>
      </c>
      <c r="G2490" t="s">
        <v>8607</v>
      </c>
      <c r="H2490">
        <v>34</v>
      </c>
      <c r="J2490" s="5" t="s">
        <v>8633</v>
      </c>
      <c r="K2490" t="s">
        <v>4735</v>
      </c>
      <c r="L2490" t="s">
        <v>8634</v>
      </c>
      <c r="M2490" t="s">
        <v>8635</v>
      </c>
      <c r="P2490" s="18" t="s">
        <v>8632</v>
      </c>
    </row>
    <row r="2491" spans="1:16" hidden="1" x14ac:dyDescent="0.35">
      <c r="A2491" t="s">
        <v>8651</v>
      </c>
      <c r="G2491" t="s">
        <v>8607</v>
      </c>
      <c r="H2491">
        <v>35</v>
      </c>
      <c r="J2491" s="5" t="s">
        <v>8637</v>
      </c>
      <c r="K2491" t="s">
        <v>229</v>
      </c>
      <c r="L2491" t="s">
        <v>8638</v>
      </c>
      <c r="M2491" t="s">
        <v>8639</v>
      </c>
      <c r="P2491" s="18" t="s">
        <v>8636</v>
      </c>
    </row>
    <row r="2492" spans="1:16" x14ac:dyDescent="0.35">
      <c r="A2492" t="s">
        <v>8520</v>
      </c>
      <c r="G2492" t="s">
        <v>8607</v>
      </c>
      <c r="H2492">
        <v>36</v>
      </c>
      <c r="J2492" s="5" t="s">
        <v>8640</v>
      </c>
      <c r="K2492" t="s">
        <v>241</v>
      </c>
      <c r="L2492" t="s">
        <v>8641</v>
      </c>
      <c r="M2492" t="s">
        <v>8642</v>
      </c>
      <c r="P2492" s="18">
        <v>0</v>
      </c>
    </row>
    <row r="2493" spans="1:16" x14ac:dyDescent="0.35">
      <c r="A2493" t="s">
        <v>8520</v>
      </c>
      <c r="G2493" t="s">
        <v>8607</v>
      </c>
      <c r="H2493">
        <v>37</v>
      </c>
      <c r="J2493" s="5" t="s">
        <v>8643</v>
      </c>
      <c r="K2493" t="s">
        <v>241</v>
      </c>
      <c r="L2493" t="s">
        <v>8644</v>
      </c>
      <c r="M2493" t="s">
        <v>8645</v>
      </c>
      <c r="P2493" s="18">
        <v>0</v>
      </c>
    </row>
    <row r="2494" spans="1:16" x14ac:dyDescent="0.35">
      <c r="A2494" t="s">
        <v>8520</v>
      </c>
      <c r="G2494" t="s">
        <v>8607</v>
      </c>
      <c r="H2494">
        <v>38</v>
      </c>
      <c r="J2494" s="5" t="s">
        <v>8646</v>
      </c>
      <c r="K2494" t="s">
        <v>241</v>
      </c>
      <c r="L2494" t="s">
        <v>8647</v>
      </c>
      <c r="M2494" t="s">
        <v>8648</v>
      </c>
      <c r="P2494" s="21">
        <v>19503</v>
      </c>
    </row>
    <row r="2495" spans="1:16" x14ac:dyDescent="0.35">
      <c r="A2495" t="s">
        <v>8520</v>
      </c>
      <c r="G2495" t="s">
        <v>8607</v>
      </c>
      <c r="H2495">
        <v>27</v>
      </c>
      <c r="J2495" s="5" t="s">
        <v>8608</v>
      </c>
      <c r="K2495" t="s">
        <v>229</v>
      </c>
      <c r="L2495" t="s">
        <v>8609</v>
      </c>
      <c r="M2495" t="s">
        <v>8610</v>
      </c>
      <c r="P2495" s="18" t="s">
        <v>8679</v>
      </c>
    </row>
    <row r="2496" spans="1:16" x14ac:dyDescent="0.35">
      <c r="A2496" t="s">
        <v>8520</v>
      </c>
      <c r="G2496" t="s">
        <v>8607</v>
      </c>
      <c r="H2496">
        <v>28</v>
      </c>
      <c r="J2496" s="5" t="s">
        <v>8612</v>
      </c>
      <c r="K2496" t="s">
        <v>229</v>
      </c>
      <c r="L2496" t="s">
        <v>8613</v>
      </c>
      <c r="M2496" t="s">
        <v>8614</v>
      </c>
      <c r="P2496" s="18" t="s">
        <v>8615</v>
      </c>
    </row>
    <row r="2497" spans="1:16" x14ac:dyDescent="0.35">
      <c r="A2497" t="s">
        <v>8520</v>
      </c>
      <c r="G2497" t="s">
        <v>8607</v>
      </c>
      <c r="H2497">
        <v>29</v>
      </c>
      <c r="J2497" s="5" t="s">
        <v>8616</v>
      </c>
      <c r="K2497" t="s">
        <v>229</v>
      </c>
      <c r="L2497" t="s">
        <v>7927</v>
      </c>
      <c r="M2497" t="s">
        <v>8617</v>
      </c>
      <c r="P2497" s="18" t="s">
        <v>8680</v>
      </c>
    </row>
    <row r="2498" spans="1:16" x14ac:dyDescent="0.35">
      <c r="A2498" t="s">
        <v>8520</v>
      </c>
      <c r="G2498" t="s">
        <v>8607</v>
      </c>
      <c r="H2498">
        <v>30</v>
      </c>
      <c r="J2498" s="5" t="s">
        <v>8618</v>
      </c>
      <c r="K2498" t="s">
        <v>8619</v>
      </c>
      <c r="L2498" t="s">
        <v>8620</v>
      </c>
      <c r="M2498" t="s">
        <v>8621</v>
      </c>
      <c r="P2498" s="18">
        <v>4655987</v>
      </c>
    </row>
    <row r="2499" spans="1:16" x14ac:dyDescent="0.35">
      <c r="A2499" t="s">
        <v>8520</v>
      </c>
      <c r="G2499" t="s">
        <v>8607</v>
      </c>
      <c r="H2499">
        <v>31</v>
      </c>
      <c r="J2499" s="5" t="s">
        <v>8622</v>
      </c>
      <c r="K2499" t="s">
        <v>241</v>
      </c>
      <c r="L2499" t="s">
        <v>8623</v>
      </c>
      <c r="M2499" t="s">
        <v>8624</v>
      </c>
      <c r="P2499" s="18">
        <v>21397</v>
      </c>
    </row>
    <row r="2500" spans="1:16" x14ac:dyDescent="0.35">
      <c r="A2500" t="s">
        <v>8520</v>
      </c>
      <c r="G2500" t="s">
        <v>8607</v>
      </c>
      <c r="H2500">
        <v>32</v>
      </c>
      <c r="J2500" s="5" t="s">
        <v>8625</v>
      </c>
      <c r="K2500" t="s">
        <v>229</v>
      </c>
      <c r="L2500" t="s">
        <v>8626</v>
      </c>
      <c r="M2500" t="s">
        <v>8627</v>
      </c>
      <c r="P2500" s="18" t="s">
        <v>8628</v>
      </c>
    </row>
    <row r="2501" spans="1:16" x14ac:dyDescent="0.35">
      <c r="A2501" t="s">
        <v>8520</v>
      </c>
      <c r="G2501" t="s">
        <v>8607</v>
      </c>
      <c r="H2501">
        <v>33</v>
      </c>
      <c r="J2501" s="5" t="s">
        <v>8629</v>
      </c>
      <c r="K2501" t="s">
        <v>229</v>
      </c>
      <c r="L2501" t="s">
        <v>8630</v>
      </c>
      <c r="M2501" t="s">
        <v>8631</v>
      </c>
    </row>
    <row r="2502" spans="1:16" x14ac:dyDescent="0.35">
      <c r="A2502" t="s">
        <v>8520</v>
      </c>
      <c r="G2502" t="s">
        <v>8607</v>
      </c>
      <c r="H2502">
        <v>34</v>
      </c>
      <c r="J2502" s="5" t="s">
        <v>8633</v>
      </c>
      <c r="K2502" t="s">
        <v>4735</v>
      </c>
      <c r="L2502" t="s">
        <v>8634</v>
      </c>
      <c r="M2502" t="s">
        <v>8635</v>
      </c>
      <c r="P2502" s="18" t="s">
        <v>8632</v>
      </c>
    </row>
    <row r="2503" spans="1:16" hidden="1" x14ac:dyDescent="0.35">
      <c r="A2503" t="s">
        <v>8651</v>
      </c>
      <c r="G2503" t="s">
        <v>8607</v>
      </c>
      <c r="H2503">
        <v>35</v>
      </c>
      <c r="J2503" s="5" t="s">
        <v>8637</v>
      </c>
      <c r="K2503" t="s">
        <v>229</v>
      </c>
      <c r="L2503" t="s">
        <v>8638</v>
      </c>
      <c r="M2503" t="s">
        <v>8639</v>
      </c>
      <c r="P2503" s="18" t="s">
        <v>8636</v>
      </c>
    </row>
    <row r="2504" spans="1:16" x14ac:dyDescent="0.35">
      <c r="A2504" t="s">
        <v>8520</v>
      </c>
      <c r="G2504" t="s">
        <v>8607</v>
      </c>
      <c r="H2504">
        <v>36</v>
      </c>
      <c r="J2504" s="5" t="s">
        <v>8640</v>
      </c>
      <c r="K2504" t="s">
        <v>241</v>
      </c>
      <c r="L2504" t="s">
        <v>8641</v>
      </c>
      <c r="M2504" t="s">
        <v>8642</v>
      </c>
      <c r="P2504" s="18">
        <v>0</v>
      </c>
    </row>
    <row r="2505" spans="1:16" x14ac:dyDescent="0.35">
      <c r="A2505" t="s">
        <v>8520</v>
      </c>
      <c r="G2505" t="s">
        <v>8607</v>
      </c>
      <c r="H2505">
        <v>37</v>
      </c>
      <c r="J2505" s="5" t="s">
        <v>8643</v>
      </c>
      <c r="K2505" t="s">
        <v>241</v>
      </c>
      <c r="L2505" t="s">
        <v>8644</v>
      </c>
      <c r="M2505" t="s">
        <v>8645</v>
      </c>
      <c r="P2505" s="18">
        <v>0</v>
      </c>
    </row>
    <row r="2506" spans="1:16" x14ac:dyDescent="0.35">
      <c r="A2506" t="s">
        <v>8520</v>
      </c>
      <c r="G2506" t="s">
        <v>8607</v>
      </c>
      <c r="H2506">
        <v>38</v>
      </c>
      <c r="J2506" s="5" t="s">
        <v>8646</v>
      </c>
      <c r="K2506" t="s">
        <v>241</v>
      </c>
      <c r="L2506" t="s">
        <v>8647</v>
      </c>
      <c r="M2506" t="s">
        <v>8648</v>
      </c>
      <c r="P2506" s="21">
        <v>21397</v>
      </c>
    </row>
    <row r="2507" spans="1:16" x14ac:dyDescent="0.35">
      <c r="A2507" t="s">
        <v>8520</v>
      </c>
      <c r="G2507" t="s">
        <v>8607</v>
      </c>
      <c r="H2507">
        <v>27</v>
      </c>
      <c r="J2507" s="5" t="s">
        <v>8608</v>
      </c>
      <c r="K2507" t="s">
        <v>229</v>
      </c>
      <c r="L2507" t="s">
        <v>8609</v>
      </c>
      <c r="M2507" t="s">
        <v>8610</v>
      </c>
      <c r="P2507" s="18" t="s">
        <v>8681</v>
      </c>
    </row>
    <row r="2508" spans="1:16" x14ac:dyDescent="0.35">
      <c r="A2508" t="s">
        <v>8520</v>
      </c>
      <c r="G2508" t="s">
        <v>8607</v>
      </c>
      <c r="H2508">
        <v>28</v>
      </c>
      <c r="J2508" s="5" t="s">
        <v>8612</v>
      </c>
      <c r="K2508" t="s">
        <v>229</v>
      </c>
      <c r="L2508" t="s">
        <v>8613</v>
      </c>
      <c r="M2508" t="s">
        <v>8614</v>
      </c>
      <c r="P2508" s="18" t="s">
        <v>8615</v>
      </c>
    </row>
    <row r="2509" spans="1:16" x14ac:dyDescent="0.35">
      <c r="A2509" t="s">
        <v>8520</v>
      </c>
      <c r="G2509" t="s">
        <v>8607</v>
      </c>
      <c r="H2509">
        <v>29</v>
      </c>
      <c r="J2509" s="5" t="s">
        <v>8616</v>
      </c>
      <c r="K2509" t="s">
        <v>229</v>
      </c>
      <c r="L2509" t="s">
        <v>7927</v>
      </c>
      <c r="M2509" t="s">
        <v>8617</v>
      </c>
      <c r="P2509" s="18">
        <v>31100100</v>
      </c>
    </row>
    <row r="2510" spans="1:16" x14ac:dyDescent="0.35">
      <c r="A2510" t="s">
        <v>8520</v>
      </c>
      <c r="G2510" t="s">
        <v>8607</v>
      </c>
      <c r="H2510">
        <v>30</v>
      </c>
      <c r="J2510" s="5" t="s">
        <v>8618</v>
      </c>
      <c r="K2510" t="s">
        <v>8619</v>
      </c>
      <c r="L2510" t="s">
        <v>8620</v>
      </c>
      <c r="M2510" t="s">
        <v>8621</v>
      </c>
      <c r="P2510" s="18">
        <v>8269606</v>
      </c>
    </row>
    <row r="2511" spans="1:16" x14ac:dyDescent="0.35">
      <c r="A2511" t="s">
        <v>8520</v>
      </c>
      <c r="G2511" t="s">
        <v>8607</v>
      </c>
      <c r="H2511">
        <v>31</v>
      </c>
      <c r="J2511" s="5" t="s">
        <v>8622</v>
      </c>
      <c r="K2511" t="s">
        <v>241</v>
      </c>
      <c r="L2511" t="s">
        <v>8623</v>
      </c>
      <c r="M2511" t="s">
        <v>8624</v>
      </c>
      <c r="P2511" s="18">
        <v>48040</v>
      </c>
    </row>
    <row r="2512" spans="1:16" x14ac:dyDescent="0.35">
      <c r="A2512" t="s">
        <v>8520</v>
      </c>
      <c r="G2512" t="s">
        <v>8607</v>
      </c>
      <c r="H2512">
        <v>32</v>
      </c>
      <c r="J2512" s="5" t="s">
        <v>8625</v>
      </c>
      <c r="K2512" t="s">
        <v>229</v>
      </c>
      <c r="L2512" t="s">
        <v>8626</v>
      </c>
      <c r="M2512" t="s">
        <v>8627</v>
      </c>
      <c r="P2512" s="18" t="s">
        <v>8628</v>
      </c>
    </row>
    <row r="2513" spans="1:16" x14ac:dyDescent="0.35">
      <c r="A2513" t="s">
        <v>8520</v>
      </c>
      <c r="G2513" t="s">
        <v>8607</v>
      </c>
      <c r="H2513">
        <v>33</v>
      </c>
      <c r="J2513" s="5" t="s">
        <v>8629</v>
      </c>
      <c r="K2513" t="s">
        <v>229</v>
      </c>
      <c r="L2513" t="s">
        <v>8630</v>
      </c>
      <c r="M2513" t="s">
        <v>8631</v>
      </c>
    </row>
    <row r="2514" spans="1:16" x14ac:dyDescent="0.35">
      <c r="A2514" t="s">
        <v>8520</v>
      </c>
      <c r="G2514" t="s">
        <v>8607</v>
      </c>
      <c r="H2514">
        <v>34</v>
      </c>
      <c r="J2514" s="5" t="s">
        <v>8633</v>
      </c>
      <c r="K2514" t="s">
        <v>4735</v>
      </c>
      <c r="L2514" t="s">
        <v>8634</v>
      </c>
      <c r="M2514" t="s">
        <v>8635</v>
      </c>
      <c r="P2514" s="18" t="s">
        <v>8632</v>
      </c>
    </row>
    <row r="2515" spans="1:16" hidden="1" x14ac:dyDescent="0.35">
      <c r="A2515" t="s">
        <v>8651</v>
      </c>
      <c r="G2515" t="s">
        <v>8607</v>
      </c>
      <c r="H2515">
        <v>35</v>
      </c>
      <c r="J2515" s="5" t="s">
        <v>8637</v>
      </c>
      <c r="K2515" t="s">
        <v>229</v>
      </c>
      <c r="L2515" t="s">
        <v>8638</v>
      </c>
      <c r="M2515" t="s">
        <v>8639</v>
      </c>
      <c r="P2515" s="18" t="s">
        <v>8636</v>
      </c>
    </row>
    <row r="2516" spans="1:16" x14ac:dyDescent="0.35">
      <c r="A2516" t="s">
        <v>8520</v>
      </c>
      <c r="G2516" t="s">
        <v>8607</v>
      </c>
      <c r="H2516">
        <v>36</v>
      </c>
      <c r="J2516" s="5" t="s">
        <v>8640</v>
      </c>
      <c r="K2516" t="s">
        <v>241</v>
      </c>
      <c r="L2516" t="s">
        <v>8641</v>
      </c>
      <c r="M2516" t="s">
        <v>8642</v>
      </c>
      <c r="P2516" s="18">
        <v>48040</v>
      </c>
    </row>
    <row r="2517" spans="1:16" x14ac:dyDescent="0.35">
      <c r="A2517" t="s">
        <v>8520</v>
      </c>
      <c r="G2517" t="s">
        <v>8607</v>
      </c>
      <c r="H2517">
        <v>37</v>
      </c>
      <c r="J2517" s="5" t="s">
        <v>8643</v>
      </c>
      <c r="K2517" t="s">
        <v>241</v>
      </c>
      <c r="L2517" t="s">
        <v>8644</v>
      </c>
      <c r="M2517" t="s">
        <v>8645</v>
      </c>
      <c r="P2517" s="18">
        <v>0</v>
      </c>
    </row>
    <row r="2518" spans="1:16" x14ac:dyDescent="0.35">
      <c r="A2518" t="s">
        <v>8520</v>
      </c>
      <c r="G2518" t="s">
        <v>8607</v>
      </c>
      <c r="H2518">
        <v>38</v>
      </c>
      <c r="J2518" s="5" t="s">
        <v>8646</v>
      </c>
      <c r="K2518" t="s">
        <v>241</v>
      </c>
      <c r="L2518" t="s">
        <v>8647</v>
      </c>
      <c r="M2518" t="s">
        <v>8648</v>
      </c>
      <c r="P2518" s="18">
        <v>0</v>
      </c>
    </row>
    <row r="2519" spans="1:16" x14ac:dyDescent="0.35">
      <c r="A2519" t="s">
        <v>8520</v>
      </c>
      <c r="G2519" t="s">
        <v>8607</v>
      </c>
      <c r="H2519">
        <v>27</v>
      </c>
      <c r="J2519" t="s">
        <v>8608</v>
      </c>
      <c r="K2519" t="s">
        <v>229</v>
      </c>
      <c r="L2519" t="s">
        <v>8609</v>
      </c>
      <c r="M2519" t="s">
        <v>8610</v>
      </c>
      <c r="P2519" s="18" t="s">
        <v>8682</v>
      </c>
    </row>
    <row r="2520" spans="1:16" x14ac:dyDescent="0.35">
      <c r="A2520" t="s">
        <v>8520</v>
      </c>
      <c r="G2520" t="s">
        <v>8607</v>
      </c>
      <c r="H2520">
        <v>28</v>
      </c>
      <c r="J2520" t="s">
        <v>8612</v>
      </c>
      <c r="K2520" t="s">
        <v>229</v>
      </c>
      <c r="L2520" t="s">
        <v>8613</v>
      </c>
      <c r="M2520" t="s">
        <v>8614</v>
      </c>
      <c r="P2520" s="18" t="s">
        <v>8615</v>
      </c>
    </row>
    <row r="2521" spans="1:16" x14ac:dyDescent="0.35">
      <c r="A2521" t="s">
        <v>8520</v>
      </c>
      <c r="G2521" t="s">
        <v>8607</v>
      </c>
      <c r="H2521">
        <v>29</v>
      </c>
      <c r="J2521" t="s">
        <v>8616</v>
      </c>
      <c r="K2521" t="s">
        <v>229</v>
      </c>
      <c r="L2521" t="s">
        <v>7927</v>
      </c>
      <c r="M2521" t="s">
        <v>8617</v>
      </c>
      <c r="P2521" s="18">
        <v>31162100</v>
      </c>
    </row>
    <row r="2522" spans="1:16" x14ac:dyDescent="0.35">
      <c r="A2522" t="s">
        <v>8520</v>
      </c>
      <c r="G2522" t="s">
        <v>8607</v>
      </c>
      <c r="H2522">
        <v>30</v>
      </c>
      <c r="J2522" t="s">
        <v>8618</v>
      </c>
      <c r="K2522" t="s">
        <v>8619</v>
      </c>
      <c r="L2522" t="s">
        <v>8620</v>
      </c>
      <c r="M2522" t="s">
        <v>8621</v>
      </c>
      <c r="P2522" s="18">
        <v>71446204</v>
      </c>
    </row>
    <row r="2523" spans="1:16" x14ac:dyDescent="0.35">
      <c r="A2523" t="s">
        <v>8520</v>
      </c>
      <c r="G2523" t="s">
        <v>8607</v>
      </c>
      <c r="H2523">
        <v>31</v>
      </c>
      <c r="J2523" t="s">
        <v>8622</v>
      </c>
      <c r="K2523" t="s">
        <v>241</v>
      </c>
      <c r="L2523" t="s">
        <v>8623</v>
      </c>
      <c r="M2523" t="s">
        <v>8624</v>
      </c>
      <c r="P2523" s="18">
        <v>229325</v>
      </c>
    </row>
    <row r="2524" spans="1:16" x14ac:dyDescent="0.35">
      <c r="A2524" t="s">
        <v>8520</v>
      </c>
      <c r="G2524" t="s">
        <v>8607</v>
      </c>
      <c r="H2524">
        <v>32</v>
      </c>
      <c r="J2524" t="s">
        <v>8625</v>
      </c>
      <c r="K2524" t="s">
        <v>229</v>
      </c>
      <c r="L2524" t="s">
        <v>8626</v>
      </c>
      <c r="M2524" t="s">
        <v>8627</v>
      </c>
      <c r="P2524" s="18" t="s">
        <v>8628</v>
      </c>
    </row>
    <row r="2525" spans="1:16" x14ac:dyDescent="0.35">
      <c r="A2525" t="s">
        <v>8520</v>
      </c>
      <c r="G2525" t="s">
        <v>8607</v>
      </c>
      <c r="H2525">
        <v>33</v>
      </c>
      <c r="J2525" t="s">
        <v>8629</v>
      </c>
      <c r="K2525" t="s">
        <v>229</v>
      </c>
      <c r="L2525" t="s">
        <v>8630</v>
      </c>
      <c r="M2525" t="s">
        <v>8631</v>
      </c>
    </row>
    <row r="2526" spans="1:16" x14ac:dyDescent="0.35">
      <c r="A2526" t="s">
        <v>8520</v>
      </c>
      <c r="G2526" t="s">
        <v>8607</v>
      </c>
      <c r="H2526">
        <v>34</v>
      </c>
      <c r="J2526" t="s">
        <v>8633</v>
      </c>
      <c r="K2526" t="s">
        <v>4735</v>
      </c>
      <c r="L2526" t="s">
        <v>8634</v>
      </c>
      <c r="M2526" t="s">
        <v>8635</v>
      </c>
      <c r="P2526" s="18" t="s">
        <v>8632</v>
      </c>
    </row>
    <row r="2527" spans="1:16" hidden="1" x14ac:dyDescent="0.35">
      <c r="A2527" t="s">
        <v>8651</v>
      </c>
      <c r="G2527" t="s">
        <v>8607</v>
      </c>
      <c r="H2527">
        <v>35</v>
      </c>
      <c r="J2527" t="s">
        <v>8637</v>
      </c>
      <c r="K2527" t="s">
        <v>229</v>
      </c>
      <c r="L2527" t="s">
        <v>8638</v>
      </c>
      <c r="M2527" t="s">
        <v>8639</v>
      </c>
      <c r="P2527" s="18" t="s">
        <v>8636</v>
      </c>
    </row>
    <row r="2528" spans="1:16" x14ac:dyDescent="0.35">
      <c r="A2528" t="s">
        <v>8520</v>
      </c>
      <c r="G2528" t="s">
        <v>8607</v>
      </c>
      <c r="H2528">
        <v>36</v>
      </c>
      <c r="J2528" t="s">
        <v>8640</v>
      </c>
      <c r="K2528" t="s">
        <v>241</v>
      </c>
      <c r="L2528" t="s">
        <v>8641</v>
      </c>
      <c r="M2528" t="s">
        <v>8642</v>
      </c>
      <c r="P2528" s="18">
        <v>114815</v>
      </c>
    </row>
    <row r="2529" spans="1:16" x14ac:dyDescent="0.35">
      <c r="A2529" t="s">
        <v>8520</v>
      </c>
      <c r="G2529" t="s">
        <v>8607</v>
      </c>
      <c r="H2529">
        <v>37</v>
      </c>
      <c r="J2529" t="s">
        <v>8643</v>
      </c>
      <c r="K2529" t="s">
        <v>241</v>
      </c>
      <c r="L2529" t="s">
        <v>8644</v>
      </c>
      <c r="M2529" t="s">
        <v>8645</v>
      </c>
      <c r="P2529" s="18">
        <v>0</v>
      </c>
    </row>
    <row r="2530" spans="1:16" x14ac:dyDescent="0.35">
      <c r="A2530" t="s">
        <v>8520</v>
      </c>
      <c r="G2530" t="s">
        <v>8607</v>
      </c>
      <c r="H2530">
        <v>38</v>
      </c>
      <c r="J2530" t="s">
        <v>8646</v>
      </c>
      <c r="K2530" t="s">
        <v>241</v>
      </c>
      <c r="L2530" t="s">
        <v>8647</v>
      </c>
      <c r="M2530" t="s">
        <v>8648</v>
      </c>
      <c r="P2530" s="21">
        <v>114510</v>
      </c>
    </row>
    <row r="2531" spans="1:16" x14ac:dyDescent="0.35">
      <c r="A2531" t="s">
        <v>8520</v>
      </c>
      <c r="G2531" t="s">
        <v>8607</v>
      </c>
      <c r="H2531">
        <v>27</v>
      </c>
      <c r="J2531" s="5" t="s">
        <v>8608</v>
      </c>
      <c r="K2531" t="s">
        <v>229</v>
      </c>
      <c r="L2531" t="s">
        <v>8609</v>
      </c>
      <c r="M2531" t="s">
        <v>8610</v>
      </c>
      <c r="P2531" s="18" t="s">
        <v>8683</v>
      </c>
    </row>
    <row r="2532" spans="1:16" x14ac:dyDescent="0.35">
      <c r="A2532" t="s">
        <v>8520</v>
      </c>
      <c r="G2532" t="s">
        <v>8607</v>
      </c>
      <c r="H2532">
        <v>28</v>
      </c>
      <c r="J2532" s="5" t="s">
        <v>8612</v>
      </c>
      <c r="K2532" t="s">
        <v>229</v>
      </c>
      <c r="L2532" t="s">
        <v>8613</v>
      </c>
      <c r="M2532" t="s">
        <v>8614</v>
      </c>
      <c r="P2532" s="18" t="s">
        <v>8615</v>
      </c>
    </row>
    <row r="2533" spans="1:16" x14ac:dyDescent="0.35">
      <c r="A2533" t="s">
        <v>8520</v>
      </c>
      <c r="G2533" t="s">
        <v>8607</v>
      </c>
      <c r="H2533">
        <v>29</v>
      </c>
      <c r="J2533" s="5" t="s">
        <v>8616</v>
      </c>
      <c r="K2533" t="s">
        <v>229</v>
      </c>
      <c r="L2533" t="s">
        <v>7927</v>
      </c>
      <c r="M2533" t="s">
        <v>8617</v>
      </c>
      <c r="P2533" s="18">
        <v>32654105</v>
      </c>
    </row>
    <row r="2534" spans="1:16" x14ac:dyDescent="0.35">
      <c r="A2534" t="s">
        <v>8520</v>
      </c>
      <c r="G2534" t="s">
        <v>8607</v>
      </c>
      <c r="H2534">
        <v>30</v>
      </c>
      <c r="J2534" s="5" t="s">
        <v>8618</v>
      </c>
      <c r="K2534" t="s">
        <v>8619</v>
      </c>
      <c r="L2534" t="s">
        <v>8620</v>
      </c>
      <c r="M2534" t="s">
        <v>8621</v>
      </c>
      <c r="P2534" s="18">
        <v>307950</v>
      </c>
    </row>
    <row r="2535" spans="1:16" x14ac:dyDescent="0.35">
      <c r="A2535" t="s">
        <v>8520</v>
      </c>
      <c r="G2535" t="s">
        <v>8607</v>
      </c>
      <c r="H2535">
        <v>31</v>
      </c>
      <c r="J2535" s="5" t="s">
        <v>8622</v>
      </c>
      <c r="K2535" t="s">
        <v>241</v>
      </c>
      <c r="L2535" t="s">
        <v>8623</v>
      </c>
      <c r="M2535" t="s">
        <v>8624</v>
      </c>
      <c r="P2535" s="18">
        <v>1527</v>
      </c>
    </row>
    <row r="2536" spans="1:16" x14ac:dyDescent="0.35">
      <c r="A2536" t="s">
        <v>8520</v>
      </c>
      <c r="G2536" t="s">
        <v>8607</v>
      </c>
      <c r="H2536">
        <v>32</v>
      </c>
      <c r="J2536" s="5" t="s">
        <v>8625</v>
      </c>
      <c r="K2536" t="s">
        <v>229</v>
      </c>
      <c r="L2536" t="s">
        <v>8626</v>
      </c>
      <c r="M2536" t="s">
        <v>8627</v>
      </c>
      <c r="P2536" s="18" t="s">
        <v>8628</v>
      </c>
    </row>
    <row r="2537" spans="1:16" x14ac:dyDescent="0.35">
      <c r="A2537" t="s">
        <v>8520</v>
      </c>
      <c r="G2537" t="s">
        <v>8607</v>
      </c>
      <c r="H2537">
        <v>33</v>
      </c>
      <c r="J2537" s="5" t="s">
        <v>8629</v>
      </c>
      <c r="K2537" t="s">
        <v>229</v>
      </c>
      <c r="L2537" t="s">
        <v>8630</v>
      </c>
      <c r="M2537" t="s">
        <v>8631</v>
      </c>
    </row>
    <row r="2538" spans="1:16" x14ac:dyDescent="0.35">
      <c r="A2538" t="s">
        <v>8520</v>
      </c>
      <c r="G2538" t="s">
        <v>8607</v>
      </c>
      <c r="H2538">
        <v>34</v>
      </c>
      <c r="J2538" s="5" t="s">
        <v>8633</v>
      </c>
      <c r="K2538" t="s">
        <v>4735</v>
      </c>
      <c r="L2538" t="s">
        <v>8634</v>
      </c>
      <c r="M2538" t="s">
        <v>8635</v>
      </c>
      <c r="P2538" s="18" t="s">
        <v>8632</v>
      </c>
    </row>
    <row r="2539" spans="1:16" hidden="1" x14ac:dyDescent="0.35">
      <c r="A2539" t="s">
        <v>8651</v>
      </c>
      <c r="G2539" t="s">
        <v>8607</v>
      </c>
      <c r="H2539">
        <v>35</v>
      </c>
      <c r="J2539" s="5" t="s">
        <v>8637</v>
      </c>
      <c r="K2539" t="s">
        <v>229</v>
      </c>
      <c r="L2539" t="s">
        <v>8638</v>
      </c>
      <c r="M2539" t="s">
        <v>8639</v>
      </c>
      <c r="P2539" s="18" t="s">
        <v>8636</v>
      </c>
    </row>
    <row r="2540" spans="1:16" x14ac:dyDescent="0.35">
      <c r="A2540" t="s">
        <v>8520</v>
      </c>
      <c r="G2540" t="s">
        <v>8607</v>
      </c>
      <c r="H2540">
        <v>36</v>
      </c>
      <c r="J2540" s="5" t="s">
        <v>8640</v>
      </c>
      <c r="K2540" t="s">
        <v>241</v>
      </c>
      <c r="L2540" t="s">
        <v>8641</v>
      </c>
      <c r="M2540" t="s">
        <v>8642</v>
      </c>
      <c r="P2540" s="18">
        <v>1527</v>
      </c>
    </row>
    <row r="2541" spans="1:16" x14ac:dyDescent="0.35">
      <c r="A2541" t="s">
        <v>8520</v>
      </c>
      <c r="G2541" t="s">
        <v>8607</v>
      </c>
      <c r="H2541">
        <v>37</v>
      </c>
      <c r="J2541" s="5" t="s">
        <v>8643</v>
      </c>
      <c r="K2541" t="s">
        <v>241</v>
      </c>
      <c r="L2541" t="s">
        <v>8644</v>
      </c>
      <c r="M2541" t="s">
        <v>8645</v>
      </c>
      <c r="P2541" s="18">
        <v>0</v>
      </c>
    </row>
    <row r="2542" spans="1:16" x14ac:dyDescent="0.35">
      <c r="A2542" t="s">
        <v>8520</v>
      </c>
      <c r="G2542" t="s">
        <v>8607</v>
      </c>
      <c r="H2542">
        <v>38</v>
      </c>
      <c r="J2542" s="5" t="s">
        <v>8646</v>
      </c>
      <c r="K2542" t="s">
        <v>241</v>
      </c>
      <c r="L2542" t="s">
        <v>8647</v>
      </c>
      <c r="M2542" t="s">
        <v>8648</v>
      </c>
      <c r="P2542" s="18">
        <v>0</v>
      </c>
    </row>
  </sheetData>
  <autoFilter ref="A1:O2542" xr:uid="{9ABEC542-B1A2-47B3-90B7-BB9D5BF7905A}">
    <filterColumn colId="0">
      <filters>
        <filter val="13F-HR"/>
      </filters>
    </filterColumn>
  </autoFilter>
  <phoneticPr fontId="8"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FFD62-A30D-47F7-AFE2-DBE3F840E345}">
  <dimension ref="A1:Q3685"/>
  <sheetViews>
    <sheetView tabSelected="1" zoomScale="90" zoomScaleNormal="90" workbookViewId="0">
      <pane ySplit="1" topLeftCell="A2" activePane="bottomLeft" state="frozen"/>
      <selection activeCell="J634" sqref="J634"/>
      <selection pane="bottomLeft" activeCell="K2" sqref="K2"/>
    </sheetView>
  </sheetViews>
  <sheetFormatPr defaultRowHeight="14.5" x14ac:dyDescent="0.35"/>
  <cols>
    <col min="1" max="1" width="12" customWidth="1"/>
    <col min="2" max="2" width="12.81640625" customWidth="1"/>
    <col min="3" max="5" width="0" hidden="1" customWidth="1"/>
    <col min="7" max="7" width="18.1796875" hidden="1" customWidth="1"/>
    <col min="8" max="8" width="11" customWidth="1"/>
    <col min="9" max="10" width="21" customWidth="1"/>
    <col min="11" max="11" width="36.81640625" bestFit="1" customWidth="1"/>
    <col min="12" max="12" width="13" customWidth="1"/>
    <col min="13" max="13" width="23" customWidth="1"/>
    <col min="14" max="14" width="60.81640625" hidden="1" customWidth="1"/>
    <col min="15" max="15" width="0" hidden="1" customWidth="1"/>
    <col min="16" max="16" width="48.1796875" hidden="1" customWidth="1"/>
    <col min="17" max="17" width="32.54296875" style="28" bestFit="1" customWidth="1"/>
  </cols>
  <sheetData>
    <row r="1" spans="1:17" x14ac:dyDescent="0.35">
      <c r="A1" s="1" t="s">
        <v>211</v>
      </c>
      <c r="B1" s="1" t="s">
        <v>8</v>
      </c>
      <c r="C1" s="1" t="s">
        <v>212</v>
      </c>
      <c r="D1" s="1" t="s">
        <v>213</v>
      </c>
      <c r="E1" s="1" t="s">
        <v>214</v>
      </c>
      <c r="F1" s="1" t="s">
        <v>215</v>
      </c>
      <c r="G1" s="1" t="s">
        <v>216</v>
      </c>
      <c r="H1" s="1" t="s">
        <v>217</v>
      </c>
      <c r="I1" s="1" t="s">
        <v>218</v>
      </c>
      <c r="J1" s="37" t="s">
        <v>9308</v>
      </c>
      <c r="K1" s="1" t="s">
        <v>219</v>
      </c>
      <c r="L1" s="2" t="s">
        <v>220</v>
      </c>
      <c r="M1" s="1" t="s">
        <v>221</v>
      </c>
      <c r="N1" s="1" t="s">
        <v>222</v>
      </c>
      <c r="O1" s="1" t="s">
        <v>223</v>
      </c>
      <c r="P1" s="1" t="s">
        <v>224</v>
      </c>
      <c r="Q1" s="22" t="s">
        <v>225</v>
      </c>
    </row>
    <row r="2" spans="1:17" x14ac:dyDescent="0.35">
      <c r="A2" t="s">
        <v>8520</v>
      </c>
      <c r="B2" s="3" t="s">
        <v>102</v>
      </c>
      <c r="F2">
        <v>5</v>
      </c>
      <c r="G2" t="s">
        <v>8607</v>
      </c>
      <c r="H2">
        <v>27</v>
      </c>
      <c r="I2" t="s">
        <v>9296</v>
      </c>
      <c r="J2" t="str">
        <f>_xlfn.CONCAT(A2,"-",F2,".",H2,".",I2)</f>
        <v>13F-HR-5.27.C1</v>
      </c>
      <c r="K2" s="5" t="s">
        <v>8608</v>
      </c>
      <c r="L2" t="s">
        <v>229</v>
      </c>
      <c r="M2" t="s">
        <v>8609</v>
      </c>
      <c r="N2" t="s">
        <v>8610</v>
      </c>
      <c r="Q2" s="28" t="s">
        <v>8611</v>
      </c>
    </row>
    <row r="3" spans="1:17" x14ac:dyDescent="0.35">
      <c r="A3" t="s">
        <v>8520</v>
      </c>
      <c r="B3" s="3" t="s">
        <v>102</v>
      </c>
      <c r="F3">
        <v>5</v>
      </c>
      <c r="G3" t="s">
        <v>8607</v>
      </c>
      <c r="H3">
        <v>28</v>
      </c>
      <c r="I3" t="s">
        <v>9297</v>
      </c>
      <c r="J3" t="str">
        <f t="shared" ref="J3:J66" si="0">_xlfn.CONCAT(A3,"-",F3,".",H3,".",I3)</f>
        <v>13F-HR-5.28.C2</v>
      </c>
      <c r="K3" s="5" t="s">
        <v>8612</v>
      </c>
      <c r="L3" t="s">
        <v>229</v>
      </c>
      <c r="M3" t="s">
        <v>8613</v>
      </c>
      <c r="N3" t="s">
        <v>8614</v>
      </c>
      <c r="Q3" s="28" t="s">
        <v>8615</v>
      </c>
    </row>
    <row r="4" spans="1:17" x14ac:dyDescent="0.35">
      <c r="A4" t="s">
        <v>8520</v>
      </c>
      <c r="B4" s="3" t="s">
        <v>102</v>
      </c>
      <c r="F4">
        <v>5</v>
      </c>
      <c r="G4" t="s">
        <v>8607</v>
      </c>
      <c r="H4">
        <v>29</v>
      </c>
      <c r="I4" t="s">
        <v>9298</v>
      </c>
      <c r="J4" t="str">
        <f t="shared" si="0"/>
        <v>13F-HR-5.29.C3</v>
      </c>
      <c r="K4" s="5" t="s">
        <v>8616</v>
      </c>
      <c r="L4" t="s">
        <v>229</v>
      </c>
      <c r="M4" t="s">
        <v>7927</v>
      </c>
      <c r="N4" t="s">
        <v>8617</v>
      </c>
      <c r="Q4" s="28" t="s">
        <v>9291</v>
      </c>
    </row>
    <row r="5" spans="1:17" x14ac:dyDescent="0.35">
      <c r="A5" t="s">
        <v>8520</v>
      </c>
      <c r="B5" s="3" t="s">
        <v>102</v>
      </c>
      <c r="F5">
        <v>5</v>
      </c>
      <c r="G5" t="s">
        <v>8607</v>
      </c>
      <c r="H5">
        <v>30</v>
      </c>
      <c r="I5" t="s">
        <v>9299</v>
      </c>
      <c r="J5" t="str">
        <f t="shared" si="0"/>
        <v>13F-HR-5.30.C4</v>
      </c>
      <c r="K5" s="5" t="s">
        <v>8618</v>
      </c>
      <c r="L5" t="s">
        <v>8619</v>
      </c>
      <c r="M5" t="s">
        <v>8620</v>
      </c>
      <c r="N5" t="s">
        <v>8621</v>
      </c>
      <c r="Q5" s="28">
        <v>1643178</v>
      </c>
    </row>
    <row r="6" spans="1:17" x14ac:dyDescent="0.35">
      <c r="A6" t="s">
        <v>8520</v>
      </c>
      <c r="B6" s="3" t="s">
        <v>102</v>
      </c>
      <c r="F6">
        <v>5</v>
      </c>
      <c r="G6" t="s">
        <v>8607</v>
      </c>
      <c r="H6">
        <v>31</v>
      </c>
      <c r="I6" t="s">
        <v>9300</v>
      </c>
      <c r="J6" t="str">
        <f t="shared" si="0"/>
        <v>13F-HR-5.31.C5</v>
      </c>
      <c r="K6" s="5" t="s">
        <v>8622</v>
      </c>
      <c r="L6" t="s">
        <v>241</v>
      </c>
      <c r="M6" t="s">
        <v>8623</v>
      </c>
      <c r="N6" t="s">
        <v>8624</v>
      </c>
      <c r="Q6" s="28">
        <v>132301</v>
      </c>
    </row>
    <row r="7" spans="1:17" x14ac:dyDescent="0.35">
      <c r="A7" t="s">
        <v>8520</v>
      </c>
      <c r="B7" s="3" t="s">
        <v>102</v>
      </c>
      <c r="F7">
        <v>5</v>
      </c>
      <c r="G7" t="s">
        <v>8607</v>
      </c>
      <c r="H7">
        <v>32</v>
      </c>
      <c r="I7" t="s">
        <v>9301</v>
      </c>
      <c r="J7" t="str">
        <f t="shared" si="0"/>
        <v>13F-HR-5.32.C6</v>
      </c>
      <c r="K7" s="5" t="s">
        <v>8625</v>
      </c>
      <c r="L7" t="s">
        <v>229</v>
      </c>
      <c r="M7" t="s">
        <v>8626</v>
      </c>
      <c r="N7" t="s">
        <v>8627</v>
      </c>
      <c r="Q7" s="28" t="s">
        <v>8628</v>
      </c>
    </row>
    <row r="8" spans="1:17" x14ac:dyDescent="0.35">
      <c r="A8" t="s">
        <v>8520</v>
      </c>
      <c r="B8" s="3" t="s">
        <v>102</v>
      </c>
      <c r="F8">
        <v>5</v>
      </c>
      <c r="G8" t="s">
        <v>8607</v>
      </c>
      <c r="H8">
        <v>33</v>
      </c>
      <c r="I8" t="s">
        <v>9302</v>
      </c>
      <c r="J8" t="str">
        <f t="shared" si="0"/>
        <v>13F-HR-5.33.C7</v>
      </c>
      <c r="K8" s="5" t="s">
        <v>8629</v>
      </c>
      <c r="L8" t="s">
        <v>229</v>
      </c>
      <c r="M8" t="s">
        <v>8630</v>
      </c>
      <c r="N8" t="s">
        <v>8631</v>
      </c>
      <c r="Q8" s="20" t="str">
        <f>IF(COUNTIF(M:M,"put/call")&gt;0,"N/A")</f>
        <v>N/A</v>
      </c>
    </row>
    <row r="9" spans="1:17" x14ac:dyDescent="0.35">
      <c r="A9" t="s">
        <v>8520</v>
      </c>
      <c r="B9" s="3" t="s">
        <v>102</v>
      </c>
      <c r="F9">
        <v>5</v>
      </c>
      <c r="G9" t="s">
        <v>8607</v>
      </c>
      <c r="H9">
        <v>34</v>
      </c>
      <c r="I9" t="s">
        <v>9303</v>
      </c>
      <c r="J9" t="str">
        <f t="shared" si="0"/>
        <v>13F-HR-5.34.C8</v>
      </c>
      <c r="K9" s="5" t="s">
        <v>8633</v>
      </c>
      <c r="L9" t="s">
        <v>4735</v>
      </c>
      <c r="M9" t="s">
        <v>8634</v>
      </c>
      <c r="N9" t="s">
        <v>8635</v>
      </c>
      <c r="Q9" s="28" t="s">
        <v>8632</v>
      </c>
    </row>
    <row r="10" spans="1:17" x14ac:dyDescent="0.35">
      <c r="A10" t="s">
        <v>8520</v>
      </c>
      <c r="B10" s="3" t="s">
        <v>102</v>
      </c>
      <c r="F10">
        <v>5</v>
      </c>
      <c r="G10" t="s">
        <v>8607</v>
      </c>
      <c r="H10">
        <v>35</v>
      </c>
      <c r="I10" t="s">
        <v>9304</v>
      </c>
      <c r="J10" t="str">
        <f t="shared" si="0"/>
        <v>13F-HR-5.35.C9</v>
      </c>
      <c r="K10" s="5" t="s">
        <v>8637</v>
      </c>
      <c r="L10" t="s">
        <v>229</v>
      </c>
      <c r="M10" t="s">
        <v>8638</v>
      </c>
      <c r="N10" t="s">
        <v>8639</v>
      </c>
      <c r="Q10" s="28" t="s">
        <v>8652</v>
      </c>
    </row>
    <row r="11" spans="1:17" x14ac:dyDescent="0.35">
      <c r="A11" t="s">
        <v>8520</v>
      </c>
      <c r="B11" s="3" t="s">
        <v>102</v>
      </c>
      <c r="F11">
        <v>5</v>
      </c>
      <c r="G11" t="s">
        <v>8607</v>
      </c>
      <c r="H11">
        <v>36</v>
      </c>
      <c r="I11" t="s">
        <v>9305</v>
      </c>
      <c r="J11" t="str">
        <f t="shared" si="0"/>
        <v>13F-HR-5.36.C10</v>
      </c>
      <c r="K11" s="5" t="s">
        <v>8640</v>
      </c>
      <c r="L11" t="s">
        <v>241</v>
      </c>
      <c r="M11" t="s">
        <v>8641</v>
      </c>
      <c r="N11" t="s">
        <v>8642</v>
      </c>
      <c r="Q11" s="28">
        <v>128447</v>
      </c>
    </row>
    <row r="12" spans="1:17" x14ac:dyDescent="0.35">
      <c r="A12" t="s">
        <v>8520</v>
      </c>
      <c r="B12" s="3" t="s">
        <v>102</v>
      </c>
      <c r="F12">
        <v>5</v>
      </c>
      <c r="G12" t="s">
        <v>8607</v>
      </c>
      <c r="H12">
        <v>37</v>
      </c>
      <c r="I12" t="s">
        <v>9306</v>
      </c>
      <c r="J12" t="str">
        <f t="shared" si="0"/>
        <v>13F-HR-5.37.C11</v>
      </c>
      <c r="K12" s="5" t="s">
        <v>8643</v>
      </c>
      <c r="L12" t="s">
        <v>241</v>
      </c>
      <c r="M12" t="s">
        <v>8644</v>
      </c>
      <c r="N12" t="s">
        <v>8645</v>
      </c>
      <c r="Q12" s="28">
        <v>0</v>
      </c>
    </row>
    <row r="13" spans="1:17" x14ac:dyDescent="0.35">
      <c r="A13" t="s">
        <v>8520</v>
      </c>
      <c r="B13" s="3" t="s">
        <v>102</v>
      </c>
      <c r="F13">
        <v>5</v>
      </c>
      <c r="G13" t="s">
        <v>8607</v>
      </c>
      <c r="H13">
        <v>38</v>
      </c>
      <c r="I13" t="s">
        <v>9307</v>
      </c>
      <c r="J13" t="str">
        <f t="shared" si="0"/>
        <v>13F-HR-5.38.C12</v>
      </c>
      <c r="K13" s="5" t="s">
        <v>8646</v>
      </c>
      <c r="L13" t="s">
        <v>241</v>
      </c>
      <c r="M13" t="s">
        <v>8647</v>
      </c>
      <c r="N13" t="s">
        <v>8648</v>
      </c>
      <c r="Q13" s="28">
        <v>3854</v>
      </c>
    </row>
    <row r="14" spans="1:17" x14ac:dyDescent="0.35">
      <c r="A14" t="s">
        <v>8520</v>
      </c>
      <c r="B14" s="3" t="s">
        <v>102</v>
      </c>
      <c r="F14">
        <v>5</v>
      </c>
      <c r="G14" t="s">
        <v>8607</v>
      </c>
      <c r="H14">
        <v>27</v>
      </c>
      <c r="I14" t="s">
        <v>9296</v>
      </c>
      <c r="J14" t="str">
        <f t="shared" si="0"/>
        <v>13F-HR-5.27.C1</v>
      </c>
      <c r="K14" s="5" t="s">
        <v>8608</v>
      </c>
      <c r="L14" t="s">
        <v>229</v>
      </c>
      <c r="M14" t="s">
        <v>8609</v>
      </c>
      <c r="N14" t="s">
        <v>8610</v>
      </c>
      <c r="Q14" s="28" t="s">
        <v>8649</v>
      </c>
    </row>
    <row r="15" spans="1:17" x14ac:dyDescent="0.35">
      <c r="A15" t="s">
        <v>8520</v>
      </c>
      <c r="B15" s="3" t="s">
        <v>102</v>
      </c>
      <c r="F15">
        <v>5</v>
      </c>
      <c r="G15" t="s">
        <v>8607</v>
      </c>
      <c r="H15">
        <v>28</v>
      </c>
      <c r="I15" t="s">
        <v>9297</v>
      </c>
      <c r="J15" t="str">
        <f t="shared" si="0"/>
        <v>13F-HR-5.28.C2</v>
      </c>
      <c r="K15" s="5" t="s">
        <v>8612</v>
      </c>
      <c r="L15" t="s">
        <v>229</v>
      </c>
      <c r="M15" t="s">
        <v>8613</v>
      </c>
      <c r="N15" t="s">
        <v>8614</v>
      </c>
      <c r="Q15" s="28" t="s">
        <v>8615</v>
      </c>
    </row>
    <row r="16" spans="1:17" x14ac:dyDescent="0.35">
      <c r="A16" t="s">
        <v>8520</v>
      </c>
      <c r="B16" s="3" t="s">
        <v>102</v>
      </c>
      <c r="F16">
        <v>5</v>
      </c>
      <c r="G16" t="s">
        <v>8607</v>
      </c>
      <c r="H16">
        <v>29</v>
      </c>
      <c r="I16" t="s">
        <v>9298</v>
      </c>
      <c r="J16" t="str">
        <f t="shared" si="0"/>
        <v>13F-HR-5.29.C3</v>
      </c>
      <c r="K16" s="5" t="s">
        <v>8616</v>
      </c>
      <c r="L16" t="s">
        <v>229</v>
      </c>
      <c r="M16" t="s">
        <v>7927</v>
      </c>
      <c r="N16" t="s">
        <v>8617</v>
      </c>
      <c r="Q16" s="28" t="s">
        <v>8650</v>
      </c>
    </row>
    <row r="17" spans="1:17" x14ac:dyDescent="0.35">
      <c r="A17" t="s">
        <v>8520</v>
      </c>
      <c r="B17" s="3" t="s">
        <v>102</v>
      </c>
      <c r="F17">
        <v>5</v>
      </c>
      <c r="G17" t="s">
        <v>8607</v>
      </c>
      <c r="H17">
        <v>30</v>
      </c>
      <c r="I17" t="s">
        <v>9299</v>
      </c>
      <c r="J17" t="str">
        <f t="shared" si="0"/>
        <v>13F-HR-5.30.C4</v>
      </c>
      <c r="K17" s="5" t="s">
        <v>8618</v>
      </c>
      <c r="L17" t="s">
        <v>8619</v>
      </c>
      <c r="M17" t="s">
        <v>8620</v>
      </c>
      <c r="N17" t="s">
        <v>8621</v>
      </c>
      <c r="Q17" s="28">
        <v>1220791</v>
      </c>
    </row>
    <row r="18" spans="1:17" x14ac:dyDescent="0.35">
      <c r="A18" t="s">
        <v>8520</v>
      </c>
      <c r="B18" s="3" t="s">
        <v>102</v>
      </c>
      <c r="F18">
        <v>5</v>
      </c>
      <c r="G18" t="s">
        <v>8607</v>
      </c>
      <c r="H18">
        <v>31</v>
      </c>
      <c r="I18" t="s">
        <v>9300</v>
      </c>
      <c r="J18" t="str">
        <f t="shared" si="0"/>
        <v>13F-HR-5.31.C5</v>
      </c>
      <c r="K18" s="5" t="s">
        <v>8622</v>
      </c>
      <c r="L18" t="s">
        <v>241</v>
      </c>
      <c r="M18" t="s">
        <v>8623</v>
      </c>
      <c r="N18" t="s">
        <v>8624</v>
      </c>
      <c r="Q18" s="28">
        <v>43168</v>
      </c>
    </row>
    <row r="19" spans="1:17" x14ac:dyDescent="0.35">
      <c r="A19" t="s">
        <v>8520</v>
      </c>
      <c r="B19" s="3" t="s">
        <v>102</v>
      </c>
      <c r="F19">
        <v>5</v>
      </c>
      <c r="G19" t="s">
        <v>8607</v>
      </c>
      <c r="H19">
        <v>32</v>
      </c>
      <c r="I19" t="s">
        <v>9301</v>
      </c>
      <c r="J19" t="str">
        <f t="shared" si="0"/>
        <v>13F-HR-5.32.C6</v>
      </c>
      <c r="K19" s="5" t="s">
        <v>8625</v>
      </c>
      <c r="L19" t="s">
        <v>229</v>
      </c>
      <c r="M19" t="s">
        <v>8626</v>
      </c>
      <c r="N19" t="s">
        <v>8627</v>
      </c>
      <c r="Q19" s="28" t="s">
        <v>8628</v>
      </c>
    </row>
    <row r="20" spans="1:17" x14ac:dyDescent="0.35">
      <c r="A20" t="s">
        <v>8520</v>
      </c>
      <c r="B20" s="3" t="s">
        <v>102</v>
      </c>
      <c r="F20">
        <v>5</v>
      </c>
      <c r="G20" t="s">
        <v>8607</v>
      </c>
      <c r="H20">
        <v>33</v>
      </c>
      <c r="I20" t="s">
        <v>9302</v>
      </c>
      <c r="J20" t="str">
        <f t="shared" si="0"/>
        <v>13F-HR-5.33.C7</v>
      </c>
      <c r="K20" s="5" t="s">
        <v>8629</v>
      </c>
      <c r="L20" t="s">
        <v>229</v>
      </c>
      <c r="M20" t="s">
        <v>8630</v>
      </c>
      <c r="N20" t="s">
        <v>8631</v>
      </c>
      <c r="Q20" s="28" t="s">
        <v>1590</v>
      </c>
    </row>
    <row r="21" spans="1:17" x14ac:dyDescent="0.35">
      <c r="A21" t="s">
        <v>8520</v>
      </c>
      <c r="B21" s="3" t="s">
        <v>102</v>
      </c>
      <c r="F21">
        <v>5</v>
      </c>
      <c r="G21" t="s">
        <v>8607</v>
      </c>
      <c r="H21">
        <v>34</v>
      </c>
      <c r="I21" t="s">
        <v>9303</v>
      </c>
      <c r="J21" t="str">
        <f t="shared" si="0"/>
        <v>13F-HR-5.34.C8</v>
      </c>
      <c r="K21" s="5" t="s">
        <v>8633</v>
      </c>
      <c r="L21" t="s">
        <v>4735</v>
      </c>
      <c r="M21" t="s">
        <v>8634</v>
      </c>
      <c r="N21" t="s">
        <v>8635</v>
      </c>
      <c r="Q21" s="28" t="s">
        <v>8632</v>
      </c>
    </row>
    <row r="22" spans="1:17" x14ac:dyDescent="0.35">
      <c r="A22" t="s">
        <v>8651</v>
      </c>
      <c r="B22" s="3" t="s">
        <v>102</v>
      </c>
      <c r="F22">
        <v>5</v>
      </c>
      <c r="G22" t="s">
        <v>8607</v>
      </c>
      <c r="H22">
        <v>35</v>
      </c>
      <c r="I22" t="s">
        <v>9304</v>
      </c>
      <c r="J22" t="str">
        <f t="shared" si="0"/>
        <v>135-HR-5.35.C9</v>
      </c>
      <c r="K22" s="5" t="s">
        <v>8637</v>
      </c>
      <c r="L22" t="s">
        <v>229</v>
      </c>
      <c r="M22" t="s">
        <v>8638</v>
      </c>
      <c r="N22" t="s">
        <v>8639</v>
      </c>
      <c r="Q22" s="28" t="s">
        <v>8652</v>
      </c>
    </row>
    <row r="23" spans="1:17" x14ac:dyDescent="0.35">
      <c r="A23" t="s">
        <v>8520</v>
      </c>
      <c r="B23" s="3" t="s">
        <v>102</v>
      </c>
      <c r="F23">
        <v>5</v>
      </c>
      <c r="G23" t="s">
        <v>8607</v>
      </c>
      <c r="H23">
        <v>36</v>
      </c>
      <c r="I23" t="s">
        <v>9305</v>
      </c>
      <c r="J23" t="str">
        <f t="shared" si="0"/>
        <v>13F-HR-5.36.C10</v>
      </c>
      <c r="K23" s="5" t="s">
        <v>8640</v>
      </c>
      <c r="L23" t="s">
        <v>241</v>
      </c>
      <c r="M23" t="s">
        <v>8641</v>
      </c>
      <c r="N23" t="s">
        <v>8642</v>
      </c>
      <c r="Q23" s="28">
        <v>0</v>
      </c>
    </row>
    <row r="24" spans="1:17" x14ac:dyDescent="0.35">
      <c r="A24" t="s">
        <v>8520</v>
      </c>
      <c r="B24" s="3" t="s">
        <v>102</v>
      </c>
      <c r="F24">
        <v>5</v>
      </c>
      <c r="G24" t="s">
        <v>8607</v>
      </c>
      <c r="H24">
        <v>37</v>
      </c>
      <c r="I24" t="s">
        <v>9306</v>
      </c>
      <c r="J24" t="str">
        <f t="shared" si="0"/>
        <v>13F-HR-5.37.C11</v>
      </c>
      <c r="K24" s="5" t="s">
        <v>8643</v>
      </c>
      <c r="L24" t="s">
        <v>241</v>
      </c>
      <c r="M24" t="s">
        <v>8644</v>
      </c>
      <c r="N24" t="s">
        <v>8645</v>
      </c>
      <c r="Q24" s="28">
        <v>0</v>
      </c>
    </row>
    <row r="25" spans="1:17" x14ac:dyDescent="0.35">
      <c r="A25" t="s">
        <v>8520</v>
      </c>
      <c r="B25" s="3" t="s">
        <v>102</v>
      </c>
      <c r="F25">
        <v>5</v>
      </c>
      <c r="G25" t="s">
        <v>8607</v>
      </c>
      <c r="H25">
        <v>38</v>
      </c>
      <c r="I25" t="s">
        <v>9307</v>
      </c>
      <c r="J25" t="str">
        <f t="shared" si="0"/>
        <v>13F-HR-5.38.C12</v>
      </c>
      <c r="K25" s="5" t="s">
        <v>8646</v>
      </c>
      <c r="L25" t="s">
        <v>241</v>
      </c>
      <c r="M25" t="s">
        <v>8647</v>
      </c>
      <c r="N25" t="s">
        <v>8648</v>
      </c>
      <c r="Q25" s="28">
        <v>43168</v>
      </c>
    </row>
    <row r="26" spans="1:17" x14ac:dyDescent="0.35">
      <c r="A26" t="s">
        <v>8520</v>
      </c>
      <c r="B26" s="3" t="s">
        <v>102</v>
      </c>
      <c r="F26">
        <v>5</v>
      </c>
      <c r="G26" t="s">
        <v>8607</v>
      </c>
      <c r="H26">
        <v>27</v>
      </c>
      <c r="I26" t="s">
        <v>9296</v>
      </c>
      <c r="J26" t="str">
        <f t="shared" si="0"/>
        <v>13F-HR-5.27.C1</v>
      </c>
      <c r="K26" s="5" t="s">
        <v>8608</v>
      </c>
      <c r="L26" t="s">
        <v>229</v>
      </c>
      <c r="M26" t="s">
        <v>8609</v>
      </c>
      <c r="N26" t="s">
        <v>8610</v>
      </c>
      <c r="Q26" s="28" t="s">
        <v>8653</v>
      </c>
    </row>
    <row r="27" spans="1:17" x14ac:dyDescent="0.35">
      <c r="A27" t="s">
        <v>8520</v>
      </c>
      <c r="B27" s="3" t="s">
        <v>102</v>
      </c>
      <c r="F27">
        <v>5</v>
      </c>
      <c r="G27" t="s">
        <v>8607</v>
      </c>
      <c r="H27">
        <v>28</v>
      </c>
      <c r="I27" t="s">
        <v>9297</v>
      </c>
      <c r="J27" t="str">
        <f t="shared" si="0"/>
        <v>13F-HR-5.28.C2</v>
      </c>
      <c r="K27" s="5" t="s">
        <v>8612</v>
      </c>
      <c r="L27" t="s">
        <v>229</v>
      </c>
      <c r="M27" t="s">
        <v>8613</v>
      </c>
      <c r="N27" t="s">
        <v>8614</v>
      </c>
      <c r="Q27" s="28" t="s">
        <v>8615</v>
      </c>
    </row>
    <row r="28" spans="1:17" x14ac:dyDescent="0.35">
      <c r="A28" t="s">
        <v>8520</v>
      </c>
      <c r="B28" s="3" t="s">
        <v>102</v>
      </c>
      <c r="F28">
        <v>5</v>
      </c>
      <c r="G28" t="s">
        <v>8607</v>
      </c>
      <c r="H28">
        <v>29</v>
      </c>
      <c r="I28" t="s">
        <v>9298</v>
      </c>
      <c r="J28" t="str">
        <f t="shared" si="0"/>
        <v>13F-HR-5.29.C3</v>
      </c>
      <c r="K28" s="5" t="s">
        <v>8616</v>
      </c>
      <c r="L28" t="s">
        <v>229</v>
      </c>
      <c r="M28" t="s">
        <v>7927</v>
      </c>
      <c r="N28" t="s">
        <v>8617</v>
      </c>
      <c r="Q28" s="28">
        <v>2824100</v>
      </c>
    </row>
    <row r="29" spans="1:17" x14ac:dyDescent="0.35">
      <c r="A29" t="s">
        <v>8520</v>
      </c>
      <c r="B29" s="3" t="s">
        <v>102</v>
      </c>
      <c r="F29">
        <v>5</v>
      </c>
      <c r="G29" t="s">
        <v>8607</v>
      </c>
      <c r="H29">
        <v>30</v>
      </c>
      <c r="I29" t="s">
        <v>9299</v>
      </c>
      <c r="J29" t="str">
        <f t="shared" si="0"/>
        <v>13F-HR-5.30.C4</v>
      </c>
      <c r="K29" s="5" t="s">
        <v>8618</v>
      </c>
      <c r="L29" t="s">
        <v>8619</v>
      </c>
      <c r="M29" t="s">
        <v>8620</v>
      </c>
      <c r="N29" t="s">
        <v>8621</v>
      </c>
      <c r="Q29" s="28">
        <v>96603291</v>
      </c>
    </row>
    <row r="30" spans="1:17" x14ac:dyDescent="0.35">
      <c r="A30" t="s">
        <v>8520</v>
      </c>
      <c r="B30" s="3" t="s">
        <v>102</v>
      </c>
      <c r="F30">
        <v>5</v>
      </c>
      <c r="G30" t="s">
        <v>8607</v>
      </c>
      <c r="H30">
        <v>31</v>
      </c>
      <c r="I30" t="s">
        <v>9300</v>
      </c>
      <c r="J30" t="str">
        <f t="shared" si="0"/>
        <v>13F-HR-5.31.C5</v>
      </c>
      <c r="K30" s="5" t="s">
        <v>8622</v>
      </c>
      <c r="L30" t="s">
        <v>241</v>
      </c>
      <c r="M30" t="s">
        <v>8623</v>
      </c>
      <c r="N30" t="s">
        <v>8624</v>
      </c>
      <c r="Q30" s="28">
        <v>728257</v>
      </c>
    </row>
    <row r="31" spans="1:17" x14ac:dyDescent="0.35">
      <c r="A31" t="s">
        <v>8520</v>
      </c>
      <c r="B31" s="3" t="s">
        <v>102</v>
      </c>
      <c r="F31">
        <v>5</v>
      </c>
      <c r="G31" t="s">
        <v>8607</v>
      </c>
      <c r="H31">
        <v>32</v>
      </c>
      <c r="I31" t="s">
        <v>9301</v>
      </c>
      <c r="J31" t="str">
        <f t="shared" si="0"/>
        <v>13F-HR-5.32.C6</v>
      </c>
      <c r="K31" s="5" t="s">
        <v>8625</v>
      </c>
      <c r="L31" t="s">
        <v>229</v>
      </c>
      <c r="M31" t="s">
        <v>8626</v>
      </c>
      <c r="N31" t="s">
        <v>8627</v>
      </c>
      <c r="Q31" s="28" t="s">
        <v>8628</v>
      </c>
    </row>
    <row r="32" spans="1:17" x14ac:dyDescent="0.35">
      <c r="A32" t="s">
        <v>8520</v>
      </c>
      <c r="B32" s="3" t="s">
        <v>102</v>
      </c>
      <c r="F32">
        <v>5</v>
      </c>
      <c r="G32" t="s">
        <v>8607</v>
      </c>
      <c r="H32">
        <v>33</v>
      </c>
      <c r="I32" t="s">
        <v>9302</v>
      </c>
      <c r="J32" t="str">
        <f t="shared" si="0"/>
        <v>13F-HR-5.33.C7</v>
      </c>
      <c r="K32" s="5" t="s">
        <v>8629</v>
      </c>
      <c r="L32" t="s">
        <v>229</v>
      </c>
      <c r="M32" t="s">
        <v>8630</v>
      </c>
      <c r="N32" t="s">
        <v>8631</v>
      </c>
      <c r="Q32" s="28" t="s">
        <v>1590</v>
      </c>
    </row>
    <row r="33" spans="1:17" x14ac:dyDescent="0.35">
      <c r="A33" t="s">
        <v>8520</v>
      </c>
      <c r="B33" s="3" t="s">
        <v>102</v>
      </c>
      <c r="F33">
        <v>5</v>
      </c>
      <c r="G33" t="s">
        <v>8607</v>
      </c>
      <c r="H33">
        <v>34</v>
      </c>
      <c r="I33" t="s">
        <v>9303</v>
      </c>
      <c r="J33" t="str">
        <f t="shared" si="0"/>
        <v>13F-HR-5.34.C8</v>
      </c>
      <c r="K33" s="5" t="s">
        <v>8633</v>
      </c>
      <c r="L33" t="s">
        <v>4735</v>
      </c>
      <c r="M33" t="s">
        <v>8634</v>
      </c>
      <c r="N33" t="s">
        <v>8635</v>
      </c>
      <c r="Q33" s="28" t="s">
        <v>8632</v>
      </c>
    </row>
    <row r="34" spans="1:17" x14ac:dyDescent="0.35">
      <c r="A34" t="s">
        <v>8651</v>
      </c>
      <c r="B34" s="3" t="s">
        <v>102</v>
      </c>
      <c r="F34">
        <v>5</v>
      </c>
      <c r="G34" t="s">
        <v>8607</v>
      </c>
      <c r="H34">
        <v>35</v>
      </c>
      <c r="I34" t="s">
        <v>9304</v>
      </c>
      <c r="J34" t="str">
        <f t="shared" si="0"/>
        <v>135-HR-5.35.C9</v>
      </c>
      <c r="K34" s="5" t="s">
        <v>8637</v>
      </c>
      <c r="L34" t="s">
        <v>229</v>
      </c>
      <c r="M34" t="s">
        <v>8638</v>
      </c>
      <c r="N34" t="s">
        <v>8639</v>
      </c>
      <c r="Q34" s="28" t="s">
        <v>8652</v>
      </c>
    </row>
    <row r="35" spans="1:17" x14ac:dyDescent="0.35">
      <c r="A35" t="s">
        <v>8520</v>
      </c>
      <c r="B35" s="3" t="s">
        <v>102</v>
      </c>
      <c r="F35">
        <v>5</v>
      </c>
      <c r="G35" t="s">
        <v>8607</v>
      </c>
      <c r="H35">
        <v>36</v>
      </c>
      <c r="I35" t="s">
        <v>9305</v>
      </c>
      <c r="J35" t="str">
        <f t="shared" si="0"/>
        <v>13F-HR-5.36.C10</v>
      </c>
      <c r="K35" s="5" t="s">
        <v>8640</v>
      </c>
      <c r="L35" t="s">
        <v>241</v>
      </c>
      <c r="M35" t="s">
        <v>8641</v>
      </c>
      <c r="N35" t="s">
        <v>8642</v>
      </c>
      <c r="Q35" s="28">
        <v>438964</v>
      </c>
    </row>
    <row r="36" spans="1:17" x14ac:dyDescent="0.35">
      <c r="A36" t="s">
        <v>8520</v>
      </c>
      <c r="B36" s="3" t="s">
        <v>102</v>
      </c>
      <c r="F36">
        <v>5</v>
      </c>
      <c r="G36" t="s">
        <v>8607</v>
      </c>
      <c r="H36">
        <v>37</v>
      </c>
      <c r="I36" t="s">
        <v>9306</v>
      </c>
      <c r="J36" t="str">
        <f t="shared" si="0"/>
        <v>13F-HR-5.37.C11</v>
      </c>
      <c r="K36" s="5" t="s">
        <v>8643</v>
      </c>
      <c r="L36" t="s">
        <v>241</v>
      </c>
      <c r="M36" t="s">
        <v>8644</v>
      </c>
      <c r="N36" t="s">
        <v>8645</v>
      </c>
      <c r="Q36" s="28">
        <v>0</v>
      </c>
    </row>
    <row r="37" spans="1:17" x14ac:dyDescent="0.35">
      <c r="A37" t="s">
        <v>8520</v>
      </c>
      <c r="B37" s="3" t="s">
        <v>102</v>
      </c>
      <c r="F37">
        <v>5</v>
      </c>
      <c r="G37" t="s">
        <v>8607</v>
      </c>
      <c r="H37">
        <v>38</v>
      </c>
      <c r="I37" t="s">
        <v>9307</v>
      </c>
      <c r="J37" t="str">
        <f t="shared" si="0"/>
        <v>13F-HR-5.38.C12</v>
      </c>
      <c r="K37" s="5" t="s">
        <v>8646</v>
      </c>
      <c r="L37" t="s">
        <v>241</v>
      </c>
      <c r="M37" t="s">
        <v>8647</v>
      </c>
      <c r="N37" t="s">
        <v>8648</v>
      </c>
      <c r="Q37" s="28">
        <v>289293</v>
      </c>
    </row>
    <row r="38" spans="1:17" x14ac:dyDescent="0.35">
      <c r="A38" t="s">
        <v>8520</v>
      </c>
      <c r="B38" s="3" t="s">
        <v>102</v>
      </c>
      <c r="F38">
        <v>5</v>
      </c>
      <c r="G38" t="s">
        <v>8607</v>
      </c>
      <c r="H38">
        <v>27</v>
      </c>
      <c r="I38" t="s">
        <v>9296</v>
      </c>
      <c r="J38" t="str">
        <f t="shared" si="0"/>
        <v>13F-HR-5.27.C1</v>
      </c>
      <c r="K38" s="5" t="s">
        <v>8608</v>
      </c>
      <c r="L38" t="s">
        <v>229</v>
      </c>
      <c r="M38" t="s">
        <v>8609</v>
      </c>
      <c r="N38" t="s">
        <v>8610</v>
      </c>
      <c r="Q38" s="28" t="s">
        <v>8654</v>
      </c>
    </row>
    <row r="39" spans="1:17" x14ac:dyDescent="0.35">
      <c r="A39" t="s">
        <v>8520</v>
      </c>
      <c r="B39" s="3" t="s">
        <v>102</v>
      </c>
      <c r="F39">
        <v>5</v>
      </c>
      <c r="G39" t="s">
        <v>8607</v>
      </c>
      <c r="H39">
        <v>28</v>
      </c>
      <c r="I39" t="s">
        <v>9297</v>
      </c>
      <c r="J39" t="str">
        <f t="shared" si="0"/>
        <v>13F-HR-5.28.C2</v>
      </c>
      <c r="K39" s="5" t="s">
        <v>8612</v>
      </c>
      <c r="L39" t="s">
        <v>229</v>
      </c>
      <c r="M39" t="s">
        <v>8613</v>
      </c>
      <c r="N39" t="s">
        <v>8614</v>
      </c>
      <c r="Q39" s="28" t="s">
        <v>8615</v>
      </c>
    </row>
    <row r="40" spans="1:17" x14ac:dyDescent="0.35">
      <c r="A40" t="s">
        <v>8520</v>
      </c>
      <c r="B40" s="3" t="s">
        <v>102</v>
      </c>
      <c r="F40">
        <v>5</v>
      </c>
      <c r="G40" t="s">
        <v>8607</v>
      </c>
      <c r="H40">
        <v>29</v>
      </c>
      <c r="I40" t="s">
        <v>9298</v>
      </c>
      <c r="J40" t="str">
        <f t="shared" si="0"/>
        <v>13F-HR-5.29.C3</v>
      </c>
      <c r="K40" s="5" t="s">
        <v>8616</v>
      </c>
      <c r="L40" t="s">
        <v>229</v>
      </c>
      <c r="M40" t="s">
        <v>7927</v>
      </c>
      <c r="N40" t="s">
        <v>8617</v>
      </c>
      <c r="Q40" s="28" t="s">
        <v>8655</v>
      </c>
    </row>
    <row r="41" spans="1:17" x14ac:dyDescent="0.35">
      <c r="A41" t="s">
        <v>8520</v>
      </c>
      <c r="B41" s="3" t="s">
        <v>102</v>
      </c>
      <c r="F41">
        <v>5</v>
      </c>
      <c r="G41" t="s">
        <v>8607</v>
      </c>
      <c r="H41">
        <v>30</v>
      </c>
      <c r="I41" t="s">
        <v>9299</v>
      </c>
      <c r="J41" t="str">
        <f t="shared" si="0"/>
        <v>13F-HR-5.30.C4</v>
      </c>
      <c r="K41" s="5" t="s">
        <v>8618</v>
      </c>
      <c r="L41" t="s">
        <v>8619</v>
      </c>
      <c r="M41" t="s">
        <v>8620</v>
      </c>
      <c r="N41" t="s">
        <v>8621</v>
      </c>
      <c r="Q41" s="28">
        <v>66521343</v>
      </c>
    </row>
    <row r="42" spans="1:17" x14ac:dyDescent="0.35">
      <c r="A42" t="s">
        <v>8520</v>
      </c>
      <c r="B42" s="3" t="s">
        <v>102</v>
      </c>
      <c r="F42">
        <v>5</v>
      </c>
      <c r="G42" t="s">
        <v>8607</v>
      </c>
      <c r="H42">
        <v>31</v>
      </c>
      <c r="I42" t="s">
        <v>9300</v>
      </c>
      <c r="J42" t="str">
        <f t="shared" si="0"/>
        <v>13F-HR-5.31.C5</v>
      </c>
      <c r="K42" s="5" t="s">
        <v>8622</v>
      </c>
      <c r="L42" t="s">
        <v>241</v>
      </c>
      <c r="M42" t="s">
        <v>8623</v>
      </c>
      <c r="N42" t="s">
        <v>8624</v>
      </c>
      <c r="Q42" s="28">
        <v>317494</v>
      </c>
    </row>
    <row r="43" spans="1:17" x14ac:dyDescent="0.35">
      <c r="A43" t="s">
        <v>8520</v>
      </c>
      <c r="B43" s="3" t="s">
        <v>102</v>
      </c>
      <c r="F43">
        <v>5</v>
      </c>
      <c r="G43" t="s">
        <v>8607</v>
      </c>
      <c r="H43">
        <v>32</v>
      </c>
      <c r="I43" t="s">
        <v>9301</v>
      </c>
      <c r="J43" t="str">
        <f t="shared" si="0"/>
        <v>13F-HR-5.32.C6</v>
      </c>
      <c r="K43" s="5" t="s">
        <v>8625</v>
      </c>
      <c r="L43" t="s">
        <v>229</v>
      </c>
      <c r="M43" t="s">
        <v>8626</v>
      </c>
      <c r="N43" t="s">
        <v>8627</v>
      </c>
      <c r="Q43" s="28" t="s">
        <v>8628</v>
      </c>
    </row>
    <row r="44" spans="1:17" x14ac:dyDescent="0.35">
      <c r="A44" t="s">
        <v>8520</v>
      </c>
      <c r="B44" s="3" t="s">
        <v>102</v>
      </c>
      <c r="F44">
        <v>5</v>
      </c>
      <c r="G44" t="s">
        <v>8607</v>
      </c>
      <c r="H44">
        <v>33</v>
      </c>
      <c r="I44" t="s">
        <v>9302</v>
      </c>
      <c r="J44" t="str">
        <f t="shared" si="0"/>
        <v>13F-HR-5.33.C7</v>
      </c>
      <c r="K44" s="5" t="s">
        <v>8629</v>
      </c>
      <c r="L44" t="s">
        <v>229</v>
      </c>
      <c r="M44" t="s">
        <v>8630</v>
      </c>
      <c r="N44" t="s">
        <v>8631</v>
      </c>
      <c r="Q44" s="28" t="s">
        <v>1590</v>
      </c>
    </row>
    <row r="45" spans="1:17" x14ac:dyDescent="0.35">
      <c r="A45" t="s">
        <v>8520</v>
      </c>
      <c r="B45" s="3" t="s">
        <v>102</v>
      </c>
      <c r="F45">
        <v>5</v>
      </c>
      <c r="G45" t="s">
        <v>8607</v>
      </c>
      <c r="H45">
        <v>34</v>
      </c>
      <c r="I45" t="s">
        <v>9303</v>
      </c>
      <c r="J45" t="str">
        <f t="shared" si="0"/>
        <v>13F-HR-5.34.C8</v>
      </c>
      <c r="K45" s="5" t="s">
        <v>8633</v>
      </c>
      <c r="L45" t="s">
        <v>4735</v>
      </c>
      <c r="M45" t="s">
        <v>8634</v>
      </c>
      <c r="N45" t="s">
        <v>8635</v>
      </c>
      <c r="Q45" s="28" t="s">
        <v>8632</v>
      </c>
    </row>
    <row r="46" spans="1:17" x14ac:dyDescent="0.35">
      <c r="A46" t="s">
        <v>8651</v>
      </c>
      <c r="B46" s="3" t="s">
        <v>102</v>
      </c>
      <c r="F46">
        <v>5</v>
      </c>
      <c r="G46" t="s">
        <v>8607</v>
      </c>
      <c r="H46">
        <v>35</v>
      </c>
      <c r="I46" t="s">
        <v>9304</v>
      </c>
      <c r="J46" t="str">
        <f t="shared" si="0"/>
        <v>135-HR-5.35.C9</v>
      </c>
      <c r="K46" s="5" t="s">
        <v>8637</v>
      </c>
      <c r="L46" t="s">
        <v>229</v>
      </c>
      <c r="M46" t="s">
        <v>8638</v>
      </c>
      <c r="N46" t="s">
        <v>8639</v>
      </c>
      <c r="Q46" s="28" t="s">
        <v>8652</v>
      </c>
    </row>
    <row r="47" spans="1:17" x14ac:dyDescent="0.35">
      <c r="A47" t="s">
        <v>8520</v>
      </c>
      <c r="B47" s="3" t="s">
        <v>102</v>
      </c>
      <c r="F47">
        <v>5</v>
      </c>
      <c r="G47" t="s">
        <v>8607</v>
      </c>
      <c r="H47">
        <v>36</v>
      </c>
      <c r="I47" t="s">
        <v>9305</v>
      </c>
      <c r="J47" t="str">
        <f t="shared" si="0"/>
        <v>13F-HR-5.36.C10</v>
      </c>
      <c r="K47" s="5" t="s">
        <v>8640</v>
      </c>
      <c r="L47" t="s">
        <v>241</v>
      </c>
      <c r="M47" t="s">
        <v>8641</v>
      </c>
      <c r="N47" t="s">
        <v>8642</v>
      </c>
      <c r="Q47" s="28">
        <v>156537</v>
      </c>
    </row>
    <row r="48" spans="1:17" x14ac:dyDescent="0.35">
      <c r="A48" t="s">
        <v>8520</v>
      </c>
      <c r="B48" s="3" t="s">
        <v>102</v>
      </c>
      <c r="F48">
        <v>5</v>
      </c>
      <c r="G48" t="s">
        <v>8607</v>
      </c>
      <c r="H48">
        <v>37</v>
      </c>
      <c r="I48" t="s">
        <v>9306</v>
      </c>
      <c r="J48" t="str">
        <f t="shared" si="0"/>
        <v>13F-HR-5.37.C11</v>
      </c>
      <c r="K48" s="5" t="s">
        <v>8643</v>
      </c>
      <c r="L48" t="s">
        <v>241</v>
      </c>
      <c r="M48" t="s">
        <v>8644</v>
      </c>
      <c r="N48" t="s">
        <v>8645</v>
      </c>
      <c r="Q48" s="28">
        <v>0</v>
      </c>
    </row>
    <row r="49" spans="1:17" x14ac:dyDescent="0.35">
      <c r="A49" t="s">
        <v>8520</v>
      </c>
      <c r="B49" s="3" t="s">
        <v>102</v>
      </c>
      <c r="F49">
        <v>5</v>
      </c>
      <c r="G49" t="s">
        <v>8607</v>
      </c>
      <c r="H49">
        <v>38</v>
      </c>
      <c r="I49" t="s">
        <v>9307</v>
      </c>
      <c r="J49" t="str">
        <f t="shared" si="0"/>
        <v>13F-HR-5.38.C12</v>
      </c>
      <c r="K49" s="5" t="s">
        <v>8646</v>
      </c>
      <c r="L49" t="s">
        <v>241</v>
      </c>
      <c r="M49" t="s">
        <v>8647</v>
      </c>
      <c r="N49" t="s">
        <v>8648</v>
      </c>
      <c r="Q49" s="28">
        <v>160957</v>
      </c>
    </row>
    <row r="50" spans="1:17" x14ac:dyDescent="0.35">
      <c r="A50" t="s">
        <v>8520</v>
      </c>
      <c r="B50" s="3" t="s">
        <v>102</v>
      </c>
      <c r="F50">
        <v>5</v>
      </c>
      <c r="G50" t="s">
        <v>8607</v>
      </c>
      <c r="H50">
        <v>27</v>
      </c>
      <c r="I50" t="s">
        <v>9296</v>
      </c>
      <c r="J50" t="str">
        <f t="shared" si="0"/>
        <v>13F-HR-5.27.C1</v>
      </c>
      <c r="K50" s="5" t="s">
        <v>8608</v>
      </c>
      <c r="L50" t="s">
        <v>229</v>
      </c>
      <c r="M50" t="s">
        <v>8609</v>
      </c>
      <c r="N50" t="s">
        <v>8610</v>
      </c>
      <c r="Q50" s="28" t="s">
        <v>8656</v>
      </c>
    </row>
    <row r="51" spans="1:17" x14ac:dyDescent="0.35">
      <c r="A51" t="s">
        <v>8520</v>
      </c>
      <c r="B51" s="3" t="s">
        <v>102</v>
      </c>
      <c r="F51">
        <v>5</v>
      </c>
      <c r="G51" t="s">
        <v>8607</v>
      </c>
      <c r="H51">
        <v>28</v>
      </c>
      <c r="I51" t="s">
        <v>9297</v>
      </c>
      <c r="J51" t="str">
        <f t="shared" si="0"/>
        <v>13F-HR-5.28.C2</v>
      </c>
      <c r="K51" s="5" t="s">
        <v>8612</v>
      </c>
      <c r="L51" t="s">
        <v>229</v>
      </c>
      <c r="M51" t="s">
        <v>8613</v>
      </c>
      <c r="N51" t="s">
        <v>8614</v>
      </c>
      <c r="Q51" s="28" t="s">
        <v>8615</v>
      </c>
    </row>
    <row r="52" spans="1:17" x14ac:dyDescent="0.35">
      <c r="A52" t="s">
        <v>8520</v>
      </c>
      <c r="B52" s="3" t="s">
        <v>102</v>
      </c>
      <c r="F52">
        <v>5</v>
      </c>
      <c r="G52" t="s">
        <v>8607</v>
      </c>
      <c r="H52">
        <v>29</v>
      </c>
      <c r="I52" t="s">
        <v>9298</v>
      </c>
      <c r="J52" t="str">
        <f t="shared" si="0"/>
        <v>13F-HR-5.29.C3</v>
      </c>
      <c r="K52" s="5" t="s">
        <v>8616</v>
      </c>
      <c r="L52" t="s">
        <v>229</v>
      </c>
      <c r="M52" t="s">
        <v>7927</v>
      </c>
      <c r="N52" t="s">
        <v>8617</v>
      </c>
      <c r="Q52" s="28" t="s">
        <v>8657</v>
      </c>
    </row>
    <row r="53" spans="1:17" x14ac:dyDescent="0.35">
      <c r="A53" t="s">
        <v>8520</v>
      </c>
      <c r="B53" s="3" t="s">
        <v>102</v>
      </c>
      <c r="F53">
        <v>5</v>
      </c>
      <c r="G53" t="s">
        <v>8607</v>
      </c>
      <c r="H53">
        <v>30</v>
      </c>
      <c r="I53" t="s">
        <v>9299</v>
      </c>
      <c r="J53" t="str">
        <f t="shared" si="0"/>
        <v>13F-HR-5.30.C4</v>
      </c>
      <c r="K53" s="5" t="s">
        <v>8618</v>
      </c>
      <c r="L53" t="s">
        <v>8619</v>
      </c>
      <c r="M53" t="s">
        <v>8620</v>
      </c>
      <c r="N53" t="s">
        <v>8621</v>
      </c>
      <c r="Q53" s="28">
        <v>3118866</v>
      </c>
    </row>
    <row r="54" spans="1:17" x14ac:dyDescent="0.35">
      <c r="A54" t="s">
        <v>8520</v>
      </c>
      <c r="B54" s="3" t="s">
        <v>102</v>
      </c>
      <c r="F54">
        <v>5</v>
      </c>
      <c r="G54" t="s">
        <v>8607</v>
      </c>
      <c r="H54">
        <v>31</v>
      </c>
      <c r="I54" t="s">
        <v>9300</v>
      </c>
      <c r="J54" t="str">
        <f t="shared" si="0"/>
        <v>13F-HR-5.31.C5</v>
      </c>
      <c r="K54" s="5" t="s">
        <v>8622</v>
      </c>
      <c r="L54" t="s">
        <v>241</v>
      </c>
      <c r="M54" t="s">
        <v>8623</v>
      </c>
      <c r="N54" t="s">
        <v>8624</v>
      </c>
      <c r="Q54" s="28">
        <v>8132</v>
      </c>
    </row>
    <row r="55" spans="1:17" x14ac:dyDescent="0.35">
      <c r="A55" t="s">
        <v>8520</v>
      </c>
      <c r="B55" s="3" t="s">
        <v>102</v>
      </c>
      <c r="F55">
        <v>5</v>
      </c>
      <c r="G55" t="s">
        <v>8607</v>
      </c>
      <c r="H55">
        <v>32</v>
      </c>
      <c r="I55" t="s">
        <v>9301</v>
      </c>
      <c r="J55" t="str">
        <f t="shared" si="0"/>
        <v>13F-HR-5.32.C6</v>
      </c>
      <c r="K55" s="5" t="s">
        <v>8625</v>
      </c>
      <c r="L55" t="s">
        <v>229</v>
      </c>
      <c r="M55" t="s">
        <v>8626</v>
      </c>
      <c r="N55" t="s">
        <v>8627</v>
      </c>
      <c r="Q55" s="28" t="s">
        <v>8628</v>
      </c>
    </row>
    <row r="56" spans="1:17" x14ac:dyDescent="0.35">
      <c r="A56" t="s">
        <v>8520</v>
      </c>
      <c r="B56" s="3" t="s">
        <v>102</v>
      </c>
      <c r="F56">
        <v>5</v>
      </c>
      <c r="G56" t="s">
        <v>8607</v>
      </c>
      <c r="H56">
        <v>33</v>
      </c>
      <c r="I56" t="s">
        <v>9302</v>
      </c>
      <c r="J56" t="str">
        <f t="shared" si="0"/>
        <v>13F-HR-5.33.C7</v>
      </c>
      <c r="K56" s="5" t="s">
        <v>8629</v>
      </c>
      <c r="L56" t="s">
        <v>229</v>
      </c>
      <c r="M56" t="s">
        <v>8630</v>
      </c>
      <c r="N56" t="s">
        <v>8631</v>
      </c>
      <c r="Q56" s="28" t="s">
        <v>1590</v>
      </c>
    </row>
    <row r="57" spans="1:17" x14ac:dyDescent="0.35">
      <c r="A57" t="s">
        <v>8520</v>
      </c>
      <c r="B57" s="3" t="s">
        <v>102</v>
      </c>
      <c r="F57">
        <v>5</v>
      </c>
      <c r="G57" t="s">
        <v>8607</v>
      </c>
      <c r="H57">
        <v>34</v>
      </c>
      <c r="I57" t="s">
        <v>9303</v>
      </c>
      <c r="J57" t="str">
        <f t="shared" si="0"/>
        <v>13F-HR-5.34.C8</v>
      </c>
      <c r="K57" s="5" t="s">
        <v>8633</v>
      </c>
      <c r="L57" t="s">
        <v>4735</v>
      </c>
      <c r="M57" t="s">
        <v>8634</v>
      </c>
      <c r="N57" t="s">
        <v>8635</v>
      </c>
      <c r="Q57" s="28" t="s">
        <v>8632</v>
      </c>
    </row>
    <row r="58" spans="1:17" x14ac:dyDescent="0.35">
      <c r="A58" t="s">
        <v>8651</v>
      </c>
      <c r="B58" s="3" t="s">
        <v>102</v>
      </c>
      <c r="F58">
        <v>5</v>
      </c>
      <c r="G58" t="s">
        <v>8607</v>
      </c>
      <c r="H58">
        <v>35</v>
      </c>
      <c r="I58" t="s">
        <v>9304</v>
      </c>
      <c r="J58" t="str">
        <f t="shared" si="0"/>
        <v>135-HR-5.35.C9</v>
      </c>
      <c r="K58" s="5" t="s">
        <v>8637</v>
      </c>
      <c r="L58" t="s">
        <v>229</v>
      </c>
      <c r="M58" t="s">
        <v>8638</v>
      </c>
      <c r="N58" t="s">
        <v>8639</v>
      </c>
      <c r="Q58" s="28" t="s">
        <v>8652</v>
      </c>
    </row>
    <row r="59" spans="1:17" x14ac:dyDescent="0.35">
      <c r="A59" t="s">
        <v>8520</v>
      </c>
      <c r="B59" s="3" t="s">
        <v>102</v>
      </c>
      <c r="F59">
        <v>5</v>
      </c>
      <c r="G59" t="s">
        <v>8607</v>
      </c>
      <c r="H59">
        <v>36</v>
      </c>
      <c r="I59" t="s">
        <v>9305</v>
      </c>
      <c r="J59" t="str">
        <f t="shared" si="0"/>
        <v>13F-HR-5.36.C10</v>
      </c>
      <c r="K59" s="5" t="s">
        <v>8640</v>
      </c>
      <c r="L59" t="s">
        <v>241</v>
      </c>
      <c r="M59" t="s">
        <v>8641</v>
      </c>
      <c r="N59" t="s">
        <v>8642</v>
      </c>
      <c r="Q59" s="28">
        <v>0</v>
      </c>
    </row>
    <row r="60" spans="1:17" x14ac:dyDescent="0.35">
      <c r="A60" t="s">
        <v>8520</v>
      </c>
      <c r="B60" s="3" t="s">
        <v>102</v>
      </c>
      <c r="F60">
        <v>5</v>
      </c>
      <c r="G60" t="s">
        <v>8607</v>
      </c>
      <c r="H60">
        <v>37</v>
      </c>
      <c r="I60" t="s">
        <v>9306</v>
      </c>
      <c r="J60" t="str">
        <f t="shared" si="0"/>
        <v>13F-HR-5.37.C11</v>
      </c>
      <c r="K60" s="5" t="s">
        <v>8643</v>
      </c>
      <c r="L60" t="s">
        <v>241</v>
      </c>
      <c r="M60" t="s">
        <v>8644</v>
      </c>
      <c r="N60" t="s">
        <v>8645</v>
      </c>
      <c r="Q60" s="28">
        <v>0</v>
      </c>
    </row>
    <row r="61" spans="1:17" x14ac:dyDescent="0.35">
      <c r="A61" t="s">
        <v>8520</v>
      </c>
      <c r="B61" s="3" t="s">
        <v>102</v>
      </c>
      <c r="F61">
        <v>5</v>
      </c>
      <c r="G61" t="s">
        <v>8607</v>
      </c>
      <c r="H61">
        <v>38</v>
      </c>
      <c r="I61" t="s">
        <v>9307</v>
      </c>
      <c r="J61" t="str">
        <f t="shared" si="0"/>
        <v>13F-HR-5.38.C12</v>
      </c>
      <c r="K61" s="5" t="s">
        <v>8646</v>
      </c>
      <c r="L61" t="s">
        <v>241</v>
      </c>
      <c r="M61" t="s">
        <v>8647</v>
      </c>
      <c r="N61" t="s">
        <v>8648</v>
      </c>
      <c r="Q61" s="28">
        <v>8132</v>
      </c>
    </row>
    <row r="62" spans="1:17" x14ac:dyDescent="0.35">
      <c r="A62" t="s">
        <v>8520</v>
      </c>
      <c r="B62" s="3" t="s">
        <v>102</v>
      </c>
      <c r="F62">
        <v>5</v>
      </c>
      <c r="G62" t="s">
        <v>8607</v>
      </c>
      <c r="H62">
        <v>27</v>
      </c>
      <c r="I62" t="s">
        <v>9296</v>
      </c>
      <c r="J62" t="str">
        <f t="shared" si="0"/>
        <v>13F-HR-5.27.C1</v>
      </c>
      <c r="K62" s="5" t="s">
        <v>8608</v>
      </c>
      <c r="L62" t="s">
        <v>229</v>
      </c>
      <c r="M62" t="s">
        <v>8609</v>
      </c>
      <c r="N62" t="s">
        <v>8610</v>
      </c>
      <c r="Q62" s="28" t="s">
        <v>8658</v>
      </c>
    </row>
    <row r="63" spans="1:17" x14ac:dyDescent="0.35">
      <c r="A63" t="s">
        <v>8520</v>
      </c>
      <c r="B63" s="3" t="s">
        <v>102</v>
      </c>
      <c r="F63">
        <v>5</v>
      </c>
      <c r="G63" t="s">
        <v>8607</v>
      </c>
      <c r="H63">
        <v>28</v>
      </c>
      <c r="I63" t="s">
        <v>9297</v>
      </c>
      <c r="J63" t="str">
        <f t="shared" si="0"/>
        <v>13F-HR-5.28.C2</v>
      </c>
      <c r="K63" s="5" t="s">
        <v>8612</v>
      </c>
      <c r="L63" t="s">
        <v>229</v>
      </c>
      <c r="M63" t="s">
        <v>8613</v>
      </c>
      <c r="N63" t="s">
        <v>8614</v>
      </c>
      <c r="Q63" s="28" t="s">
        <v>8615</v>
      </c>
    </row>
    <row r="64" spans="1:17" x14ac:dyDescent="0.35">
      <c r="A64" t="s">
        <v>8520</v>
      </c>
      <c r="B64" s="3" t="s">
        <v>102</v>
      </c>
      <c r="F64">
        <v>5</v>
      </c>
      <c r="G64" t="s">
        <v>8607</v>
      </c>
      <c r="H64">
        <v>29</v>
      </c>
      <c r="I64" t="s">
        <v>9298</v>
      </c>
      <c r="J64" t="str">
        <f t="shared" si="0"/>
        <v>13F-HR-5.29.C3</v>
      </c>
      <c r="K64" s="5" t="s">
        <v>8616</v>
      </c>
      <c r="L64" t="s">
        <v>229</v>
      </c>
      <c r="M64" t="s">
        <v>7927</v>
      </c>
      <c r="N64" t="s">
        <v>8617</v>
      </c>
      <c r="Q64" s="28" t="s">
        <v>8659</v>
      </c>
    </row>
    <row r="65" spans="1:17" x14ac:dyDescent="0.35">
      <c r="A65" t="s">
        <v>8520</v>
      </c>
      <c r="B65" s="3" t="s">
        <v>102</v>
      </c>
      <c r="F65">
        <v>5</v>
      </c>
      <c r="G65" t="s">
        <v>8607</v>
      </c>
      <c r="H65">
        <v>30</v>
      </c>
      <c r="I65" t="s">
        <v>9299</v>
      </c>
      <c r="J65" t="str">
        <f t="shared" si="0"/>
        <v>13F-HR-5.30.C4</v>
      </c>
      <c r="K65" s="5" t="s">
        <v>8618</v>
      </c>
      <c r="L65" t="s">
        <v>8619</v>
      </c>
      <c r="M65" t="s">
        <v>8620</v>
      </c>
      <c r="N65" t="s">
        <v>8621</v>
      </c>
      <c r="Q65" s="28">
        <v>336069</v>
      </c>
    </row>
    <row r="66" spans="1:17" x14ac:dyDescent="0.35">
      <c r="A66" t="s">
        <v>8520</v>
      </c>
      <c r="B66" s="3" t="s">
        <v>102</v>
      </c>
      <c r="F66">
        <v>5</v>
      </c>
      <c r="G66" t="s">
        <v>8607</v>
      </c>
      <c r="H66">
        <v>31</v>
      </c>
      <c r="I66" t="s">
        <v>9300</v>
      </c>
      <c r="J66" t="str">
        <f t="shared" si="0"/>
        <v>13F-HR-5.31.C5</v>
      </c>
      <c r="K66" s="5" t="s">
        <v>8622</v>
      </c>
      <c r="L66" t="s">
        <v>241</v>
      </c>
      <c r="M66" t="s">
        <v>8623</v>
      </c>
      <c r="N66" t="s">
        <v>8624</v>
      </c>
      <c r="Q66" s="28">
        <v>8571</v>
      </c>
    </row>
    <row r="67" spans="1:17" x14ac:dyDescent="0.35">
      <c r="A67" t="s">
        <v>8520</v>
      </c>
      <c r="B67" s="3" t="s">
        <v>102</v>
      </c>
      <c r="F67">
        <v>5</v>
      </c>
      <c r="G67" t="s">
        <v>8607</v>
      </c>
      <c r="H67">
        <v>32</v>
      </c>
      <c r="I67" t="s">
        <v>9301</v>
      </c>
      <c r="J67" t="str">
        <f t="shared" ref="J67:J130" si="1">_xlfn.CONCAT(A67,"-",F67,".",H67,".",I67)</f>
        <v>13F-HR-5.32.C6</v>
      </c>
      <c r="K67" s="5" t="s">
        <v>8625</v>
      </c>
      <c r="L67" t="s">
        <v>229</v>
      </c>
      <c r="M67" t="s">
        <v>8626</v>
      </c>
      <c r="N67" t="s">
        <v>8627</v>
      </c>
      <c r="Q67" s="28" t="s">
        <v>8628</v>
      </c>
    </row>
    <row r="68" spans="1:17" x14ac:dyDescent="0.35">
      <c r="A68" t="s">
        <v>8520</v>
      </c>
      <c r="B68" s="3" t="s">
        <v>102</v>
      </c>
      <c r="F68">
        <v>5</v>
      </c>
      <c r="G68" t="s">
        <v>8607</v>
      </c>
      <c r="H68">
        <v>33</v>
      </c>
      <c r="I68" t="s">
        <v>9302</v>
      </c>
      <c r="J68" t="str">
        <f t="shared" si="1"/>
        <v>13F-HR-5.33.C7</v>
      </c>
      <c r="K68" s="5" t="s">
        <v>8629</v>
      </c>
      <c r="L68" t="s">
        <v>229</v>
      </c>
      <c r="M68" t="s">
        <v>8630</v>
      </c>
      <c r="N68" t="s">
        <v>8631</v>
      </c>
      <c r="Q68" s="28" t="s">
        <v>1590</v>
      </c>
    </row>
    <row r="69" spans="1:17" x14ac:dyDescent="0.35">
      <c r="A69" t="s">
        <v>8520</v>
      </c>
      <c r="B69" s="3" t="s">
        <v>102</v>
      </c>
      <c r="F69">
        <v>5</v>
      </c>
      <c r="G69" t="s">
        <v>8607</v>
      </c>
      <c r="H69">
        <v>34</v>
      </c>
      <c r="I69" t="s">
        <v>9303</v>
      </c>
      <c r="J69" t="str">
        <f t="shared" si="1"/>
        <v>13F-HR-5.34.C8</v>
      </c>
      <c r="K69" s="5" t="s">
        <v>8633</v>
      </c>
      <c r="L69" t="s">
        <v>4735</v>
      </c>
      <c r="M69" t="s">
        <v>8634</v>
      </c>
      <c r="N69" t="s">
        <v>8635</v>
      </c>
      <c r="Q69" s="28" t="s">
        <v>8632</v>
      </c>
    </row>
    <row r="70" spans="1:17" x14ac:dyDescent="0.35">
      <c r="A70" t="s">
        <v>8651</v>
      </c>
      <c r="B70" s="3" t="s">
        <v>102</v>
      </c>
      <c r="F70">
        <v>5</v>
      </c>
      <c r="G70" t="s">
        <v>8607</v>
      </c>
      <c r="H70">
        <v>35</v>
      </c>
      <c r="I70" t="s">
        <v>9304</v>
      </c>
      <c r="J70" t="str">
        <f t="shared" si="1"/>
        <v>135-HR-5.35.C9</v>
      </c>
      <c r="K70" s="5" t="s">
        <v>8637</v>
      </c>
      <c r="L70" t="s">
        <v>229</v>
      </c>
      <c r="M70" t="s">
        <v>8638</v>
      </c>
      <c r="N70" t="s">
        <v>8639</v>
      </c>
      <c r="Q70" s="28" t="s">
        <v>8652</v>
      </c>
    </row>
    <row r="71" spans="1:17" x14ac:dyDescent="0.35">
      <c r="A71" t="s">
        <v>8520</v>
      </c>
      <c r="B71" s="3" t="s">
        <v>102</v>
      </c>
      <c r="F71">
        <v>5</v>
      </c>
      <c r="G71" t="s">
        <v>8607</v>
      </c>
      <c r="H71">
        <v>36</v>
      </c>
      <c r="I71" t="s">
        <v>9305</v>
      </c>
      <c r="J71" t="str">
        <f t="shared" si="1"/>
        <v>13F-HR-5.36.C10</v>
      </c>
      <c r="K71" s="5" t="s">
        <v>8640</v>
      </c>
      <c r="L71" t="s">
        <v>241</v>
      </c>
      <c r="M71" t="s">
        <v>8641</v>
      </c>
      <c r="N71" t="s">
        <v>8642</v>
      </c>
      <c r="Q71" s="28">
        <v>0</v>
      </c>
    </row>
    <row r="72" spans="1:17" x14ac:dyDescent="0.35">
      <c r="A72" t="s">
        <v>8520</v>
      </c>
      <c r="B72" s="3" t="s">
        <v>102</v>
      </c>
      <c r="F72">
        <v>5</v>
      </c>
      <c r="G72" t="s">
        <v>8607</v>
      </c>
      <c r="H72">
        <v>37</v>
      </c>
      <c r="I72" t="s">
        <v>9306</v>
      </c>
      <c r="J72" t="str">
        <f t="shared" si="1"/>
        <v>13F-HR-5.37.C11</v>
      </c>
      <c r="K72" s="5" t="s">
        <v>8643</v>
      </c>
      <c r="L72" t="s">
        <v>241</v>
      </c>
      <c r="M72" t="s">
        <v>8644</v>
      </c>
      <c r="N72" t="s">
        <v>8645</v>
      </c>
      <c r="Q72" s="28">
        <v>0</v>
      </c>
    </row>
    <row r="73" spans="1:17" x14ac:dyDescent="0.35">
      <c r="A73" t="s">
        <v>8520</v>
      </c>
      <c r="B73" s="3" t="s">
        <v>102</v>
      </c>
      <c r="F73">
        <v>5</v>
      </c>
      <c r="G73" t="s">
        <v>8607</v>
      </c>
      <c r="H73">
        <v>38</v>
      </c>
      <c r="I73" t="s">
        <v>9307</v>
      </c>
      <c r="J73" t="str">
        <f t="shared" si="1"/>
        <v>13F-HR-5.38.C12</v>
      </c>
      <c r="K73" s="5" t="s">
        <v>8646</v>
      </c>
      <c r="L73" t="s">
        <v>241</v>
      </c>
      <c r="M73" t="s">
        <v>8647</v>
      </c>
      <c r="N73" t="s">
        <v>8648</v>
      </c>
      <c r="Q73" s="28">
        <v>8571</v>
      </c>
    </row>
    <row r="74" spans="1:17" x14ac:dyDescent="0.35">
      <c r="A74" t="s">
        <v>8520</v>
      </c>
      <c r="B74" s="3" t="s">
        <v>102</v>
      </c>
      <c r="F74">
        <v>5</v>
      </c>
      <c r="G74" t="s">
        <v>8607</v>
      </c>
      <c r="H74">
        <v>27</v>
      </c>
      <c r="I74" t="s">
        <v>9296</v>
      </c>
      <c r="J74" t="str">
        <f t="shared" si="1"/>
        <v>13F-HR-5.27.C1</v>
      </c>
      <c r="K74" s="5" t="s">
        <v>8608</v>
      </c>
      <c r="L74" t="s">
        <v>229</v>
      </c>
      <c r="M74" t="s">
        <v>8609</v>
      </c>
      <c r="N74" t="s">
        <v>8610</v>
      </c>
      <c r="Q74" s="28" t="s">
        <v>8660</v>
      </c>
    </row>
    <row r="75" spans="1:17" x14ac:dyDescent="0.35">
      <c r="A75" t="s">
        <v>8520</v>
      </c>
      <c r="B75" s="3" t="s">
        <v>102</v>
      </c>
      <c r="F75">
        <v>5</v>
      </c>
      <c r="G75" t="s">
        <v>8607</v>
      </c>
      <c r="H75">
        <v>28</v>
      </c>
      <c r="I75" t="s">
        <v>9297</v>
      </c>
      <c r="J75" t="str">
        <f t="shared" si="1"/>
        <v>13F-HR-5.28.C2</v>
      </c>
      <c r="K75" s="5" t="s">
        <v>8612</v>
      </c>
      <c r="L75" t="s">
        <v>229</v>
      </c>
      <c r="M75" t="s">
        <v>8613</v>
      </c>
      <c r="N75" t="s">
        <v>8614</v>
      </c>
      <c r="Q75" s="28" t="s">
        <v>8661</v>
      </c>
    </row>
    <row r="76" spans="1:17" x14ac:dyDescent="0.35">
      <c r="A76" t="s">
        <v>8520</v>
      </c>
      <c r="B76" s="3" t="s">
        <v>102</v>
      </c>
      <c r="F76">
        <v>5</v>
      </c>
      <c r="G76" t="s">
        <v>8607</v>
      </c>
      <c r="H76">
        <v>29</v>
      </c>
      <c r="I76" t="s">
        <v>9298</v>
      </c>
      <c r="J76" t="str">
        <f t="shared" si="1"/>
        <v>13F-HR-5.29.C3</v>
      </c>
      <c r="K76" s="5" t="s">
        <v>8616</v>
      </c>
      <c r="L76" t="s">
        <v>229</v>
      </c>
      <c r="M76" t="s">
        <v>7927</v>
      </c>
      <c r="N76" t="s">
        <v>8617</v>
      </c>
      <c r="Q76" s="28">
        <v>9066101</v>
      </c>
    </row>
    <row r="77" spans="1:17" x14ac:dyDescent="0.35">
      <c r="A77" t="s">
        <v>8520</v>
      </c>
      <c r="B77" s="3" t="s">
        <v>102</v>
      </c>
      <c r="F77">
        <v>5</v>
      </c>
      <c r="G77" t="s">
        <v>8607</v>
      </c>
      <c r="H77">
        <v>30</v>
      </c>
      <c r="I77" t="s">
        <v>9299</v>
      </c>
      <c r="J77" t="str">
        <f t="shared" si="1"/>
        <v>13F-HR-5.30.C4</v>
      </c>
      <c r="K77" s="5" t="s">
        <v>8618</v>
      </c>
      <c r="L77" t="s">
        <v>8619</v>
      </c>
      <c r="M77" t="s">
        <v>8620</v>
      </c>
      <c r="N77" t="s">
        <v>8621</v>
      </c>
      <c r="Q77" s="28">
        <v>5613425</v>
      </c>
    </row>
    <row r="78" spans="1:17" x14ac:dyDescent="0.35">
      <c r="A78" t="s">
        <v>8520</v>
      </c>
      <c r="B78" s="3" t="s">
        <v>102</v>
      </c>
      <c r="F78">
        <v>5</v>
      </c>
      <c r="G78" t="s">
        <v>8607</v>
      </c>
      <c r="H78">
        <v>31</v>
      </c>
      <c r="I78" t="s">
        <v>9300</v>
      </c>
      <c r="J78" t="str">
        <f t="shared" si="1"/>
        <v>13F-HR-5.31.C5</v>
      </c>
      <c r="K78" s="5" t="s">
        <v>8622</v>
      </c>
      <c r="L78" t="s">
        <v>241</v>
      </c>
      <c r="M78" t="s">
        <v>8623</v>
      </c>
      <c r="N78" t="s">
        <v>8624</v>
      </c>
      <c r="Q78" s="28">
        <v>46990</v>
      </c>
    </row>
    <row r="79" spans="1:17" x14ac:dyDescent="0.35">
      <c r="A79" t="s">
        <v>8520</v>
      </c>
      <c r="B79" s="3" t="s">
        <v>102</v>
      </c>
      <c r="F79">
        <v>5</v>
      </c>
      <c r="G79" t="s">
        <v>8607</v>
      </c>
      <c r="H79">
        <v>32</v>
      </c>
      <c r="I79" t="s">
        <v>9301</v>
      </c>
      <c r="J79" t="str">
        <f t="shared" si="1"/>
        <v>13F-HR-5.32.C6</v>
      </c>
      <c r="K79" s="5" t="s">
        <v>8625</v>
      </c>
      <c r="L79" t="s">
        <v>229</v>
      </c>
      <c r="M79" t="s">
        <v>8626</v>
      </c>
      <c r="N79" t="s">
        <v>8627</v>
      </c>
      <c r="Q79" s="28" t="s">
        <v>8628</v>
      </c>
    </row>
    <row r="80" spans="1:17" x14ac:dyDescent="0.35">
      <c r="A80" t="s">
        <v>8520</v>
      </c>
      <c r="B80" s="3" t="s">
        <v>102</v>
      </c>
      <c r="F80">
        <v>5</v>
      </c>
      <c r="G80" t="s">
        <v>8607</v>
      </c>
      <c r="H80">
        <v>33</v>
      </c>
      <c r="I80" t="s">
        <v>9302</v>
      </c>
      <c r="J80" t="str">
        <f t="shared" si="1"/>
        <v>13F-HR-5.33.C7</v>
      </c>
      <c r="K80" s="5" t="s">
        <v>8629</v>
      </c>
      <c r="L80" t="s">
        <v>229</v>
      </c>
      <c r="M80" t="s">
        <v>8630</v>
      </c>
      <c r="N80" t="s">
        <v>8631</v>
      </c>
      <c r="Q80" s="28" t="s">
        <v>1590</v>
      </c>
    </row>
    <row r="81" spans="1:17" x14ac:dyDescent="0.35">
      <c r="A81" t="s">
        <v>8520</v>
      </c>
      <c r="B81" s="3" t="s">
        <v>102</v>
      </c>
      <c r="F81">
        <v>5</v>
      </c>
      <c r="G81" t="s">
        <v>8607</v>
      </c>
      <c r="H81">
        <v>34</v>
      </c>
      <c r="I81" t="s">
        <v>9303</v>
      </c>
      <c r="J81" t="str">
        <f t="shared" si="1"/>
        <v>13F-HR-5.34.C8</v>
      </c>
      <c r="K81" s="5" t="s">
        <v>8633</v>
      </c>
      <c r="L81" t="s">
        <v>4735</v>
      </c>
      <c r="M81" t="s">
        <v>8634</v>
      </c>
      <c r="N81" t="s">
        <v>8635</v>
      </c>
      <c r="Q81" s="28" t="s">
        <v>8632</v>
      </c>
    </row>
    <row r="82" spans="1:17" x14ac:dyDescent="0.35">
      <c r="A82" t="s">
        <v>8651</v>
      </c>
      <c r="B82" s="3" t="s">
        <v>102</v>
      </c>
      <c r="F82">
        <v>5</v>
      </c>
      <c r="G82" t="s">
        <v>8607</v>
      </c>
      <c r="H82">
        <v>35</v>
      </c>
      <c r="I82" t="s">
        <v>9304</v>
      </c>
      <c r="J82" t="str">
        <f t="shared" si="1"/>
        <v>135-HR-5.35.C9</v>
      </c>
      <c r="K82" s="5" t="s">
        <v>8637</v>
      </c>
      <c r="L82" t="s">
        <v>229</v>
      </c>
      <c r="M82" t="s">
        <v>8638</v>
      </c>
      <c r="N82" t="s">
        <v>8639</v>
      </c>
      <c r="Q82" s="28" t="s">
        <v>8652</v>
      </c>
    </row>
    <row r="83" spans="1:17" x14ac:dyDescent="0.35">
      <c r="A83" t="s">
        <v>8520</v>
      </c>
      <c r="B83" s="3" t="s">
        <v>102</v>
      </c>
      <c r="F83">
        <v>5</v>
      </c>
      <c r="G83" t="s">
        <v>8607</v>
      </c>
      <c r="H83">
        <v>36</v>
      </c>
      <c r="I83" t="s">
        <v>9305</v>
      </c>
      <c r="J83" t="str">
        <f t="shared" si="1"/>
        <v>13F-HR-5.36.C10</v>
      </c>
      <c r="K83" s="5" t="s">
        <v>8640</v>
      </c>
      <c r="L83" t="s">
        <v>241</v>
      </c>
      <c r="M83" t="s">
        <v>8641</v>
      </c>
      <c r="N83" t="s">
        <v>8642</v>
      </c>
      <c r="Q83" s="28">
        <v>45770</v>
      </c>
    </row>
    <row r="84" spans="1:17" x14ac:dyDescent="0.35">
      <c r="A84" t="s">
        <v>8520</v>
      </c>
      <c r="B84" s="3" t="s">
        <v>102</v>
      </c>
      <c r="F84">
        <v>5</v>
      </c>
      <c r="G84" t="s">
        <v>8607</v>
      </c>
      <c r="H84">
        <v>37</v>
      </c>
      <c r="I84" t="s">
        <v>9306</v>
      </c>
      <c r="J84" t="str">
        <f t="shared" si="1"/>
        <v>13F-HR-5.37.C11</v>
      </c>
      <c r="K84" s="5" t="s">
        <v>8643</v>
      </c>
      <c r="L84" t="s">
        <v>241</v>
      </c>
      <c r="M84" t="s">
        <v>8644</v>
      </c>
      <c r="N84" t="s">
        <v>8645</v>
      </c>
      <c r="Q84" s="28">
        <v>0</v>
      </c>
    </row>
    <row r="85" spans="1:17" x14ac:dyDescent="0.35">
      <c r="A85" t="s">
        <v>8520</v>
      </c>
      <c r="B85" s="3" t="s">
        <v>102</v>
      </c>
      <c r="F85">
        <v>5</v>
      </c>
      <c r="G85" t="s">
        <v>8607</v>
      </c>
      <c r="H85">
        <v>38</v>
      </c>
      <c r="I85" t="s">
        <v>9307</v>
      </c>
      <c r="J85" t="str">
        <f t="shared" si="1"/>
        <v>13F-HR-5.38.C12</v>
      </c>
      <c r="K85" s="5" t="s">
        <v>8646</v>
      </c>
      <c r="L85" t="s">
        <v>241</v>
      </c>
      <c r="M85" t="s">
        <v>8647</v>
      </c>
      <c r="N85" t="s">
        <v>8648</v>
      </c>
      <c r="Q85" s="28">
        <v>1220</v>
      </c>
    </row>
    <row r="86" spans="1:17" x14ac:dyDescent="0.35">
      <c r="A86" t="s">
        <v>8520</v>
      </c>
      <c r="B86" s="3" t="s">
        <v>102</v>
      </c>
      <c r="F86">
        <v>5</v>
      </c>
      <c r="G86" t="s">
        <v>8607</v>
      </c>
      <c r="H86">
        <v>27</v>
      </c>
      <c r="I86" t="s">
        <v>9296</v>
      </c>
      <c r="J86" t="str">
        <f t="shared" si="1"/>
        <v>13F-HR-5.27.C1</v>
      </c>
      <c r="K86" s="5" t="s">
        <v>8608</v>
      </c>
      <c r="L86" t="s">
        <v>229</v>
      </c>
      <c r="M86" t="s">
        <v>8609</v>
      </c>
      <c r="N86" t="s">
        <v>8610</v>
      </c>
      <c r="Q86" s="28" t="s">
        <v>8662</v>
      </c>
    </row>
    <row r="87" spans="1:17" x14ac:dyDescent="0.35">
      <c r="A87" t="s">
        <v>8520</v>
      </c>
      <c r="B87" s="3" t="s">
        <v>102</v>
      </c>
      <c r="F87">
        <v>5</v>
      </c>
      <c r="G87" t="s">
        <v>8607</v>
      </c>
      <c r="H87">
        <v>28</v>
      </c>
      <c r="I87" t="s">
        <v>9297</v>
      </c>
      <c r="J87" t="str">
        <f t="shared" si="1"/>
        <v>13F-HR-5.28.C2</v>
      </c>
      <c r="K87" s="5" t="s">
        <v>8612</v>
      </c>
      <c r="L87" t="s">
        <v>229</v>
      </c>
      <c r="M87" t="s">
        <v>8613</v>
      </c>
      <c r="N87" t="s">
        <v>8614</v>
      </c>
      <c r="Q87" s="28" t="s">
        <v>8615</v>
      </c>
    </row>
    <row r="88" spans="1:17" x14ac:dyDescent="0.35">
      <c r="A88" t="s">
        <v>8520</v>
      </c>
      <c r="B88" s="3" t="s">
        <v>102</v>
      </c>
      <c r="F88">
        <v>5</v>
      </c>
      <c r="G88" t="s">
        <v>8607</v>
      </c>
      <c r="H88">
        <v>29</v>
      </c>
      <c r="I88" t="s">
        <v>9298</v>
      </c>
      <c r="J88" t="str">
        <f t="shared" si="1"/>
        <v>13F-HR-5.29.C3</v>
      </c>
      <c r="K88" s="5" t="s">
        <v>8616</v>
      </c>
      <c r="L88" t="s">
        <v>229</v>
      </c>
      <c r="M88" t="s">
        <v>7927</v>
      </c>
      <c r="N88" t="s">
        <v>8617</v>
      </c>
      <c r="Q88" s="28">
        <v>9158106</v>
      </c>
    </row>
    <row r="89" spans="1:17" x14ac:dyDescent="0.35">
      <c r="A89" t="s">
        <v>8520</v>
      </c>
      <c r="B89" s="3" t="s">
        <v>102</v>
      </c>
      <c r="F89">
        <v>5</v>
      </c>
      <c r="G89" t="s">
        <v>8607</v>
      </c>
      <c r="H89">
        <v>30</v>
      </c>
      <c r="I89" t="s">
        <v>9299</v>
      </c>
      <c r="J89" t="str">
        <f t="shared" si="1"/>
        <v>13F-HR-5.30.C4</v>
      </c>
      <c r="K89" s="5" t="s">
        <v>8618</v>
      </c>
      <c r="L89" t="s">
        <v>8619</v>
      </c>
      <c r="M89" t="s">
        <v>8620</v>
      </c>
      <c r="N89" t="s">
        <v>8621</v>
      </c>
      <c r="Q89" s="28">
        <v>19351176</v>
      </c>
    </row>
    <row r="90" spans="1:17" x14ac:dyDescent="0.35">
      <c r="A90" t="s">
        <v>8520</v>
      </c>
      <c r="B90" s="3" t="s">
        <v>102</v>
      </c>
      <c r="F90">
        <v>5</v>
      </c>
      <c r="G90" t="s">
        <v>8607</v>
      </c>
      <c r="H90">
        <v>31</v>
      </c>
      <c r="I90" t="s">
        <v>9300</v>
      </c>
      <c r="J90" t="str">
        <f t="shared" si="1"/>
        <v>13F-HR-5.31.C5</v>
      </c>
      <c r="K90" s="5" t="s">
        <v>8622</v>
      </c>
      <c r="L90" t="s">
        <v>241</v>
      </c>
      <c r="M90" t="s">
        <v>8623</v>
      </c>
      <c r="N90" t="s">
        <v>8624</v>
      </c>
      <c r="Q90" s="28">
        <v>65615</v>
      </c>
    </row>
    <row r="91" spans="1:17" x14ac:dyDescent="0.35">
      <c r="A91" t="s">
        <v>8520</v>
      </c>
      <c r="B91" s="3" t="s">
        <v>102</v>
      </c>
      <c r="F91">
        <v>5</v>
      </c>
      <c r="G91" t="s">
        <v>8607</v>
      </c>
      <c r="H91">
        <v>32</v>
      </c>
      <c r="I91" t="s">
        <v>9301</v>
      </c>
      <c r="J91" t="str">
        <f t="shared" si="1"/>
        <v>13F-HR-5.32.C6</v>
      </c>
      <c r="K91" s="5" t="s">
        <v>8625</v>
      </c>
      <c r="L91" t="s">
        <v>229</v>
      </c>
      <c r="M91" t="s">
        <v>8626</v>
      </c>
      <c r="N91" t="s">
        <v>8627</v>
      </c>
      <c r="Q91" s="28" t="s">
        <v>8628</v>
      </c>
    </row>
    <row r="92" spans="1:17" x14ac:dyDescent="0.35">
      <c r="A92" t="s">
        <v>8520</v>
      </c>
      <c r="B92" s="3" t="s">
        <v>102</v>
      </c>
      <c r="F92">
        <v>5</v>
      </c>
      <c r="G92" t="s">
        <v>8607</v>
      </c>
      <c r="H92">
        <v>33</v>
      </c>
      <c r="I92" t="s">
        <v>9302</v>
      </c>
      <c r="J92" t="str">
        <f t="shared" si="1"/>
        <v>13F-HR-5.33.C7</v>
      </c>
      <c r="K92" s="5" t="s">
        <v>8629</v>
      </c>
      <c r="L92" t="s">
        <v>229</v>
      </c>
      <c r="M92" t="s">
        <v>8630</v>
      </c>
      <c r="N92" t="s">
        <v>8631</v>
      </c>
      <c r="Q92" s="28" t="s">
        <v>1590</v>
      </c>
    </row>
    <row r="93" spans="1:17" x14ac:dyDescent="0.35">
      <c r="A93" t="s">
        <v>8520</v>
      </c>
      <c r="B93" s="3" t="s">
        <v>102</v>
      </c>
      <c r="F93">
        <v>5</v>
      </c>
      <c r="G93" t="s">
        <v>8607</v>
      </c>
      <c r="H93">
        <v>34</v>
      </c>
      <c r="I93" t="s">
        <v>9303</v>
      </c>
      <c r="J93" t="str">
        <f t="shared" si="1"/>
        <v>13F-HR-5.34.C8</v>
      </c>
      <c r="K93" s="5" t="s">
        <v>8633</v>
      </c>
      <c r="L93" t="s">
        <v>4735</v>
      </c>
      <c r="M93" t="s">
        <v>8634</v>
      </c>
      <c r="N93" t="s">
        <v>8635</v>
      </c>
      <c r="Q93" s="28" t="s">
        <v>8632</v>
      </c>
    </row>
    <row r="94" spans="1:17" x14ac:dyDescent="0.35">
      <c r="A94" t="s">
        <v>8651</v>
      </c>
      <c r="B94" s="3" t="s">
        <v>102</v>
      </c>
      <c r="F94">
        <v>5</v>
      </c>
      <c r="G94" t="s">
        <v>8607</v>
      </c>
      <c r="H94">
        <v>35</v>
      </c>
      <c r="I94" t="s">
        <v>9304</v>
      </c>
      <c r="J94" t="str">
        <f t="shared" si="1"/>
        <v>135-HR-5.35.C9</v>
      </c>
      <c r="K94" s="5" t="s">
        <v>8637</v>
      </c>
      <c r="L94" t="s">
        <v>229</v>
      </c>
      <c r="M94" t="s">
        <v>8638</v>
      </c>
      <c r="N94" t="s">
        <v>8639</v>
      </c>
      <c r="Q94" s="28" t="s">
        <v>8652</v>
      </c>
    </row>
    <row r="95" spans="1:17" x14ac:dyDescent="0.35">
      <c r="A95" t="s">
        <v>8520</v>
      </c>
      <c r="B95" s="3" t="s">
        <v>102</v>
      </c>
      <c r="F95">
        <v>5</v>
      </c>
      <c r="G95" t="s">
        <v>8607</v>
      </c>
      <c r="H95">
        <v>36</v>
      </c>
      <c r="I95" t="s">
        <v>9305</v>
      </c>
      <c r="J95" t="str">
        <f t="shared" si="1"/>
        <v>13F-HR-5.36.C10</v>
      </c>
      <c r="K95" s="5" t="s">
        <v>8640</v>
      </c>
      <c r="L95" t="s">
        <v>241</v>
      </c>
      <c r="M95" t="s">
        <v>8641</v>
      </c>
      <c r="N95" t="s">
        <v>8642</v>
      </c>
      <c r="Q95" s="28">
        <v>42291</v>
      </c>
    </row>
    <row r="96" spans="1:17" x14ac:dyDescent="0.35">
      <c r="A96" t="s">
        <v>8520</v>
      </c>
      <c r="B96" s="3" t="s">
        <v>102</v>
      </c>
      <c r="F96">
        <v>5</v>
      </c>
      <c r="G96" t="s">
        <v>8607</v>
      </c>
      <c r="H96">
        <v>37</v>
      </c>
      <c r="I96" t="s">
        <v>9306</v>
      </c>
      <c r="J96" t="str">
        <f t="shared" si="1"/>
        <v>13F-HR-5.37.C11</v>
      </c>
      <c r="K96" s="5" t="s">
        <v>8643</v>
      </c>
      <c r="L96" t="s">
        <v>241</v>
      </c>
      <c r="M96" t="s">
        <v>8644</v>
      </c>
      <c r="N96" t="s">
        <v>8645</v>
      </c>
      <c r="Q96" s="28">
        <v>0</v>
      </c>
    </row>
    <row r="97" spans="1:17" x14ac:dyDescent="0.35">
      <c r="A97" t="s">
        <v>8520</v>
      </c>
      <c r="B97" s="3" t="s">
        <v>102</v>
      </c>
      <c r="F97">
        <v>5</v>
      </c>
      <c r="G97" t="s">
        <v>8607</v>
      </c>
      <c r="H97">
        <v>38</v>
      </c>
      <c r="I97" t="s">
        <v>9307</v>
      </c>
      <c r="J97" t="str">
        <f t="shared" si="1"/>
        <v>13F-HR-5.38.C12</v>
      </c>
      <c r="K97" s="5" t="s">
        <v>8646</v>
      </c>
      <c r="L97" t="s">
        <v>241</v>
      </c>
      <c r="M97" t="s">
        <v>8647</v>
      </c>
      <c r="N97" t="s">
        <v>8648</v>
      </c>
      <c r="Q97" s="28">
        <v>23324</v>
      </c>
    </row>
    <row r="98" spans="1:17" x14ac:dyDescent="0.35">
      <c r="A98" t="s">
        <v>8520</v>
      </c>
      <c r="B98" s="3" t="s">
        <v>102</v>
      </c>
      <c r="F98">
        <v>5</v>
      </c>
      <c r="G98" t="s">
        <v>8607</v>
      </c>
      <c r="H98">
        <v>27</v>
      </c>
      <c r="I98" t="s">
        <v>9296</v>
      </c>
      <c r="J98" t="str">
        <f t="shared" si="1"/>
        <v>13F-HR-5.27.C1</v>
      </c>
      <c r="K98" s="5" t="s">
        <v>8608</v>
      </c>
      <c r="L98" t="s">
        <v>229</v>
      </c>
      <c r="M98" t="s">
        <v>8609</v>
      </c>
      <c r="N98" t="s">
        <v>8610</v>
      </c>
      <c r="Q98" s="28" t="s">
        <v>8663</v>
      </c>
    </row>
    <row r="99" spans="1:17" x14ac:dyDescent="0.35">
      <c r="A99" t="s">
        <v>8520</v>
      </c>
      <c r="B99" s="3" t="s">
        <v>102</v>
      </c>
      <c r="F99">
        <v>5</v>
      </c>
      <c r="G99" t="s">
        <v>8607</v>
      </c>
      <c r="H99">
        <v>28</v>
      </c>
      <c r="I99" t="s">
        <v>9297</v>
      </c>
      <c r="J99" t="str">
        <f t="shared" si="1"/>
        <v>13F-HR-5.28.C2</v>
      </c>
      <c r="K99" s="5" t="s">
        <v>8612</v>
      </c>
      <c r="L99" t="s">
        <v>229</v>
      </c>
      <c r="M99" t="s">
        <v>8613</v>
      </c>
      <c r="N99" t="s">
        <v>8614</v>
      </c>
      <c r="Q99" s="28" t="s">
        <v>8615</v>
      </c>
    </row>
    <row r="100" spans="1:17" x14ac:dyDescent="0.35">
      <c r="A100" t="s">
        <v>8520</v>
      </c>
      <c r="B100" s="3" t="s">
        <v>102</v>
      </c>
      <c r="F100">
        <v>5</v>
      </c>
      <c r="G100" t="s">
        <v>8607</v>
      </c>
      <c r="H100">
        <v>29</v>
      </c>
      <c r="I100" t="s">
        <v>9298</v>
      </c>
      <c r="J100" t="str">
        <f t="shared" si="1"/>
        <v>13F-HR-5.29.C3</v>
      </c>
      <c r="K100" s="5" t="s">
        <v>8616</v>
      </c>
      <c r="L100" t="s">
        <v>229</v>
      </c>
      <c r="M100" t="s">
        <v>7927</v>
      </c>
      <c r="N100" t="s">
        <v>8617</v>
      </c>
      <c r="Q100" s="28" t="s">
        <v>8664</v>
      </c>
    </row>
    <row r="101" spans="1:17" x14ac:dyDescent="0.35">
      <c r="A101" t="s">
        <v>8520</v>
      </c>
      <c r="B101" s="3" t="s">
        <v>102</v>
      </c>
      <c r="F101">
        <v>5</v>
      </c>
      <c r="G101" t="s">
        <v>8607</v>
      </c>
      <c r="H101">
        <v>30</v>
      </c>
      <c r="I101" t="s">
        <v>9299</v>
      </c>
      <c r="J101" t="str">
        <f t="shared" si="1"/>
        <v>13F-HR-5.30.C4</v>
      </c>
      <c r="K101" s="5" t="s">
        <v>8618</v>
      </c>
      <c r="L101" t="s">
        <v>8619</v>
      </c>
      <c r="M101" t="s">
        <v>8620</v>
      </c>
      <c r="N101" t="s">
        <v>8621</v>
      </c>
      <c r="Q101" s="28">
        <v>27268923</v>
      </c>
    </row>
    <row r="102" spans="1:17" x14ac:dyDescent="0.35">
      <c r="A102" t="s">
        <v>8520</v>
      </c>
      <c r="B102" s="3" t="s">
        <v>102</v>
      </c>
      <c r="F102">
        <v>5</v>
      </c>
      <c r="G102" t="s">
        <v>8607</v>
      </c>
      <c r="H102">
        <v>31</v>
      </c>
      <c r="I102" t="s">
        <v>9300</v>
      </c>
      <c r="J102" t="str">
        <f t="shared" si="1"/>
        <v>13F-HR-5.31.C5</v>
      </c>
      <c r="K102" s="5" t="s">
        <v>8622</v>
      </c>
      <c r="L102" t="s">
        <v>241</v>
      </c>
      <c r="M102" t="s">
        <v>8623</v>
      </c>
      <c r="N102" t="s">
        <v>8624</v>
      </c>
      <c r="Q102" s="28">
        <v>524100</v>
      </c>
    </row>
    <row r="103" spans="1:17" x14ac:dyDescent="0.35">
      <c r="A103" t="s">
        <v>8520</v>
      </c>
      <c r="B103" s="3" t="s">
        <v>102</v>
      </c>
      <c r="F103">
        <v>5</v>
      </c>
      <c r="G103" t="s">
        <v>8607</v>
      </c>
      <c r="H103">
        <v>32</v>
      </c>
      <c r="I103" t="s">
        <v>9301</v>
      </c>
      <c r="J103" t="str">
        <f t="shared" si="1"/>
        <v>13F-HR-5.32.C6</v>
      </c>
      <c r="K103" s="5" t="s">
        <v>8625</v>
      </c>
      <c r="L103" t="s">
        <v>229</v>
      </c>
      <c r="M103" t="s">
        <v>8626</v>
      </c>
      <c r="N103" t="s">
        <v>8627</v>
      </c>
      <c r="Q103" s="28" t="s">
        <v>8628</v>
      </c>
    </row>
    <row r="104" spans="1:17" x14ac:dyDescent="0.35">
      <c r="A104" t="s">
        <v>8520</v>
      </c>
      <c r="B104" s="3" t="s">
        <v>102</v>
      </c>
      <c r="F104">
        <v>5</v>
      </c>
      <c r="G104" t="s">
        <v>8607</v>
      </c>
      <c r="H104">
        <v>33</v>
      </c>
      <c r="I104" t="s">
        <v>9302</v>
      </c>
      <c r="J104" t="str">
        <f t="shared" si="1"/>
        <v>13F-HR-5.33.C7</v>
      </c>
      <c r="K104" s="5" t="s">
        <v>8629</v>
      </c>
      <c r="L104" t="s">
        <v>229</v>
      </c>
      <c r="M104" t="s">
        <v>8630</v>
      </c>
      <c r="N104" t="s">
        <v>8631</v>
      </c>
      <c r="Q104" s="28" t="s">
        <v>1590</v>
      </c>
    </row>
    <row r="105" spans="1:17" x14ac:dyDescent="0.35">
      <c r="A105" t="s">
        <v>8520</v>
      </c>
      <c r="B105" s="3" t="s">
        <v>102</v>
      </c>
      <c r="F105">
        <v>5</v>
      </c>
      <c r="G105" t="s">
        <v>8607</v>
      </c>
      <c r="H105">
        <v>34</v>
      </c>
      <c r="I105" t="s">
        <v>9303</v>
      </c>
      <c r="J105" t="str">
        <f t="shared" si="1"/>
        <v>13F-HR-5.34.C8</v>
      </c>
      <c r="K105" s="5" t="s">
        <v>8633</v>
      </c>
      <c r="L105" t="s">
        <v>4735</v>
      </c>
      <c r="M105" t="s">
        <v>8634</v>
      </c>
      <c r="N105" t="s">
        <v>8635</v>
      </c>
      <c r="Q105" s="28" t="s">
        <v>8632</v>
      </c>
    </row>
    <row r="106" spans="1:17" x14ac:dyDescent="0.35">
      <c r="A106" t="s">
        <v>8651</v>
      </c>
      <c r="B106" s="3" t="s">
        <v>102</v>
      </c>
      <c r="F106">
        <v>5</v>
      </c>
      <c r="G106" t="s">
        <v>8607</v>
      </c>
      <c r="H106">
        <v>35</v>
      </c>
      <c r="I106" t="s">
        <v>9304</v>
      </c>
      <c r="J106" t="str">
        <f t="shared" si="1"/>
        <v>135-HR-5.35.C9</v>
      </c>
      <c r="K106" s="5" t="s">
        <v>8637</v>
      </c>
      <c r="L106" t="s">
        <v>229</v>
      </c>
      <c r="M106" t="s">
        <v>8638</v>
      </c>
      <c r="N106" t="s">
        <v>8639</v>
      </c>
      <c r="Q106" s="28" t="s">
        <v>8652</v>
      </c>
    </row>
    <row r="107" spans="1:17" x14ac:dyDescent="0.35">
      <c r="A107" t="s">
        <v>8520</v>
      </c>
      <c r="B107" s="3" t="s">
        <v>102</v>
      </c>
      <c r="F107">
        <v>5</v>
      </c>
      <c r="G107" t="s">
        <v>8607</v>
      </c>
      <c r="H107">
        <v>36</v>
      </c>
      <c r="I107" t="s">
        <v>9305</v>
      </c>
      <c r="J107" t="str">
        <f t="shared" si="1"/>
        <v>13F-HR-5.36.C10</v>
      </c>
      <c r="K107" s="5" t="s">
        <v>8640</v>
      </c>
      <c r="L107" t="s">
        <v>241</v>
      </c>
      <c r="M107" t="s">
        <v>8641</v>
      </c>
      <c r="N107" t="s">
        <v>8642</v>
      </c>
      <c r="Q107" s="28">
        <v>524100</v>
      </c>
    </row>
    <row r="108" spans="1:17" x14ac:dyDescent="0.35">
      <c r="A108" t="s">
        <v>8520</v>
      </c>
      <c r="B108" s="3" t="s">
        <v>102</v>
      </c>
      <c r="F108">
        <v>5</v>
      </c>
      <c r="G108" t="s">
        <v>8607</v>
      </c>
      <c r="H108">
        <v>37</v>
      </c>
      <c r="I108" t="s">
        <v>9306</v>
      </c>
      <c r="J108" t="str">
        <f t="shared" si="1"/>
        <v>13F-HR-5.37.C11</v>
      </c>
      <c r="K108" s="5" t="s">
        <v>8643</v>
      </c>
      <c r="L108" t="s">
        <v>241</v>
      </c>
      <c r="M108" t="s">
        <v>8644</v>
      </c>
      <c r="N108" t="s">
        <v>8645</v>
      </c>
      <c r="Q108" s="28">
        <v>0</v>
      </c>
    </row>
    <row r="109" spans="1:17" x14ac:dyDescent="0.35">
      <c r="A109" t="s">
        <v>8520</v>
      </c>
      <c r="B109" s="3" t="s">
        <v>102</v>
      </c>
      <c r="F109">
        <v>5</v>
      </c>
      <c r="G109" t="s">
        <v>8607</v>
      </c>
      <c r="H109">
        <v>38</v>
      </c>
      <c r="I109" t="s">
        <v>9307</v>
      </c>
      <c r="J109" t="str">
        <f t="shared" si="1"/>
        <v>13F-HR-5.38.C12</v>
      </c>
      <c r="K109" s="5" t="s">
        <v>8646</v>
      </c>
      <c r="L109" t="s">
        <v>241</v>
      </c>
      <c r="M109" t="s">
        <v>8647</v>
      </c>
      <c r="N109" t="s">
        <v>8648</v>
      </c>
      <c r="Q109" s="28">
        <v>0</v>
      </c>
    </row>
    <row r="110" spans="1:17" x14ac:dyDescent="0.35">
      <c r="A110" t="s">
        <v>8520</v>
      </c>
      <c r="B110" s="3" t="s">
        <v>102</v>
      </c>
      <c r="F110">
        <v>5</v>
      </c>
      <c r="G110" t="s">
        <v>8607</v>
      </c>
      <c r="H110">
        <v>27</v>
      </c>
      <c r="I110" t="s">
        <v>9296</v>
      </c>
      <c r="J110" t="str">
        <f t="shared" si="1"/>
        <v>13F-HR-5.27.C1</v>
      </c>
      <c r="K110" s="5" t="s">
        <v>8608</v>
      </c>
      <c r="L110" t="s">
        <v>229</v>
      </c>
      <c r="M110" t="s">
        <v>8609</v>
      </c>
      <c r="N110" t="s">
        <v>8610</v>
      </c>
      <c r="Q110" s="28" t="s">
        <v>8665</v>
      </c>
    </row>
    <row r="111" spans="1:17" x14ac:dyDescent="0.35">
      <c r="A111" t="s">
        <v>8520</v>
      </c>
      <c r="B111" s="3" t="s">
        <v>102</v>
      </c>
      <c r="F111">
        <v>5</v>
      </c>
      <c r="G111" t="s">
        <v>8607</v>
      </c>
      <c r="H111">
        <v>28</v>
      </c>
      <c r="I111" t="s">
        <v>9297</v>
      </c>
      <c r="J111" t="str">
        <f t="shared" si="1"/>
        <v>13F-HR-5.28.C2</v>
      </c>
      <c r="K111" s="5" t="s">
        <v>8612</v>
      </c>
      <c r="L111" t="s">
        <v>229</v>
      </c>
      <c r="M111" t="s">
        <v>8613</v>
      </c>
      <c r="N111" t="s">
        <v>8614</v>
      </c>
      <c r="Q111" s="28" t="s">
        <v>8615</v>
      </c>
    </row>
    <row r="112" spans="1:17" x14ac:dyDescent="0.35">
      <c r="A112" t="s">
        <v>8520</v>
      </c>
      <c r="B112" s="3" t="s">
        <v>102</v>
      </c>
      <c r="F112">
        <v>5</v>
      </c>
      <c r="G112" t="s">
        <v>8607</v>
      </c>
      <c r="H112">
        <v>29</v>
      </c>
      <c r="I112" t="s">
        <v>9298</v>
      </c>
      <c r="J112" t="str">
        <f t="shared" si="1"/>
        <v>13F-HR-5.29.C3</v>
      </c>
      <c r="K112" s="5" t="s">
        <v>8616</v>
      </c>
      <c r="L112" t="s">
        <v>229</v>
      </c>
      <c r="M112" t="s">
        <v>7927</v>
      </c>
      <c r="N112" t="s">
        <v>8617</v>
      </c>
      <c r="Q112" s="28" t="s">
        <v>8666</v>
      </c>
    </row>
    <row r="113" spans="1:17" x14ac:dyDescent="0.35">
      <c r="A113" t="s">
        <v>8520</v>
      </c>
      <c r="B113" s="3" t="s">
        <v>102</v>
      </c>
      <c r="F113">
        <v>5</v>
      </c>
      <c r="G113" t="s">
        <v>8607</v>
      </c>
      <c r="H113">
        <v>30</v>
      </c>
      <c r="I113" t="s">
        <v>9299</v>
      </c>
      <c r="J113" t="str">
        <f t="shared" si="1"/>
        <v>13F-HR-5.30.C4</v>
      </c>
      <c r="K113" s="5" t="s">
        <v>8618</v>
      </c>
      <c r="L113" t="s">
        <v>8619</v>
      </c>
      <c r="M113" t="s">
        <v>8620</v>
      </c>
      <c r="N113" t="s">
        <v>8621</v>
      </c>
      <c r="Q113" s="28">
        <v>18080809</v>
      </c>
    </row>
    <row r="114" spans="1:17" x14ac:dyDescent="0.35">
      <c r="A114" t="s">
        <v>8520</v>
      </c>
      <c r="B114" s="3" t="s">
        <v>102</v>
      </c>
      <c r="F114">
        <v>5</v>
      </c>
      <c r="G114" t="s">
        <v>8607</v>
      </c>
      <c r="H114">
        <v>31</v>
      </c>
      <c r="I114" t="s">
        <v>9300</v>
      </c>
      <c r="J114" t="str">
        <f t="shared" si="1"/>
        <v>13F-HR-5.31.C5</v>
      </c>
      <c r="K114" s="5" t="s">
        <v>8622</v>
      </c>
      <c r="L114" t="s">
        <v>241</v>
      </c>
      <c r="M114" t="s">
        <v>8623</v>
      </c>
      <c r="N114" t="s">
        <v>8624</v>
      </c>
      <c r="Q114" s="28">
        <v>66961</v>
      </c>
    </row>
    <row r="115" spans="1:17" x14ac:dyDescent="0.35">
      <c r="A115" t="s">
        <v>8520</v>
      </c>
      <c r="B115" s="3" t="s">
        <v>102</v>
      </c>
      <c r="F115">
        <v>5</v>
      </c>
      <c r="G115" t="s">
        <v>8607</v>
      </c>
      <c r="H115">
        <v>32</v>
      </c>
      <c r="I115" t="s">
        <v>9301</v>
      </c>
      <c r="J115" t="str">
        <f t="shared" si="1"/>
        <v>13F-HR-5.32.C6</v>
      </c>
      <c r="K115" s="5" t="s">
        <v>8625</v>
      </c>
      <c r="L115" t="s">
        <v>229</v>
      </c>
      <c r="M115" t="s">
        <v>8626</v>
      </c>
      <c r="N115" t="s">
        <v>8627</v>
      </c>
      <c r="Q115" s="28" t="s">
        <v>8628</v>
      </c>
    </row>
    <row r="116" spans="1:17" x14ac:dyDescent="0.35">
      <c r="A116" t="s">
        <v>8520</v>
      </c>
      <c r="B116" s="3" t="s">
        <v>102</v>
      </c>
      <c r="F116">
        <v>5</v>
      </c>
      <c r="G116" t="s">
        <v>8607</v>
      </c>
      <c r="H116">
        <v>33</v>
      </c>
      <c r="I116" t="s">
        <v>9302</v>
      </c>
      <c r="J116" t="str">
        <f t="shared" si="1"/>
        <v>13F-HR-5.33.C7</v>
      </c>
      <c r="K116" s="5" t="s">
        <v>8629</v>
      </c>
      <c r="L116" t="s">
        <v>229</v>
      </c>
      <c r="M116" t="s">
        <v>8630</v>
      </c>
      <c r="N116" t="s">
        <v>8631</v>
      </c>
      <c r="Q116" s="28" t="s">
        <v>1590</v>
      </c>
    </row>
    <row r="117" spans="1:17" x14ac:dyDescent="0.35">
      <c r="A117" t="s">
        <v>8520</v>
      </c>
      <c r="B117" s="3" t="s">
        <v>102</v>
      </c>
      <c r="F117">
        <v>5</v>
      </c>
      <c r="G117" t="s">
        <v>8607</v>
      </c>
      <c r="H117">
        <v>34</v>
      </c>
      <c r="I117" t="s">
        <v>9303</v>
      </c>
      <c r="J117" t="str">
        <f t="shared" si="1"/>
        <v>13F-HR-5.34.C8</v>
      </c>
      <c r="K117" s="5" t="s">
        <v>8633</v>
      </c>
      <c r="L117" t="s">
        <v>4735</v>
      </c>
      <c r="M117" t="s">
        <v>8634</v>
      </c>
      <c r="N117" t="s">
        <v>8635</v>
      </c>
      <c r="Q117" s="28" t="s">
        <v>8632</v>
      </c>
    </row>
    <row r="118" spans="1:17" x14ac:dyDescent="0.35">
      <c r="A118" t="s">
        <v>8651</v>
      </c>
      <c r="B118" s="3" t="s">
        <v>102</v>
      </c>
      <c r="F118">
        <v>5</v>
      </c>
      <c r="G118" t="s">
        <v>8607</v>
      </c>
      <c r="H118">
        <v>35</v>
      </c>
      <c r="I118" t="s">
        <v>9304</v>
      </c>
      <c r="J118" t="str">
        <f t="shared" si="1"/>
        <v>135-HR-5.35.C9</v>
      </c>
      <c r="K118" s="5" t="s">
        <v>8637</v>
      </c>
      <c r="L118" t="s">
        <v>229</v>
      </c>
      <c r="M118" t="s">
        <v>8638</v>
      </c>
      <c r="N118" t="s">
        <v>8639</v>
      </c>
      <c r="Q118" s="28" t="s">
        <v>8652</v>
      </c>
    </row>
    <row r="119" spans="1:17" x14ac:dyDescent="0.35">
      <c r="A119" t="s">
        <v>8520</v>
      </c>
      <c r="B119" s="3" t="s">
        <v>102</v>
      </c>
      <c r="F119">
        <v>5</v>
      </c>
      <c r="G119" t="s">
        <v>8607</v>
      </c>
      <c r="H119">
        <v>36</v>
      </c>
      <c r="I119" t="s">
        <v>9305</v>
      </c>
      <c r="J119" t="str">
        <f t="shared" si="1"/>
        <v>13F-HR-5.36.C10</v>
      </c>
      <c r="K119" s="5" t="s">
        <v>8640</v>
      </c>
      <c r="L119" t="s">
        <v>241</v>
      </c>
      <c r="M119" t="s">
        <v>8641</v>
      </c>
      <c r="N119" t="s">
        <v>8642</v>
      </c>
      <c r="Q119" s="28">
        <v>65059</v>
      </c>
    </row>
    <row r="120" spans="1:17" x14ac:dyDescent="0.35">
      <c r="A120" t="s">
        <v>8520</v>
      </c>
      <c r="B120" s="3" t="s">
        <v>102</v>
      </c>
      <c r="F120">
        <v>5</v>
      </c>
      <c r="G120" t="s">
        <v>8607</v>
      </c>
      <c r="H120">
        <v>37</v>
      </c>
      <c r="I120" t="s">
        <v>9306</v>
      </c>
      <c r="J120" t="str">
        <f t="shared" si="1"/>
        <v>13F-HR-5.37.C11</v>
      </c>
      <c r="K120" s="5" t="s">
        <v>8643</v>
      </c>
      <c r="L120" t="s">
        <v>241</v>
      </c>
      <c r="M120" t="s">
        <v>8644</v>
      </c>
      <c r="N120" t="s">
        <v>8645</v>
      </c>
      <c r="Q120" s="28">
        <v>0</v>
      </c>
    </row>
    <row r="121" spans="1:17" x14ac:dyDescent="0.35">
      <c r="A121" t="s">
        <v>8520</v>
      </c>
      <c r="B121" s="3" t="s">
        <v>102</v>
      </c>
      <c r="F121">
        <v>5</v>
      </c>
      <c r="G121" t="s">
        <v>8607</v>
      </c>
      <c r="H121">
        <v>38</v>
      </c>
      <c r="I121" t="s">
        <v>9307</v>
      </c>
      <c r="J121" t="str">
        <f t="shared" si="1"/>
        <v>13F-HR-5.38.C12</v>
      </c>
      <c r="K121" s="5" t="s">
        <v>8646</v>
      </c>
      <c r="L121" t="s">
        <v>241</v>
      </c>
      <c r="M121" t="s">
        <v>8647</v>
      </c>
      <c r="N121" t="s">
        <v>8648</v>
      </c>
      <c r="Q121" s="28">
        <v>1902</v>
      </c>
    </row>
    <row r="122" spans="1:17" x14ac:dyDescent="0.35">
      <c r="A122" t="s">
        <v>8520</v>
      </c>
      <c r="B122" s="3" t="s">
        <v>102</v>
      </c>
      <c r="F122">
        <v>5</v>
      </c>
      <c r="G122" t="s">
        <v>8607</v>
      </c>
      <c r="H122">
        <v>27</v>
      </c>
      <c r="I122" t="s">
        <v>9296</v>
      </c>
      <c r="J122" t="str">
        <f t="shared" si="1"/>
        <v>13F-HR-5.27.C1</v>
      </c>
      <c r="K122" s="5" t="s">
        <v>8608</v>
      </c>
      <c r="L122" t="s">
        <v>229</v>
      </c>
      <c r="M122" t="s">
        <v>8609</v>
      </c>
      <c r="N122" t="s">
        <v>8610</v>
      </c>
      <c r="Q122" s="28" t="s">
        <v>8667</v>
      </c>
    </row>
    <row r="123" spans="1:17" x14ac:dyDescent="0.35">
      <c r="A123" t="s">
        <v>8520</v>
      </c>
      <c r="B123" s="3" t="s">
        <v>102</v>
      </c>
      <c r="F123">
        <v>5</v>
      </c>
      <c r="G123" t="s">
        <v>8607</v>
      </c>
      <c r="H123">
        <v>28</v>
      </c>
      <c r="I123" t="s">
        <v>9297</v>
      </c>
      <c r="J123" t="str">
        <f t="shared" si="1"/>
        <v>13F-HR-5.28.C2</v>
      </c>
      <c r="K123" s="5" t="s">
        <v>8612</v>
      </c>
      <c r="L123" t="s">
        <v>229</v>
      </c>
      <c r="M123" t="s">
        <v>8613</v>
      </c>
      <c r="N123" t="s">
        <v>8614</v>
      </c>
      <c r="Q123" s="28" t="s">
        <v>8668</v>
      </c>
    </row>
    <row r="124" spans="1:17" x14ac:dyDescent="0.35">
      <c r="A124" t="s">
        <v>8520</v>
      </c>
      <c r="B124" s="3" t="s">
        <v>102</v>
      </c>
      <c r="F124">
        <v>5</v>
      </c>
      <c r="G124" t="s">
        <v>8607</v>
      </c>
      <c r="H124">
        <v>29</v>
      </c>
      <c r="I124" t="s">
        <v>9298</v>
      </c>
      <c r="J124" t="str">
        <f t="shared" si="1"/>
        <v>13F-HR-5.29.C3</v>
      </c>
      <c r="K124" s="5" t="s">
        <v>8616</v>
      </c>
      <c r="L124" t="s">
        <v>229</v>
      </c>
      <c r="M124" t="s">
        <v>7927</v>
      </c>
      <c r="N124" t="s">
        <v>8617</v>
      </c>
      <c r="Q124" s="28" t="s">
        <v>8669</v>
      </c>
    </row>
    <row r="125" spans="1:17" x14ac:dyDescent="0.35">
      <c r="A125" t="s">
        <v>8520</v>
      </c>
      <c r="B125" s="3" t="s">
        <v>102</v>
      </c>
      <c r="F125">
        <v>5</v>
      </c>
      <c r="G125" t="s">
        <v>8607</v>
      </c>
      <c r="H125">
        <v>30</v>
      </c>
      <c r="I125" t="s">
        <v>9299</v>
      </c>
      <c r="J125" t="str">
        <f t="shared" si="1"/>
        <v>13F-HR-5.30.C4</v>
      </c>
      <c r="K125" s="5" t="s">
        <v>8618</v>
      </c>
      <c r="L125" t="s">
        <v>8619</v>
      </c>
      <c r="M125" t="s">
        <v>8620</v>
      </c>
      <c r="N125" t="s">
        <v>8621</v>
      </c>
      <c r="Q125" s="28">
        <v>114322709</v>
      </c>
    </row>
    <row r="126" spans="1:17" x14ac:dyDescent="0.35">
      <c r="A126" t="s">
        <v>8520</v>
      </c>
      <c r="B126" s="3" t="s">
        <v>102</v>
      </c>
      <c r="F126">
        <v>5</v>
      </c>
      <c r="G126" t="s">
        <v>8607</v>
      </c>
      <c r="H126">
        <v>31</v>
      </c>
      <c r="I126" t="s">
        <v>9300</v>
      </c>
      <c r="J126" t="str">
        <f t="shared" si="1"/>
        <v>13F-HR-5.31.C5</v>
      </c>
      <c r="K126" s="5" t="s">
        <v>8622</v>
      </c>
      <c r="L126" t="s">
        <v>241</v>
      </c>
      <c r="M126" t="s">
        <v>8623</v>
      </c>
      <c r="N126" t="s">
        <v>8624</v>
      </c>
      <c r="Q126" s="28">
        <v>731759</v>
      </c>
    </row>
    <row r="127" spans="1:17" x14ac:dyDescent="0.35">
      <c r="A127" t="s">
        <v>8520</v>
      </c>
      <c r="B127" s="3" t="s">
        <v>102</v>
      </c>
      <c r="F127">
        <v>5</v>
      </c>
      <c r="G127" t="s">
        <v>8607</v>
      </c>
      <c r="H127">
        <v>32</v>
      </c>
      <c r="I127" t="s">
        <v>9301</v>
      </c>
      <c r="J127" t="str">
        <f t="shared" si="1"/>
        <v>13F-HR-5.32.C6</v>
      </c>
      <c r="K127" s="5" t="s">
        <v>8625</v>
      </c>
      <c r="L127" t="s">
        <v>229</v>
      </c>
      <c r="M127" t="s">
        <v>8626</v>
      </c>
      <c r="N127" t="s">
        <v>8627</v>
      </c>
      <c r="Q127" s="28" t="s">
        <v>8628</v>
      </c>
    </row>
    <row r="128" spans="1:17" x14ac:dyDescent="0.35">
      <c r="A128" t="s">
        <v>8520</v>
      </c>
      <c r="B128" s="3" t="s">
        <v>102</v>
      </c>
      <c r="F128">
        <v>5</v>
      </c>
      <c r="G128" t="s">
        <v>8607</v>
      </c>
      <c r="H128">
        <v>33</v>
      </c>
      <c r="I128" t="s">
        <v>9302</v>
      </c>
      <c r="J128" t="str">
        <f t="shared" si="1"/>
        <v>13F-HR-5.33.C7</v>
      </c>
      <c r="K128" s="5" t="s">
        <v>8629</v>
      </c>
      <c r="L128" t="s">
        <v>229</v>
      </c>
      <c r="M128" t="s">
        <v>8630</v>
      </c>
      <c r="N128" t="s">
        <v>8631</v>
      </c>
      <c r="Q128" s="28" t="s">
        <v>1590</v>
      </c>
    </row>
    <row r="129" spans="1:17" x14ac:dyDescent="0.35">
      <c r="A129" t="s">
        <v>8520</v>
      </c>
      <c r="B129" s="3" t="s">
        <v>102</v>
      </c>
      <c r="F129">
        <v>5</v>
      </c>
      <c r="G129" t="s">
        <v>8607</v>
      </c>
      <c r="H129">
        <v>34</v>
      </c>
      <c r="I129" t="s">
        <v>9303</v>
      </c>
      <c r="J129" t="str">
        <f t="shared" si="1"/>
        <v>13F-HR-5.34.C8</v>
      </c>
      <c r="K129" s="5" t="s">
        <v>8633</v>
      </c>
      <c r="L129" t="s">
        <v>4735</v>
      </c>
      <c r="M129" t="s">
        <v>8634</v>
      </c>
      <c r="N129" t="s">
        <v>8635</v>
      </c>
      <c r="Q129" s="28" t="s">
        <v>8632</v>
      </c>
    </row>
    <row r="130" spans="1:17" x14ac:dyDescent="0.35">
      <c r="A130" t="s">
        <v>8651</v>
      </c>
      <c r="B130" s="3" t="s">
        <v>102</v>
      </c>
      <c r="F130">
        <v>5</v>
      </c>
      <c r="G130" t="s">
        <v>8607</v>
      </c>
      <c r="H130">
        <v>35</v>
      </c>
      <c r="I130" t="s">
        <v>9304</v>
      </c>
      <c r="J130" t="str">
        <f t="shared" si="1"/>
        <v>135-HR-5.35.C9</v>
      </c>
      <c r="K130" s="5" t="s">
        <v>8637</v>
      </c>
      <c r="L130" t="s">
        <v>229</v>
      </c>
      <c r="M130" t="s">
        <v>8638</v>
      </c>
      <c r="N130" t="s">
        <v>8639</v>
      </c>
      <c r="Q130" s="28" t="s">
        <v>8636</v>
      </c>
    </row>
    <row r="131" spans="1:17" x14ac:dyDescent="0.35">
      <c r="A131" t="s">
        <v>8520</v>
      </c>
      <c r="B131" s="3" t="s">
        <v>102</v>
      </c>
      <c r="F131">
        <v>5</v>
      </c>
      <c r="G131" t="s">
        <v>8607</v>
      </c>
      <c r="H131">
        <v>36</v>
      </c>
      <c r="I131" t="s">
        <v>9305</v>
      </c>
      <c r="J131" t="str">
        <f t="shared" ref="J131:J194" si="2">_xlfn.CONCAT(A131,"-",F131,".",H131,".",I131)</f>
        <v>13F-HR-5.36.C10</v>
      </c>
      <c r="K131" s="5" t="s">
        <v>8640</v>
      </c>
      <c r="L131" t="s">
        <v>241</v>
      </c>
      <c r="M131" t="s">
        <v>8641</v>
      </c>
      <c r="N131" t="s">
        <v>8642</v>
      </c>
      <c r="Q131" s="28">
        <v>564211</v>
      </c>
    </row>
    <row r="132" spans="1:17" x14ac:dyDescent="0.35">
      <c r="A132" t="s">
        <v>8520</v>
      </c>
      <c r="B132" s="3" t="s">
        <v>102</v>
      </c>
      <c r="F132">
        <v>5</v>
      </c>
      <c r="G132" t="s">
        <v>8607</v>
      </c>
      <c r="H132">
        <v>37</v>
      </c>
      <c r="I132" t="s">
        <v>9306</v>
      </c>
      <c r="J132" t="str">
        <f t="shared" si="2"/>
        <v>13F-HR-5.37.C11</v>
      </c>
      <c r="K132" s="5" t="s">
        <v>8643</v>
      </c>
      <c r="L132" t="s">
        <v>241</v>
      </c>
      <c r="M132" t="s">
        <v>8644</v>
      </c>
      <c r="N132" t="s">
        <v>8645</v>
      </c>
      <c r="Q132" s="28">
        <v>0</v>
      </c>
    </row>
    <row r="133" spans="1:17" x14ac:dyDescent="0.35">
      <c r="A133" t="s">
        <v>8520</v>
      </c>
      <c r="B133" s="3" t="s">
        <v>102</v>
      </c>
      <c r="F133">
        <v>5</v>
      </c>
      <c r="G133" t="s">
        <v>8607</v>
      </c>
      <c r="H133">
        <v>38</v>
      </c>
      <c r="I133" t="s">
        <v>9307</v>
      </c>
      <c r="J133" t="str">
        <f t="shared" si="2"/>
        <v>13F-HR-5.38.C12</v>
      </c>
      <c r="K133" s="5" t="s">
        <v>8646</v>
      </c>
      <c r="L133" t="s">
        <v>241</v>
      </c>
      <c r="M133" t="s">
        <v>8647</v>
      </c>
      <c r="N133" t="s">
        <v>8648</v>
      </c>
      <c r="Q133" s="28">
        <v>167548</v>
      </c>
    </row>
    <row r="134" spans="1:17" x14ac:dyDescent="0.35">
      <c r="A134" t="s">
        <v>8520</v>
      </c>
      <c r="B134" s="3" t="s">
        <v>102</v>
      </c>
      <c r="F134">
        <v>5</v>
      </c>
      <c r="G134" t="s">
        <v>8607</v>
      </c>
      <c r="H134">
        <v>27</v>
      </c>
      <c r="I134" t="s">
        <v>9296</v>
      </c>
      <c r="J134" t="str">
        <f t="shared" si="2"/>
        <v>13F-HR-5.27.C1</v>
      </c>
      <c r="K134" s="5" t="s">
        <v>8608</v>
      </c>
      <c r="L134" t="s">
        <v>229</v>
      </c>
      <c r="M134" t="s">
        <v>8609</v>
      </c>
      <c r="N134" t="s">
        <v>8610</v>
      </c>
      <c r="Q134" s="28" t="s">
        <v>8667</v>
      </c>
    </row>
    <row r="135" spans="1:17" x14ac:dyDescent="0.35">
      <c r="A135" t="s">
        <v>8520</v>
      </c>
      <c r="B135" s="3" t="s">
        <v>102</v>
      </c>
      <c r="F135">
        <v>5</v>
      </c>
      <c r="G135" t="s">
        <v>8607</v>
      </c>
      <c r="H135">
        <v>28</v>
      </c>
      <c r="I135" t="s">
        <v>9297</v>
      </c>
      <c r="J135" t="str">
        <f t="shared" si="2"/>
        <v>13F-HR-5.28.C2</v>
      </c>
      <c r="K135" s="5" t="s">
        <v>8612</v>
      </c>
      <c r="L135" t="s">
        <v>229</v>
      </c>
      <c r="M135" t="s">
        <v>8613</v>
      </c>
      <c r="N135" t="s">
        <v>8614</v>
      </c>
      <c r="Q135" s="28" t="s">
        <v>8670</v>
      </c>
    </row>
    <row r="136" spans="1:17" x14ac:dyDescent="0.35">
      <c r="A136" t="s">
        <v>8520</v>
      </c>
      <c r="B136" s="3" t="s">
        <v>102</v>
      </c>
      <c r="F136">
        <v>5</v>
      </c>
      <c r="G136" t="s">
        <v>8607</v>
      </c>
      <c r="H136">
        <v>29</v>
      </c>
      <c r="I136" t="s">
        <v>9298</v>
      </c>
      <c r="J136" t="str">
        <f t="shared" si="2"/>
        <v>13F-HR-5.29.C3</v>
      </c>
      <c r="K136" s="5" t="s">
        <v>8616</v>
      </c>
      <c r="L136" t="s">
        <v>229</v>
      </c>
      <c r="M136" t="s">
        <v>7927</v>
      </c>
      <c r="N136" t="s">
        <v>8617</v>
      </c>
      <c r="Q136" s="28" t="s">
        <v>8671</v>
      </c>
    </row>
    <row r="137" spans="1:17" x14ac:dyDescent="0.35">
      <c r="A137" t="s">
        <v>8520</v>
      </c>
      <c r="B137" s="3" t="s">
        <v>102</v>
      </c>
      <c r="F137">
        <v>5</v>
      </c>
      <c r="G137" t="s">
        <v>8607</v>
      </c>
      <c r="H137">
        <v>30</v>
      </c>
      <c r="I137" t="s">
        <v>9299</v>
      </c>
      <c r="J137" t="str">
        <f t="shared" si="2"/>
        <v>13F-HR-5.30.C4</v>
      </c>
      <c r="K137" s="5" t="s">
        <v>8618</v>
      </c>
      <c r="L137" t="s">
        <v>8619</v>
      </c>
      <c r="M137" t="s">
        <v>8620</v>
      </c>
      <c r="N137" t="s">
        <v>8621</v>
      </c>
      <c r="Q137" s="28">
        <v>61583988</v>
      </c>
    </row>
    <row r="138" spans="1:17" x14ac:dyDescent="0.35">
      <c r="A138" t="s">
        <v>8520</v>
      </c>
      <c r="B138" s="3" t="s">
        <v>102</v>
      </c>
      <c r="F138">
        <v>5</v>
      </c>
      <c r="G138" t="s">
        <v>8607</v>
      </c>
      <c r="H138">
        <v>31</v>
      </c>
      <c r="I138" t="s">
        <v>9300</v>
      </c>
      <c r="J138" t="str">
        <f t="shared" si="2"/>
        <v>13F-HR-5.31.C5</v>
      </c>
      <c r="K138" s="5" t="s">
        <v>8622</v>
      </c>
      <c r="L138" t="s">
        <v>241</v>
      </c>
      <c r="M138" t="s">
        <v>8623</v>
      </c>
      <c r="N138" t="s">
        <v>8624</v>
      </c>
      <c r="Q138" s="28">
        <v>398241</v>
      </c>
    </row>
    <row r="139" spans="1:17" x14ac:dyDescent="0.35">
      <c r="A139" t="s">
        <v>8520</v>
      </c>
      <c r="B139" s="3" t="s">
        <v>102</v>
      </c>
      <c r="F139">
        <v>5</v>
      </c>
      <c r="G139" t="s">
        <v>8607</v>
      </c>
      <c r="H139">
        <v>32</v>
      </c>
      <c r="I139" t="s">
        <v>9301</v>
      </c>
      <c r="J139" t="str">
        <f t="shared" si="2"/>
        <v>13F-HR-5.32.C6</v>
      </c>
      <c r="K139" s="5" t="s">
        <v>8625</v>
      </c>
      <c r="L139" t="s">
        <v>229</v>
      </c>
      <c r="M139" t="s">
        <v>8626</v>
      </c>
      <c r="N139" t="s">
        <v>8627</v>
      </c>
      <c r="Q139" s="28" t="s">
        <v>8628</v>
      </c>
    </row>
    <row r="140" spans="1:17" x14ac:dyDescent="0.35">
      <c r="A140" t="s">
        <v>8520</v>
      </c>
      <c r="B140" s="3" t="s">
        <v>102</v>
      </c>
      <c r="F140">
        <v>5</v>
      </c>
      <c r="G140" t="s">
        <v>8607</v>
      </c>
      <c r="H140">
        <v>33</v>
      </c>
      <c r="I140" t="s">
        <v>9302</v>
      </c>
      <c r="J140" t="str">
        <f t="shared" si="2"/>
        <v>13F-HR-5.33.C7</v>
      </c>
      <c r="K140" s="5" t="s">
        <v>8629</v>
      </c>
      <c r="L140" t="s">
        <v>229</v>
      </c>
      <c r="M140" t="s">
        <v>8630</v>
      </c>
      <c r="N140" t="s">
        <v>8631</v>
      </c>
      <c r="Q140" s="28" t="s">
        <v>1590</v>
      </c>
    </row>
    <row r="141" spans="1:17" x14ac:dyDescent="0.35">
      <c r="A141" t="s">
        <v>8520</v>
      </c>
      <c r="B141" s="3" t="s">
        <v>102</v>
      </c>
      <c r="F141">
        <v>5</v>
      </c>
      <c r="G141" t="s">
        <v>8607</v>
      </c>
      <c r="H141">
        <v>34</v>
      </c>
      <c r="I141" t="s">
        <v>9303</v>
      </c>
      <c r="J141" t="str">
        <f t="shared" si="2"/>
        <v>13F-HR-5.34.C8</v>
      </c>
      <c r="K141" s="5" t="s">
        <v>8633</v>
      </c>
      <c r="L141" t="s">
        <v>4735</v>
      </c>
      <c r="M141" t="s">
        <v>8634</v>
      </c>
      <c r="N141" t="s">
        <v>8635</v>
      </c>
      <c r="Q141" s="28" t="s">
        <v>8632</v>
      </c>
    </row>
    <row r="142" spans="1:17" x14ac:dyDescent="0.35">
      <c r="A142" t="s">
        <v>8651</v>
      </c>
      <c r="B142" s="3" t="s">
        <v>102</v>
      </c>
      <c r="F142">
        <v>5</v>
      </c>
      <c r="G142" t="s">
        <v>8607</v>
      </c>
      <c r="H142">
        <v>35</v>
      </c>
      <c r="I142" t="s">
        <v>9304</v>
      </c>
      <c r="J142" t="str">
        <f t="shared" si="2"/>
        <v>135-HR-5.35.C9</v>
      </c>
      <c r="K142" s="5" t="s">
        <v>8637</v>
      </c>
      <c r="L142" t="s">
        <v>229</v>
      </c>
      <c r="M142" t="s">
        <v>8638</v>
      </c>
      <c r="N142" t="s">
        <v>8639</v>
      </c>
      <c r="Q142" s="28" t="s">
        <v>8636</v>
      </c>
    </row>
    <row r="143" spans="1:17" x14ac:dyDescent="0.35">
      <c r="A143" t="s">
        <v>8520</v>
      </c>
      <c r="B143" s="3" t="s">
        <v>102</v>
      </c>
      <c r="F143">
        <v>5</v>
      </c>
      <c r="G143" t="s">
        <v>8607</v>
      </c>
      <c r="H143">
        <v>36</v>
      </c>
      <c r="I143" t="s">
        <v>9305</v>
      </c>
      <c r="J143" t="str">
        <f t="shared" si="2"/>
        <v>13F-HR-5.36.C10</v>
      </c>
      <c r="K143" s="5" t="s">
        <v>8640</v>
      </c>
      <c r="L143" t="s">
        <v>241</v>
      </c>
      <c r="M143" t="s">
        <v>8641</v>
      </c>
      <c r="N143" t="s">
        <v>8642</v>
      </c>
      <c r="Q143" s="28">
        <v>300868</v>
      </c>
    </row>
    <row r="144" spans="1:17" x14ac:dyDescent="0.35">
      <c r="A144" t="s">
        <v>8520</v>
      </c>
      <c r="B144" s="3" t="s">
        <v>102</v>
      </c>
      <c r="F144">
        <v>5</v>
      </c>
      <c r="G144" t="s">
        <v>8607</v>
      </c>
      <c r="H144">
        <v>37</v>
      </c>
      <c r="I144" t="s">
        <v>9306</v>
      </c>
      <c r="J144" t="str">
        <f t="shared" si="2"/>
        <v>13F-HR-5.37.C11</v>
      </c>
      <c r="K144" s="5" t="s">
        <v>8643</v>
      </c>
      <c r="L144" t="s">
        <v>241</v>
      </c>
      <c r="M144" t="s">
        <v>8644</v>
      </c>
      <c r="N144" t="s">
        <v>8645</v>
      </c>
      <c r="Q144" s="28">
        <v>0</v>
      </c>
    </row>
    <row r="145" spans="1:17" x14ac:dyDescent="0.35">
      <c r="A145" t="s">
        <v>8520</v>
      </c>
      <c r="B145" s="3" t="s">
        <v>102</v>
      </c>
      <c r="F145">
        <v>5</v>
      </c>
      <c r="G145" t="s">
        <v>8607</v>
      </c>
      <c r="H145">
        <v>38</v>
      </c>
      <c r="I145" t="s">
        <v>9307</v>
      </c>
      <c r="J145" t="str">
        <f t="shared" si="2"/>
        <v>13F-HR-5.38.C12</v>
      </c>
      <c r="K145" s="5" t="s">
        <v>8646</v>
      </c>
      <c r="L145" t="s">
        <v>241</v>
      </c>
      <c r="M145" t="s">
        <v>8647</v>
      </c>
      <c r="N145" t="s">
        <v>8648</v>
      </c>
      <c r="Q145" s="28">
        <v>97373</v>
      </c>
    </row>
    <row r="146" spans="1:17" x14ac:dyDescent="0.35">
      <c r="A146" t="s">
        <v>8520</v>
      </c>
      <c r="B146" s="3" t="s">
        <v>102</v>
      </c>
      <c r="F146">
        <v>5</v>
      </c>
      <c r="G146" t="s">
        <v>8607</v>
      </c>
      <c r="H146">
        <v>27</v>
      </c>
      <c r="I146" t="s">
        <v>9296</v>
      </c>
      <c r="J146" t="str">
        <f t="shared" si="2"/>
        <v>13F-HR-5.27.C1</v>
      </c>
      <c r="K146" s="5" t="s">
        <v>8608</v>
      </c>
      <c r="L146" t="s">
        <v>229</v>
      </c>
      <c r="M146" t="s">
        <v>8609</v>
      </c>
      <c r="N146" t="s">
        <v>8610</v>
      </c>
      <c r="Q146" s="28" t="s">
        <v>8672</v>
      </c>
    </row>
    <row r="147" spans="1:17" x14ac:dyDescent="0.35">
      <c r="A147" t="s">
        <v>8520</v>
      </c>
      <c r="B147" s="3" t="s">
        <v>102</v>
      </c>
      <c r="F147">
        <v>5</v>
      </c>
      <c r="G147" t="s">
        <v>8607</v>
      </c>
      <c r="H147">
        <v>28</v>
      </c>
      <c r="I147" t="s">
        <v>9297</v>
      </c>
      <c r="J147" t="str">
        <f t="shared" si="2"/>
        <v>13F-HR-5.28.C2</v>
      </c>
      <c r="K147" s="5" t="s">
        <v>8612</v>
      </c>
      <c r="L147" t="s">
        <v>229</v>
      </c>
      <c r="M147" t="s">
        <v>8613</v>
      </c>
      <c r="N147" t="s">
        <v>8614</v>
      </c>
      <c r="Q147" s="28" t="s">
        <v>8615</v>
      </c>
    </row>
    <row r="148" spans="1:17" x14ac:dyDescent="0.35">
      <c r="A148" t="s">
        <v>8520</v>
      </c>
      <c r="B148" s="3" t="s">
        <v>102</v>
      </c>
      <c r="F148">
        <v>5</v>
      </c>
      <c r="G148" t="s">
        <v>8607</v>
      </c>
      <c r="H148">
        <v>29</v>
      </c>
      <c r="I148" t="s">
        <v>9298</v>
      </c>
      <c r="J148" t="str">
        <f t="shared" si="2"/>
        <v>13F-HR-5.29.C3</v>
      </c>
      <c r="K148" s="5" t="s">
        <v>8616</v>
      </c>
      <c r="L148" t="s">
        <v>229</v>
      </c>
      <c r="M148" t="s">
        <v>7927</v>
      </c>
      <c r="N148" t="s">
        <v>8617</v>
      </c>
      <c r="Q148" s="28" t="s">
        <v>8673</v>
      </c>
    </row>
    <row r="149" spans="1:17" x14ac:dyDescent="0.35">
      <c r="A149" t="s">
        <v>8520</v>
      </c>
      <c r="B149" s="3" t="s">
        <v>102</v>
      </c>
      <c r="F149">
        <v>5</v>
      </c>
      <c r="G149" t="s">
        <v>8607</v>
      </c>
      <c r="H149">
        <v>30</v>
      </c>
      <c r="I149" t="s">
        <v>9299</v>
      </c>
      <c r="J149" t="str">
        <f t="shared" si="2"/>
        <v>13F-HR-5.30.C4</v>
      </c>
      <c r="K149" s="5" t="s">
        <v>8618</v>
      </c>
      <c r="L149" t="s">
        <v>8619</v>
      </c>
      <c r="M149" t="s">
        <v>8620</v>
      </c>
      <c r="N149" t="s">
        <v>8621</v>
      </c>
      <c r="Q149" s="28">
        <v>23959864</v>
      </c>
    </row>
    <row r="150" spans="1:17" x14ac:dyDescent="0.35">
      <c r="A150" t="s">
        <v>8520</v>
      </c>
      <c r="B150" s="3" t="s">
        <v>102</v>
      </c>
      <c r="F150">
        <v>5</v>
      </c>
      <c r="G150" t="s">
        <v>8607</v>
      </c>
      <c r="H150">
        <v>31</v>
      </c>
      <c r="I150" t="s">
        <v>9300</v>
      </c>
      <c r="J150" t="str">
        <f t="shared" si="2"/>
        <v>13F-HR-5.31.C5</v>
      </c>
      <c r="K150" s="5" t="s">
        <v>8622</v>
      </c>
      <c r="L150" t="s">
        <v>241</v>
      </c>
      <c r="M150" t="s">
        <v>8623</v>
      </c>
      <c r="N150" t="s">
        <v>8624</v>
      </c>
      <c r="Q150" s="28">
        <v>399198</v>
      </c>
    </row>
    <row r="151" spans="1:17" x14ac:dyDescent="0.35">
      <c r="A151" t="s">
        <v>8520</v>
      </c>
      <c r="B151" s="3" t="s">
        <v>102</v>
      </c>
      <c r="F151">
        <v>5</v>
      </c>
      <c r="G151" t="s">
        <v>8607</v>
      </c>
      <c r="H151">
        <v>32</v>
      </c>
      <c r="I151" t="s">
        <v>9301</v>
      </c>
      <c r="J151" t="str">
        <f t="shared" si="2"/>
        <v>13F-HR-5.32.C6</v>
      </c>
      <c r="K151" s="5" t="s">
        <v>8625</v>
      </c>
      <c r="L151" t="s">
        <v>229</v>
      </c>
      <c r="M151" t="s">
        <v>8626</v>
      </c>
      <c r="N151" t="s">
        <v>8627</v>
      </c>
      <c r="Q151" s="28" t="s">
        <v>8628</v>
      </c>
    </row>
    <row r="152" spans="1:17" x14ac:dyDescent="0.35">
      <c r="A152" t="s">
        <v>8520</v>
      </c>
      <c r="B152" s="3" t="s">
        <v>102</v>
      </c>
      <c r="F152">
        <v>5</v>
      </c>
      <c r="G152" t="s">
        <v>8607</v>
      </c>
      <c r="H152">
        <v>33</v>
      </c>
      <c r="I152" t="s">
        <v>9302</v>
      </c>
      <c r="J152" t="str">
        <f t="shared" si="2"/>
        <v>13F-HR-5.33.C7</v>
      </c>
      <c r="K152" s="5" t="s">
        <v>8629</v>
      </c>
      <c r="L152" t="s">
        <v>229</v>
      </c>
      <c r="M152" t="s">
        <v>8630</v>
      </c>
      <c r="N152" t="s">
        <v>8631</v>
      </c>
      <c r="Q152" s="28" t="s">
        <v>1590</v>
      </c>
    </row>
    <row r="153" spans="1:17" x14ac:dyDescent="0.35">
      <c r="A153" t="s">
        <v>8520</v>
      </c>
      <c r="B153" s="3" t="s">
        <v>102</v>
      </c>
      <c r="F153">
        <v>5</v>
      </c>
      <c r="G153" t="s">
        <v>8607</v>
      </c>
      <c r="H153">
        <v>34</v>
      </c>
      <c r="I153" t="s">
        <v>9303</v>
      </c>
      <c r="J153" t="str">
        <f t="shared" si="2"/>
        <v>13F-HR-5.34.C8</v>
      </c>
      <c r="K153" s="5" t="s">
        <v>8633</v>
      </c>
      <c r="L153" t="s">
        <v>4735</v>
      </c>
      <c r="M153" t="s">
        <v>8634</v>
      </c>
      <c r="N153" t="s">
        <v>8635</v>
      </c>
      <c r="Q153" s="28" t="s">
        <v>8632</v>
      </c>
    </row>
    <row r="154" spans="1:17" x14ac:dyDescent="0.35">
      <c r="A154" t="s">
        <v>8651</v>
      </c>
      <c r="B154" s="3" t="s">
        <v>102</v>
      </c>
      <c r="F154">
        <v>5</v>
      </c>
      <c r="G154" t="s">
        <v>8607</v>
      </c>
      <c r="H154">
        <v>35</v>
      </c>
      <c r="I154" t="s">
        <v>9304</v>
      </c>
      <c r="J154" t="str">
        <f t="shared" si="2"/>
        <v>135-HR-5.35.C9</v>
      </c>
      <c r="K154" s="5" t="s">
        <v>8637</v>
      </c>
      <c r="L154" t="s">
        <v>229</v>
      </c>
      <c r="M154" t="s">
        <v>8638</v>
      </c>
      <c r="N154" t="s">
        <v>8639</v>
      </c>
      <c r="Q154" s="28" t="s">
        <v>8636</v>
      </c>
    </row>
    <row r="155" spans="1:17" x14ac:dyDescent="0.35">
      <c r="A155" t="s">
        <v>8520</v>
      </c>
      <c r="B155" s="3" t="s">
        <v>102</v>
      </c>
      <c r="F155">
        <v>5</v>
      </c>
      <c r="G155" t="s">
        <v>8607</v>
      </c>
      <c r="H155">
        <v>36</v>
      </c>
      <c r="I155" t="s">
        <v>9305</v>
      </c>
      <c r="J155" t="str">
        <f t="shared" si="2"/>
        <v>13F-HR-5.36.C10</v>
      </c>
      <c r="K155" s="5" t="s">
        <v>8640</v>
      </c>
      <c r="L155" t="s">
        <v>241</v>
      </c>
      <c r="M155" t="s">
        <v>8641</v>
      </c>
      <c r="N155" t="s">
        <v>8642</v>
      </c>
      <c r="Q155" s="28">
        <v>0</v>
      </c>
    </row>
    <row r="156" spans="1:17" x14ac:dyDescent="0.35">
      <c r="A156" t="s">
        <v>8520</v>
      </c>
      <c r="B156" s="3" t="s">
        <v>102</v>
      </c>
      <c r="F156">
        <v>5</v>
      </c>
      <c r="G156" t="s">
        <v>8607</v>
      </c>
      <c r="H156">
        <v>37</v>
      </c>
      <c r="I156" t="s">
        <v>9306</v>
      </c>
      <c r="J156" t="str">
        <f t="shared" si="2"/>
        <v>13F-HR-5.37.C11</v>
      </c>
      <c r="K156" s="5" t="s">
        <v>8643</v>
      </c>
      <c r="L156" t="s">
        <v>241</v>
      </c>
      <c r="M156" t="s">
        <v>8644</v>
      </c>
      <c r="N156" t="s">
        <v>8645</v>
      </c>
      <c r="Q156" s="28">
        <v>0</v>
      </c>
    </row>
    <row r="157" spans="1:17" x14ac:dyDescent="0.35">
      <c r="A157" t="s">
        <v>8520</v>
      </c>
      <c r="B157" s="3" t="s">
        <v>102</v>
      </c>
      <c r="F157">
        <v>5</v>
      </c>
      <c r="G157" t="s">
        <v>8607</v>
      </c>
      <c r="H157">
        <v>38</v>
      </c>
      <c r="I157" t="s">
        <v>9307</v>
      </c>
      <c r="J157" t="str">
        <f t="shared" si="2"/>
        <v>13F-HR-5.38.C12</v>
      </c>
      <c r="K157" s="5" t="s">
        <v>8646</v>
      </c>
      <c r="L157" t="s">
        <v>241</v>
      </c>
      <c r="M157" t="s">
        <v>8647</v>
      </c>
      <c r="N157" t="s">
        <v>8648</v>
      </c>
      <c r="Q157" s="28">
        <v>399198</v>
      </c>
    </row>
    <row r="158" spans="1:17" x14ac:dyDescent="0.35">
      <c r="A158" t="s">
        <v>8520</v>
      </c>
      <c r="B158" s="3" t="s">
        <v>102</v>
      </c>
      <c r="F158">
        <v>5</v>
      </c>
      <c r="G158" t="s">
        <v>8607</v>
      </c>
      <c r="H158">
        <v>27</v>
      </c>
      <c r="I158" t="s">
        <v>9296</v>
      </c>
      <c r="J158" t="str">
        <f t="shared" si="2"/>
        <v>13F-HR-5.27.C1</v>
      </c>
      <c r="K158" s="5" t="s">
        <v>8608</v>
      </c>
      <c r="L158" t="s">
        <v>229</v>
      </c>
      <c r="M158" t="s">
        <v>8609</v>
      </c>
      <c r="N158" t="s">
        <v>8610</v>
      </c>
      <c r="Q158" s="28" t="s">
        <v>8674</v>
      </c>
    </row>
    <row r="159" spans="1:17" x14ac:dyDescent="0.35">
      <c r="A159" t="s">
        <v>8520</v>
      </c>
      <c r="B159" s="3" t="s">
        <v>102</v>
      </c>
      <c r="F159">
        <v>5</v>
      </c>
      <c r="G159" t="s">
        <v>8607</v>
      </c>
      <c r="H159">
        <v>28</v>
      </c>
      <c r="I159" t="s">
        <v>9297</v>
      </c>
      <c r="J159" t="str">
        <f t="shared" si="2"/>
        <v>13F-HR-5.28.C2</v>
      </c>
      <c r="K159" s="5" t="s">
        <v>8612</v>
      </c>
      <c r="L159" t="s">
        <v>229</v>
      </c>
      <c r="M159" t="s">
        <v>8613</v>
      </c>
      <c r="N159" t="s">
        <v>8614</v>
      </c>
      <c r="Q159" s="28" t="s">
        <v>8615</v>
      </c>
    </row>
    <row r="160" spans="1:17" x14ac:dyDescent="0.35">
      <c r="A160" t="s">
        <v>8520</v>
      </c>
      <c r="B160" s="3" t="s">
        <v>102</v>
      </c>
      <c r="F160">
        <v>5</v>
      </c>
      <c r="G160" t="s">
        <v>8607</v>
      </c>
      <c r="H160">
        <v>29</v>
      </c>
      <c r="I160" t="s">
        <v>9298</v>
      </c>
      <c r="J160" t="str">
        <f t="shared" si="2"/>
        <v>13F-HR-5.29.C3</v>
      </c>
      <c r="K160" s="5" t="s">
        <v>8616</v>
      </c>
      <c r="L160" t="s">
        <v>229</v>
      </c>
      <c r="M160" t="s">
        <v>7927</v>
      </c>
      <c r="N160" t="s">
        <v>8617</v>
      </c>
      <c r="Q160" s="28">
        <v>23135106</v>
      </c>
    </row>
    <row r="161" spans="1:17" x14ac:dyDescent="0.35">
      <c r="A161" t="s">
        <v>8520</v>
      </c>
      <c r="B161" s="3" t="s">
        <v>102</v>
      </c>
      <c r="F161">
        <v>5</v>
      </c>
      <c r="G161" t="s">
        <v>8607</v>
      </c>
      <c r="H161">
        <v>30</v>
      </c>
      <c r="I161" t="s">
        <v>9299</v>
      </c>
      <c r="J161" t="str">
        <f t="shared" si="2"/>
        <v>13F-HR-5.30.C4</v>
      </c>
      <c r="K161" s="5" t="s">
        <v>8618</v>
      </c>
      <c r="L161" t="s">
        <v>8619</v>
      </c>
      <c r="M161" t="s">
        <v>8620</v>
      </c>
      <c r="N161" t="s">
        <v>8621</v>
      </c>
      <c r="Q161" s="28">
        <v>124909115</v>
      </c>
    </row>
    <row r="162" spans="1:17" x14ac:dyDescent="0.35">
      <c r="A162" t="s">
        <v>8520</v>
      </c>
      <c r="B162" s="3" t="s">
        <v>102</v>
      </c>
      <c r="F162">
        <v>5</v>
      </c>
      <c r="G162" t="s">
        <v>8607</v>
      </c>
      <c r="H162">
        <v>31</v>
      </c>
      <c r="I162" t="s">
        <v>9300</v>
      </c>
      <c r="J162" t="str">
        <f t="shared" si="2"/>
        <v>13F-HR-5.31.C5</v>
      </c>
      <c r="K162" s="5" t="s">
        <v>8622</v>
      </c>
      <c r="L162" t="s">
        <v>241</v>
      </c>
      <c r="M162" t="s">
        <v>8623</v>
      </c>
      <c r="N162" t="s">
        <v>8624</v>
      </c>
      <c r="Q162" s="28">
        <v>656518</v>
      </c>
    </row>
    <row r="163" spans="1:17" x14ac:dyDescent="0.35">
      <c r="A163" t="s">
        <v>8520</v>
      </c>
      <c r="B163" s="3" t="s">
        <v>102</v>
      </c>
      <c r="F163">
        <v>5</v>
      </c>
      <c r="G163" t="s">
        <v>8607</v>
      </c>
      <c r="H163">
        <v>32</v>
      </c>
      <c r="I163" t="s">
        <v>9301</v>
      </c>
      <c r="J163" t="str">
        <f t="shared" si="2"/>
        <v>13F-HR-5.32.C6</v>
      </c>
      <c r="K163" s="5" t="s">
        <v>8625</v>
      </c>
      <c r="L163" t="s">
        <v>229</v>
      </c>
      <c r="M163" t="s">
        <v>8626</v>
      </c>
      <c r="N163" t="s">
        <v>8627</v>
      </c>
      <c r="Q163" s="28" t="s">
        <v>8628</v>
      </c>
    </row>
    <row r="164" spans="1:17" x14ac:dyDescent="0.35">
      <c r="A164" t="s">
        <v>8520</v>
      </c>
      <c r="B164" s="3" t="s">
        <v>102</v>
      </c>
      <c r="F164">
        <v>5</v>
      </c>
      <c r="G164" t="s">
        <v>8607</v>
      </c>
      <c r="H164">
        <v>33</v>
      </c>
      <c r="I164" t="s">
        <v>9302</v>
      </c>
      <c r="J164" t="str">
        <f t="shared" si="2"/>
        <v>13F-HR-5.33.C7</v>
      </c>
      <c r="K164" s="5" t="s">
        <v>8629</v>
      </c>
      <c r="L164" t="s">
        <v>229</v>
      </c>
      <c r="M164" t="s">
        <v>8630</v>
      </c>
      <c r="N164" t="s">
        <v>8631</v>
      </c>
      <c r="Q164" s="28" t="s">
        <v>1590</v>
      </c>
    </row>
    <row r="165" spans="1:17" x14ac:dyDescent="0.35">
      <c r="A165" t="s">
        <v>8520</v>
      </c>
      <c r="B165" s="3" t="s">
        <v>102</v>
      </c>
      <c r="F165">
        <v>5</v>
      </c>
      <c r="G165" t="s">
        <v>8607</v>
      </c>
      <c r="H165">
        <v>34</v>
      </c>
      <c r="I165" t="s">
        <v>9303</v>
      </c>
      <c r="J165" t="str">
        <f t="shared" si="2"/>
        <v>13F-HR-5.34.C8</v>
      </c>
      <c r="K165" s="5" t="s">
        <v>8633</v>
      </c>
      <c r="L165" t="s">
        <v>4735</v>
      </c>
      <c r="M165" t="s">
        <v>8634</v>
      </c>
      <c r="N165" t="s">
        <v>8635</v>
      </c>
      <c r="Q165" s="28" t="s">
        <v>8632</v>
      </c>
    </row>
    <row r="166" spans="1:17" x14ac:dyDescent="0.35">
      <c r="A166" t="s">
        <v>8651</v>
      </c>
      <c r="B166" s="3" t="s">
        <v>102</v>
      </c>
      <c r="F166">
        <v>5</v>
      </c>
      <c r="G166" t="s">
        <v>8607</v>
      </c>
      <c r="H166">
        <v>35</v>
      </c>
      <c r="I166" t="s">
        <v>9304</v>
      </c>
      <c r="J166" t="str">
        <f t="shared" si="2"/>
        <v>135-HR-5.35.C9</v>
      </c>
      <c r="K166" s="5" t="s">
        <v>8637</v>
      </c>
      <c r="L166" t="s">
        <v>229</v>
      </c>
      <c r="M166" t="s">
        <v>8638</v>
      </c>
      <c r="N166" t="s">
        <v>8639</v>
      </c>
      <c r="Q166" s="28" t="s">
        <v>8636</v>
      </c>
    </row>
    <row r="167" spans="1:17" x14ac:dyDescent="0.35">
      <c r="A167" t="s">
        <v>8520</v>
      </c>
      <c r="B167" s="3" t="s">
        <v>102</v>
      </c>
      <c r="F167">
        <v>5</v>
      </c>
      <c r="G167" t="s">
        <v>8607</v>
      </c>
      <c r="H167">
        <v>36</v>
      </c>
      <c r="I167" t="s">
        <v>9305</v>
      </c>
      <c r="J167" t="str">
        <f t="shared" si="2"/>
        <v>13F-HR-5.36.C10</v>
      </c>
      <c r="K167" s="5" t="s">
        <v>8640</v>
      </c>
      <c r="L167" t="s">
        <v>241</v>
      </c>
      <c r="M167" t="s">
        <v>8641</v>
      </c>
      <c r="N167" t="s">
        <v>8642</v>
      </c>
      <c r="Q167" s="28">
        <v>548442</v>
      </c>
    </row>
    <row r="168" spans="1:17" x14ac:dyDescent="0.35">
      <c r="A168" t="s">
        <v>8520</v>
      </c>
      <c r="B168" s="3" t="s">
        <v>102</v>
      </c>
      <c r="F168">
        <v>5</v>
      </c>
      <c r="G168" t="s">
        <v>8607</v>
      </c>
      <c r="H168">
        <v>37</v>
      </c>
      <c r="I168" t="s">
        <v>9306</v>
      </c>
      <c r="J168" t="str">
        <f t="shared" si="2"/>
        <v>13F-HR-5.37.C11</v>
      </c>
      <c r="K168" s="5" t="s">
        <v>8643</v>
      </c>
      <c r="L168" t="s">
        <v>241</v>
      </c>
      <c r="M168" t="s">
        <v>8644</v>
      </c>
      <c r="N168" t="s">
        <v>8645</v>
      </c>
      <c r="Q168" s="28">
        <v>0</v>
      </c>
    </row>
    <row r="169" spans="1:17" x14ac:dyDescent="0.35">
      <c r="A169" t="s">
        <v>8520</v>
      </c>
      <c r="B169" s="3" t="s">
        <v>102</v>
      </c>
      <c r="F169">
        <v>5</v>
      </c>
      <c r="G169" t="s">
        <v>8607</v>
      </c>
      <c r="H169">
        <v>38</v>
      </c>
      <c r="I169" t="s">
        <v>9307</v>
      </c>
      <c r="J169" t="str">
        <f t="shared" si="2"/>
        <v>13F-HR-5.38.C12</v>
      </c>
      <c r="K169" s="5" t="s">
        <v>8646</v>
      </c>
      <c r="L169" t="s">
        <v>241</v>
      </c>
      <c r="M169" t="s">
        <v>8647</v>
      </c>
      <c r="N169" t="s">
        <v>8648</v>
      </c>
      <c r="Q169" s="28">
        <v>108076</v>
      </c>
    </row>
    <row r="170" spans="1:17" x14ac:dyDescent="0.35">
      <c r="A170" t="s">
        <v>8520</v>
      </c>
      <c r="B170" s="3" t="s">
        <v>102</v>
      </c>
      <c r="F170">
        <v>5</v>
      </c>
      <c r="G170" t="s">
        <v>8607</v>
      </c>
      <c r="H170">
        <v>27</v>
      </c>
      <c r="I170" t="s">
        <v>9296</v>
      </c>
      <c r="J170" t="str">
        <f t="shared" si="2"/>
        <v>13F-HR-5.27.C1</v>
      </c>
      <c r="K170" s="5" t="s">
        <v>8608</v>
      </c>
      <c r="L170" t="s">
        <v>229</v>
      </c>
      <c r="M170" t="s">
        <v>8609</v>
      </c>
      <c r="N170" t="s">
        <v>8610</v>
      </c>
      <c r="Q170" s="28" t="s">
        <v>8675</v>
      </c>
    </row>
    <row r="171" spans="1:17" x14ac:dyDescent="0.35">
      <c r="A171" t="s">
        <v>8520</v>
      </c>
      <c r="B171" s="3" t="s">
        <v>102</v>
      </c>
      <c r="F171">
        <v>5</v>
      </c>
      <c r="G171" t="s">
        <v>8607</v>
      </c>
      <c r="H171">
        <v>28</v>
      </c>
      <c r="I171" t="s">
        <v>9297</v>
      </c>
      <c r="J171" t="str">
        <f t="shared" si="2"/>
        <v>13F-HR-5.28.C2</v>
      </c>
      <c r="K171" s="5" t="s">
        <v>8612</v>
      </c>
      <c r="L171" t="s">
        <v>229</v>
      </c>
      <c r="M171" t="s">
        <v>8613</v>
      </c>
      <c r="N171" t="s">
        <v>8614</v>
      </c>
      <c r="Q171" s="28" t="s">
        <v>8676</v>
      </c>
    </row>
    <row r="172" spans="1:17" x14ac:dyDescent="0.35">
      <c r="A172" t="s">
        <v>8520</v>
      </c>
      <c r="B172" s="3" t="s">
        <v>102</v>
      </c>
      <c r="F172">
        <v>5</v>
      </c>
      <c r="G172" t="s">
        <v>8607</v>
      </c>
      <c r="H172">
        <v>29</v>
      </c>
      <c r="I172" t="s">
        <v>9298</v>
      </c>
      <c r="J172" t="str">
        <f t="shared" si="2"/>
        <v>13F-HR-5.29.C3</v>
      </c>
      <c r="K172" s="5" t="s">
        <v>8616</v>
      </c>
      <c r="L172" t="s">
        <v>229</v>
      </c>
      <c r="M172" t="s">
        <v>7927</v>
      </c>
      <c r="N172" t="s">
        <v>8617</v>
      </c>
      <c r="Q172" s="28" t="s">
        <v>8677</v>
      </c>
    </row>
    <row r="173" spans="1:17" x14ac:dyDescent="0.35">
      <c r="A173" t="s">
        <v>8520</v>
      </c>
      <c r="B173" s="3" t="s">
        <v>102</v>
      </c>
      <c r="F173">
        <v>5</v>
      </c>
      <c r="G173" t="s">
        <v>8607</v>
      </c>
      <c r="H173">
        <v>30</v>
      </c>
      <c r="I173" t="s">
        <v>9299</v>
      </c>
      <c r="J173" t="str">
        <f t="shared" si="2"/>
        <v>13F-HR-5.30.C4</v>
      </c>
      <c r="K173" s="5" t="s">
        <v>8618</v>
      </c>
      <c r="L173" t="s">
        <v>8619</v>
      </c>
      <c r="M173" t="s">
        <v>8620</v>
      </c>
      <c r="N173" t="s">
        <v>8621</v>
      </c>
      <c r="Q173" s="28">
        <v>36738252</v>
      </c>
    </row>
    <row r="174" spans="1:17" x14ac:dyDescent="0.35">
      <c r="A174" t="s">
        <v>8520</v>
      </c>
      <c r="B174" s="3" t="s">
        <v>102</v>
      </c>
      <c r="F174">
        <v>5</v>
      </c>
      <c r="G174" t="s">
        <v>8607</v>
      </c>
      <c r="H174">
        <v>31</v>
      </c>
      <c r="I174" t="s">
        <v>9300</v>
      </c>
      <c r="J174" t="str">
        <f t="shared" si="2"/>
        <v>13F-HR-5.31.C5</v>
      </c>
      <c r="K174" s="5" t="s">
        <v>8622</v>
      </c>
      <c r="L174" t="s">
        <v>241</v>
      </c>
      <c r="M174" t="s">
        <v>8623</v>
      </c>
      <c r="N174" t="s">
        <v>8624</v>
      </c>
      <c r="Q174" s="28">
        <v>2583562</v>
      </c>
    </row>
    <row r="175" spans="1:17" x14ac:dyDescent="0.35">
      <c r="A175" t="s">
        <v>8520</v>
      </c>
      <c r="B175" s="3" t="s">
        <v>102</v>
      </c>
      <c r="F175">
        <v>5</v>
      </c>
      <c r="G175" t="s">
        <v>8607</v>
      </c>
      <c r="H175">
        <v>32</v>
      </c>
      <c r="I175" t="s">
        <v>9301</v>
      </c>
      <c r="J175" t="str">
        <f t="shared" si="2"/>
        <v>13F-HR-5.32.C6</v>
      </c>
      <c r="K175" s="5" t="s">
        <v>8625</v>
      </c>
      <c r="L175" t="s">
        <v>229</v>
      </c>
      <c r="M175" t="s">
        <v>8626</v>
      </c>
      <c r="N175" t="s">
        <v>8627</v>
      </c>
      <c r="Q175" s="28" t="s">
        <v>8628</v>
      </c>
    </row>
    <row r="176" spans="1:17" x14ac:dyDescent="0.35">
      <c r="A176" t="s">
        <v>8520</v>
      </c>
      <c r="B176" s="3" t="s">
        <v>102</v>
      </c>
      <c r="F176">
        <v>5</v>
      </c>
      <c r="G176" t="s">
        <v>8607</v>
      </c>
      <c r="H176">
        <v>33</v>
      </c>
      <c r="I176" t="s">
        <v>9302</v>
      </c>
      <c r="J176" t="str">
        <f t="shared" si="2"/>
        <v>13F-HR-5.33.C7</v>
      </c>
      <c r="K176" s="5" t="s">
        <v>8629</v>
      </c>
      <c r="L176" t="s">
        <v>229</v>
      </c>
      <c r="M176" t="s">
        <v>8630</v>
      </c>
      <c r="N176" t="s">
        <v>8631</v>
      </c>
      <c r="Q176" s="28" t="s">
        <v>1590</v>
      </c>
    </row>
    <row r="177" spans="1:17" x14ac:dyDescent="0.35">
      <c r="A177" t="s">
        <v>8520</v>
      </c>
      <c r="B177" s="3" t="s">
        <v>102</v>
      </c>
      <c r="F177">
        <v>5</v>
      </c>
      <c r="G177" t="s">
        <v>8607</v>
      </c>
      <c r="H177">
        <v>34</v>
      </c>
      <c r="I177" t="s">
        <v>9303</v>
      </c>
      <c r="J177" t="str">
        <f t="shared" si="2"/>
        <v>13F-HR-5.34.C8</v>
      </c>
      <c r="K177" s="5" t="s">
        <v>8633</v>
      </c>
      <c r="L177" t="s">
        <v>4735</v>
      </c>
      <c r="M177" t="s">
        <v>8634</v>
      </c>
      <c r="N177" t="s">
        <v>8635</v>
      </c>
      <c r="Q177" s="28" t="s">
        <v>8632</v>
      </c>
    </row>
    <row r="178" spans="1:17" x14ac:dyDescent="0.35">
      <c r="A178" t="s">
        <v>8651</v>
      </c>
      <c r="B178" s="3" t="s">
        <v>102</v>
      </c>
      <c r="F178">
        <v>5</v>
      </c>
      <c r="G178" t="s">
        <v>8607</v>
      </c>
      <c r="H178">
        <v>35</v>
      </c>
      <c r="I178" t="s">
        <v>9304</v>
      </c>
      <c r="J178" t="str">
        <f t="shared" si="2"/>
        <v>135-HR-5.35.C9</v>
      </c>
      <c r="K178" s="5" t="s">
        <v>8637</v>
      </c>
      <c r="L178" t="s">
        <v>229</v>
      </c>
      <c r="M178" t="s">
        <v>8638</v>
      </c>
      <c r="N178" t="s">
        <v>8639</v>
      </c>
      <c r="Q178" s="28" t="s">
        <v>8636</v>
      </c>
    </row>
    <row r="179" spans="1:17" x14ac:dyDescent="0.35">
      <c r="A179" t="s">
        <v>8520</v>
      </c>
      <c r="B179" s="3" t="s">
        <v>102</v>
      </c>
      <c r="F179">
        <v>5</v>
      </c>
      <c r="G179" t="s">
        <v>8607</v>
      </c>
      <c r="H179">
        <v>36</v>
      </c>
      <c r="I179" t="s">
        <v>9305</v>
      </c>
      <c r="J179" t="str">
        <f t="shared" si="2"/>
        <v>13F-HR-5.36.C10</v>
      </c>
      <c r="K179" s="5" t="s">
        <v>8640</v>
      </c>
      <c r="L179" t="s">
        <v>241</v>
      </c>
      <c r="M179" t="s">
        <v>8641</v>
      </c>
      <c r="N179" t="s">
        <v>8642</v>
      </c>
      <c r="Q179" s="28">
        <v>2563911</v>
      </c>
    </row>
    <row r="180" spans="1:17" x14ac:dyDescent="0.35">
      <c r="A180" t="s">
        <v>8520</v>
      </c>
      <c r="B180" s="3" t="s">
        <v>102</v>
      </c>
      <c r="F180">
        <v>5</v>
      </c>
      <c r="G180" t="s">
        <v>8607</v>
      </c>
      <c r="H180">
        <v>37</v>
      </c>
      <c r="I180" t="s">
        <v>9306</v>
      </c>
      <c r="J180" t="str">
        <f t="shared" si="2"/>
        <v>13F-HR-5.37.C11</v>
      </c>
      <c r="K180" s="5" t="s">
        <v>8643</v>
      </c>
      <c r="L180" t="s">
        <v>241</v>
      </c>
      <c r="M180" t="s">
        <v>8644</v>
      </c>
      <c r="N180" t="s">
        <v>8645</v>
      </c>
      <c r="Q180" s="28">
        <v>0</v>
      </c>
    </row>
    <row r="181" spans="1:17" x14ac:dyDescent="0.35">
      <c r="A181" t="s">
        <v>8520</v>
      </c>
      <c r="B181" s="3" t="s">
        <v>102</v>
      </c>
      <c r="F181">
        <v>5</v>
      </c>
      <c r="G181" t="s">
        <v>8607</v>
      </c>
      <c r="H181">
        <v>38</v>
      </c>
      <c r="I181" t="s">
        <v>9307</v>
      </c>
      <c r="J181" t="str">
        <f t="shared" si="2"/>
        <v>13F-HR-5.38.C12</v>
      </c>
      <c r="K181" s="5" t="s">
        <v>8646</v>
      </c>
      <c r="L181" t="s">
        <v>241</v>
      </c>
      <c r="M181" t="s">
        <v>8647</v>
      </c>
      <c r="N181" t="s">
        <v>8648</v>
      </c>
      <c r="Q181" s="28">
        <v>19651</v>
      </c>
    </row>
    <row r="182" spans="1:17" x14ac:dyDescent="0.35">
      <c r="A182" t="s">
        <v>8520</v>
      </c>
      <c r="B182" s="3" t="s">
        <v>102</v>
      </c>
      <c r="F182">
        <v>5</v>
      </c>
      <c r="G182" t="s">
        <v>8607</v>
      </c>
      <c r="H182">
        <v>27</v>
      </c>
      <c r="I182" t="s">
        <v>9296</v>
      </c>
      <c r="J182" t="str">
        <f t="shared" si="2"/>
        <v>13F-HR-5.27.C1</v>
      </c>
      <c r="K182" s="5" t="s">
        <v>8608</v>
      </c>
      <c r="L182" t="s">
        <v>229</v>
      </c>
      <c r="M182" t="s">
        <v>8609</v>
      </c>
      <c r="N182" t="s">
        <v>8610</v>
      </c>
      <c r="Q182" s="28" t="s">
        <v>8678</v>
      </c>
    </row>
    <row r="183" spans="1:17" x14ac:dyDescent="0.35">
      <c r="A183" t="s">
        <v>8520</v>
      </c>
      <c r="B183" s="3" t="s">
        <v>102</v>
      </c>
      <c r="F183">
        <v>5</v>
      </c>
      <c r="G183" t="s">
        <v>8607</v>
      </c>
      <c r="H183">
        <v>28</v>
      </c>
      <c r="I183" t="s">
        <v>9297</v>
      </c>
      <c r="J183" t="str">
        <f t="shared" si="2"/>
        <v>13F-HR-5.28.C2</v>
      </c>
      <c r="K183" s="5" t="s">
        <v>8612</v>
      </c>
      <c r="L183" t="s">
        <v>229</v>
      </c>
      <c r="M183" t="s">
        <v>8613</v>
      </c>
      <c r="N183" t="s">
        <v>8614</v>
      </c>
      <c r="Q183" s="28" t="s">
        <v>8615</v>
      </c>
    </row>
    <row r="184" spans="1:17" x14ac:dyDescent="0.35">
      <c r="A184" t="s">
        <v>8520</v>
      </c>
      <c r="B184" s="3" t="s">
        <v>102</v>
      </c>
      <c r="F184">
        <v>5</v>
      </c>
      <c r="G184" t="s">
        <v>8607</v>
      </c>
      <c r="H184">
        <v>29</v>
      </c>
      <c r="I184" t="s">
        <v>9298</v>
      </c>
      <c r="J184" t="str">
        <f t="shared" si="2"/>
        <v>13F-HR-5.29.C3</v>
      </c>
      <c r="K184" s="5" t="s">
        <v>8616</v>
      </c>
      <c r="L184" t="s">
        <v>229</v>
      </c>
      <c r="M184" t="s">
        <v>7927</v>
      </c>
      <c r="N184" t="s">
        <v>8617</v>
      </c>
      <c r="Q184" s="28">
        <v>25816109</v>
      </c>
    </row>
    <row r="185" spans="1:17" x14ac:dyDescent="0.35">
      <c r="A185" t="s">
        <v>8520</v>
      </c>
      <c r="B185" s="3" t="s">
        <v>102</v>
      </c>
      <c r="F185">
        <v>5</v>
      </c>
      <c r="G185" t="s">
        <v>8607</v>
      </c>
      <c r="H185">
        <v>30</v>
      </c>
      <c r="I185" t="s">
        <v>9299</v>
      </c>
      <c r="J185" t="str">
        <f t="shared" si="2"/>
        <v>13F-HR-5.30.C4</v>
      </c>
      <c r="K185" s="5" t="s">
        <v>8618</v>
      </c>
      <c r="L185" t="s">
        <v>8619</v>
      </c>
      <c r="M185" t="s">
        <v>8620</v>
      </c>
      <c r="N185" t="s">
        <v>8621</v>
      </c>
      <c r="Q185" s="28">
        <v>5247282</v>
      </c>
    </row>
    <row r="186" spans="1:17" x14ac:dyDescent="0.35">
      <c r="A186" t="s">
        <v>8520</v>
      </c>
      <c r="B186" s="3" t="s">
        <v>102</v>
      </c>
      <c r="F186">
        <v>5</v>
      </c>
      <c r="G186" t="s">
        <v>8607</v>
      </c>
      <c r="H186">
        <v>31</v>
      </c>
      <c r="I186" t="s">
        <v>9300</v>
      </c>
      <c r="J186" t="str">
        <f t="shared" si="2"/>
        <v>13F-HR-5.31.C5</v>
      </c>
      <c r="K186" s="5" t="s">
        <v>8622</v>
      </c>
      <c r="L186" t="s">
        <v>241</v>
      </c>
      <c r="M186" t="s">
        <v>8623</v>
      </c>
      <c r="N186" t="s">
        <v>8624</v>
      </c>
      <c r="Q186" s="28">
        <v>19503</v>
      </c>
    </row>
    <row r="187" spans="1:17" x14ac:dyDescent="0.35">
      <c r="A187" t="s">
        <v>8520</v>
      </c>
      <c r="B187" s="3" t="s">
        <v>102</v>
      </c>
      <c r="F187">
        <v>5</v>
      </c>
      <c r="G187" t="s">
        <v>8607</v>
      </c>
      <c r="H187">
        <v>32</v>
      </c>
      <c r="I187" t="s">
        <v>9301</v>
      </c>
      <c r="J187" t="str">
        <f t="shared" si="2"/>
        <v>13F-HR-5.32.C6</v>
      </c>
      <c r="K187" s="5" t="s">
        <v>8625</v>
      </c>
      <c r="L187" t="s">
        <v>229</v>
      </c>
      <c r="M187" t="s">
        <v>8626</v>
      </c>
      <c r="N187" t="s">
        <v>8627</v>
      </c>
      <c r="Q187" s="28" t="s">
        <v>8628</v>
      </c>
    </row>
    <row r="188" spans="1:17" x14ac:dyDescent="0.35">
      <c r="A188" t="s">
        <v>8520</v>
      </c>
      <c r="B188" s="3" t="s">
        <v>102</v>
      </c>
      <c r="F188">
        <v>5</v>
      </c>
      <c r="G188" t="s">
        <v>8607</v>
      </c>
      <c r="H188">
        <v>33</v>
      </c>
      <c r="I188" t="s">
        <v>9302</v>
      </c>
      <c r="J188" t="str">
        <f t="shared" si="2"/>
        <v>13F-HR-5.33.C7</v>
      </c>
      <c r="K188" s="5" t="s">
        <v>8629</v>
      </c>
      <c r="L188" t="s">
        <v>229</v>
      </c>
      <c r="M188" t="s">
        <v>8630</v>
      </c>
      <c r="N188" t="s">
        <v>8631</v>
      </c>
      <c r="Q188" s="28" t="s">
        <v>1590</v>
      </c>
    </row>
    <row r="189" spans="1:17" x14ac:dyDescent="0.35">
      <c r="A189" t="s">
        <v>8520</v>
      </c>
      <c r="B189" s="3" t="s">
        <v>102</v>
      </c>
      <c r="F189">
        <v>5</v>
      </c>
      <c r="G189" t="s">
        <v>8607</v>
      </c>
      <c r="H189">
        <v>34</v>
      </c>
      <c r="I189" t="s">
        <v>9303</v>
      </c>
      <c r="J189" t="str">
        <f t="shared" si="2"/>
        <v>13F-HR-5.34.C8</v>
      </c>
      <c r="K189" s="5" t="s">
        <v>8633</v>
      </c>
      <c r="L189" t="s">
        <v>4735</v>
      </c>
      <c r="M189" t="s">
        <v>8634</v>
      </c>
      <c r="N189" t="s">
        <v>8635</v>
      </c>
      <c r="Q189" s="28" t="s">
        <v>8632</v>
      </c>
    </row>
    <row r="190" spans="1:17" x14ac:dyDescent="0.35">
      <c r="A190" t="s">
        <v>8651</v>
      </c>
      <c r="B190" s="3" t="s">
        <v>102</v>
      </c>
      <c r="F190">
        <v>5</v>
      </c>
      <c r="G190" t="s">
        <v>8607</v>
      </c>
      <c r="H190">
        <v>35</v>
      </c>
      <c r="I190" t="s">
        <v>9304</v>
      </c>
      <c r="J190" t="str">
        <f t="shared" si="2"/>
        <v>135-HR-5.35.C9</v>
      </c>
      <c r="K190" s="5" t="s">
        <v>8637</v>
      </c>
      <c r="L190" t="s">
        <v>229</v>
      </c>
      <c r="M190" t="s">
        <v>8638</v>
      </c>
      <c r="N190" t="s">
        <v>8639</v>
      </c>
      <c r="Q190" s="28" t="s">
        <v>8636</v>
      </c>
    </row>
    <row r="191" spans="1:17" x14ac:dyDescent="0.35">
      <c r="A191" t="s">
        <v>8520</v>
      </c>
      <c r="B191" s="3" t="s">
        <v>102</v>
      </c>
      <c r="F191">
        <v>5</v>
      </c>
      <c r="G191" t="s">
        <v>8607</v>
      </c>
      <c r="H191">
        <v>36</v>
      </c>
      <c r="I191" t="s">
        <v>9305</v>
      </c>
      <c r="J191" t="str">
        <f t="shared" si="2"/>
        <v>13F-HR-5.36.C10</v>
      </c>
      <c r="K191" s="5" t="s">
        <v>8640</v>
      </c>
      <c r="L191" t="s">
        <v>241</v>
      </c>
      <c r="M191" t="s">
        <v>8641</v>
      </c>
      <c r="N191" t="s">
        <v>8642</v>
      </c>
      <c r="Q191" s="28">
        <v>0</v>
      </c>
    </row>
    <row r="192" spans="1:17" x14ac:dyDescent="0.35">
      <c r="A192" t="s">
        <v>8520</v>
      </c>
      <c r="B192" s="3" t="s">
        <v>102</v>
      </c>
      <c r="F192">
        <v>5</v>
      </c>
      <c r="G192" t="s">
        <v>8607</v>
      </c>
      <c r="H192">
        <v>37</v>
      </c>
      <c r="I192" t="s">
        <v>9306</v>
      </c>
      <c r="J192" t="str">
        <f t="shared" si="2"/>
        <v>13F-HR-5.37.C11</v>
      </c>
      <c r="K192" s="5" t="s">
        <v>8643</v>
      </c>
      <c r="L192" t="s">
        <v>241</v>
      </c>
      <c r="M192" t="s">
        <v>8644</v>
      </c>
      <c r="N192" t="s">
        <v>8645</v>
      </c>
      <c r="Q192" s="28">
        <v>0</v>
      </c>
    </row>
    <row r="193" spans="1:17" x14ac:dyDescent="0.35">
      <c r="A193" t="s">
        <v>8520</v>
      </c>
      <c r="B193" s="3" t="s">
        <v>102</v>
      </c>
      <c r="F193">
        <v>5</v>
      </c>
      <c r="G193" t="s">
        <v>8607</v>
      </c>
      <c r="H193">
        <v>38</v>
      </c>
      <c r="I193" t="s">
        <v>9307</v>
      </c>
      <c r="J193" t="str">
        <f t="shared" si="2"/>
        <v>13F-HR-5.38.C12</v>
      </c>
      <c r="K193" s="5" t="s">
        <v>8646</v>
      </c>
      <c r="L193" t="s">
        <v>241</v>
      </c>
      <c r="M193" t="s">
        <v>8647</v>
      </c>
      <c r="N193" t="s">
        <v>8648</v>
      </c>
      <c r="Q193" s="28">
        <v>19503</v>
      </c>
    </row>
    <row r="194" spans="1:17" x14ac:dyDescent="0.35">
      <c r="A194" t="s">
        <v>8520</v>
      </c>
      <c r="B194" s="3" t="s">
        <v>102</v>
      </c>
      <c r="F194">
        <v>5</v>
      </c>
      <c r="G194" t="s">
        <v>8607</v>
      </c>
      <c r="H194">
        <v>27</v>
      </c>
      <c r="I194" t="s">
        <v>9296</v>
      </c>
      <c r="J194" t="str">
        <f t="shared" si="2"/>
        <v>13F-HR-5.27.C1</v>
      </c>
      <c r="K194" s="5" t="s">
        <v>8608</v>
      </c>
      <c r="L194" t="s">
        <v>229</v>
      </c>
      <c r="M194" t="s">
        <v>8609</v>
      </c>
      <c r="N194" t="s">
        <v>8610</v>
      </c>
      <c r="Q194" s="28" t="s">
        <v>8679</v>
      </c>
    </row>
    <row r="195" spans="1:17" x14ac:dyDescent="0.35">
      <c r="A195" t="s">
        <v>8520</v>
      </c>
      <c r="B195" s="3" t="s">
        <v>102</v>
      </c>
      <c r="F195">
        <v>5</v>
      </c>
      <c r="G195" t="s">
        <v>8607</v>
      </c>
      <c r="H195">
        <v>28</v>
      </c>
      <c r="I195" t="s">
        <v>9297</v>
      </c>
      <c r="J195" t="str">
        <f t="shared" ref="J195:J258" si="3">_xlfn.CONCAT(A195,"-",F195,".",H195,".",I195)</f>
        <v>13F-HR-5.28.C2</v>
      </c>
      <c r="K195" s="5" t="s">
        <v>8612</v>
      </c>
      <c r="L195" t="s">
        <v>229</v>
      </c>
      <c r="M195" t="s">
        <v>8613</v>
      </c>
      <c r="N195" t="s">
        <v>8614</v>
      </c>
      <c r="Q195" s="28" t="s">
        <v>8615</v>
      </c>
    </row>
    <row r="196" spans="1:17" x14ac:dyDescent="0.35">
      <c r="A196" t="s">
        <v>8520</v>
      </c>
      <c r="B196" s="3" t="s">
        <v>102</v>
      </c>
      <c r="F196">
        <v>5</v>
      </c>
      <c r="G196" t="s">
        <v>8607</v>
      </c>
      <c r="H196">
        <v>29</v>
      </c>
      <c r="I196" t="s">
        <v>9298</v>
      </c>
      <c r="J196" t="str">
        <f t="shared" si="3"/>
        <v>13F-HR-5.29.C3</v>
      </c>
      <c r="K196" s="5" t="s">
        <v>8616</v>
      </c>
      <c r="L196" t="s">
        <v>229</v>
      </c>
      <c r="M196" t="s">
        <v>7927</v>
      </c>
      <c r="N196" t="s">
        <v>8617</v>
      </c>
      <c r="Q196" s="28" t="s">
        <v>8680</v>
      </c>
    </row>
    <row r="197" spans="1:17" x14ac:dyDescent="0.35">
      <c r="A197" t="s">
        <v>8520</v>
      </c>
      <c r="B197" s="3" t="s">
        <v>102</v>
      </c>
      <c r="F197">
        <v>5</v>
      </c>
      <c r="G197" t="s">
        <v>8607</v>
      </c>
      <c r="H197">
        <v>30</v>
      </c>
      <c r="I197" t="s">
        <v>9299</v>
      </c>
      <c r="J197" t="str">
        <f t="shared" si="3"/>
        <v>13F-HR-5.30.C4</v>
      </c>
      <c r="K197" s="5" t="s">
        <v>8618</v>
      </c>
      <c r="L197" t="s">
        <v>8619</v>
      </c>
      <c r="M197" t="s">
        <v>8620</v>
      </c>
      <c r="N197" t="s">
        <v>8621</v>
      </c>
      <c r="Q197" s="28">
        <v>4655987</v>
      </c>
    </row>
    <row r="198" spans="1:17" x14ac:dyDescent="0.35">
      <c r="A198" t="s">
        <v>8520</v>
      </c>
      <c r="B198" s="3" t="s">
        <v>102</v>
      </c>
      <c r="F198">
        <v>5</v>
      </c>
      <c r="G198" t="s">
        <v>8607</v>
      </c>
      <c r="H198">
        <v>31</v>
      </c>
      <c r="I198" t="s">
        <v>9300</v>
      </c>
      <c r="J198" t="str">
        <f t="shared" si="3"/>
        <v>13F-HR-5.31.C5</v>
      </c>
      <c r="K198" s="5" t="s">
        <v>8622</v>
      </c>
      <c r="L198" t="s">
        <v>241</v>
      </c>
      <c r="M198" t="s">
        <v>8623</v>
      </c>
      <c r="N198" t="s">
        <v>8624</v>
      </c>
      <c r="Q198" s="28">
        <v>21397</v>
      </c>
    </row>
    <row r="199" spans="1:17" x14ac:dyDescent="0.35">
      <c r="A199" t="s">
        <v>8520</v>
      </c>
      <c r="B199" s="3" t="s">
        <v>102</v>
      </c>
      <c r="F199">
        <v>5</v>
      </c>
      <c r="G199" t="s">
        <v>8607</v>
      </c>
      <c r="H199">
        <v>32</v>
      </c>
      <c r="I199" t="s">
        <v>9301</v>
      </c>
      <c r="J199" t="str">
        <f t="shared" si="3"/>
        <v>13F-HR-5.32.C6</v>
      </c>
      <c r="K199" s="5" t="s">
        <v>8625</v>
      </c>
      <c r="L199" t="s">
        <v>229</v>
      </c>
      <c r="M199" t="s">
        <v>8626</v>
      </c>
      <c r="N199" t="s">
        <v>8627</v>
      </c>
      <c r="Q199" s="28" t="s">
        <v>8628</v>
      </c>
    </row>
    <row r="200" spans="1:17" x14ac:dyDescent="0.35">
      <c r="A200" t="s">
        <v>8520</v>
      </c>
      <c r="B200" s="3" t="s">
        <v>102</v>
      </c>
      <c r="F200">
        <v>5</v>
      </c>
      <c r="G200" t="s">
        <v>8607</v>
      </c>
      <c r="H200">
        <v>33</v>
      </c>
      <c r="I200" t="s">
        <v>9302</v>
      </c>
      <c r="J200" t="str">
        <f t="shared" si="3"/>
        <v>13F-HR-5.33.C7</v>
      </c>
      <c r="K200" s="5" t="s">
        <v>8629</v>
      </c>
      <c r="L200" t="s">
        <v>229</v>
      </c>
      <c r="M200" t="s">
        <v>8630</v>
      </c>
      <c r="N200" t="s">
        <v>8631</v>
      </c>
      <c r="Q200" s="28" t="s">
        <v>1590</v>
      </c>
    </row>
    <row r="201" spans="1:17" x14ac:dyDescent="0.35">
      <c r="A201" t="s">
        <v>8520</v>
      </c>
      <c r="B201" s="3" t="s">
        <v>102</v>
      </c>
      <c r="F201">
        <v>5</v>
      </c>
      <c r="G201" t="s">
        <v>8607</v>
      </c>
      <c r="H201">
        <v>34</v>
      </c>
      <c r="I201" t="s">
        <v>9303</v>
      </c>
      <c r="J201" t="str">
        <f t="shared" si="3"/>
        <v>13F-HR-5.34.C8</v>
      </c>
      <c r="K201" s="5" t="s">
        <v>8633</v>
      </c>
      <c r="L201" t="s">
        <v>4735</v>
      </c>
      <c r="M201" t="s">
        <v>8634</v>
      </c>
      <c r="N201" t="s">
        <v>8635</v>
      </c>
      <c r="Q201" s="28" t="s">
        <v>8632</v>
      </c>
    </row>
    <row r="202" spans="1:17" x14ac:dyDescent="0.35">
      <c r="A202" t="s">
        <v>8651</v>
      </c>
      <c r="B202" s="3" t="s">
        <v>102</v>
      </c>
      <c r="F202">
        <v>5</v>
      </c>
      <c r="G202" t="s">
        <v>8607</v>
      </c>
      <c r="H202">
        <v>35</v>
      </c>
      <c r="I202" t="s">
        <v>9304</v>
      </c>
      <c r="J202" t="str">
        <f t="shared" si="3"/>
        <v>135-HR-5.35.C9</v>
      </c>
      <c r="K202" s="5" t="s">
        <v>8637</v>
      </c>
      <c r="L202" t="s">
        <v>229</v>
      </c>
      <c r="M202" t="s">
        <v>8638</v>
      </c>
      <c r="N202" t="s">
        <v>8639</v>
      </c>
      <c r="Q202" s="28" t="s">
        <v>8636</v>
      </c>
    </row>
    <row r="203" spans="1:17" x14ac:dyDescent="0.35">
      <c r="A203" t="s">
        <v>8520</v>
      </c>
      <c r="B203" s="3" t="s">
        <v>102</v>
      </c>
      <c r="F203">
        <v>5</v>
      </c>
      <c r="G203" t="s">
        <v>8607</v>
      </c>
      <c r="H203">
        <v>36</v>
      </c>
      <c r="I203" t="s">
        <v>9305</v>
      </c>
      <c r="J203" t="str">
        <f t="shared" si="3"/>
        <v>13F-HR-5.36.C10</v>
      </c>
      <c r="K203" s="5" t="s">
        <v>8640</v>
      </c>
      <c r="L203" t="s">
        <v>241</v>
      </c>
      <c r="M203" t="s">
        <v>8641</v>
      </c>
      <c r="N203" t="s">
        <v>8642</v>
      </c>
      <c r="Q203" s="28">
        <v>0</v>
      </c>
    </row>
    <row r="204" spans="1:17" x14ac:dyDescent="0.35">
      <c r="A204" t="s">
        <v>8520</v>
      </c>
      <c r="B204" s="3" t="s">
        <v>102</v>
      </c>
      <c r="F204">
        <v>5</v>
      </c>
      <c r="G204" t="s">
        <v>8607</v>
      </c>
      <c r="H204">
        <v>37</v>
      </c>
      <c r="I204" t="s">
        <v>9306</v>
      </c>
      <c r="J204" t="str">
        <f t="shared" si="3"/>
        <v>13F-HR-5.37.C11</v>
      </c>
      <c r="K204" s="5" t="s">
        <v>8643</v>
      </c>
      <c r="L204" t="s">
        <v>241</v>
      </c>
      <c r="M204" t="s">
        <v>8644</v>
      </c>
      <c r="N204" t="s">
        <v>8645</v>
      </c>
      <c r="Q204" s="28">
        <v>0</v>
      </c>
    </row>
    <row r="205" spans="1:17" x14ac:dyDescent="0.35">
      <c r="A205" t="s">
        <v>8520</v>
      </c>
      <c r="B205" s="3" t="s">
        <v>102</v>
      </c>
      <c r="F205">
        <v>5</v>
      </c>
      <c r="G205" t="s">
        <v>8607</v>
      </c>
      <c r="H205">
        <v>38</v>
      </c>
      <c r="I205" t="s">
        <v>9307</v>
      </c>
      <c r="J205" t="str">
        <f t="shared" si="3"/>
        <v>13F-HR-5.38.C12</v>
      </c>
      <c r="K205" s="5" t="s">
        <v>8646</v>
      </c>
      <c r="L205" t="s">
        <v>241</v>
      </c>
      <c r="M205" t="s">
        <v>8647</v>
      </c>
      <c r="N205" t="s">
        <v>8648</v>
      </c>
      <c r="Q205" s="28">
        <v>21397</v>
      </c>
    </row>
    <row r="206" spans="1:17" x14ac:dyDescent="0.35">
      <c r="A206" t="s">
        <v>8520</v>
      </c>
      <c r="B206" s="3" t="s">
        <v>102</v>
      </c>
      <c r="F206">
        <v>5</v>
      </c>
      <c r="G206" t="s">
        <v>8607</v>
      </c>
      <c r="H206">
        <v>27</v>
      </c>
      <c r="I206" t="s">
        <v>9296</v>
      </c>
      <c r="J206" t="str">
        <f t="shared" si="3"/>
        <v>13F-HR-5.27.C1</v>
      </c>
      <c r="K206" s="5" t="s">
        <v>8608</v>
      </c>
      <c r="L206" t="s">
        <v>229</v>
      </c>
      <c r="M206" t="s">
        <v>8609</v>
      </c>
      <c r="N206" t="s">
        <v>8610</v>
      </c>
      <c r="Q206" s="28" t="s">
        <v>8681</v>
      </c>
    </row>
    <row r="207" spans="1:17" x14ac:dyDescent="0.35">
      <c r="A207" t="s">
        <v>8520</v>
      </c>
      <c r="B207" s="3" t="s">
        <v>102</v>
      </c>
      <c r="F207">
        <v>5</v>
      </c>
      <c r="G207" t="s">
        <v>8607</v>
      </c>
      <c r="H207">
        <v>28</v>
      </c>
      <c r="I207" t="s">
        <v>9297</v>
      </c>
      <c r="J207" t="str">
        <f t="shared" si="3"/>
        <v>13F-HR-5.28.C2</v>
      </c>
      <c r="K207" s="5" t="s">
        <v>8612</v>
      </c>
      <c r="L207" t="s">
        <v>229</v>
      </c>
      <c r="M207" t="s">
        <v>8613</v>
      </c>
      <c r="N207" t="s">
        <v>8614</v>
      </c>
      <c r="Q207" s="28" t="s">
        <v>8615</v>
      </c>
    </row>
    <row r="208" spans="1:17" x14ac:dyDescent="0.35">
      <c r="A208" t="s">
        <v>8520</v>
      </c>
      <c r="B208" s="3" t="s">
        <v>102</v>
      </c>
      <c r="F208">
        <v>5</v>
      </c>
      <c r="G208" t="s">
        <v>8607</v>
      </c>
      <c r="H208">
        <v>29</v>
      </c>
      <c r="I208" t="s">
        <v>9298</v>
      </c>
      <c r="J208" t="str">
        <f t="shared" si="3"/>
        <v>13F-HR-5.29.C3</v>
      </c>
      <c r="K208" s="5" t="s">
        <v>8616</v>
      </c>
      <c r="L208" t="s">
        <v>229</v>
      </c>
      <c r="M208" t="s">
        <v>7927</v>
      </c>
      <c r="N208" t="s">
        <v>8617</v>
      </c>
      <c r="Q208" s="28">
        <v>31100100</v>
      </c>
    </row>
    <row r="209" spans="1:17" x14ac:dyDescent="0.35">
      <c r="A209" t="s">
        <v>8520</v>
      </c>
      <c r="B209" s="3" t="s">
        <v>102</v>
      </c>
      <c r="F209">
        <v>5</v>
      </c>
      <c r="G209" t="s">
        <v>8607</v>
      </c>
      <c r="H209">
        <v>30</v>
      </c>
      <c r="I209" t="s">
        <v>9299</v>
      </c>
      <c r="J209" t="str">
        <f t="shared" si="3"/>
        <v>13F-HR-5.30.C4</v>
      </c>
      <c r="K209" s="5" t="s">
        <v>8618</v>
      </c>
      <c r="L209" t="s">
        <v>8619</v>
      </c>
      <c r="M209" t="s">
        <v>8620</v>
      </c>
      <c r="N209" t="s">
        <v>8621</v>
      </c>
      <c r="Q209" s="28">
        <v>8269606</v>
      </c>
    </row>
    <row r="210" spans="1:17" x14ac:dyDescent="0.35">
      <c r="A210" t="s">
        <v>8520</v>
      </c>
      <c r="B210" s="3" t="s">
        <v>102</v>
      </c>
      <c r="F210">
        <v>5</v>
      </c>
      <c r="G210" t="s">
        <v>8607</v>
      </c>
      <c r="H210">
        <v>31</v>
      </c>
      <c r="I210" t="s">
        <v>9300</v>
      </c>
      <c r="J210" t="str">
        <f t="shared" si="3"/>
        <v>13F-HR-5.31.C5</v>
      </c>
      <c r="K210" s="5" t="s">
        <v>8622</v>
      </c>
      <c r="L210" t="s">
        <v>241</v>
      </c>
      <c r="M210" t="s">
        <v>8623</v>
      </c>
      <c r="N210" t="s">
        <v>8624</v>
      </c>
      <c r="Q210" s="28">
        <v>48040</v>
      </c>
    </row>
    <row r="211" spans="1:17" x14ac:dyDescent="0.35">
      <c r="A211" t="s">
        <v>8520</v>
      </c>
      <c r="B211" s="3" t="s">
        <v>102</v>
      </c>
      <c r="F211">
        <v>5</v>
      </c>
      <c r="G211" t="s">
        <v>8607</v>
      </c>
      <c r="H211">
        <v>32</v>
      </c>
      <c r="I211" t="s">
        <v>9301</v>
      </c>
      <c r="J211" t="str">
        <f t="shared" si="3"/>
        <v>13F-HR-5.32.C6</v>
      </c>
      <c r="K211" s="5" t="s">
        <v>8625</v>
      </c>
      <c r="L211" t="s">
        <v>229</v>
      </c>
      <c r="M211" t="s">
        <v>8626</v>
      </c>
      <c r="N211" t="s">
        <v>8627</v>
      </c>
      <c r="Q211" s="28" t="s">
        <v>8628</v>
      </c>
    </row>
    <row r="212" spans="1:17" x14ac:dyDescent="0.35">
      <c r="A212" t="s">
        <v>8520</v>
      </c>
      <c r="B212" s="3" t="s">
        <v>102</v>
      </c>
      <c r="F212">
        <v>5</v>
      </c>
      <c r="G212" t="s">
        <v>8607</v>
      </c>
      <c r="H212">
        <v>33</v>
      </c>
      <c r="I212" t="s">
        <v>9302</v>
      </c>
      <c r="J212" t="str">
        <f t="shared" si="3"/>
        <v>13F-HR-5.33.C7</v>
      </c>
      <c r="K212" s="5" t="s">
        <v>8629</v>
      </c>
      <c r="L212" t="s">
        <v>229</v>
      </c>
      <c r="M212" t="s">
        <v>8630</v>
      </c>
      <c r="N212" t="s">
        <v>8631</v>
      </c>
      <c r="Q212" s="28" t="s">
        <v>1590</v>
      </c>
    </row>
    <row r="213" spans="1:17" x14ac:dyDescent="0.35">
      <c r="A213" t="s">
        <v>8520</v>
      </c>
      <c r="B213" s="3" t="s">
        <v>102</v>
      </c>
      <c r="F213">
        <v>5</v>
      </c>
      <c r="G213" t="s">
        <v>8607</v>
      </c>
      <c r="H213">
        <v>34</v>
      </c>
      <c r="I213" t="s">
        <v>9303</v>
      </c>
      <c r="J213" t="str">
        <f t="shared" si="3"/>
        <v>13F-HR-5.34.C8</v>
      </c>
      <c r="K213" s="5" t="s">
        <v>8633</v>
      </c>
      <c r="L213" t="s">
        <v>4735</v>
      </c>
      <c r="M213" t="s">
        <v>8634</v>
      </c>
      <c r="N213" t="s">
        <v>8635</v>
      </c>
      <c r="Q213" s="28" t="s">
        <v>8632</v>
      </c>
    </row>
    <row r="214" spans="1:17" x14ac:dyDescent="0.35">
      <c r="A214" t="s">
        <v>8651</v>
      </c>
      <c r="B214" s="3" t="s">
        <v>102</v>
      </c>
      <c r="F214">
        <v>5</v>
      </c>
      <c r="G214" t="s">
        <v>8607</v>
      </c>
      <c r="H214">
        <v>35</v>
      </c>
      <c r="I214" t="s">
        <v>9304</v>
      </c>
      <c r="J214" t="str">
        <f t="shared" si="3"/>
        <v>135-HR-5.35.C9</v>
      </c>
      <c r="K214" s="5" t="s">
        <v>8637</v>
      </c>
      <c r="L214" t="s">
        <v>229</v>
      </c>
      <c r="M214" t="s">
        <v>8638</v>
      </c>
      <c r="N214" t="s">
        <v>8639</v>
      </c>
      <c r="Q214" s="28" t="s">
        <v>8636</v>
      </c>
    </row>
    <row r="215" spans="1:17" x14ac:dyDescent="0.35">
      <c r="A215" t="s">
        <v>8520</v>
      </c>
      <c r="B215" s="3" t="s">
        <v>102</v>
      </c>
      <c r="F215">
        <v>5</v>
      </c>
      <c r="G215" t="s">
        <v>8607</v>
      </c>
      <c r="H215">
        <v>36</v>
      </c>
      <c r="I215" t="s">
        <v>9305</v>
      </c>
      <c r="J215" t="str">
        <f t="shared" si="3"/>
        <v>13F-HR-5.36.C10</v>
      </c>
      <c r="K215" s="5" t="s">
        <v>8640</v>
      </c>
      <c r="L215" t="s">
        <v>241</v>
      </c>
      <c r="M215" t="s">
        <v>8641</v>
      </c>
      <c r="N215" t="s">
        <v>8642</v>
      </c>
      <c r="Q215" s="28">
        <v>48040</v>
      </c>
    </row>
    <row r="216" spans="1:17" x14ac:dyDescent="0.35">
      <c r="A216" t="s">
        <v>8520</v>
      </c>
      <c r="B216" s="3" t="s">
        <v>102</v>
      </c>
      <c r="F216">
        <v>5</v>
      </c>
      <c r="G216" t="s">
        <v>8607</v>
      </c>
      <c r="H216">
        <v>37</v>
      </c>
      <c r="I216" t="s">
        <v>9306</v>
      </c>
      <c r="J216" t="str">
        <f t="shared" si="3"/>
        <v>13F-HR-5.37.C11</v>
      </c>
      <c r="K216" s="5" t="s">
        <v>8643</v>
      </c>
      <c r="L216" t="s">
        <v>241</v>
      </c>
      <c r="M216" t="s">
        <v>8644</v>
      </c>
      <c r="N216" t="s">
        <v>8645</v>
      </c>
      <c r="Q216" s="28">
        <v>0</v>
      </c>
    </row>
    <row r="217" spans="1:17" x14ac:dyDescent="0.35">
      <c r="A217" t="s">
        <v>8520</v>
      </c>
      <c r="B217" s="3" t="s">
        <v>102</v>
      </c>
      <c r="F217">
        <v>5</v>
      </c>
      <c r="G217" t="s">
        <v>8607</v>
      </c>
      <c r="H217">
        <v>38</v>
      </c>
      <c r="I217" t="s">
        <v>9307</v>
      </c>
      <c r="J217" t="str">
        <f t="shared" si="3"/>
        <v>13F-HR-5.38.C12</v>
      </c>
      <c r="K217" s="5" t="s">
        <v>8646</v>
      </c>
      <c r="L217" t="s">
        <v>241</v>
      </c>
      <c r="M217" t="s">
        <v>8647</v>
      </c>
      <c r="N217" t="s">
        <v>8648</v>
      </c>
      <c r="Q217" s="28">
        <v>0</v>
      </c>
    </row>
    <row r="218" spans="1:17" x14ac:dyDescent="0.35">
      <c r="A218" t="s">
        <v>8520</v>
      </c>
      <c r="B218" s="3" t="s">
        <v>102</v>
      </c>
      <c r="F218">
        <v>5</v>
      </c>
      <c r="G218" t="s">
        <v>8607</v>
      </c>
      <c r="H218">
        <v>27</v>
      </c>
      <c r="I218" t="s">
        <v>9296</v>
      </c>
      <c r="J218" t="str">
        <f t="shared" si="3"/>
        <v>13F-HR-5.27.C1</v>
      </c>
      <c r="K218" t="s">
        <v>8608</v>
      </c>
      <c r="L218" t="s">
        <v>229</v>
      </c>
      <c r="M218" t="s">
        <v>8609</v>
      </c>
      <c r="N218" t="s">
        <v>8610</v>
      </c>
      <c r="Q218" s="28" t="s">
        <v>8682</v>
      </c>
    </row>
    <row r="219" spans="1:17" x14ac:dyDescent="0.35">
      <c r="A219" t="s">
        <v>8520</v>
      </c>
      <c r="B219" s="3" t="s">
        <v>102</v>
      </c>
      <c r="F219">
        <v>5</v>
      </c>
      <c r="G219" t="s">
        <v>8607</v>
      </c>
      <c r="H219">
        <v>28</v>
      </c>
      <c r="I219" t="s">
        <v>9297</v>
      </c>
      <c r="J219" t="str">
        <f t="shared" si="3"/>
        <v>13F-HR-5.28.C2</v>
      </c>
      <c r="K219" t="s">
        <v>8612</v>
      </c>
      <c r="L219" t="s">
        <v>229</v>
      </c>
      <c r="M219" t="s">
        <v>8613</v>
      </c>
      <c r="N219" t="s">
        <v>8614</v>
      </c>
      <c r="Q219" s="28" t="s">
        <v>8615</v>
      </c>
    </row>
    <row r="220" spans="1:17" x14ac:dyDescent="0.35">
      <c r="A220" t="s">
        <v>8520</v>
      </c>
      <c r="B220" s="3" t="s">
        <v>102</v>
      </c>
      <c r="F220">
        <v>5</v>
      </c>
      <c r="G220" t="s">
        <v>8607</v>
      </c>
      <c r="H220">
        <v>29</v>
      </c>
      <c r="I220" t="s">
        <v>9298</v>
      </c>
      <c r="J220" t="str">
        <f t="shared" si="3"/>
        <v>13F-HR-5.29.C3</v>
      </c>
      <c r="K220" t="s">
        <v>8616</v>
      </c>
      <c r="L220" t="s">
        <v>229</v>
      </c>
      <c r="M220" t="s">
        <v>7927</v>
      </c>
      <c r="N220" t="s">
        <v>8617</v>
      </c>
      <c r="Q220" s="28">
        <v>31162100</v>
      </c>
    </row>
    <row r="221" spans="1:17" x14ac:dyDescent="0.35">
      <c r="A221" t="s">
        <v>8520</v>
      </c>
      <c r="B221" s="3" t="s">
        <v>102</v>
      </c>
      <c r="F221">
        <v>5</v>
      </c>
      <c r="G221" t="s">
        <v>8607</v>
      </c>
      <c r="H221">
        <v>30</v>
      </c>
      <c r="I221" t="s">
        <v>9299</v>
      </c>
      <c r="J221" t="str">
        <f t="shared" si="3"/>
        <v>13F-HR-5.30.C4</v>
      </c>
      <c r="K221" t="s">
        <v>8618</v>
      </c>
      <c r="L221" t="s">
        <v>8619</v>
      </c>
      <c r="M221" t="s">
        <v>8620</v>
      </c>
      <c r="N221" t="s">
        <v>8621</v>
      </c>
      <c r="Q221" s="28">
        <v>71446204</v>
      </c>
    </row>
    <row r="222" spans="1:17" x14ac:dyDescent="0.35">
      <c r="A222" t="s">
        <v>8520</v>
      </c>
      <c r="B222" s="3" t="s">
        <v>102</v>
      </c>
      <c r="F222">
        <v>5</v>
      </c>
      <c r="G222" t="s">
        <v>8607</v>
      </c>
      <c r="H222">
        <v>31</v>
      </c>
      <c r="I222" t="s">
        <v>9300</v>
      </c>
      <c r="J222" t="str">
        <f t="shared" si="3"/>
        <v>13F-HR-5.31.C5</v>
      </c>
      <c r="K222" t="s">
        <v>8622</v>
      </c>
      <c r="L222" t="s">
        <v>241</v>
      </c>
      <c r="M222" t="s">
        <v>8623</v>
      </c>
      <c r="N222" t="s">
        <v>8624</v>
      </c>
      <c r="Q222" s="28">
        <v>229325</v>
      </c>
    </row>
    <row r="223" spans="1:17" x14ac:dyDescent="0.35">
      <c r="A223" t="s">
        <v>8520</v>
      </c>
      <c r="B223" s="3" t="s">
        <v>102</v>
      </c>
      <c r="F223">
        <v>5</v>
      </c>
      <c r="G223" t="s">
        <v>8607</v>
      </c>
      <c r="H223">
        <v>32</v>
      </c>
      <c r="I223" t="s">
        <v>9301</v>
      </c>
      <c r="J223" t="str">
        <f t="shared" si="3"/>
        <v>13F-HR-5.32.C6</v>
      </c>
      <c r="K223" t="s">
        <v>8625</v>
      </c>
      <c r="L223" t="s">
        <v>229</v>
      </c>
      <c r="M223" t="s">
        <v>8626</v>
      </c>
      <c r="N223" t="s">
        <v>8627</v>
      </c>
      <c r="Q223" s="28" t="s">
        <v>8628</v>
      </c>
    </row>
    <row r="224" spans="1:17" x14ac:dyDescent="0.35">
      <c r="A224" t="s">
        <v>8520</v>
      </c>
      <c r="B224" s="3" t="s">
        <v>102</v>
      </c>
      <c r="F224">
        <v>5</v>
      </c>
      <c r="G224" t="s">
        <v>8607</v>
      </c>
      <c r="H224">
        <v>33</v>
      </c>
      <c r="I224" t="s">
        <v>9302</v>
      </c>
      <c r="J224" t="str">
        <f t="shared" si="3"/>
        <v>13F-HR-5.33.C7</v>
      </c>
      <c r="K224" t="s">
        <v>8629</v>
      </c>
      <c r="L224" t="s">
        <v>229</v>
      </c>
      <c r="M224" t="s">
        <v>8630</v>
      </c>
      <c r="N224" t="s">
        <v>8631</v>
      </c>
      <c r="Q224" s="28" t="s">
        <v>1590</v>
      </c>
    </row>
    <row r="225" spans="1:17" x14ac:dyDescent="0.35">
      <c r="A225" t="s">
        <v>8520</v>
      </c>
      <c r="B225" s="3" t="s">
        <v>102</v>
      </c>
      <c r="F225">
        <v>5</v>
      </c>
      <c r="G225" t="s">
        <v>8607</v>
      </c>
      <c r="H225">
        <v>34</v>
      </c>
      <c r="I225" t="s">
        <v>9303</v>
      </c>
      <c r="J225" t="str">
        <f t="shared" si="3"/>
        <v>13F-HR-5.34.C8</v>
      </c>
      <c r="K225" t="s">
        <v>8633</v>
      </c>
      <c r="L225" t="s">
        <v>4735</v>
      </c>
      <c r="M225" t="s">
        <v>8634</v>
      </c>
      <c r="N225" t="s">
        <v>8635</v>
      </c>
      <c r="Q225" s="28" t="s">
        <v>8632</v>
      </c>
    </row>
    <row r="226" spans="1:17" x14ac:dyDescent="0.35">
      <c r="A226" t="s">
        <v>8651</v>
      </c>
      <c r="B226" s="3" t="s">
        <v>102</v>
      </c>
      <c r="F226">
        <v>5</v>
      </c>
      <c r="G226" t="s">
        <v>8607</v>
      </c>
      <c r="H226">
        <v>35</v>
      </c>
      <c r="I226" t="s">
        <v>9304</v>
      </c>
      <c r="J226" t="str">
        <f t="shared" si="3"/>
        <v>135-HR-5.35.C9</v>
      </c>
      <c r="K226" t="s">
        <v>8637</v>
      </c>
      <c r="L226" t="s">
        <v>229</v>
      </c>
      <c r="M226" t="s">
        <v>8638</v>
      </c>
      <c r="N226" t="s">
        <v>8639</v>
      </c>
      <c r="Q226" s="28" t="s">
        <v>8636</v>
      </c>
    </row>
    <row r="227" spans="1:17" x14ac:dyDescent="0.35">
      <c r="A227" t="s">
        <v>8520</v>
      </c>
      <c r="B227" s="3" t="s">
        <v>102</v>
      </c>
      <c r="F227">
        <v>5</v>
      </c>
      <c r="G227" t="s">
        <v>8607</v>
      </c>
      <c r="H227">
        <v>36</v>
      </c>
      <c r="I227" t="s">
        <v>9305</v>
      </c>
      <c r="J227" t="str">
        <f t="shared" si="3"/>
        <v>13F-HR-5.36.C10</v>
      </c>
      <c r="K227" t="s">
        <v>8640</v>
      </c>
      <c r="L227" t="s">
        <v>241</v>
      </c>
      <c r="M227" t="s">
        <v>8641</v>
      </c>
      <c r="N227" t="s">
        <v>8642</v>
      </c>
      <c r="Q227" s="28">
        <v>114815</v>
      </c>
    </row>
    <row r="228" spans="1:17" x14ac:dyDescent="0.35">
      <c r="A228" t="s">
        <v>8520</v>
      </c>
      <c r="B228" s="3" t="s">
        <v>102</v>
      </c>
      <c r="F228">
        <v>5</v>
      </c>
      <c r="G228" t="s">
        <v>8607</v>
      </c>
      <c r="H228">
        <v>37</v>
      </c>
      <c r="I228" t="s">
        <v>9306</v>
      </c>
      <c r="J228" t="str">
        <f t="shared" si="3"/>
        <v>13F-HR-5.37.C11</v>
      </c>
      <c r="K228" t="s">
        <v>8643</v>
      </c>
      <c r="L228" t="s">
        <v>241</v>
      </c>
      <c r="M228" t="s">
        <v>8644</v>
      </c>
      <c r="N228" t="s">
        <v>8645</v>
      </c>
      <c r="Q228" s="28">
        <v>0</v>
      </c>
    </row>
    <row r="229" spans="1:17" x14ac:dyDescent="0.35">
      <c r="A229" t="s">
        <v>8520</v>
      </c>
      <c r="B229" s="3" t="s">
        <v>102</v>
      </c>
      <c r="F229">
        <v>5</v>
      </c>
      <c r="G229" t="s">
        <v>8607</v>
      </c>
      <c r="H229">
        <v>38</v>
      </c>
      <c r="I229" t="s">
        <v>9307</v>
      </c>
      <c r="J229" t="str">
        <f t="shared" si="3"/>
        <v>13F-HR-5.38.C12</v>
      </c>
      <c r="K229" t="s">
        <v>8646</v>
      </c>
      <c r="L229" t="s">
        <v>241</v>
      </c>
      <c r="M229" t="s">
        <v>8647</v>
      </c>
      <c r="N229" t="s">
        <v>8648</v>
      </c>
      <c r="Q229" s="28">
        <v>114510</v>
      </c>
    </row>
    <row r="230" spans="1:17" x14ac:dyDescent="0.35">
      <c r="A230" t="s">
        <v>8520</v>
      </c>
      <c r="B230" s="3" t="s">
        <v>102</v>
      </c>
      <c r="F230">
        <v>5</v>
      </c>
      <c r="G230" t="s">
        <v>8607</v>
      </c>
      <c r="H230">
        <v>27</v>
      </c>
      <c r="I230" t="s">
        <v>9296</v>
      </c>
      <c r="J230" t="str">
        <f t="shared" si="3"/>
        <v>13F-HR-5.27.C1</v>
      </c>
      <c r="K230" s="5" t="s">
        <v>8608</v>
      </c>
      <c r="L230" t="s">
        <v>229</v>
      </c>
      <c r="M230" t="s">
        <v>8609</v>
      </c>
      <c r="N230" t="s">
        <v>8610</v>
      </c>
      <c r="Q230" s="28" t="s">
        <v>8683</v>
      </c>
    </row>
    <row r="231" spans="1:17" x14ac:dyDescent="0.35">
      <c r="A231" t="s">
        <v>8520</v>
      </c>
      <c r="B231" s="3" t="s">
        <v>102</v>
      </c>
      <c r="F231">
        <v>5</v>
      </c>
      <c r="G231" t="s">
        <v>8607</v>
      </c>
      <c r="H231">
        <v>28</v>
      </c>
      <c r="I231" t="s">
        <v>9297</v>
      </c>
      <c r="J231" t="str">
        <f t="shared" si="3"/>
        <v>13F-HR-5.28.C2</v>
      </c>
      <c r="K231" s="5" t="s">
        <v>8612</v>
      </c>
      <c r="L231" t="s">
        <v>229</v>
      </c>
      <c r="M231" t="s">
        <v>8613</v>
      </c>
      <c r="N231" t="s">
        <v>8614</v>
      </c>
      <c r="Q231" s="28" t="s">
        <v>8615</v>
      </c>
    </row>
    <row r="232" spans="1:17" x14ac:dyDescent="0.35">
      <c r="A232" t="s">
        <v>8520</v>
      </c>
      <c r="B232" s="3" t="s">
        <v>102</v>
      </c>
      <c r="F232">
        <v>5</v>
      </c>
      <c r="G232" t="s">
        <v>8607</v>
      </c>
      <c r="H232">
        <v>29</v>
      </c>
      <c r="I232" t="s">
        <v>9298</v>
      </c>
      <c r="J232" t="str">
        <f t="shared" si="3"/>
        <v>13F-HR-5.29.C3</v>
      </c>
      <c r="K232" s="5" t="s">
        <v>8616</v>
      </c>
      <c r="L232" t="s">
        <v>229</v>
      </c>
      <c r="M232" t="s">
        <v>7927</v>
      </c>
      <c r="N232" t="s">
        <v>8617</v>
      </c>
      <c r="Q232" s="28">
        <v>32654105</v>
      </c>
    </row>
    <row r="233" spans="1:17" x14ac:dyDescent="0.35">
      <c r="A233" t="s">
        <v>8520</v>
      </c>
      <c r="B233" s="3" t="s">
        <v>102</v>
      </c>
      <c r="F233">
        <v>5</v>
      </c>
      <c r="G233" t="s">
        <v>8607</v>
      </c>
      <c r="H233">
        <v>30</v>
      </c>
      <c r="I233" t="s">
        <v>9299</v>
      </c>
      <c r="J233" t="str">
        <f t="shared" si="3"/>
        <v>13F-HR-5.30.C4</v>
      </c>
      <c r="K233" s="5" t="s">
        <v>8618</v>
      </c>
      <c r="L233" t="s">
        <v>8619</v>
      </c>
      <c r="M233" t="s">
        <v>8620</v>
      </c>
      <c r="N233" t="s">
        <v>8621</v>
      </c>
      <c r="Q233" s="28">
        <v>307950</v>
      </c>
    </row>
    <row r="234" spans="1:17" x14ac:dyDescent="0.35">
      <c r="A234" t="s">
        <v>8520</v>
      </c>
      <c r="B234" s="3" t="s">
        <v>102</v>
      </c>
      <c r="F234">
        <v>5</v>
      </c>
      <c r="G234" t="s">
        <v>8607</v>
      </c>
      <c r="H234">
        <v>31</v>
      </c>
      <c r="I234" t="s">
        <v>9300</v>
      </c>
      <c r="J234" t="str">
        <f t="shared" si="3"/>
        <v>13F-HR-5.31.C5</v>
      </c>
      <c r="K234" s="5" t="s">
        <v>8622</v>
      </c>
      <c r="L234" t="s">
        <v>241</v>
      </c>
      <c r="M234" t="s">
        <v>8623</v>
      </c>
      <c r="N234" t="s">
        <v>8624</v>
      </c>
      <c r="Q234" s="28">
        <v>1527</v>
      </c>
    </row>
    <row r="235" spans="1:17" x14ac:dyDescent="0.35">
      <c r="A235" t="s">
        <v>8520</v>
      </c>
      <c r="B235" s="3" t="s">
        <v>102</v>
      </c>
      <c r="F235">
        <v>5</v>
      </c>
      <c r="G235" t="s">
        <v>8607</v>
      </c>
      <c r="H235">
        <v>32</v>
      </c>
      <c r="I235" t="s">
        <v>9301</v>
      </c>
      <c r="J235" t="str">
        <f t="shared" si="3"/>
        <v>13F-HR-5.32.C6</v>
      </c>
      <c r="K235" s="5" t="s">
        <v>8625</v>
      </c>
      <c r="L235" t="s">
        <v>229</v>
      </c>
      <c r="M235" t="s">
        <v>8626</v>
      </c>
      <c r="N235" t="s">
        <v>8627</v>
      </c>
      <c r="Q235" s="28" t="s">
        <v>8628</v>
      </c>
    </row>
    <row r="236" spans="1:17" x14ac:dyDescent="0.35">
      <c r="A236" t="s">
        <v>8520</v>
      </c>
      <c r="B236" s="3" t="s">
        <v>102</v>
      </c>
      <c r="F236">
        <v>5</v>
      </c>
      <c r="G236" t="s">
        <v>8607</v>
      </c>
      <c r="H236">
        <v>33</v>
      </c>
      <c r="I236" t="s">
        <v>9302</v>
      </c>
      <c r="J236" t="str">
        <f t="shared" si="3"/>
        <v>13F-HR-5.33.C7</v>
      </c>
      <c r="K236" s="5" t="s">
        <v>8629</v>
      </c>
      <c r="L236" t="s">
        <v>229</v>
      </c>
      <c r="M236" t="s">
        <v>8630</v>
      </c>
      <c r="N236" t="s">
        <v>8631</v>
      </c>
      <c r="Q236" s="28" t="s">
        <v>1590</v>
      </c>
    </row>
    <row r="237" spans="1:17" x14ac:dyDescent="0.35">
      <c r="A237" t="s">
        <v>8520</v>
      </c>
      <c r="B237" s="3" t="s">
        <v>102</v>
      </c>
      <c r="F237">
        <v>5</v>
      </c>
      <c r="G237" t="s">
        <v>8607</v>
      </c>
      <c r="H237">
        <v>34</v>
      </c>
      <c r="I237" t="s">
        <v>9303</v>
      </c>
      <c r="J237" t="str">
        <f t="shared" si="3"/>
        <v>13F-HR-5.34.C8</v>
      </c>
      <c r="K237" s="5" t="s">
        <v>8633</v>
      </c>
      <c r="L237" t="s">
        <v>4735</v>
      </c>
      <c r="M237" t="s">
        <v>8634</v>
      </c>
      <c r="N237" t="s">
        <v>8635</v>
      </c>
      <c r="Q237" s="28" t="s">
        <v>8632</v>
      </c>
    </row>
    <row r="238" spans="1:17" x14ac:dyDescent="0.35">
      <c r="A238" t="s">
        <v>8651</v>
      </c>
      <c r="B238" s="3" t="s">
        <v>102</v>
      </c>
      <c r="F238">
        <v>5</v>
      </c>
      <c r="G238" t="s">
        <v>8607</v>
      </c>
      <c r="H238">
        <v>35</v>
      </c>
      <c r="I238" t="s">
        <v>9304</v>
      </c>
      <c r="J238" t="str">
        <f t="shared" si="3"/>
        <v>135-HR-5.35.C9</v>
      </c>
      <c r="K238" s="5" t="s">
        <v>8637</v>
      </c>
      <c r="L238" t="s">
        <v>229</v>
      </c>
      <c r="M238" t="s">
        <v>8638</v>
      </c>
      <c r="N238" t="s">
        <v>8639</v>
      </c>
      <c r="Q238" s="28" t="s">
        <v>8636</v>
      </c>
    </row>
    <row r="239" spans="1:17" x14ac:dyDescent="0.35">
      <c r="A239" t="s">
        <v>8520</v>
      </c>
      <c r="B239" s="3" t="s">
        <v>102</v>
      </c>
      <c r="F239">
        <v>5</v>
      </c>
      <c r="G239" t="s">
        <v>8607</v>
      </c>
      <c r="H239">
        <v>36</v>
      </c>
      <c r="I239" t="s">
        <v>9305</v>
      </c>
      <c r="J239" t="str">
        <f t="shared" si="3"/>
        <v>13F-HR-5.36.C10</v>
      </c>
      <c r="K239" s="5" t="s">
        <v>8640</v>
      </c>
      <c r="L239" t="s">
        <v>241</v>
      </c>
      <c r="M239" t="s">
        <v>8641</v>
      </c>
      <c r="N239" t="s">
        <v>8642</v>
      </c>
      <c r="Q239" s="28">
        <v>1527</v>
      </c>
    </row>
    <row r="240" spans="1:17" x14ac:dyDescent="0.35">
      <c r="A240" t="s">
        <v>8520</v>
      </c>
      <c r="B240" s="3" t="s">
        <v>102</v>
      </c>
      <c r="F240">
        <v>5</v>
      </c>
      <c r="G240" t="s">
        <v>8607</v>
      </c>
      <c r="H240">
        <v>37</v>
      </c>
      <c r="I240" t="s">
        <v>9306</v>
      </c>
      <c r="J240" t="str">
        <f t="shared" si="3"/>
        <v>13F-HR-5.37.C11</v>
      </c>
      <c r="K240" s="5" t="s">
        <v>8643</v>
      </c>
      <c r="L240" t="s">
        <v>241</v>
      </c>
      <c r="M240" t="s">
        <v>8644</v>
      </c>
      <c r="N240" t="s">
        <v>8645</v>
      </c>
      <c r="Q240" s="28">
        <v>0</v>
      </c>
    </row>
    <row r="241" spans="1:17" x14ac:dyDescent="0.35">
      <c r="A241" t="s">
        <v>8520</v>
      </c>
      <c r="B241" s="3" t="s">
        <v>102</v>
      </c>
      <c r="F241">
        <v>5</v>
      </c>
      <c r="G241" t="s">
        <v>8607</v>
      </c>
      <c r="H241">
        <v>38</v>
      </c>
      <c r="I241" t="s">
        <v>9307</v>
      </c>
      <c r="J241" t="str">
        <f t="shared" si="3"/>
        <v>13F-HR-5.38.C12</v>
      </c>
      <c r="K241" s="5" t="s">
        <v>8646</v>
      </c>
      <c r="L241" t="s">
        <v>241</v>
      </c>
      <c r="M241" t="s">
        <v>8647</v>
      </c>
      <c r="N241" t="s">
        <v>8648</v>
      </c>
      <c r="Q241" s="28">
        <v>0</v>
      </c>
    </row>
    <row r="242" spans="1:17" x14ac:dyDescent="0.35">
      <c r="A242" t="s">
        <v>8520</v>
      </c>
      <c r="B242" s="3" t="s">
        <v>102</v>
      </c>
      <c r="F242">
        <v>5</v>
      </c>
      <c r="G242" t="s">
        <v>8607</v>
      </c>
      <c r="H242">
        <v>27</v>
      </c>
      <c r="I242" t="s">
        <v>9296</v>
      </c>
      <c r="J242" t="str">
        <f t="shared" si="3"/>
        <v>13F-HR-5.27.C1</v>
      </c>
      <c r="K242" s="5" t="s">
        <v>8608</v>
      </c>
      <c r="L242" t="s">
        <v>229</v>
      </c>
      <c r="M242" t="s">
        <v>8609</v>
      </c>
      <c r="N242" t="s">
        <v>8610</v>
      </c>
      <c r="Q242" s="28" t="s">
        <v>8684</v>
      </c>
    </row>
    <row r="243" spans="1:17" x14ac:dyDescent="0.35">
      <c r="A243" t="s">
        <v>8520</v>
      </c>
      <c r="B243" s="3" t="s">
        <v>102</v>
      </c>
      <c r="F243">
        <v>5</v>
      </c>
      <c r="G243" t="s">
        <v>8607</v>
      </c>
      <c r="H243">
        <v>28</v>
      </c>
      <c r="I243" t="s">
        <v>9297</v>
      </c>
      <c r="J243" t="str">
        <f t="shared" si="3"/>
        <v>13F-HR-5.28.C2</v>
      </c>
      <c r="K243" s="5" t="s">
        <v>8612</v>
      </c>
      <c r="L243" t="s">
        <v>229</v>
      </c>
      <c r="M243" t="s">
        <v>8613</v>
      </c>
      <c r="N243" t="s">
        <v>8614</v>
      </c>
      <c r="Q243" s="28" t="s">
        <v>8615</v>
      </c>
    </row>
    <row r="244" spans="1:17" x14ac:dyDescent="0.35">
      <c r="A244" t="s">
        <v>8520</v>
      </c>
      <c r="B244" s="3" t="s">
        <v>102</v>
      </c>
      <c r="F244">
        <v>5</v>
      </c>
      <c r="G244" t="s">
        <v>8607</v>
      </c>
      <c r="H244">
        <v>29</v>
      </c>
      <c r="I244" t="s">
        <v>9298</v>
      </c>
      <c r="J244" t="str">
        <f t="shared" si="3"/>
        <v>13F-HR-5.29.C3</v>
      </c>
      <c r="K244" s="5" t="s">
        <v>8616</v>
      </c>
      <c r="L244" t="s">
        <v>229</v>
      </c>
      <c r="M244" t="s">
        <v>7927</v>
      </c>
      <c r="N244" t="s">
        <v>8617</v>
      </c>
      <c r="Q244" s="28">
        <v>36752103</v>
      </c>
    </row>
    <row r="245" spans="1:17" x14ac:dyDescent="0.35">
      <c r="A245" t="s">
        <v>8520</v>
      </c>
      <c r="B245" s="3" t="s">
        <v>102</v>
      </c>
      <c r="F245">
        <v>5</v>
      </c>
      <c r="G245" t="s">
        <v>8607</v>
      </c>
      <c r="H245">
        <v>30</v>
      </c>
      <c r="I245" t="s">
        <v>9299</v>
      </c>
      <c r="J245" t="str">
        <f t="shared" si="3"/>
        <v>13F-HR-5.30.C4</v>
      </c>
      <c r="K245" s="5" t="s">
        <v>8618</v>
      </c>
      <c r="L245" t="s">
        <v>8619</v>
      </c>
      <c r="M245" t="s">
        <v>8620</v>
      </c>
      <c r="N245" t="s">
        <v>8621</v>
      </c>
      <c r="Q245" s="28">
        <v>23727938</v>
      </c>
    </row>
    <row r="246" spans="1:17" x14ac:dyDescent="0.35">
      <c r="A246" t="s">
        <v>8520</v>
      </c>
      <c r="B246" s="3" t="s">
        <v>102</v>
      </c>
      <c r="F246">
        <v>5</v>
      </c>
      <c r="G246" t="s">
        <v>8607</v>
      </c>
      <c r="H246">
        <v>31</v>
      </c>
      <c r="I246" t="s">
        <v>9300</v>
      </c>
      <c r="J246" t="str">
        <f t="shared" si="3"/>
        <v>13F-HR-5.31.C5</v>
      </c>
      <c r="K246" s="5" t="s">
        <v>8622</v>
      </c>
      <c r="L246" t="s">
        <v>241</v>
      </c>
      <c r="M246" t="s">
        <v>8623</v>
      </c>
      <c r="N246" t="s">
        <v>8624</v>
      </c>
      <c r="Q246" s="28">
        <v>54552</v>
      </c>
    </row>
    <row r="247" spans="1:17" x14ac:dyDescent="0.35">
      <c r="A247" t="s">
        <v>8520</v>
      </c>
      <c r="B247" s="3" t="s">
        <v>102</v>
      </c>
      <c r="F247">
        <v>5</v>
      </c>
      <c r="G247" t="s">
        <v>8607</v>
      </c>
      <c r="H247">
        <v>32</v>
      </c>
      <c r="I247" t="s">
        <v>9301</v>
      </c>
      <c r="J247" t="str">
        <f t="shared" si="3"/>
        <v>13F-HR-5.32.C6</v>
      </c>
      <c r="K247" s="5" t="s">
        <v>8625</v>
      </c>
      <c r="L247" t="s">
        <v>229</v>
      </c>
      <c r="M247" t="s">
        <v>8626</v>
      </c>
      <c r="N247" t="s">
        <v>8627</v>
      </c>
      <c r="Q247" s="28" t="s">
        <v>8628</v>
      </c>
    </row>
    <row r="248" spans="1:17" x14ac:dyDescent="0.35">
      <c r="A248" t="s">
        <v>8520</v>
      </c>
      <c r="B248" s="3" t="s">
        <v>102</v>
      </c>
      <c r="F248">
        <v>5</v>
      </c>
      <c r="G248" t="s">
        <v>8607</v>
      </c>
      <c r="H248">
        <v>33</v>
      </c>
      <c r="I248" t="s">
        <v>9302</v>
      </c>
      <c r="J248" t="str">
        <f t="shared" si="3"/>
        <v>13F-HR-5.33.C7</v>
      </c>
      <c r="K248" s="5" t="s">
        <v>8629</v>
      </c>
      <c r="L248" t="s">
        <v>229</v>
      </c>
      <c r="M248" t="s">
        <v>8630</v>
      </c>
      <c r="N248" t="s">
        <v>8631</v>
      </c>
      <c r="Q248" s="28" t="s">
        <v>8685</v>
      </c>
    </row>
    <row r="249" spans="1:17" x14ac:dyDescent="0.35">
      <c r="A249" t="s">
        <v>8520</v>
      </c>
      <c r="B249" s="3" t="s">
        <v>102</v>
      </c>
      <c r="F249">
        <v>5</v>
      </c>
      <c r="G249" t="s">
        <v>8607</v>
      </c>
      <c r="H249">
        <v>34</v>
      </c>
      <c r="I249" t="s">
        <v>9303</v>
      </c>
      <c r="J249" t="str">
        <f t="shared" si="3"/>
        <v>13F-HR-5.34.C8</v>
      </c>
      <c r="K249" s="5" t="s">
        <v>8633</v>
      </c>
      <c r="L249" t="s">
        <v>4735</v>
      </c>
      <c r="M249" t="s">
        <v>8634</v>
      </c>
      <c r="N249" t="s">
        <v>8635</v>
      </c>
      <c r="Q249" s="28" t="s">
        <v>8632</v>
      </c>
    </row>
    <row r="250" spans="1:17" x14ac:dyDescent="0.35">
      <c r="A250" t="s">
        <v>8520</v>
      </c>
      <c r="B250" s="3" t="s">
        <v>102</v>
      </c>
      <c r="F250">
        <v>5</v>
      </c>
      <c r="G250" t="s">
        <v>8607</v>
      </c>
      <c r="H250">
        <v>35</v>
      </c>
      <c r="I250" t="s">
        <v>9304</v>
      </c>
      <c r="J250" t="str">
        <f t="shared" si="3"/>
        <v>13F-HR-5.35.C9</v>
      </c>
      <c r="K250" s="5" t="s">
        <v>8637</v>
      </c>
      <c r="L250" t="s">
        <v>229</v>
      </c>
      <c r="M250" t="s">
        <v>8638</v>
      </c>
      <c r="N250" t="s">
        <v>8639</v>
      </c>
      <c r="Q250" s="28" t="s">
        <v>8636</v>
      </c>
    </row>
    <row r="251" spans="1:17" x14ac:dyDescent="0.35">
      <c r="A251" t="s">
        <v>8520</v>
      </c>
      <c r="B251" s="3" t="s">
        <v>102</v>
      </c>
      <c r="F251">
        <v>5</v>
      </c>
      <c r="G251" t="s">
        <v>8607</v>
      </c>
      <c r="H251">
        <v>36</v>
      </c>
      <c r="I251" t="s">
        <v>9305</v>
      </c>
      <c r="J251" t="str">
        <f t="shared" si="3"/>
        <v>13F-HR-5.36.C10</v>
      </c>
      <c r="K251" s="5" t="s">
        <v>8640</v>
      </c>
      <c r="L251" t="s">
        <v>241</v>
      </c>
      <c r="M251" t="s">
        <v>8641</v>
      </c>
      <c r="N251" t="s">
        <v>8642</v>
      </c>
      <c r="Q251" s="28">
        <v>25999</v>
      </c>
    </row>
    <row r="252" spans="1:17" x14ac:dyDescent="0.35">
      <c r="A252" t="s">
        <v>8520</v>
      </c>
      <c r="B252" s="3" t="s">
        <v>102</v>
      </c>
      <c r="F252">
        <v>5</v>
      </c>
      <c r="G252" t="s">
        <v>8607</v>
      </c>
      <c r="H252">
        <v>37</v>
      </c>
      <c r="I252" t="s">
        <v>9306</v>
      </c>
      <c r="J252" t="str">
        <f t="shared" si="3"/>
        <v>13F-HR-5.37.C11</v>
      </c>
      <c r="K252" s="5" t="s">
        <v>8643</v>
      </c>
      <c r="L252" t="s">
        <v>241</v>
      </c>
      <c r="M252" t="s">
        <v>8644</v>
      </c>
      <c r="N252" t="s">
        <v>8645</v>
      </c>
      <c r="Q252" s="28">
        <v>0</v>
      </c>
    </row>
    <row r="253" spans="1:17" x14ac:dyDescent="0.35">
      <c r="A253" t="s">
        <v>8520</v>
      </c>
      <c r="B253" s="3" t="s">
        <v>102</v>
      </c>
      <c r="F253">
        <v>5</v>
      </c>
      <c r="G253" t="s">
        <v>8607</v>
      </c>
      <c r="H253">
        <v>38</v>
      </c>
      <c r="I253" t="s">
        <v>9307</v>
      </c>
      <c r="J253" t="str">
        <f t="shared" si="3"/>
        <v>13F-HR-5.38.C12</v>
      </c>
      <c r="K253" s="5" t="s">
        <v>8646</v>
      </c>
      <c r="L253" t="s">
        <v>241</v>
      </c>
      <c r="M253" t="s">
        <v>8647</v>
      </c>
      <c r="N253" t="s">
        <v>8648</v>
      </c>
      <c r="Q253" s="28">
        <v>28553</v>
      </c>
    </row>
    <row r="254" spans="1:17" x14ac:dyDescent="0.35">
      <c r="A254" t="s">
        <v>8520</v>
      </c>
      <c r="B254" s="3" t="s">
        <v>102</v>
      </c>
      <c r="F254">
        <v>5</v>
      </c>
      <c r="G254" t="s">
        <v>8607</v>
      </c>
      <c r="H254">
        <v>27</v>
      </c>
      <c r="I254" t="s">
        <v>9296</v>
      </c>
      <c r="J254" t="str">
        <f t="shared" si="3"/>
        <v>13F-HR-5.27.C1</v>
      </c>
      <c r="K254" s="5" t="s">
        <v>8608</v>
      </c>
      <c r="L254" t="s">
        <v>229</v>
      </c>
      <c r="M254" t="s">
        <v>8609</v>
      </c>
      <c r="N254" t="s">
        <v>8610</v>
      </c>
      <c r="Q254" s="28" t="s">
        <v>8686</v>
      </c>
    </row>
    <row r="255" spans="1:17" x14ac:dyDescent="0.35">
      <c r="A255" t="s">
        <v>8520</v>
      </c>
      <c r="B255" s="3" t="s">
        <v>102</v>
      </c>
      <c r="F255">
        <v>5</v>
      </c>
      <c r="G255" t="s">
        <v>8607</v>
      </c>
      <c r="H255">
        <v>28</v>
      </c>
      <c r="I255" t="s">
        <v>9297</v>
      </c>
      <c r="J255" t="str">
        <f t="shared" si="3"/>
        <v>13F-HR-5.28.C2</v>
      </c>
      <c r="K255" s="5" t="s">
        <v>8612</v>
      </c>
      <c r="L255" t="s">
        <v>229</v>
      </c>
      <c r="M255" t="s">
        <v>8613</v>
      </c>
      <c r="N255" t="s">
        <v>8614</v>
      </c>
      <c r="Q255" s="28" t="s">
        <v>8615</v>
      </c>
    </row>
    <row r="256" spans="1:17" x14ac:dyDescent="0.35">
      <c r="A256" t="s">
        <v>8520</v>
      </c>
      <c r="B256" s="3" t="s">
        <v>102</v>
      </c>
      <c r="F256">
        <v>5</v>
      </c>
      <c r="G256" t="s">
        <v>8607</v>
      </c>
      <c r="H256">
        <v>29</v>
      </c>
      <c r="I256" t="s">
        <v>9298</v>
      </c>
      <c r="J256" t="str">
        <f t="shared" si="3"/>
        <v>13F-HR-5.29.C3</v>
      </c>
      <c r="K256" s="5" t="s">
        <v>8616</v>
      </c>
      <c r="L256" t="s">
        <v>229</v>
      </c>
      <c r="M256" t="s">
        <v>7927</v>
      </c>
      <c r="N256" t="s">
        <v>8617</v>
      </c>
      <c r="Q256" s="28" t="s">
        <v>8687</v>
      </c>
    </row>
    <row r="257" spans="1:17" x14ac:dyDescent="0.35">
      <c r="A257" t="s">
        <v>8520</v>
      </c>
      <c r="B257" s="3" t="s">
        <v>102</v>
      </c>
      <c r="F257">
        <v>5</v>
      </c>
      <c r="G257" t="s">
        <v>8607</v>
      </c>
      <c r="H257">
        <v>30</v>
      </c>
      <c r="I257" t="s">
        <v>9299</v>
      </c>
      <c r="J257" t="str">
        <f t="shared" si="3"/>
        <v>13F-HR-5.30.C4</v>
      </c>
      <c r="K257" s="5" t="s">
        <v>8618</v>
      </c>
      <c r="L257" t="s">
        <v>8619</v>
      </c>
      <c r="M257" t="s">
        <v>8620</v>
      </c>
      <c r="N257" t="s">
        <v>8621</v>
      </c>
      <c r="Q257" s="28">
        <v>13403687</v>
      </c>
    </row>
    <row r="258" spans="1:17" x14ac:dyDescent="0.35">
      <c r="A258" t="s">
        <v>8520</v>
      </c>
      <c r="B258" s="3" t="s">
        <v>102</v>
      </c>
      <c r="F258">
        <v>5</v>
      </c>
      <c r="G258" t="s">
        <v>8607</v>
      </c>
      <c r="H258">
        <v>31</v>
      </c>
      <c r="I258" t="s">
        <v>9300</v>
      </c>
      <c r="J258" t="str">
        <f t="shared" si="3"/>
        <v>13F-HR-5.31.C5</v>
      </c>
      <c r="K258" s="5" t="s">
        <v>8622</v>
      </c>
      <c r="L258" t="s">
        <v>241</v>
      </c>
      <c r="M258" t="s">
        <v>8623</v>
      </c>
      <c r="N258" t="s">
        <v>8624</v>
      </c>
      <c r="Q258" s="28">
        <v>97880</v>
      </c>
    </row>
    <row r="259" spans="1:17" x14ac:dyDescent="0.35">
      <c r="A259" t="s">
        <v>8520</v>
      </c>
      <c r="B259" s="3" t="s">
        <v>102</v>
      </c>
      <c r="F259">
        <v>5</v>
      </c>
      <c r="G259" t="s">
        <v>8607</v>
      </c>
      <c r="H259">
        <v>32</v>
      </c>
      <c r="I259" t="s">
        <v>9301</v>
      </c>
      <c r="J259" t="str">
        <f t="shared" ref="J259:J322" si="4">_xlfn.CONCAT(A259,"-",F259,".",H259,".",I259)</f>
        <v>13F-HR-5.32.C6</v>
      </c>
      <c r="K259" s="5" t="s">
        <v>8625</v>
      </c>
      <c r="L259" t="s">
        <v>229</v>
      </c>
      <c r="M259" t="s">
        <v>8626</v>
      </c>
      <c r="N259" t="s">
        <v>8627</v>
      </c>
      <c r="Q259" s="28" t="s">
        <v>8628</v>
      </c>
    </row>
    <row r="260" spans="1:17" x14ac:dyDescent="0.35">
      <c r="A260" t="s">
        <v>8520</v>
      </c>
      <c r="B260" s="3" t="s">
        <v>102</v>
      </c>
      <c r="F260">
        <v>5</v>
      </c>
      <c r="G260" t="s">
        <v>8607</v>
      </c>
      <c r="H260">
        <v>33</v>
      </c>
      <c r="I260" t="s">
        <v>9302</v>
      </c>
      <c r="J260" t="str">
        <f t="shared" si="4"/>
        <v>13F-HR-5.33.C7</v>
      </c>
      <c r="K260" s="5" t="s">
        <v>8629</v>
      </c>
      <c r="L260" t="s">
        <v>229</v>
      </c>
      <c r="M260" t="s">
        <v>8630</v>
      </c>
      <c r="N260" t="s">
        <v>8631</v>
      </c>
      <c r="Q260" s="28" t="s">
        <v>8685</v>
      </c>
    </row>
    <row r="261" spans="1:17" x14ac:dyDescent="0.35">
      <c r="A261" t="s">
        <v>8520</v>
      </c>
      <c r="B261" s="3" t="s">
        <v>102</v>
      </c>
      <c r="F261">
        <v>5</v>
      </c>
      <c r="G261" t="s">
        <v>8607</v>
      </c>
      <c r="H261">
        <v>34</v>
      </c>
      <c r="I261" t="s">
        <v>9303</v>
      </c>
      <c r="J261" t="str">
        <f t="shared" si="4"/>
        <v>13F-HR-5.34.C8</v>
      </c>
      <c r="K261" s="5" t="s">
        <v>8633</v>
      </c>
      <c r="L261" t="s">
        <v>4735</v>
      </c>
      <c r="M261" t="s">
        <v>8634</v>
      </c>
      <c r="N261" t="s">
        <v>8635</v>
      </c>
      <c r="Q261" s="28" t="s">
        <v>8632</v>
      </c>
    </row>
    <row r="262" spans="1:17" x14ac:dyDescent="0.35">
      <c r="A262" t="s">
        <v>8520</v>
      </c>
      <c r="B262" s="3" t="s">
        <v>102</v>
      </c>
      <c r="F262">
        <v>5</v>
      </c>
      <c r="G262" t="s">
        <v>8607</v>
      </c>
      <c r="H262">
        <v>35</v>
      </c>
      <c r="I262" t="s">
        <v>9304</v>
      </c>
      <c r="J262" t="str">
        <f t="shared" si="4"/>
        <v>13F-HR-5.35.C9</v>
      </c>
      <c r="K262" s="5" t="s">
        <v>8637</v>
      </c>
      <c r="L262" t="s">
        <v>229</v>
      </c>
      <c r="M262" t="s">
        <v>8638</v>
      </c>
      <c r="N262" t="s">
        <v>8639</v>
      </c>
      <c r="Q262" s="28" t="s">
        <v>8636</v>
      </c>
    </row>
    <row r="263" spans="1:17" x14ac:dyDescent="0.35">
      <c r="A263" t="s">
        <v>8520</v>
      </c>
      <c r="B263" s="3" t="s">
        <v>102</v>
      </c>
      <c r="F263">
        <v>5</v>
      </c>
      <c r="G263" t="s">
        <v>8607</v>
      </c>
      <c r="H263">
        <v>36</v>
      </c>
      <c r="I263" t="s">
        <v>9305</v>
      </c>
      <c r="J263" t="str">
        <f t="shared" si="4"/>
        <v>13F-HR-5.36.C10</v>
      </c>
      <c r="K263" s="5" t="s">
        <v>8640</v>
      </c>
      <c r="L263" t="s">
        <v>241</v>
      </c>
      <c r="M263" t="s">
        <v>8641</v>
      </c>
      <c r="N263" t="s">
        <v>8642</v>
      </c>
      <c r="Q263" s="28">
        <v>0</v>
      </c>
    </row>
    <row r="264" spans="1:17" x14ac:dyDescent="0.35">
      <c r="A264" t="s">
        <v>8520</v>
      </c>
      <c r="B264" s="3" t="s">
        <v>102</v>
      </c>
      <c r="F264">
        <v>5</v>
      </c>
      <c r="G264" t="s">
        <v>8607</v>
      </c>
      <c r="H264">
        <v>37</v>
      </c>
      <c r="I264" t="s">
        <v>9306</v>
      </c>
      <c r="J264" t="str">
        <f t="shared" si="4"/>
        <v>13F-HR-5.37.C11</v>
      </c>
      <c r="K264" s="5" t="s">
        <v>8643</v>
      </c>
      <c r="L264" t="s">
        <v>241</v>
      </c>
      <c r="M264" t="s">
        <v>8644</v>
      </c>
      <c r="N264" t="s">
        <v>8645</v>
      </c>
      <c r="Q264" s="28">
        <v>0</v>
      </c>
    </row>
    <row r="265" spans="1:17" x14ac:dyDescent="0.35">
      <c r="A265" t="s">
        <v>8520</v>
      </c>
      <c r="B265" s="3" t="s">
        <v>102</v>
      </c>
      <c r="F265">
        <v>5</v>
      </c>
      <c r="G265" t="s">
        <v>8607</v>
      </c>
      <c r="H265">
        <v>38</v>
      </c>
      <c r="I265" t="s">
        <v>9307</v>
      </c>
      <c r="J265" t="str">
        <f t="shared" si="4"/>
        <v>13F-HR-5.38.C12</v>
      </c>
      <c r="K265" s="5" t="s">
        <v>8646</v>
      </c>
      <c r="L265" t="s">
        <v>241</v>
      </c>
      <c r="M265" t="s">
        <v>8647</v>
      </c>
      <c r="N265" t="s">
        <v>8648</v>
      </c>
      <c r="Q265" s="28">
        <v>97880</v>
      </c>
    </row>
    <row r="266" spans="1:17" x14ac:dyDescent="0.35">
      <c r="A266" t="s">
        <v>8520</v>
      </c>
      <c r="B266" s="3" t="s">
        <v>102</v>
      </c>
      <c r="F266">
        <v>5</v>
      </c>
      <c r="G266" t="s">
        <v>8607</v>
      </c>
      <c r="H266">
        <v>27</v>
      </c>
      <c r="I266" t="s">
        <v>9296</v>
      </c>
      <c r="J266" t="str">
        <f t="shared" si="4"/>
        <v>13F-HR-5.27.C1</v>
      </c>
      <c r="K266" s="5" t="s">
        <v>8608</v>
      </c>
      <c r="L266" t="s">
        <v>229</v>
      </c>
      <c r="M266" t="s">
        <v>8609</v>
      </c>
      <c r="N266" t="s">
        <v>8610</v>
      </c>
      <c r="Q266" s="28" t="s">
        <v>8686</v>
      </c>
    </row>
    <row r="267" spans="1:17" x14ac:dyDescent="0.35">
      <c r="A267" t="s">
        <v>8520</v>
      </c>
      <c r="B267" s="3" t="s">
        <v>102</v>
      </c>
      <c r="F267">
        <v>5</v>
      </c>
      <c r="G267" t="s">
        <v>8607</v>
      </c>
      <c r="H267">
        <v>28</v>
      </c>
      <c r="I267" t="s">
        <v>9297</v>
      </c>
      <c r="J267" t="str">
        <f t="shared" si="4"/>
        <v>13F-HR-5.28.C2</v>
      </c>
      <c r="K267" s="5" t="s">
        <v>8612</v>
      </c>
      <c r="L267" t="s">
        <v>229</v>
      </c>
      <c r="M267" t="s">
        <v>8613</v>
      </c>
      <c r="N267" t="s">
        <v>8614</v>
      </c>
      <c r="Q267" s="28" t="s">
        <v>8688</v>
      </c>
    </row>
    <row r="268" spans="1:17" x14ac:dyDescent="0.35">
      <c r="A268" t="s">
        <v>8520</v>
      </c>
      <c r="B268" s="3" t="s">
        <v>102</v>
      </c>
      <c r="F268">
        <v>5</v>
      </c>
      <c r="G268" t="s">
        <v>8607</v>
      </c>
      <c r="H268">
        <v>29</v>
      </c>
      <c r="I268" t="s">
        <v>9298</v>
      </c>
      <c r="J268" t="str">
        <f t="shared" si="4"/>
        <v>13F-HR-5.29.C3</v>
      </c>
      <c r="K268" s="5" t="s">
        <v>8616</v>
      </c>
      <c r="L268" t="s">
        <v>229</v>
      </c>
      <c r="M268" t="s">
        <v>7927</v>
      </c>
      <c r="N268" t="s">
        <v>8617</v>
      </c>
      <c r="Q268" s="28" t="s">
        <v>8689</v>
      </c>
    </row>
    <row r="269" spans="1:17" x14ac:dyDescent="0.35">
      <c r="A269" t="s">
        <v>8520</v>
      </c>
      <c r="B269" s="3" t="s">
        <v>102</v>
      </c>
      <c r="F269">
        <v>5</v>
      </c>
      <c r="G269" t="s">
        <v>8607</v>
      </c>
      <c r="H269">
        <v>30</v>
      </c>
      <c r="I269" t="s">
        <v>9299</v>
      </c>
      <c r="J269" t="str">
        <f t="shared" si="4"/>
        <v>13F-HR-5.30.C4</v>
      </c>
      <c r="K269" s="5" t="s">
        <v>8618</v>
      </c>
      <c r="L269" t="s">
        <v>8619</v>
      </c>
      <c r="M269" t="s">
        <v>8620</v>
      </c>
      <c r="N269" t="s">
        <v>8621</v>
      </c>
      <c r="Q269" s="28">
        <v>504321</v>
      </c>
    </row>
    <row r="270" spans="1:17" x14ac:dyDescent="0.35">
      <c r="A270" t="s">
        <v>8520</v>
      </c>
      <c r="B270" s="3" t="s">
        <v>102</v>
      </c>
      <c r="F270">
        <v>5</v>
      </c>
      <c r="G270" t="s">
        <v>8607</v>
      </c>
      <c r="H270">
        <v>31</v>
      </c>
      <c r="I270" t="s">
        <v>9300</v>
      </c>
      <c r="J270" t="str">
        <f t="shared" si="4"/>
        <v>13F-HR-5.31.C5</v>
      </c>
      <c r="K270" s="5" t="s">
        <v>8622</v>
      </c>
      <c r="L270" t="s">
        <v>241</v>
      </c>
      <c r="M270" t="s">
        <v>8623</v>
      </c>
      <c r="N270" t="s">
        <v>8624</v>
      </c>
      <c r="Q270" s="28">
        <v>6900</v>
      </c>
    </row>
    <row r="271" spans="1:17" x14ac:dyDescent="0.35">
      <c r="A271" t="s">
        <v>8520</v>
      </c>
      <c r="B271" s="3" t="s">
        <v>102</v>
      </c>
      <c r="F271">
        <v>5</v>
      </c>
      <c r="G271" t="s">
        <v>8607</v>
      </c>
      <c r="H271">
        <v>32</v>
      </c>
      <c r="I271" t="s">
        <v>9301</v>
      </c>
      <c r="J271" t="str">
        <f t="shared" si="4"/>
        <v>13F-HR-5.32.C6</v>
      </c>
      <c r="K271" s="5" t="s">
        <v>8625</v>
      </c>
      <c r="L271" t="s">
        <v>229</v>
      </c>
      <c r="M271" t="s">
        <v>8626</v>
      </c>
      <c r="N271" t="s">
        <v>8627</v>
      </c>
      <c r="Q271" s="28" t="s">
        <v>8628</v>
      </c>
    </row>
    <row r="272" spans="1:17" x14ac:dyDescent="0.35">
      <c r="A272" t="s">
        <v>8520</v>
      </c>
      <c r="B272" s="3" t="s">
        <v>102</v>
      </c>
      <c r="F272">
        <v>5</v>
      </c>
      <c r="G272" t="s">
        <v>8607</v>
      </c>
      <c r="H272">
        <v>33</v>
      </c>
      <c r="I272" t="s">
        <v>9302</v>
      </c>
      <c r="J272" t="str">
        <f t="shared" si="4"/>
        <v>13F-HR-5.33.C7</v>
      </c>
      <c r="K272" s="5" t="s">
        <v>8629</v>
      </c>
      <c r="L272" t="s">
        <v>229</v>
      </c>
      <c r="M272" t="s">
        <v>8630</v>
      </c>
      <c r="N272" t="s">
        <v>8631</v>
      </c>
      <c r="Q272" s="28" t="s">
        <v>8685</v>
      </c>
    </row>
    <row r="273" spans="1:17" x14ac:dyDescent="0.35">
      <c r="A273" t="s">
        <v>8520</v>
      </c>
      <c r="B273" s="3" t="s">
        <v>102</v>
      </c>
      <c r="F273">
        <v>5</v>
      </c>
      <c r="G273" t="s">
        <v>8607</v>
      </c>
      <c r="H273">
        <v>34</v>
      </c>
      <c r="I273" t="s">
        <v>9303</v>
      </c>
      <c r="J273" t="str">
        <f t="shared" si="4"/>
        <v>13F-HR-5.34.C8</v>
      </c>
      <c r="K273" s="5" t="s">
        <v>8633</v>
      </c>
      <c r="L273" t="s">
        <v>4735</v>
      </c>
      <c r="M273" t="s">
        <v>8634</v>
      </c>
      <c r="N273" t="s">
        <v>8635</v>
      </c>
      <c r="Q273" s="28" t="s">
        <v>8632</v>
      </c>
    </row>
    <row r="274" spans="1:17" x14ac:dyDescent="0.35">
      <c r="A274" t="s">
        <v>8520</v>
      </c>
      <c r="B274" s="3" t="s">
        <v>102</v>
      </c>
      <c r="F274">
        <v>5</v>
      </c>
      <c r="G274" t="s">
        <v>8607</v>
      </c>
      <c r="H274">
        <v>35</v>
      </c>
      <c r="I274" t="s">
        <v>9304</v>
      </c>
      <c r="J274" t="str">
        <f t="shared" si="4"/>
        <v>13F-HR-5.35.C9</v>
      </c>
      <c r="K274" s="5" t="s">
        <v>8637</v>
      </c>
      <c r="L274" t="s">
        <v>229</v>
      </c>
      <c r="M274" t="s">
        <v>8638</v>
      </c>
      <c r="N274" t="s">
        <v>8639</v>
      </c>
      <c r="Q274" s="28" t="s">
        <v>8636</v>
      </c>
    </row>
    <row r="275" spans="1:17" x14ac:dyDescent="0.35">
      <c r="A275" t="s">
        <v>8520</v>
      </c>
      <c r="B275" s="3" t="s">
        <v>102</v>
      </c>
      <c r="F275">
        <v>5</v>
      </c>
      <c r="G275" t="s">
        <v>8607</v>
      </c>
      <c r="H275">
        <v>36</v>
      </c>
      <c r="I275" t="s">
        <v>9305</v>
      </c>
      <c r="J275" t="str">
        <f t="shared" si="4"/>
        <v>13F-HR-5.36.C10</v>
      </c>
      <c r="K275" s="5" t="s">
        <v>8640</v>
      </c>
      <c r="L275" t="s">
        <v>241</v>
      </c>
      <c r="M275" t="s">
        <v>8641</v>
      </c>
      <c r="N275" t="s">
        <v>8642</v>
      </c>
      <c r="Q275" s="28">
        <v>0</v>
      </c>
    </row>
    <row r="276" spans="1:17" x14ac:dyDescent="0.35">
      <c r="A276" t="s">
        <v>8520</v>
      </c>
      <c r="B276" s="3" t="s">
        <v>102</v>
      </c>
      <c r="F276">
        <v>5</v>
      </c>
      <c r="G276" t="s">
        <v>8607</v>
      </c>
      <c r="H276">
        <v>37</v>
      </c>
      <c r="I276" t="s">
        <v>9306</v>
      </c>
      <c r="J276" t="str">
        <f t="shared" si="4"/>
        <v>13F-HR-5.37.C11</v>
      </c>
      <c r="K276" s="5" t="s">
        <v>8643</v>
      </c>
      <c r="L276" t="s">
        <v>241</v>
      </c>
      <c r="M276" t="s">
        <v>8644</v>
      </c>
      <c r="N276" t="s">
        <v>8645</v>
      </c>
      <c r="Q276" s="28">
        <v>0</v>
      </c>
    </row>
    <row r="277" spans="1:17" x14ac:dyDescent="0.35">
      <c r="A277" t="s">
        <v>8520</v>
      </c>
      <c r="B277" s="3" t="s">
        <v>102</v>
      </c>
      <c r="F277">
        <v>5</v>
      </c>
      <c r="G277" t="s">
        <v>8607</v>
      </c>
      <c r="H277">
        <v>38</v>
      </c>
      <c r="I277" t="s">
        <v>9307</v>
      </c>
      <c r="J277" t="str">
        <f t="shared" si="4"/>
        <v>13F-HR-5.38.C12</v>
      </c>
      <c r="K277" s="5" t="s">
        <v>8646</v>
      </c>
      <c r="L277" t="s">
        <v>241</v>
      </c>
      <c r="M277" t="s">
        <v>8647</v>
      </c>
      <c r="N277" t="s">
        <v>8648</v>
      </c>
      <c r="Q277" s="28">
        <v>6900</v>
      </c>
    </row>
    <row r="278" spans="1:17" x14ac:dyDescent="0.35">
      <c r="A278" t="s">
        <v>8520</v>
      </c>
      <c r="B278" s="3" t="s">
        <v>102</v>
      </c>
      <c r="F278">
        <v>5</v>
      </c>
      <c r="G278" t="s">
        <v>8607</v>
      </c>
      <c r="H278">
        <v>27</v>
      </c>
      <c r="I278" t="s">
        <v>9296</v>
      </c>
      <c r="J278" t="str">
        <f t="shared" si="4"/>
        <v>13F-HR-5.27.C1</v>
      </c>
      <c r="K278" s="5" t="s">
        <v>8608</v>
      </c>
      <c r="L278" t="s">
        <v>229</v>
      </c>
      <c r="M278" t="s">
        <v>8609</v>
      </c>
      <c r="N278" t="s">
        <v>8610</v>
      </c>
      <c r="Q278" s="28" t="s">
        <v>8690</v>
      </c>
    </row>
    <row r="279" spans="1:17" x14ac:dyDescent="0.35">
      <c r="A279" t="s">
        <v>8520</v>
      </c>
      <c r="B279" s="3" t="s">
        <v>102</v>
      </c>
      <c r="F279">
        <v>5</v>
      </c>
      <c r="G279" t="s">
        <v>8607</v>
      </c>
      <c r="H279">
        <v>28</v>
      </c>
      <c r="I279" t="s">
        <v>9297</v>
      </c>
      <c r="J279" t="str">
        <f t="shared" si="4"/>
        <v>13F-HR-5.28.C2</v>
      </c>
      <c r="K279" s="5" t="s">
        <v>8612</v>
      </c>
      <c r="L279" t="s">
        <v>229</v>
      </c>
      <c r="M279" t="s">
        <v>8613</v>
      </c>
      <c r="N279" t="s">
        <v>8614</v>
      </c>
      <c r="Q279" s="28" t="s">
        <v>8615</v>
      </c>
    </row>
    <row r="280" spans="1:17" x14ac:dyDescent="0.35">
      <c r="A280" t="s">
        <v>8520</v>
      </c>
      <c r="B280" s="3" t="s">
        <v>102</v>
      </c>
      <c r="F280">
        <v>5</v>
      </c>
      <c r="G280" t="s">
        <v>8607</v>
      </c>
      <c r="H280">
        <v>29</v>
      </c>
      <c r="I280" t="s">
        <v>9298</v>
      </c>
      <c r="J280" t="str">
        <f t="shared" si="4"/>
        <v>13F-HR-5.29.C3</v>
      </c>
      <c r="K280" s="5" t="s">
        <v>8616</v>
      </c>
      <c r="L280" t="s">
        <v>229</v>
      </c>
      <c r="M280" t="s">
        <v>7927</v>
      </c>
      <c r="N280" t="s">
        <v>8617</v>
      </c>
      <c r="Q280" s="28">
        <v>37833100</v>
      </c>
    </row>
    <row r="281" spans="1:17" x14ac:dyDescent="0.35">
      <c r="A281" t="s">
        <v>8520</v>
      </c>
      <c r="B281" s="3" t="s">
        <v>102</v>
      </c>
      <c r="F281">
        <v>5</v>
      </c>
      <c r="G281" t="s">
        <v>8607</v>
      </c>
      <c r="H281">
        <v>30</v>
      </c>
      <c r="I281" t="s">
        <v>9299</v>
      </c>
      <c r="J281" t="str">
        <f t="shared" si="4"/>
        <v>13F-HR-5.30.C4</v>
      </c>
      <c r="K281" s="5" t="s">
        <v>8618</v>
      </c>
      <c r="L281" t="s">
        <v>8619</v>
      </c>
      <c r="M281" t="s">
        <v>8620</v>
      </c>
      <c r="N281" t="s">
        <v>8621</v>
      </c>
      <c r="Q281" s="28">
        <v>170762215</v>
      </c>
    </row>
    <row r="282" spans="1:17" x14ac:dyDescent="0.35">
      <c r="A282" t="s">
        <v>8520</v>
      </c>
      <c r="B282" s="3" t="s">
        <v>102</v>
      </c>
      <c r="F282">
        <v>5</v>
      </c>
      <c r="G282" t="s">
        <v>8607</v>
      </c>
      <c r="H282">
        <v>31</v>
      </c>
      <c r="I282" t="s">
        <v>9300</v>
      </c>
      <c r="J282" t="str">
        <f t="shared" si="4"/>
        <v>13F-HR-5.31.C5</v>
      </c>
      <c r="K282" s="5" t="s">
        <v>8622</v>
      </c>
      <c r="L282" t="s">
        <v>241</v>
      </c>
      <c r="M282" t="s">
        <v>8623</v>
      </c>
      <c r="N282" t="s">
        <v>8624</v>
      </c>
      <c r="Q282" s="28">
        <v>768749</v>
      </c>
    </row>
    <row r="283" spans="1:17" x14ac:dyDescent="0.35">
      <c r="A283" t="s">
        <v>8520</v>
      </c>
      <c r="B283" s="3" t="s">
        <v>102</v>
      </c>
      <c r="F283">
        <v>5</v>
      </c>
      <c r="G283" t="s">
        <v>8607</v>
      </c>
      <c r="H283">
        <v>32</v>
      </c>
      <c r="I283" t="s">
        <v>9301</v>
      </c>
      <c r="J283" t="str">
        <f t="shared" si="4"/>
        <v>13F-HR-5.32.C6</v>
      </c>
      <c r="K283" s="5" t="s">
        <v>8625</v>
      </c>
      <c r="L283" t="s">
        <v>229</v>
      </c>
      <c r="M283" t="s">
        <v>8626</v>
      </c>
      <c r="N283" t="s">
        <v>8627</v>
      </c>
      <c r="Q283" s="28" t="s">
        <v>8628</v>
      </c>
    </row>
    <row r="284" spans="1:17" x14ac:dyDescent="0.35">
      <c r="A284" t="s">
        <v>8520</v>
      </c>
      <c r="B284" s="3" t="s">
        <v>102</v>
      </c>
      <c r="F284">
        <v>5</v>
      </c>
      <c r="G284" t="s">
        <v>8607</v>
      </c>
      <c r="H284">
        <v>33</v>
      </c>
      <c r="I284" t="s">
        <v>9302</v>
      </c>
      <c r="J284" t="str">
        <f t="shared" si="4"/>
        <v>13F-HR-5.33.C7</v>
      </c>
      <c r="K284" s="5" t="s">
        <v>8629</v>
      </c>
      <c r="L284" t="s">
        <v>229</v>
      </c>
      <c r="M284" t="s">
        <v>8630</v>
      </c>
      <c r="N284" t="s">
        <v>8631</v>
      </c>
      <c r="Q284" s="28" t="s">
        <v>8685</v>
      </c>
    </row>
    <row r="285" spans="1:17" x14ac:dyDescent="0.35">
      <c r="A285" t="s">
        <v>8520</v>
      </c>
      <c r="B285" s="3" t="s">
        <v>102</v>
      </c>
      <c r="F285">
        <v>5</v>
      </c>
      <c r="G285" t="s">
        <v>8607</v>
      </c>
      <c r="H285">
        <v>34</v>
      </c>
      <c r="I285" t="s">
        <v>9303</v>
      </c>
      <c r="J285" t="str">
        <f t="shared" si="4"/>
        <v>13F-HR-5.34.C8</v>
      </c>
      <c r="K285" s="5" t="s">
        <v>8633</v>
      </c>
      <c r="L285" t="s">
        <v>4735</v>
      </c>
      <c r="M285" t="s">
        <v>8634</v>
      </c>
      <c r="N285" t="s">
        <v>8635</v>
      </c>
      <c r="Q285" s="28" t="s">
        <v>8632</v>
      </c>
    </row>
    <row r="286" spans="1:17" x14ac:dyDescent="0.35">
      <c r="A286" t="s">
        <v>8520</v>
      </c>
      <c r="B286" s="3" t="s">
        <v>102</v>
      </c>
      <c r="F286">
        <v>5</v>
      </c>
      <c r="G286" t="s">
        <v>8607</v>
      </c>
      <c r="H286">
        <v>35</v>
      </c>
      <c r="I286" t="s">
        <v>9304</v>
      </c>
      <c r="J286" t="str">
        <f t="shared" si="4"/>
        <v>13F-HR-5.35.C9</v>
      </c>
      <c r="K286" s="5" t="s">
        <v>8637</v>
      </c>
      <c r="L286" t="s">
        <v>229</v>
      </c>
      <c r="M286" t="s">
        <v>8638</v>
      </c>
      <c r="N286" t="s">
        <v>8639</v>
      </c>
      <c r="Q286" s="28" t="s">
        <v>8636</v>
      </c>
    </row>
    <row r="287" spans="1:17" x14ac:dyDescent="0.35">
      <c r="A287" t="s">
        <v>8520</v>
      </c>
      <c r="B287" s="3" t="s">
        <v>102</v>
      </c>
      <c r="F287">
        <v>5</v>
      </c>
      <c r="G287" t="s">
        <v>8607</v>
      </c>
      <c r="H287">
        <v>36</v>
      </c>
      <c r="I287" t="s">
        <v>9305</v>
      </c>
      <c r="J287" t="str">
        <f t="shared" si="4"/>
        <v>13F-HR-5.36.C10</v>
      </c>
      <c r="K287" s="5" t="s">
        <v>8640</v>
      </c>
      <c r="L287" t="s">
        <v>241</v>
      </c>
      <c r="M287" t="s">
        <v>8641</v>
      </c>
      <c r="N287" t="s">
        <v>8642</v>
      </c>
      <c r="Q287" s="28">
        <v>476559</v>
      </c>
    </row>
    <row r="288" spans="1:17" x14ac:dyDescent="0.35">
      <c r="A288" t="s">
        <v>8520</v>
      </c>
      <c r="B288" s="3" t="s">
        <v>102</v>
      </c>
      <c r="F288">
        <v>5</v>
      </c>
      <c r="G288" t="s">
        <v>8607</v>
      </c>
      <c r="H288">
        <v>37</v>
      </c>
      <c r="I288" t="s">
        <v>9306</v>
      </c>
      <c r="J288" t="str">
        <f t="shared" si="4"/>
        <v>13F-HR-5.37.C11</v>
      </c>
      <c r="K288" s="5" t="s">
        <v>8643</v>
      </c>
      <c r="L288" t="s">
        <v>241</v>
      </c>
      <c r="M288" t="s">
        <v>8644</v>
      </c>
      <c r="N288" t="s">
        <v>8645</v>
      </c>
      <c r="Q288" s="28">
        <v>0</v>
      </c>
    </row>
    <row r="289" spans="1:17" x14ac:dyDescent="0.35">
      <c r="A289" t="s">
        <v>8520</v>
      </c>
      <c r="B289" s="3" t="s">
        <v>102</v>
      </c>
      <c r="F289">
        <v>5</v>
      </c>
      <c r="G289" t="s">
        <v>8607</v>
      </c>
      <c r="H289">
        <v>38</v>
      </c>
      <c r="I289" t="s">
        <v>9307</v>
      </c>
      <c r="J289" t="str">
        <f t="shared" si="4"/>
        <v>13F-HR-5.38.C12</v>
      </c>
      <c r="K289" s="5" t="s">
        <v>8646</v>
      </c>
      <c r="L289" t="s">
        <v>241</v>
      </c>
      <c r="M289" t="s">
        <v>8647</v>
      </c>
      <c r="N289" t="s">
        <v>8648</v>
      </c>
      <c r="Q289" s="28">
        <v>292190</v>
      </c>
    </row>
    <row r="290" spans="1:17" x14ac:dyDescent="0.35">
      <c r="A290" t="s">
        <v>8520</v>
      </c>
      <c r="B290" s="3" t="s">
        <v>102</v>
      </c>
      <c r="F290">
        <v>5</v>
      </c>
      <c r="G290" t="s">
        <v>8607</v>
      </c>
      <c r="H290">
        <v>27</v>
      </c>
      <c r="I290" t="s">
        <v>9296</v>
      </c>
      <c r="J290" t="str">
        <f t="shared" si="4"/>
        <v>13F-HR-5.27.C1</v>
      </c>
      <c r="K290" s="5" t="s">
        <v>8608</v>
      </c>
      <c r="L290" t="s">
        <v>229</v>
      </c>
      <c r="M290" t="s">
        <v>8609</v>
      </c>
      <c r="N290" t="s">
        <v>8610</v>
      </c>
      <c r="Q290" s="28" t="s">
        <v>8691</v>
      </c>
    </row>
    <row r="291" spans="1:17" x14ac:dyDescent="0.35">
      <c r="A291" t="s">
        <v>8520</v>
      </c>
      <c r="B291" s="3" t="s">
        <v>102</v>
      </c>
      <c r="F291">
        <v>5</v>
      </c>
      <c r="G291" t="s">
        <v>8607</v>
      </c>
      <c r="H291">
        <v>28</v>
      </c>
      <c r="I291" t="s">
        <v>9297</v>
      </c>
      <c r="J291" t="str">
        <f t="shared" si="4"/>
        <v>13F-HR-5.28.C2</v>
      </c>
      <c r="K291" s="5" t="s">
        <v>8612</v>
      </c>
      <c r="L291" t="s">
        <v>229</v>
      </c>
      <c r="M291" t="s">
        <v>8613</v>
      </c>
      <c r="N291" t="s">
        <v>8614</v>
      </c>
      <c r="Q291" s="28" t="s">
        <v>8615</v>
      </c>
    </row>
    <row r="292" spans="1:17" x14ac:dyDescent="0.35">
      <c r="A292" t="s">
        <v>8520</v>
      </c>
      <c r="B292" s="3" t="s">
        <v>102</v>
      </c>
      <c r="F292">
        <v>5</v>
      </c>
      <c r="G292" t="s">
        <v>8607</v>
      </c>
      <c r="H292">
        <v>29</v>
      </c>
      <c r="I292" t="s">
        <v>9298</v>
      </c>
      <c r="J292" t="str">
        <f t="shared" si="4"/>
        <v>13F-HR-5.29.C3</v>
      </c>
      <c r="K292" s="5" t="s">
        <v>8616</v>
      </c>
      <c r="L292" t="s">
        <v>229</v>
      </c>
      <c r="M292" t="s">
        <v>7927</v>
      </c>
      <c r="N292" t="s">
        <v>8617</v>
      </c>
      <c r="Q292" s="28">
        <v>38222105</v>
      </c>
    </row>
    <row r="293" spans="1:17" x14ac:dyDescent="0.35">
      <c r="A293" t="s">
        <v>8520</v>
      </c>
      <c r="B293" s="3" t="s">
        <v>102</v>
      </c>
      <c r="F293">
        <v>5</v>
      </c>
      <c r="G293" t="s">
        <v>8607</v>
      </c>
      <c r="H293">
        <v>30</v>
      </c>
      <c r="I293" t="s">
        <v>9299</v>
      </c>
      <c r="J293" t="str">
        <f t="shared" si="4"/>
        <v>13F-HR-5.30.C4</v>
      </c>
      <c r="K293" s="5" t="s">
        <v>8618</v>
      </c>
      <c r="L293" t="s">
        <v>8619</v>
      </c>
      <c r="M293" t="s">
        <v>8620</v>
      </c>
      <c r="N293" t="s">
        <v>8621</v>
      </c>
      <c r="Q293" s="28">
        <v>20141060</v>
      </c>
    </row>
    <row r="294" spans="1:17" x14ac:dyDescent="0.35">
      <c r="A294" t="s">
        <v>8520</v>
      </c>
      <c r="B294" s="3" t="s">
        <v>102</v>
      </c>
      <c r="F294">
        <v>5</v>
      </c>
      <c r="G294" t="s">
        <v>8607</v>
      </c>
      <c r="H294">
        <v>31</v>
      </c>
      <c r="I294" t="s">
        <v>9300</v>
      </c>
      <c r="J294" t="str">
        <f t="shared" si="4"/>
        <v>13F-HR-5.31.C5</v>
      </c>
      <c r="K294" s="5" t="s">
        <v>8622</v>
      </c>
      <c r="L294" t="s">
        <v>241</v>
      </c>
      <c r="M294" t="s">
        <v>8623</v>
      </c>
      <c r="N294" t="s">
        <v>8624</v>
      </c>
      <c r="Q294" s="28">
        <v>138789</v>
      </c>
    </row>
    <row r="295" spans="1:17" x14ac:dyDescent="0.35">
      <c r="A295" t="s">
        <v>8520</v>
      </c>
      <c r="B295" s="3" t="s">
        <v>102</v>
      </c>
      <c r="F295">
        <v>5</v>
      </c>
      <c r="G295" t="s">
        <v>8607</v>
      </c>
      <c r="H295">
        <v>32</v>
      </c>
      <c r="I295" t="s">
        <v>9301</v>
      </c>
      <c r="J295" t="str">
        <f t="shared" si="4"/>
        <v>13F-HR-5.32.C6</v>
      </c>
      <c r="K295" s="5" t="s">
        <v>8625</v>
      </c>
      <c r="L295" t="s">
        <v>229</v>
      </c>
      <c r="M295" t="s">
        <v>8626</v>
      </c>
      <c r="N295" t="s">
        <v>8627</v>
      </c>
      <c r="Q295" s="28" t="s">
        <v>8628</v>
      </c>
    </row>
    <row r="296" spans="1:17" x14ac:dyDescent="0.35">
      <c r="A296" t="s">
        <v>8520</v>
      </c>
      <c r="B296" s="3" t="s">
        <v>102</v>
      </c>
      <c r="F296">
        <v>5</v>
      </c>
      <c r="G296" t="s">
        <v>8607</v>
      </c>
      <c r="H296">
        <v>33</v>
      </c>
      <c r="I296" t="s">
        <v>9302</v>
      </c>
      <c r="J296" t="str">
        <f t="shared" si="4"/>
        <v>13F-HR-5.33.C7</v>
      </c>
      <c r="K296" s="5" t="s">
        <v>8629</v>
      </c>
      <c r="L296" t="s">
        <v>229</v>
      </c>
      <c r="M296" t="s">
        <v>8630</v>
      </c>
      <c r="N296" t="s">
        <v>8631</v>
      </c>
      <c r="Q296" s="28" t="s">
        <v>8685</v>
      </c>
    </row>
    <row r="297" spans="1:17" x14ac:dyDescent="0.35">
      <c r="A297" t="s">
        <v>8520</v>
      </c>
      <c r="B297" s="3" t="s">
        <v>102</v>
      </c>
      <c r="F297">
        <v>5</v>
      </c>
      <c r="G297" t="s">
        <v>8607</v>
      </c>
      <c r="H297">
        <v>34</v>
      </c>
      <c r="I297" t="s">
        <v>9303</v>
      </c>
      <c r="J297" t="str">
        <f t="shared" si="4"/>
        <v>13F-HR-5.34.C8</v>
      </c>
      <c r="K297" s="5" t="s">
        <v>8633</v>
      </c>
      <c r="L297" t="s">
        <v>4735</v>
      </c>
      <c r="M297" t="s">
        <v>8634</v>
      </c>
      <c r="N297" t="s">
        <v>8635</v>
      </c>
      <c r="Q297" s="28" t="s">
        <v>8632</v>
      </c>
    </row>
    <row r="298" spans="1:17" x14ac:dyDescent="0.35">
      <c r="A298" t="s">
        <v>8520</v>
      </c>
      <c r="B298" s="3" t="s">
        <v>102</v>
      </c>
      <c r="F298">
        <v>5</v>
      </c>
      <c r="G298" t="s">
        <v>8607</v>
      </c>
      <c r="H298">
        <v>35</v>
      </c>
      <c r="I298" t="s">
        <v>9304</v>
      </c>
      <c r="J298" t="str">
        <f t="shared" si="4"/>
        <v>13F-HR-5.35.C9</v>
      </c>
      <c r="K298" s="5" t="s">
        <v>8637</v>
      </c>
      <c r="L298" t="s">
        <v>229</v>
      </c>
      <c r="M298" t="s">
        <v>8638</v>
      </c>
      <c r="N298" t="s">
        <v>8639</v>
      </c>
      <c r="Q298" s="28" t="s">
        <v>8636</v>
      </c>
    </row>
    <row r="299" spans="1:17" x14ac:dyDescent="0.35">
      <c r="A299" t="s">
        <v>8520</v>
      </c>
      <c r="B299" s="3" t="s">
        <v>102</v>
      </c>
      <c r="F299">
        <v>5</v>
      </c>
      <c r="G299" t="s">
        <v>8607</v>
      </c>
      <c r="H299">
        <v>36</v>
      </c>
      <c r="I299" t="s">
        <v>9305</v>
      </c>
      <c r="J299" t="str">
        <f t="shared" si="4"/>
        <v>13F-HR-5.36.C10</v>
      </c>
      <c r="K299" s="5" t="s">
        <v>8640</v>
      </c>
      <c r="L299" t="s">
        <v>241</v>
      </c>
      <c r="M299" t="s">
        <v>8641</v>
      </c>
      <c r="N299" t="s">
        <v>8642</v>
      </c>
      <c r="Q299" s="28">
        <v>58221</v>
      </c>
    </row>
    <row r="300" spans="1:17" x14ac:dyDescent="0.35">
      <c r="A300" t="s">
        <v>8520</v>
      </c>
      <c r="B300" s="3" t="s">
        <v>102</v>
      </c>
      <c r="F300">
        <v>5</v>
      </c>
      <c r="G300" t="s">
        <v>8607</v>
      </c>
      <c r="H300">
        <v>37</v>
      </c>
      <c r="I300" t="s">
        <v>9306</v>
      </c>
      <c r="J300" t="str">
        <f t="shared" si="4"/>
        <v>13F-HR-5.37.C11</v>
      </c>
      <c r="K300" s="5" t="s">
        <v>8643</v>
      </c>
      <c r="L300" t="s">
        <v>241</v>
      </c>
      <c r="M300" t="s">
        <v>8644</v>
      </c>
      <c r="N300" t="s">
        <v>8645</v>
      </c>
      <c r="Q300" s="28">
        <v>0</v>
      </c>
    </row>
    <row r="301" spans="1:17" x14ac:dyDescent="0.35">
      <c r="A301" t="s">
        <v>8520</v>
      </c>
      <c r="B301" s="3" t="s">
        <v>102</v>
      </c>
      <c r="F301">
        <v>5</v>
      </c>
      <c r="G301" t="s">
        <v>8607</v>
      </c>
      <c r="H301">
        <v>38</v>
      </c>
      <c r="I301" t="s">
        <v>9307</v>
      </c>
      <c r="J301" t="str">
        <f t="shared" si="4"/>
        <v>13F-HR-5.38.C12</v>
      </c>
      <c r="K301" s="5" t="s">
        <v>8646</v>
      </c>
      <c r="L301" t="s">
        <v>241</v>
      </c>
      <c r="M301" t="s">
        <v>8647</v>
      </c>
      <c r="N301" t="s">
        <v>8648</v>
      </c>
      <c r="Q301" s="28">
        <v>80568</v>
      </c>
    </row>
    <row r="302" spans="1:17" x14ac:dyDescent="0.35">
      <c r="A302" t="s">
        <v>8520</v>
      </c>
      <c r="B302" s="3" t="s">
        <v>102</v>
      </c>
      <c r="F302">
        <v>5</v>
      </c>
      <c r="G302" t="s">
        <v>8607</v>
      </c>
      <c r="H302">
        <v>27</v>
      </c>
      <c r="I302" t="s">
        <v>9296</v>
      </c>
      <c r="J302" t="str">
        <f t="shared" si="4"/>
        <v>13F-HR-5.27.C1</v>
      </c>
      <c r="K302" s="5" t="s">
        <v>8608</v>
      </c>
      <c r="L302" t="s">
        <v>229</v>
      </c>
      <c r="M302" t="s">
        <v>8609</v>
      </c>
      <c r="N302" t="s">
        <v>8610</v>
      </c>
      <c r="Q302" s="28" t="s">
        <v>8692</v>
      </c>
    </row>
    <row r="303" spans="1:17" x14ac:dyDescent="0.35">
      <c r="A303" t="s">
        <v>8520</v>
      </c>
      <c r="B303" s="3" t="s">
        <v>102</v>
      </c>
      <c r="F303">
        <v>5</v>
      </c>
      <c r="G303" t="s">
        <v>8607</v>
      </c>
      <c r="H303">
        <v>28</v>
      </c>
      <c r="I303" t="s">
        <v>9297</v>
      </c>
      <c r="J303" t="str">
        <f t="shared" si="4"/>
        <v>13F-HR-5.28.C2</v>
      </c>
      <c r="K303" s="5" t="s">
        <v>8612</v>
      </c>
      <c r="L303" t="s">
        <v>229</v>
      </c>
      <c r="M303" t="s">
        <v>8613</v>
      </c>
      <c r="N303" t="s">
        <v>8614</v>
      </c>
      <c r="Q303" s="28" t="s">
        <v>8615</v>
      </c>
    </row>
    <row r="304" spans="1:17" x14ac:dyDescent="0.35">
      <c r="A304" t="s">
        <v>8520</v>
      </c>
      <c r="B304" s="3" t="s">
        <v>102</v>
      </c>
      <c r="F304">
        <v>5</v>
      </c>
      <c r="G304" t="s">
        <v>8607</v>
      </c>
      <c r="H304">
        <v>29</v>
      </c>
      <c r="I304" t="s">
        <v>9298</v>
      </c>
      <c r="J304" t="str">
        <f t="shared" si="4"/>
        <v>13F-HR-5.29.C3</v>
      </c>
      <c r="K304" s="5" t="s">
        <v>8616</v>
      </c>
      <c r="L304" t="s">
        <v>229</v>
      </c>
      <c r="M304" t="s">
        <v>7927</v>
      </c>
      <c r="N304" t="s">
        <v>8617</v>
      </c>
      <c r="Q304" s="28" t="s">
        <v>8693</v>
      </c>
    </row>
    <row r="305" spans="1:17" x14ac:dyDescent="0.35">
      <c r="A305" t="s">
        <v>8520</v>
      </c>
      <c r="B305" s="3" t="s">
        <v>102</v>
      </c>
      <c r="F305">
        <v>5</v>
      </c>
      <c r="G305" t="s">
        <v>8607</v>
      </c>
      <c r="H305">
        <v>30</v>
      </c>
      <c r="I305" t="s">
        <v>9299</v>
      </c>
      <c r="J305" t="str">
        <f t="shared" si="4"/>
        <v>13F-HR-5.30.C4</v>
      </c>
      <c r="K305" s="5" t="s">
        <v>8618</v>
      </c>
      <c r="L305" t="s">
        <v>8619</v>
      </c>
      <c r="M305" t="s">
        <v>8620</v>
      </c>
      <c r="N305" t="s">
        <v>8621</v>
      </c>
      <c r="Q305" s="28">
        <v>15335890</v>
      </c>
    </row>
    <row r="306" spans="1:17" x14ac:dyDescent="0.35">
      <c r="A306" t="s">
        <v>8520</v>
      </c>
      <c r="B306" s="3" t="s">
        <v>102</v>
      </c>
      <c r="F306">
        <v>5</v>
      </c>
      <c r="G306" t="s">
        <v>8607</v>
      </c>
      <c r="H306">
        <v>31</v>
      </c>
      <c r="I306" t="s">
        <v>9300</v>
      </c>
      <c r="J306" t="str">
        <f t="shared" si="4"/>
        <v>13F-HR-5.31.C5</v>
      </c>
      <c r="K306" s="5" t="s">
        <v>8622</v>
      </c>
      <c r="L306" t="s">
        <v>241</v>
      </c>
      <c r="M306" t="s">
        <v>8623</v>
      </c>
      <c r="N306" t="s">
        <v>8624</v>
      </c>
      <c r="Q306" s="28">
        <v>444261</v>
      </c>
    </row>
    <row r="307" spans="1:17" x14ac:dyDescent="0.35">
      <c r="A307" t="s">
        <v>8520</v>
      </c>
      <c r="B307" s="3" t="s">
        <v>102</v>
      </c>
      <c r="F307">
        <v>5</v>
      </c>
      <c r="G307" t="s">
        <v>8607</v>
      </c>
      <c r="H307">
        <v>32</v>
      </c>
      <c r="I307" t="s">
        <v>9301</v>
      </c>
      <c r="J307" t="str">
        <f t="shared" si="4"/>
        <v>13F-HR-5.32.C6</v>
      </c>
      <c r="K307" s="5" t="s">
        <v>8625</v>
      </c>
      <c r="L307" t="s">
        <v>229</v>
      </c>
      <c r="M307" t="s">
        <v>8626</v>
      </c>
      <c r="N307" t="s">
        <v>8627</v>
      </c>
      <c r="Q307" s="28" t="s">
        <v>8628</v>
      </c>
    </row>
    <row r="308" spans="1:17" x14ac:dyDescent="0.35">
      <c r="A308" t="s">
        <v>8520</v>
      </c>
      <c r="B308" s="3" t="s">
        <v>102</v>
      </c>
      <c r="F308">
        <v>5</v>
      </c>
      <c r="G308" t="s">
        <v>8607</v>
      </c>
      <c r="H308">
        <v>33</v>
      </c>
      <c r="I308" t="s">
        <v>9302</v>
      </c>
      <c r="J308" t="str">
        <f t="shared" si="4"/>
        <v>13F-HR-5.33.C7</v>
      </c>
      <c r="K308" s="5" t="s">
        <v>8629</v>
      </c>
      <c r="L308" t="s">
        <v>229</v>
      </c>
      <c r="M308" t="s">
        <v>8630</v>
      </c>
      <c r="N308" t="s">
        <v>8631</v>
      </c>
      <c r="Q308" s="28" t="s">
        <v>8685</v>
      </c>
    </row>
    <row r="309" spans="1:17" x14ac:dyDescent="0.35">
      <c r="A309" t="s">
        <v>8520</v>
      </c>
      <c r="B309" s="3" t="s">
        <v>102</v>
      </c>
      <c r="F309">
        <v>5</v>
      </c>
      <c r="G309" t="s">
        <v>8607</v>
      </c>
      <c r="H309">
        <v>34</v>
      </c>
      <c r="I309" t="s">
        <v>9303</v>
      </c>
      <c r="J309" t="str">
        <f t="shared" si="4"/>
        <v>13F-HR-5.34.C8</v>
      </c>
      <c r="K309" s="5" t="s">
        <v>8633</v>
      </c>
      <c r="L309" t="s">
        <v>4735</v>
      </c>
      <c r="M309" t="s">
        <v>8634</v>
      </c>
      <c r="N309" t="s">
        <v>8635</v>
      </c>
      <c r="Q309" s="28" t="s">
        <v>8632</v>
      </c>
    </row>
    <row r="310" spans="1:17" x14ac:dyDescent="0.35">
      <c r="A310" t="s">
        <v>8520</v>
      </c>
      <c r="B310" s="3" t="s">
        <v>102</v>
      </c>
      <c r="F310">
        <v>5</v>
      </c>
      <c r="G310" t="s">
        <v>8607</v>
      </c>
      <c r="H310">
        <v>35</v>
      </c>
      <c r="I310" t="s">
        <v>9304</v>
      </c>
      <c r="J310" t="str">
        <f t="shared" si="4"/>
        <v>13F-HR-5.35.C9</v>
      </c>
      <c r="K310" s="5" t="s">
        <v>8637</v>
      </c>
      <c r="L310" t="s">
        <v>229</v>
      </c>
      <c r="M310" t="s">
        <v>8638</v>
      </c>
      <c r="N310" t="s">
        <v>8639</v>
      </c>
      <c r="Q310" s="28" t="s">
        <v>8636</v>
      </c>
    </row>
    <row r="311" spans="1:17" x14ac:dyDescent="0.35">
      <c r="A311" t="s">
        <v>8520</v>
      </c>
      <c r="B311" s="3" t="s">
        <v>102</v>
      </c>
      <c r="F311">
        <v>5</v>
      </c>
      <c r="G311" t="s">
        <v>8607</v>
      </c>
      <c r="H311">
        <v>36</v>
      </c>
      <c r="I311" t="s">
        <v>9305</v>
      </c>
      <c r="J311" t="str">
        <f t="shared" si="4"/>
        <v>13F-HR-5.36.C10</v>
      </c>
      <c r="K311" s="5" t="s">
        <v>8640</v>
      </c>
      <c r="L311" t="s">
        <v>241</v>
      </c>
      <c r="M311" t="s">
        <v>8641</v>
      </c>
      <c r="N311" t="s">
        <v>8642</v>
      </c>
      <c r="Q311" s="28">
        <v>444261</v>
      </c>
    </row>
    <row r="312" spans="1:17" x14ac:dyDescent="0.35">
      <c r="A312" t="s">
        <v>8520</v>
      </c>
      <c r="B312" s="3" t="s">
        <v>102</v>
      </c>
      <c r="F312">
        <v>5</v>
      </c>
      <c r="G312" t="s">
        <v>8607</v>
      </c>
      <c r="H312">
        <v>37</v>
      </c>
      <c r="I312" t="s">
        <v>9306</v>
      </c>
      <c r="J312" t="str">
        <f t="shared" si="4"/>
        <v>13F-HR-5.37.C11</v>
      </c>
      <c r="K312" s="5" t="s">
        <v>8643</v>
      </c>
      <c r="L312" t="s">
        <v>241</v>
      </c>
      <c r="M312" t="s">
        <v>8644</v>
      </c>
      <c r="N312" t="s">
        <v>8645</v>
      </c>
      <c r="Q312" s="28">
        <v>0</v>
      </c>
    </row>
    <row r="313" spans="1:17" x14ac:dyDescent="0.35">
      <c r="A313" t="s">
        <v>8520</v>
      </c>
      <c r="B313" s="3" t="s">
        <v>102</v>
      </c>
      <c r="F313">
        <v>5</v>
      </c>
      <c r="G313" t="s">
        <v>8607</v>
      </c>
      <c r="H313">
        <v>38</v>
      </c>
      <c r="I313" t="s">
        <v>9307</v>
      </c>
      <c r="J313" t="str">
        <f t="shared" si="4"/>
        <v>13F-HR-5.38.C12</v>
      </c>
      <c r="K313" s="5" t="s">
        <v>8646</v>
      </c>
      <c r="L313" t="s">
        <v>241</v>
      </c>
      <c r="M313" t="s">
        <v>8647</v>
      </c>
      <c r="N313" t="s">
        <v>8648</v>
      </c>
      <c r="Q313" s="28">
        <v>0</v>
      </c>
    </row>
    <row r="314" spans="1:17" x14ac:dyDescent="0.35">
      <c r="A314" t="s">
        <v>8520</v>
      </c>
      <c r="B314" s="3" t="s">
        <v>102</v>
      </c>
      <c r="F314">
        <v>5</v>
      </c>
      <c r="G314" t="s">
        <v>8607</v>
      </c>
      <c r="H314">
        <v>27</v>
      </c>
      <c r="I314" t="s">
        <v>9296</v>
      </c>
      <c r="J314" t="str">
        <f t="shared" si="4"/>
        <v>13F-HR-5.27.C1</v>
      </c>
      <c r="K314" s="5" t="s">
        <v>8608</v>
      </c>
      <c r="L314" t="s">
        <v>229</v>
      </c>
      <c r="M314" t="s">
        <v>8609</v>
      </c>
      <c r="N314" t="s">
        <v>8610</v>
      </c>
      <c r="Q314" s="28" t="s">
        <v>8694</v>
      </c>
    </row>
    <row r="315" spans="1:17" x14ac:dyDescent="0.35">
      <c r="A315" t="s">
        <v>8520</v>
      </c>
      <c r="B315" s="3" t="s">
        <v>102</v>
      </c>
      <c r="F315">
        <v>5</v>
      </c>
      <c r="G315" t="s">
        <v>8607</v>
      </c>
      <c r="H315">
        <v>28</v>
      </c>
      <c r="I315" t="s">
        <v>9297</v>
      </c>
      <c r="J315" t="str">
        <f t="shared" si="4"/>
        <v>13F-HR-5.28.C2</v>
      </c>
      <c r="K315" s="5" t="s">
        <v>8612</v>
      </c>
      <c r="L315" t="s">
        <v>229</v>
      </c>
      <c r="M315" t="s">
        <v>8613</v>
      </c>
      <c r="N315" t="s">
        <v>8614</v>
      </c>
      <c r="Q315" s="28" t="s">
        <v>8695</v>
      </c>
    </row>
    <row r="316" spans="1:17" x14ac:dyDescent="0.35">
      <c r="A316" t="s">
        <v>8520</v>
      </c>
      <c r="B316" s="3" t="s">
        <v>102</v>
      </c>
      <c r="F316">
        <v>5</v>
      </c>
      <c r="G316" t="s">
        <v>8607</v>
      </c>
      <c r="H316">
        <v>29</v>
      </c>
      <c r="I316" t="s">
        <v>9298</v>
      </c>
      <c r="J316" t="str">
        <f t="shared" si="4"/>
        <v>13F-HR-5.29.C3</v>
      </c>
      <c r="K316" s="5" t="s">
        <v>8616</v>
      </c>
      <c r="L316" t="s">
        <v>229</v>
      </c>
      <c r="M316" t="s">
        <v>7927</v>
      </c>
      <c r="N316" t="s">
        <v>8617</v>
      </c>
      <c r="Q316" s="28" t="s">
        <v>8696</v>
      </c>
    </row>
    <row r="317" spans="1:17" x14ac:dyDescent="0.35">
      <c r="A317" t="s">
        <v>8520</v>
      </c>
      <c r="B317" s="3" t="s">
        <v>102</v>
      </c>
      <c r="F317">
        <v>5</v>
      </c>
      <c r="G317" t="s">
        <v>8607</v>
      </c>
      <c r="H317">
        <v>30</v>
      </c>
      <c r="I317" t="s">
        <v>9299</v>
      </c>
      <c r="J317" t="str">
        <f t="shared" si="4"/>
        <v>13F-HR-5.30.C4</v>
      </c>
      <c r="K317" s="5" t="s">
        <v>8618</v>
      </c>
      <c r="L317" t="s">
        <v>8619</v>
      </c>
      <c r="M317" t="s">
        <v>8620</v>
      </c>
      <c r="N317" t="s">
        <v>8621</v>
      </c>
      <c r="Q317" s="28">
        <v>6911195</v>
      </c>
    </row>
    <row r="318" spans="1:17" x14ac:dyDescent="0.35">
      <c r="A318" t="s">
        <v>8520</v>
      </c>
      <c r="B318" s="3" t="s">
        <v>102</v>
      </c>
      <c r="F318">
        <v>5</v>
      </c>
      <c r="G318" t="s">
        <v>8607</v>
      </c>
      <c r="H318">
        <v>31</v>
      </c>
      <c r="I318" t="s">
        <v>9300</v>
      </c>
      <c r="J318" t="str">
        <f t="shared" si="4"/>
        <v>13F-HR-5.31.C5</v>
      </c>
      <c r="K318" s="5" t="s">
        <v>8622</v>
      </c>
      <c r="L318" t="s">
        <v>241</v>
      </c>
      <c r="M318" t="s">
        <v>8623</v>
      </c>
      <c r="N318" t="s">
        <v>8624</v>
      </c>
      <c r="Q318" s="28">
        <v>47140</v>
      </c>
    </row>
    <row r="319" spans="1:17" x14ac:dyDescent="0.35">
      <c r="A319" t="s">
        <v>8520</v>
      </c>
      <c r="B319" s="3" t="s">
        <v>102</v>
      </c>
      <c r="F319">
        <v>5</v>
      </c>
      <c r="G319" t="s">
        <v>8607</v>
      </c>
      <c r="H319">
        <v>32</v>
      </c>
      <c r="I319" t="s">
        <v>9301</v>
      </c>
      <c r="J319" t="str">
        <f t="shared" si="4"/>
        <v>13F-HR-5.32.C6</v>
      </c>
      <c r="K319" s="5" t="s">
        <v>8625</v>
      </c>
      <c r="L319" t="s">
        <v>229</v>
      </c>
      <c r="M319" t="s">
        <v>8626</v>
      </c>
      <c r="N319" t="s">
        <v>8627</v>
      </c>
      <c r="Q319" s="28" t="s">
        <v>8628</v>
      </c>
    </row>
    <row r="320" spans="1:17" x14ac:dyDescent="0.35">
      <c r="A320" t="s">
        <v>8520</v>
      </c>
      <c r="B320" s="3" t="s">
        <v>102</v>
      </c>
      <c r="F320">
        <v>5</v>
      </c>
      <c r="G320" t="s">
        <v>8607</v>
      </c>
      <c r="H320">
        <v>33</v>
      </c>
      <c r="I320" t="s">
        <v>9302</v>
      </c>
      <c r="J320" t="str">
        <f t="shared" si="4"/>
        <v>13F-HR-5.33.C7</v>
      </c>
      <c r="K320" s="5" t="s">
        <v>8629</v>
      </c>
      <c r="L320" t="s">
        <v>229</v>
      </c>
      <c r="M320" t="s">
        <v>8630</v>
      </c>
      <c r="N320" t="s">
        <v>8631</v>
      </c>
      <c r="Q320" s="28" t="s">
        <v>8685</v>
      </c>
    </row>
    <row r="321" spans="1:17" x14ac:dyDescent="0.35">
      <c r="A321" t="s">
        <v>8520</v>
      </c>
      <c r="B321" s="3" t="s">
        <v>102</v>
      </c>
      <c r="F321">
        <v>5</v>
      </c>
      <c r="G321" t="s">
        <v>8607</v>
      </c>
      <c r="H321">
        <v>34</v>
      </c>
      <c r="I321" t="s">
        <v>9303</v>
      </c>
      <c r="J321" t="str">
        <f t="shared" si="4"/>
        <v>13F-HR-5.34.C8</v>
      </c>
      <c r="K321" s="5" t="s">
        <v>8633</v>
      </c>
      <c r="L321" t="s">
        <v>4735</v>
      </c>
      <c r="M321" t="s">
        <v>8634</v>
      </c>
      <c r="N321" t="s">
        <v>8635</v>
      </c>
      <c r="Q321" s="28" t="s">
        <v>8632</v>
      </c>
    </row>
    <row r="322" spans="1:17" x14ac:dyDescent="0.35">
      <c r="A322" t="s">
        <v>8520</v>
      </c>
      <c r="B322" s="3" t="s">
        <v>102</v>
      </c>
      <c r="F322">
        <v>5</v>
      </c>
      <c r="G322" t="s">
        <v>8607</v>
      </c>
      <c r="H322">
        <v>35</v>
      </c>
      <c r="I322" t="s">
        <v>9304</v>
      </c>
      <c r="J322" t="str">
        <f t="shared" si="4"/>
        <v>13F-HR-5.35.C9</v>
      </c>
      <c r="K322" s="5" t="s">
        <v>8637</v>
      </c>
      <c r="L322" t="s">
        <v>229</v>
      </c>
      <c r="M322" t="s">
        <v>8638</v>
      </c>
      <c r="N322" t="s">
        <v>8639</v>
      </c>
      <c r="Q322" s="28" t="s">
        <v>8636</v>
      </c>
    </row>
    <row r="323" spans="1:17" x14ac:dyDescent="0.35">
      <c r="A323" t="s">
        <v>8520</v>
      </c>
      <c r="B323" s="3" t="s">
        <v>102</v>
      </c>
      <c r="F323">
        <v>5</v>
      </c>
      <c r="G323" t="s">
        <v>8607</v>
      </c>
      <c r="H323">
        <v>36</v>
      </c>
      <c r="I323" t="s">
        <v>9305</v>
      </c>
      <c r="J323" t="str">
        <f t="shared" ref="J323:J386" si="5">_xlfn.CONCAT(A323,"-",F323,".",H323,".",I323)</f>
        <v>13F-HR-5.36.C10</v>
      </c>
      <c r="K323" s="5" t="s">
        <v>8640</v>
      </c>
      <c r="L323" t="s">
        <v>241</v>
      </c>
      <c r="M323" t="s">
        <v>8641</v>
      </c>
      <c r="N323" t="s">
        <v>8642</v>
      </c>
      <c r="Q323" s="28">
        <v>47140</v>
      </c>
    </row>
    <row r="324" spans="1:17" x14ac:dyDescent="0.35">
      <c r="A324" t="s">
        <v>8520</v>
      </c>
      <c r="B324" s="3" t="s">
        <v>102</v>
      </c>
      <c r="F324">
        <v>5</v>
      </c>
      <c r="G324" t="s">
        <v>8607</v>
      </c>
      <c r="H324">
        <v>37</v>
      </c>
      <c r="I324" t="s">
        <v>9306</v>
      </c>
      <c r="J324" t="str">
        <f t="shared" si="5"/>
        <v>13F-HR-5.37.C11</v>
      </c>
      <c r="K324" s="5" t="s">
        <v>8643</v>
      </c>
      <c r="L324" t="s">
        <v>241</v>
      </c>
      <c r="M324" t="s">
        <v>8644</v>
      </c>
      <c r="N324" t="s">
        <v>8645</v>
      </c>
      <c r="Q324" s="28">
        <v>0</v>
      </c>
    </row>
    <row r="325" spans="1:17" x14ac:dyDescent="0.35">
      <c r="A325" t="s">
        <v>8520</v>
      </c>
      <c r="B325" s="3" t="s">
        <v>102</v>
      </c>
      <c r="F325">
        <v>5</v>
      </c>
      <c r="G325" t="s">
        <v>8607</v>
      </c>
      <c r="H325">
        <v>38</v>
      </c>
      <c r="I325" t="s">
        <v>9307</v>
      </c>
      <c r="J325" t="str">
        <f t="shared" si="5"/>
        <v>13F-HR-5.38.C12</v>
      </c>
      <c r="K325" s="5" t="s">
        <v>8646</v>
      </c>
      <c r="L325" t="s">
        <v>241</v>
      </c>
      <c r="M325" t="s">
        <v>8647</v>
      </c>
      <c r="N325" t="s">
        <v>8648</v>
      </c>
      <c r="Q325" s="28">
        <v>0</v>
      </c>
    </row>
    <row r="326" spans="1:17" x14ac:dyDescent="0.35">
      <c r="A326" t="s">
        <v>8520</v>
      </c>
      <c r="B326" s="3" t="s">
        <v>102</v>
      </c>
      <c r="F326">
        <v>5</v>
      </c>
      <c r="G326" t="s">
        <v>8607</v>
      </c>
      <c r="H326">
        <v>27</v>
      </c>
      <c r="I326" t="s">
        <v>9296</v>
      </c>
      <c r="J326" t="str">
        <f t="shared" si="5"/>
        <v>13F-HR-5.27.C1</v>
      </c>
      <c r="K326" s="5" t="s">
        <v>8608</v>
      </c>
      <c r="L326" t="s">
        <v>229</v>
      </c>
      <c r="M326" t="s">
        <v>8609</v>
      </c>
      <c r="N326" t="s">
        <v>8610</v>
      </c>
      <c r="Q326" s="28" t="s">
        <v>8697</v>
      </c>
    </row>
    <row r="327" spans="1:17" x14ac:dyDescent="0.35">
      <c r="A327" t="s">
        <v>8520</v>
      </c>
      <c r="B327" s="3" t="s">
        <v>102</v>
      </c>
      <c r="F327">
        <v>5</v>
      </c>
      <c r="G327" t="s">
        <v>8607</v>
      </c>
      <c r="H327">
        <v>28</v>
      </c>
      <c r="I327" t="s">
        <v>9297</v>
      </c>
      <c r="J327" t="str">
        <f t="shared" si="5"/>
        <v>13F-HR-5.28.C2</v>
      </c>
      <c r="K327" s="5" t="s">
        <v>8612</v>
      </c>
      <c r="L327" t="s">
        <v>229</v>
      </c>
      <c r="M327" t="s">
        <v>8613</v>
      </c>
      <c r="N327" t="s">
        <v>8614</v>
      </c>
      <c r="Q327" s="28" t="s">
        <v>8698</v>
      </c>
    </row>
    <row r="328" spans="1:17" x14ac:dyDescent="0.35">
      <c r="A328" t="s">
        <v>8520</v>
      </c>
      <c r="B328" s="3" t="s">
        <v>102</v>
      </c>
      <c r="F328">
        <v>5</v>
      </c>
      <c r="G328" t="s">
        <v>8607</v>
      </c>
      <c r="H328">
        <v>29</v>
      </c>
      <c r="I328" t="s">
        <v>9298</v>
      </c>
      <c r="J328" t="str">
        <f t="shared" si="5"/>
        <v>13F-HR-5.29.C3</v>
      </c>
      <c r="K328" s="5" t="s">
        <v>8616</v>
      </c>
      <c r="L328" t="s">
        <v>229</v>
      </c>
      <c r="M328" t="s">
        <v>7927</v>
      </c>
      <c r="N328" t="s">
        <v>8617</v>
      </c>
      <c r="Q328" s="28">
        <v>42068205</v>
      </c>
    </row>
    <row r="329" spans="1:17" x14ac:dyDescent="0.35">
      <c r="A329" t="s">
        <v>8520</v>
      </c>
      <c r="B329" s="3" t="s">
        <v>102</v>
      </c>
      <c r="F329">
        <v>5</v>
      </c>
      <c r="G329" t="s">
        <v>8607</v>
      </c>
      <c r="H329">
        <v>30</v>
      </c>
      <c r="I329" t="s">
        <v>9299</v>
      </c>
      <c r="J329" t="str">
        <f t="shared" si="5"/>
        <v>13F-HR-5.30.C4</v>
      </c>
      <c r="K329" s="5" t="s">
        <v>8618</v>
      </c>
      <c r="L329" t="s">
        <v>8619</v>
      </c>
      <c r="M329" t="s">
        <v>8620</v>
      </c>
      <c r="N329" t="s">
        <v>8621</v>
      </c>
      <c r="Q329" s="28">
        <v>1591064</v>
      </c>
    </row>
    <row r="330" spans="1:17" x14ac:dyDescent="0.35">
      <c r="A330" t="s">
        <v>8520</v>
      </c>
      <c r="B330" s="3" t="s">
        <v>102</v>
      </c>
      <c r="F330">
        <v>5</v>
      </c>
      <c r="G330" t="s">
        <v>8607</v>
      </c>
      <c r="H330">
        <v>31</v>
      </c>
      <c r="I330" t="s">
        <v>9300</v>
      </c>
      <c r="J330" t="str">
        <f t="shared" si="5"/>
        <v>13F-HR-5.31.C5</v>
      </c>
      <c r="K330" s="5" t="s">
        <v>8622</v>
      </c>
      <c r="L330" t="s">
        <v>241</v>
      </c>
      <c r="M330" t="s">
        <v>8623</v>
      </c>
      <c r="N330" t="s">
        <v>8624</v>
      </c>
      <c r="Q330" s="28">
        <v>14899</v>
      </c>
    </row>
    <row r="331" spans="1:17" x14ac:dyDescent="0.35">
      <c r="A331" t="s">
        <v>8520</v>
      </c>
      <c r="B331" s="3" t="s">
        <v>102</v>
      </c>
      <c r="F331">
        <v>5</v>
      </c>
      <c r="G331" t="s">
        <v>8607</v>
      </c>
      <c r="H331">
        <v>32</v>
      </c>
      <c r="I331" t="s">
        <v>9301</v>
      </c>
      <c r="J331" t="str">
        <f t="shared" si="5"/>
        <v>13F-HR-5.32.C6</v>
      </c>
      <c r="K331" s="5" t="s">
        <v>8625</v>
      </c>
      <c r="L331" t="s">
        <v>229</v>
      </c>
      <c r="M331" t="s">
        <v>8626</v>
      </c>
      <c r="N331" t="s">
        <v>8627</v>
      </c>
      <c r="Q331" s="28" t="s">
        <v>8628</v>
      </c>
    </row>
    <row r="332" spans="1:17" x14ac:dyDescent="0.35">
      <c r="A332" t="s">
        <v>8520</v>
      </c>
      <c r="B332" s="3" t="s">
        <v>102</v>
      </c>
      <c r="F332">
        <v>5</v>
      </c>
      <c r="G332" t="s">
        <v>8607</v>
      </c>
      <c r="H332">
        <v>33</v>
      </c>
      <c r="I332" t="s">
        <v>9302</v>
      </c>
      <c r="J332" t="str">
        <f t="shared" si="5"/>
        <v>13F-HR-5.33.C7</v>
      </c>
      <c r="K332" s="5" t="s">
        <v>8629</v>
      </c>
      <c r="L332" t="s">
        <v>229</v>
      </c>
      <c r="M332" t="s">
        <v>8630</v>
      </c>
      <c r="N332" t="s">
        <v>8631</v>
      </c>
      <c r="Q332" s="28" t="s">
        <v>8685</v>
      </c>
    </row>
    <row r="333" spans="1:17" x14ac:dyDescent="0.35">
      <c r="A333" t="s">
        <v>8520</v>
      </c>
      <c r="B333" s="3" t="s">
        <v>102</v>
      </c>
      <c r="F333">
        <v>5</v>
      </c>
      <c r="G333" t="s">
        <v>8607</v>
      </c>
      <c r="H333">
        <v>34</v>
      </c>
      <c r="I333" t="s">
        <v>9303</v>
      </c>
      <c r="J333" t="str">
        <f t="shared" si="5"/>
        <v>13F-HR-5.34.C8</v>
      </c>
      <c r="K333" s="5" t="s">
        <v>8633</v>
      </c>
      <c r="L333" t="s">
        <v>4735</v>
      </c>
      <c r="M333" t="s">
        <v>8634</v>
      </c>
      <c r="N333" t="s">
        <v>8635</v>
      </c>
      <c r="Q333" s="28" t="s">
        <v>8632</v>
      </c>
    </row>
    <row r="334" spans="1:17" x14ac:dyDescent="0.35">
      <c r="A334" t="s">
        <v>8520</v>
      </c>
      <c r="B334" s="3" t="s">
        <v>102</v>
      </c>
      <c r="F334">
        <v>5</v>
      </c>
      <c r="G334" t="s">
        <v>8607</v>
      </c>
      <c r="H334">
        <v>35</v>
      </c>
      <c r="I334" t="s">
        <v>9304</v>
      </c>
      <c r="J334" t="str">
        <f t="shared" si="5"/>
        <v>13F-HR-5.35.C9</v>
      </c>
      <c r="K334" s="5" t="s">
        <v>8637</v>
      </c>
      <c r="L334" t="s">
        <v>229</v>
      </c>
      <c r="M334" t="s">
        <v>8638</v>
      </c>
      <c r="N334" t="s">
        <v>8639</v>
      </c>
      <c r="Q334" s="28" t="s">
        <v>8636</v>
      </c>
    </row>
    <row r="335" spans="1:17" x14ac:dyDescent="0.35">
      <c r="A335" t="s">
        <v>8520</v>
      </c>
      <c r="B335" s="3" t="s">
        <v>102</v>
      </c>
      <c r="F335">
        <v>5</v>
      </c>
      <c r="G335" t="s">
        <v>8607</v>
      </c>
      <c r="H335">
        <v>36</v>
      </c>
      <c r="I335" t="s">
        <v>9305</v>
      </c>
      <c r="J335" t="str">
        <f t="shared" si="5"/>
        <v>13F-HR-5.36.C10</v>
      </c>
      <c r="K335" s="5" t="s">
        <v>8640</v>
      </c>
      <c r="L335" t="s">
        <v>241</v>
      </c>
      <c r="M335" t="s">
        <v>8641</v>
      </c>
      <c r="N335" t="s">
        <v>8642</v>
      </c>
      <c r="Q335" s="28">
        <v>14366</v>
      </c>
    </row>
    <row r="336" spans="1:17" x14ac:dyDescent="0.35">
      <c r="A336" t="s">
        <v>8520</v>
      </c>
      <c r="B336" s="3" t="s">
        <v>102</v>
      </c>
      <c r="F336">
        <v>5</v>
      </c>
      <c r="G336" t="s">
        <v>8607</v>
      </c>
      <c r="H336">
        <v>37</v>
      </c>
      <c r="I336" t="s">
        <v>9306</v>
      </c>
      <c r="J336" t="str">
        <f t="shared" si="5"/>
        <v>13F-HR-5.37.C11</v>
      </c>
      <c r="K336" s="5" t="s">
        <v>8643</v>
      </c>
      <c r="L336" t="s">
        <v>241</v>
      </c>
      <c r="M336" t="s">
        <v>8644</v>
      </c>
      <c r="N336" t="s">
        <v>8645</v>
      </c>
      <c r="Q336" s="28">
        <v>0</v>
      </c>
    </row>
    <row r="337" spans="1:17" x14ac:dyDescent="0.35">
      <c r="A337" t="s">
        <v>8520</v>
      </c>
      <c r="B337" s="3" t="s">
        <v>102</v>
      </c>
      <c r="F337">
        <v>5</v>
      </c>
      <c r="G337" t="s">
        <v>8607</v>
      </c>
      <c r="H337">
        <v>38</v>
      </c>
      <c r="I337" t="s">
        <v>9307</v>
      </c>
      <c r="J337" t="str">
        <f t="shared" si="5"/>
        <v>13F-HR-5.38.C12</v>
      </c>
      <c r="K337" s="5" t="s">
        <v>8646</v>
      </c>
      <c r="L337" t="s">
        <v>241</v>
      </c>
      <c r="M337" t="s">
        <v>8647</v>
      </c>
      <c r="N337" t="s">
        <v>8648</v>
      </c>
      <c r="Q337" s="28">
        <v>533</v>
      </c>
    </row>
    <row r="338" spans="1:17" x14ac:dyDescent="0.35">
      <c r="A338" t="s">
        <v>8520</v>
      </c>
      <c r="B338" s="3" t="s">
        <v>102</v>
      </c>
      <c r="F338">
        <v>5</v>
      </c>
      <c r="G338" t="s">
        <v>8607</v>
      </c>
      <c r="H338">
        <v>27</v>
      </c>
      <c r="I338" t="s">
        <v>9296</v>
      </c>
      <c r="J338" t="str">
        <f t="shared" si="5"/>
        <v>13F-HR-5.27.C1</v>
      </c>
      <c r="K338" s="5" t="s">
        <v>8608</v>
      </c>
      <c r="L338" t="s">
        <v>229</v>
      </c>
      <c r="M338" t="s">
        <v>8609</v>
      </c>
      <c r="N338" t="s">
        <v>8610</v>
      </c>
      <c r="Q338" s="28" t="s">
        <v>8699</v>
      </c>
    </row>
    <row r="339" spans="1:17" x14ac:dyDescent="0.35">
      <c r="A339" t="s">
        <v>8520</v>
      </c>
      <c r="B339" s="3" t="s">
        <v>102</v>
      </c>
      <c r="F339">
        <v>5</v>
      </c>
      <c r="G339" t="s">
        <v>8607</v>
      </c>
      <c r="H339">
        <v>28</v>
      </c>
      <c r="I339" t="s">
        <v>9297</v>
      </c>
      <c r="J339" t="str">
        <f t="shared" si="5"/>
        <v>13F-HR-5.28.C2</v>
      </c>
      <c r="K339" s="5" t="s">
        <v>8612</v>
      </c>
      <c r="L339" t="s">
        <v>229</v>
      </c>
      <c r="M339" t="s">
        <v>8613</v>
      </c>
      <c r="N339" t="s">
        <v>8614</v>
      </c>
      <c r="Q339" s="28" t="s">
        <v>8615</v>
      </c>
    </row>
    <row r="340" spans="1:17" x14ac:dyDescent="0.35">
      <c r="A340" t="s">
        <v>8520</v>
      </c>
      <c r="B340" s="3" t="s">
        <v>102</v>
      </c>
      <c r="F340">
        <v>5</v>
      </c>
      <c r="G340" t="s">
        <v>8607</v>
      </c>
      <c r="H340">
        <v>29</v>
      </c>
      <c r="I340" t="s">
        <v>9298</v>
      </c>
      <c r="J340" t="str">
        <f t="shared" si="5"/>
        <v>13F-HR-5.29.C3</v>
      </c>
      <c r="K340" s="5" t="s">
        <v>8616</v>
      </c>
      <c r="L340" t="s">
        <v>229</v>
      </c>
      <c r="M340" t="s">
        <v>7927</v>
      </c>
      <c r="N340" t="s">
        <v>8617</v>
      </c>
      <c r="Q340" s="28" t="s">
        <v>8700</v>
      </c>
    </row>
    <row r="341" spans="1:17" x14ac:dyDescent="0.35">
      <c r="A341" t="s">
        <v>8520</v>
      </c>
      <c r="B341" s="3" t="s">
        <v>102</v>
      </c>
      <c r="F341">
        <v>5</v>
      </c>
      <c r="G341" t="s">
        <v>8607</v>
      </c>
      <c r="H341">
        <v>30</v>
      </c>
      <c r="I341" t="s">
        <v>9299</v>
      </c>
      <c r="J341" t="str">
        <f t="shared" si="5"/>
        <v>13F-HR-5.30.C4</v>
      </c>
      <c r="K341" s="5" t="s">
        <v>8618</v>
      </c>
      <c r="L341" t="s">
        <v>8619</v>
      </c>
      <c r="M341" t="s">
        <v>8620</v>
      </c>
      <c r="N341" t="s">
        <v>8621</v>
      </c>
      <c r="Q341" s="28">
        <v>4794287</v>
      </c>
    </row>
    <row r="342" spans="1:17" x14ac:dyDescent="0.35">
      <c r="A342" t="s">
        <v>8520</v>
      </c>
      <c r="B342" s="3" t="s">
        <v>102</v>
      </c>
      <c r="F342">
        <v>5</v>
      </c>
      <c r="G342" t="s">
        <v>8607</v>
      </c>
      <c r="H342">
        <v>31</v>
      </c>
      <c r="I342" t="s">
        <v>9300</v>
      </c>
      <c r="J342" t="str">
        <f t="shared" si="5"/>
        <v>13F-HR-5.31.C5</v>
      </c>
      <c r="K342" s="5" t="s">
        <v>8622</v>
      </c>
      <c r="L342" t="s">
        <v>241</v>
      </c>
      <c r="M342" t="s">
        <v>8623</v>
      </c>
      <c r="N342" t="s">
        <v>8624</v>
      </c>
      <c r="Q342" s="28">
        <v>34031</v>
      </c>
    </row>
    <row r="343" spans="1:17" x14ac:dyDescent="0.35">
      <c r="A343" t="s">
        <v>8520</v>
      </c>
      <c r="B343" s="3" t="s">
        <v>102</v>
      </c>
      <c r="F343">
        <v>5</v>
      </c>
      <c r="G343" t="s">
        <v>8607</v>
      </c>
      <c r="H343">
        <v>32</v>
      </c>
      <c r="I343" t="s">
        <v>9301</v>
      </c>
      <c r="J343" t="str">
        <f t="shared" si="5"/>
        <v>13F-HR-5.32.C6</v>
      </c>
      <c r="K343" s="5" t="s">
        <v>8625</v>
      </c>
      <c r="L343" t="s">
        <v>229</v>
      </c>
      <c r="M343" t="s">
        <v>8626</v>
      </c>
      <c r="N343" t="s">
        <v>8627</v>
      </c>
      <c r="Q343" s="28" t="s">
        <v>8628</v>
      </c>
    </row>
    <row r="344" spans="1:17" x14ac:dyDescent="0.35">
      <c r="A344" t="s">
        <v>8520</v>
      </c>
      <c r="B344" s="3" t="s">
        <v>102</v>
      </c>
      <c r="F344">
        <v>5</v>
      </c>
      <c r="G344" t="s">
        <v>8607</v>
      </c>
      <c r="H344">
        <v>33</v>
      </c>
      <c r="I344" t="s">
        <v>9302</v>
      </c>
      <c r="J344" t="str">
        <f t="shared" si="5"/>
        <v>13F-HR-5.33.C7</v>
      </c>
      <c r="K344" s="5" t="s">
        <v>8629</v>
      </c>
      <c r="L344" t="s">
        <v>229</v>
      </c>
      <c r="M344" t="s">
        <v>8630</v>
      </c>
      <c r="N344" t="s">
        <v>8631</v>
      </c>
      <c r="Q344" s="28" t="s">
        <v>8685</v>
      </c>
    </row>
    <row r="345" spans="1:17" x14ac:dyDescent="0.35">
      <c r="A345" t="s">
        <v>8520</v>
      </c>
      <c r="B345" s="3" t="s">
        <v>102</v>
      </c>
      <c r="F345">
        <v>5</v>
      </c>
      <c r="G345" t="s">
        <v>8607</v>
      </c>
      <c r="H345">
        <v>34</v>
      </c>
      <c r="I345" t="s">
        <v>9303</v>
      </c>
      <c r="J345" t="str">
        <f t="shared" si="5"/>
        <v>13F-HR-5.34.C8</v>
      </c>
      <c r="K345" s="5" t="s">
        <v>8633</v>
      </c>
      <c r="L345" t="s">
        <v>4735</v>
      </c>
      <c r="M345" t="s">
        <v>8634</v>
      </c>
      <c r="N345" t="s">
        <v>8635</v>
      </c>
      <c r="Q345" s="28" t="s">
        <v>8632</v>
      </c>
    </row>
    <row r="346" spans="1:17" x14ac:dyDescent="0.35">
      <c r="A346" t="s">
        <v>8520</v>
      </c>
      <c r="B346" s="3" t="s">
        <v>102</v>
      </c>
      <c r="F346">
        <v>5</v>
      </c>
      <c r="G346" t="s">
        <v>8607</v>
      </c>
      <c r="H346">
        <v>35</v>
      </c>
      <c r="I346" t="s">
        <v>9304</v>
      </c>
      <c r="J346" t="str">
        <f t="shared" si="5"/>
        <v>13F-HR-5.35.C9</v>
      </c>
      <c r="K346" s="5" t="s">
        <v>8637</v>
      </c>
      <c r="L346" t="s">
        <v>229</v>
      </c>
      <c r="M346" t="s">
        <v>8638</v>
      </c>
      <c r="N346" t="s">
        <v>8639</v>
      </c>
      <c r="Q346" s="28" t="s">
        <v>8636</v>
      </c>
    </row>
    <row r="347" spans="1:17" x14ac:dyDescent="0.35">
      <c r="A347" t="s">
        <v>8520</v>
      </c>
      <c r="B347" s="3" t="s">
        <v>102</v>
      </c>
      <c r="F347">
        <v>5</v>
      </c>
      <c r="G347" t="s">
        <v>8607</v>
      </c>
      <c r="H347">
        <v>36</v>
      </c>
      <c r="I347" t="s">
        <v>9305</v>
      </c>
      <c r="J347" t="str">
        <f t="shared" si="5"/>
        <v>13F-HR-5.36.C10</v>
      </c>
      <c r="K347" s="5" t="s">
        <v>8640</v>
      </c>
      <c r="L347" t="s">
        <v>241</v>
      </c>
      <c r="M347" t="s">
        <v>8641</v>
      </c>
      <c r="N347" t="s">
        <v>8642</v>
      </c>
      <c r="Q347" s="28">
        <v>34031</v>
      </c>
    </row>
    <row r="348" spans="1:17" x14ac:dyDescent="0.35">
      <c r="A348" t="s">
        <v>8520</v>
      </c>
      <c r="B348" s="3" t="s">
        <v>102</v>
      </c>
      <c r="F348">
        <v>5</v>
      </c>
      <c r="G348" t="s">
        <v>8607</v>
      </c>
      <c r="H348">
        <v>37</v>
      </c>
      <c r="I348" t="s">
        <v>9306</v>
      </c>
      <c r="J348" t="str">
        <f t="shared" si="5"/>
        <v>13F-HR-5.37.C11</v>
      </c>
      <c r="K348" s="5" t="s">
        <v>8643</v>
      </c>
      <c r="L348" t="s">
        <v>241</v>
      </c>
      <c r="M348" t="s">
        <v>8644</v>
      </c>
      <c r="N348" t="s">
        <v>8645</v>
      </c>
      <c r="Q348" s="28">
        <v>0</v>
      </c>
    </row>
    <row r="349" spans="1:17" x14ac:dyDescent="0.35">
      <c r="A349" t="s">
        <v>8520</v>
      </c>
      <c r="B349" s="3" t="s">
        <v>102</v>
      </c>
      <c r="F349">
        <v>5</v>
      </c>
      <c r="G349" t="s">
        <v>8607</v>
      </c>
      <c r="H349">
        <v>38</v>
      </c>
      <c r="I349" t="s">
        <v>9307</v>
      </c>
      <c r="J349" t="str">
        <f t="shared" si="5"/>
        <v>13F-HR-5.38.C12</v>
      </c>
      <c r="K349" s="5" t="s">
        <v>8646</v>
      </c>
      <c r="L349" t="s">
        <v>241</v>
      </c>
      <c r="M349" t="s">
        <v>8647</v>
      </c>
      <c r="N349" t="s">
        <v>8648</v>
      </c>
      <c r="Q349" s="28">
        <v>0</v>
      </c>
    </row>
    <row r="350" spans="1:17" x14ac:dyDescent="0.35">
      <c r="A350" t="s">
        <v>8520</v>
      </c>
      <c r="B350" s="3" t="s">
        <v>102</v>
      </c>
      <c r="F350">
        <v>5</v>
      </c>
      <c r="G350" t="s">
        <v>8607</v>
      </c>
      <c r="H350">
        <v>27</v>
      </c>
      <c r="I350" t="s">
        <v>9296</v>
      </c>
      <c r="J350" t="str">
        <f t="shared" si="5"/>
        <v>13F-HR-5.27.C1</v>
      </c>
      <c r="K350" s="5" t="s">
        <v>8608</v>
      </c>
      <c r="L350" t="s">
        <v>229</v>
      </c>
      <c r="M350" t="s">
        <v>8609</v>
      </c>
      <c r="N350" t="s">
        <v>8610</v>
      </c>
      <c r="Q350" s="28" t="s">
        <v>8701</v>
      </c>
    </row>
    <row r="351" spans="1:17" x14ac:dyDescent="0.35">
      <c r="A351" t="s">
        <v>8520</v>
      </c>
      <c r="B351" s="3" t="s">
        <v>102</v>
      </c>
      <c r="F351">
        <v>5</v>
      </c>
      <c r="G351" t="s">
        <v>8607</v>
      </c>
      <c r="H351">
        <v>28</v>
      </c>
      <c r="I351" t="s">
        <v>9297</v>
      </c>
      <c r="J351" t="str">
        <f t="shared" si="5"/>
        <v>13F-HR-5.28.C2</v>
      </c>
      <c r="K351" s="5" t="s">
        <v>8612</v>
      </c>
      <c r="L351" t="s">
        <v>229</v>
      </c>
      <c r="M351" t="s">
        <v>8613</v>
      </c>
      <c r="N351" t="s">
        <v>8614</v>
      </c>
      <c r="Q351" s="28" t="s">
        <v>8702</v>
      </c>
    </row>
    <row r="352" spans="1:17" x14ac:dyDescent="0.35">
      <c r="A352" t="s">
        <v>8520</v>
      </c>
      <c r="B352" s="3" t="s">
        <v>102</v>
      </c>
      <c r="F352">
        <v>5</v>
      </c>
      <c r="G352" t="s">
        <v>8607</v>
      </c>
      <c r="H352">
        <v>29</v>
      </c>
      <c r="I352" t="s">
        <v>9298</v>
      </c>
      <c r="J352" t="str">
        <f t="shared" si="5"/>
        <v>13F-HR-5.29.C3</v>
      </c>
      <c r="K352" s="5" t="s">
        <v>8616</v>
      </c>
      <c r="L352" t="s">
        <v>229</v>
      </c>
      <c r="M352" t="s">
        <v>7927</v>
      </c>
      <c r="N352" t="s">
        <v>8617</v>
      </c>
      <c r="Q352" s="28" t="s">
        <v>8703</v>
      </c>
    </row>
    <row r="353" spans="1:17" x14ac:dyDescent="0.35">
      <c r="A353" t="s">
        <v>8520</v>
      </c>
      <c r="B353" s="3" t="s">
        <v>102</v>
      </c>
      <c r="F353">
        <v>5</v>
      </c>
      <c r="G353" t="s">
        <v>8607</v>
      </c>
      <c r="H353">
        <v>30</v>
      </c>
      <c r="I353" t="s">
        <v>9299</v>
      </c>
      <c r="J353" t="str">
        <f t="shared" si="5"/>
        <v>13F-HR-5.30.C4</v>
      </c>
      <c r="K353" s="5" t="s">
        <v>8618</v>
      </c>
      <c r="L353" t="s">
        <v>8619</v>
      </c>
      <c r="M353" t="s">
        <v>8620</v>
      </c>
      <c r="N353" t="s">
        <v>8621</v>
      </c>
      <c r="Q353" s="28">
        <v>1394947</v>
      </c>
    </row>
    <row r="354" spans="1:17" x14ac:dyDescent="0.35">
      <c r="A354" t="s">
        <v>8520</v>
      </c>
      <c r="B354" s="3" t="s">
        <v>102</v>
      </c>
      <c r="F354">
        <v>5</v>
      </c>
      <c r="G354" t="s">
        <v>8607</v>
      </c>
      <c r="H354">
        <v>31</v>
      </c>
      <c r="I354" t="s">
        <v>9300</v>
      </c>
      <c r="J354" t="str">
        <f t="shared" si="5"/>
        <v>13F-HR-5.31.C5</v>
      </c>
      <c r="K354" s="5" t="s">
        <v>8622</v>
      </c>
      <c r="L354" t="s">
        <v>241</v>
      </c>
      <c r="M354" t="s">
        <v>8623</v>
      </c>
      <c r="N354" t="s">
        <v>8624</v>
      </c>
      <c r="Q354" s="28">
        <v>8950</v>
      </c>
    </row>
    <row r="355" spans="1:17" x14ac:dyDescent="0.35">
      <c r="A355" t="s">
        <v>8520</v>
      </c>
      <c r="B355" s="3" t="s">
        <v>102</v>
      </c>
      <c r="F355">
        <v>5</v>
      </c>
      <c r="G355" t="s">
        <v>8607</v>
      </c>
      <c r="H355">
        <v>32</v>
      </c>
      <c r="I355" t="s">
        <v>9301</v>
      </c>
      <c r="J355" t="str">
        <f t="shared" si="5"/>
        <v>13F-HR-5.32.C6</v>
      </c>
      <c r="K355" s="5" t="s">
        <v>8625</v>
      </c>
      <c r="L355" t="s">
        <v>229</v>
      </c>
      <c r="M355" t="s">
        <v>8626</v>
      </c>
      <c r="N355" t="s">
        <v>8627</v>
      </c>
      <c r="Q355" s="28" t="s">
        <v>8628</v>
      </c>
    </row>
    <row r="356" spans="1:17" x14ac:dyDescent="0.35">
      <c r="A356" t="s">
        <v>8520</v>
      </c>
      <c r="B356" s="3" t="s">
        <v>102</v>
      </c>
      <c r="F356">
        <v>5</v>
      </c>
      <c r="G356" t="s">
        <v>8607</v>
      </c>
      <c r="H356">
        <v>33</v>
      </c>
      <c r="I356" t="s">
        <v>9302</v>
      </c>
      <c r="J356" t="str">
        <f t="shared" si="5"/>
        <v>13F-HR-5.33.C7</v>
      </c>
      <c r="K356" s="5" t="s">
        <v>8629</v>
      </c>
      <c r="L356" t="s">
        <v>229</v>
      </c>
      <c r="M356" t="s">
        <v>8630</v>
      </c>
      <c r="N356" t="s">
        <v>8631</v>
      </c>
      <c r="Q356" s="28" t="s">
        <v>8685</v>
      </c>
    </row>
    <row r="357" spans="1:17" x14ac:dyDescent="0.35">
      <c r="A357" t="s">
        <v>8520</v>
      </c>
      <c r="B357" s="3" t="s">
        <v>102</v>
      </c>
      <c r="F357">
        <v>5</v>
      </c>
      <c r="G357" t="s">
        <v>8607</v>
      </c>
      <c r="H357">
        <v>34</v>
      </c>
      <c r="I357" t="s">
        <v>9303</v>
      </c>
      <c r="J357" t="str">
        <f t="shared" si="5"/>
        <v>13F-HR-5.34.C8</v>
      </c>
      <c r="K357" s="5" t="s">
        <v>8633</v>
      </c>
      <c r="L357" t="s">
        <v>4735</v>
      </c>
      <c r="M357" t="s">
        <v>8634</v>
      </c>
      <c r="N357" t="s">
        <v>8635</v>
      </c>
      <c r="Q357" s="28" t="s">
        <v>8632</v>
      </c>
    </row>
    <row r="358" spans="1:17" x14ac:dyDescent="0.35">
      <c r="A358" t="s">
        <v>8520</v>
      </c>
      <c r="B358" s="3" t="s">
        <v>102</v>
      </c>
      <c r="F358">
        <v>5</v>
      </c>
      <c r="G358" t="s">
        <v>8607</v>
      </c>
      <c r="H358">
        <v>35</v>
      </c>
      <c r="I358" t="s">
        <v>9304</v>
      </c>
      <c r="J358" t="str">
        <f t="shared" si="5"/>
        <v>13F-HR-5.35.C9</v>
      </c>
      <c r="K358" s="5" t="s">
        <v>8637</v>
      </c>
      <c r="L358" t="s">
        <v>229</v>
      </c>
      <c r="M358" t="s">
        <v>8638</v>
      </c>
      <c r="N358" t="s">
        <v>8639</v>
      </c>
      <c r="Q358" s="28" t="s">
        <v>8636</v>
      </c>
    </row>
    <row r="359" spans="1:17" x14ac:dyDescent="0.35">
      <c r="A359" t="s">
        <v>8520</v>
      </c>
      <c r="B359" s="3" t="s">
        <v>102</v>
      </c>
      <c r="F359">
        <v>5</v>
      </c>
      <c r="G359" t="s">
        <v>8607</v>
      </c>
      <c r="H359">
        <v>36</v>
      </c>
      <c r="I359" t="s">
        <v>9305</v>
      </c>
      <c r="J359" t="str">
        <f t="shared" si="5"/>
        <v>13F-HR-5.36.C10</v>
      </c>
      <c r="K359" s="5" t="s">
        <v>8640</v>
      </c>
      <c r="L359" t="s">
        <v>241</v>
      </c>
      <c r="M359" t="s">
        <v>8641</v>
      </c>
      <c r="N359" t="s">
        <v>8642</v>
      </c>
      <c r="Q359" s="28">
        <v>8545</v>
      </c>
    </row>
    <row r="360" spans="1:17" x14ac:dyDescent="0.35">
      <c r="A360" t="s">
        <v>8520</v>
      </c>
      <c r="B360" s="3" t="s">
        <v>102</v>
      </c>
      <c r="F360">
        <v>5</v>
      </c>
      <c r="G360" t="s">
        <v>8607</v>
      </c>
      <c r="H360">
        <v>37</v>
      </c>
      <c r="I360" t="s">
        <v>9306</v>
      </c>
      <c r="J360" t="str">
        <f t="shared" si="5"/>
        <v>13F-HR-5.37.C11</v>
      </c>
      <c r="K360" s="5" t="s">
        <v>8643</v>
      </c>
      <c r="L360" t="s">
        <v>241</v>
      </c>
      <c r="M360" t="s">
        <v>8644</v>
      </c>
      <c r="N360" t="s">
        <v>8645</v>
      </c>
      <c r="Q360" s="28">
        <v>0</v>
      </c>
    </row>
    <row r="361" spans="1:17" x14ac:dyDescent="0.35">
      <c r="A361" t="s">
        <v>8520</v>
      </c>
      <c r="B361" s="3" t="s">
        <v>102</v>
      </c>
      <c r="F361">
        <v>5</v>
      </c>
      <c r="G361" t="s">
        <v>8607</v>
      </c>
      <c r="H361">
        <v>38</v>
      </c>
      <c r="I361" t="s">
        <v>9307</v>
      </c>
      <c r="J361" t="str">
        <f t="shared" si="5"/>
        <v>13F-HR-5.38.C12</v>
      </c>
      <c r="K361" s="5" t="s">
        <v>8646</v>
      </c>
      <c r="L361" t="s">
        <v>241</v>
      </c>
      <c r="M361" t="s">
        <v>8647</v>
      </c>
      <c r="N361" t="s">
        <v>8648</v>
      </c>
      <c r="Q361" s="28">
        <v>405</v>
      </c>
    </row>
    <row r="362" spans="1:17" x14ac:dyDescent="0.35">
      <c r="A362" t="s">
        <v>8520</v>
      </c>
      <c r="B362" s="3" t="s">
        <v>102</v>
      </c>
      <c r="F362">
        <v>5</v>
      </c>
      <c r="G362" t="s">
        <v>8607</v>
      </c>
      <c r="H362">
        <v>27</v>
      </c>
      <c r="I362" t="s">
        <v>9296</v>
      </c>
      <c r="J362" t="str">
        <f t="shared" si="5"/>
        <v>13F-HR-5.27.C1</v>
      </c>
      <c r="K362" s="5" t="s">
        <v>8608</v>
      </c>
      <c r="L362" t="s">
        <v>229</v>
      </c>
      <c r="M362" t="s">
        <v>8609</v>
      </c>
      <c r="N362" t="s">
        <v>8610</v>
      </c>
      <c r="Q362" s="28" t="s">
        <v>8704</v>
      </c>
    </row>
    <row r="363" spans="1:17" x14ac:dyDescent="0.35">
      <c r="A363" t="s">
        <v>8520</v>
      </c>
      <c r="B363" s="3" t="s">
        <v>102</v>
      </c>
      <c r="F363">
        <v>5</v>
      </c>
      <c r="G363" t="s">
        <v>8607</v>
      </c>
      <c r="H363">
        <v>28</v>
      </c>
      <c r="I363" t="s">
        <v>9297</v>
      </c>
      <c r="J363" t="str">
        <f t="shared" si="5"/>
        <v>13F-HR-5.28.C2</v>
      </c>
      <c r="K363" s="5" t="s">
        <v>8612</v>
      </c>
      <c r="L363" t="s">
        <v>229</v>
      </c>
      <c r="M363" t="s">
        <v>8613</v>
      </c>
      <c r="N363" t="s">
        <v>8614</v>
      </c>
      <c r="Q363" s="28" t="s">
        <v>8702</v>
      </c>
    </row>
    <row r="364" spans="1:17" x14ac:dyDescent="0.35">
      <c r="A364" t="s">
        <v>8520</v>
      </c>
      <c r="B364" s="3" t="s">
        <v>102</v>
      </c>
      <c r="F364">
        <v>5</v>
      </c>
      <c r="G364" t="s">
        <v>8607</v>
      </c>
      <c r="H364">
        <v>29</v>
      </c>
      <c r="I364" t="s">
        <v>9298</v>
      </c>
      <c r="J364" t="str">
        <f t="shared" si="5"/>
        <v>13F-HR-5.29.C3</v>
      </c>
      <c r="K364" s="5" t="s">
        <v>8616</v>
      </c>
      <c r="L364" t="s">
        <v>229</v>
      </c>
      <c r="M364" t="s">
        <v>7927</v>
      </c>
      <c r="N364" t="s">
        <v>8617</v>
      </c>
      <c r="Q364" s="28">
        <v>46353108</v>
      </c>
    </row>
    <row r="365" spans="1:17" x14ac:dyDescent="0.35">
      <c r="A365" t="s">
        <v>8520</v>
      </c>
      <c r="B365" s="3" t="s">
        <v>102</v>
      </c>
      <c r="F365">
        <v>5</v>
      </c>
      <c r="G365" t="s">
        <v>8607</v>
      </c>
      <c r="H365">
        <v>30</v>
      </c>
      <c r="I365" t="s">
        <v>9299</v>
      </c>
      <c r="J365" t="str">
        <f t="shared" si="5"/>
        <v>13F-HR-5.30.C4</v>
      </c>
      <c r="K365" s="5" t="s">
        <v>8618</v>
      </c>
      <c r="L365" t="s">
        <v>8619</v>
      </c>
      <c r="M365" t="s">
        <v>8620</v>
      </c>
      <c r="N365" t="s">
        <v>8621</v>
      </c>
      <c r="Q365" s="28">
        <v>21752693</v>
      </c>
    </row>
    <row r="366" spans="1:17" x14ac:dyDescent="0.35">
      <c r="A366" t="s">
        <v>8520</v>
      </c>
      <c r="B366" s="3" t="s">
        <v>102</v>
      </c>
      <c r="F366">
        <v>5</v>
      </c>
      <c r="G366" t="s">
        <v>8607</v>
      </c>
      <c r="H366">
        <v>31</v>
      </c>
      <c r="I366" t="s">
        <v>9300</v>
      </c>
      <c r="J366" t="str">
        <f t="shared" si="5"/>
        <v>13F-HR-5.31.C5</v>
      </c>
      <c r="K366" s="5" t="s">
        <v>8622</v>
      </c>
      <c r="L366" t="s">
        <v>241</v>
      </c>
      <c r="M366" t="s">
        <v>8623</v>
      </c>
      <c r="N366" t="s">
        <v>8624</v>
      </c>
      <c r="Q366" s="28">
        <v>295955</v>
      </c>
    </row>
    <row r="367" spans="1:17" x14ac:dyDescent="0.35">
      <c r="A367" t="s">
        <v>8520</v>
      </c>
      <c r="B367" s="3" t="s">
        <v>102</v>
      </c>
      <c r="F367">
        <v>5</v>
      </c>
      <c r="G367" t="s">
        <v>8607</v>
      </c>
      <c r="H367">
        <v>32</v>
      </c>
      <c r="I367" t="s">
        <v>9301</v>
      </c>
      <c r="J367" t="str">
        <f t="shared" si="5"/>
        <v>13F-HR-5.32.C6</v>
      </c>
      <c r="K367" s="5" t="s">
        <v>8625</v>
      </c>
      <c r="L367" t="s">
        <v>229</v>
      </c>
      <c r="M367" t="s">
        <v>8626</v>
      </c>
      <c r="N367" t="s">
        <v>8627</v>
      </c>
      <c r="Q367" s="28" t="s">
        <v>8628</v>
      </c>
    </row>
    <row r="368" spans="1:17" x14ac:dyDescent="0.35">
      <c r="A368" t="s">
        <v>8520</v>
      </c>
      <c r="B368" s="3" t="s">
        <v>102</v>
      </c>
      <c r="F368">
        <v>5</v>
      </c>
      <c r="G368" t="s">
        <v>8607</v>
      </c>
      <c r="H368">
        <v>33</v>
      </c>
      <c r="I368" t="s">
        <v>9302</v>
      </c>
      <c r="J368" t="str">
        <f t="shared" si="5"/>
        <v>13F-HR-5.33.C7</v>
      </c>
      <c r="K368" s="5" t="s">
        <v>8629</v>
      </c>
      <c r="L368" t="s">
        <v>229</v>
      </c>
      <c r="M368" t="s">
        <v>8630</v>
      </c>
      <c r="N368" t="s">
        <v>8631</v>
      </c>
      <c r="Q368" s="28" t="s">
        <v>8685</v>
      </c>
    </row>
    <row r="369" spans="1:17" x14ac:dyDescent="0.35">
      <c r="A369" t="s">
        <v>8520</v>
      </c>
      <c r="B369" s="3" t="s">
        <v>102</v>
      </c>
      <c r="F369">
        <v>5</v>
      </c>
      <c r="G369" t="s">
        <v>8607</v>
      </c>
      <c r="H369">
        <v>34</v>
      </c>
      <c r="I369" t="s">
        <v>9303</v>
      </c>
      <c r="J369" t="str">
        <f t="shared" si="5"/>
        <v>13F-HR-5.34.C8</v>
      </c>
      <c r="K369" s="5" t="s">
        <v>8633</v>
      </c>
      <c r="L369" t="s">
        <v>4735</v>
      </c>
      <c r="M369" t="s">
        <v>8634</v>
      </c>
      <c r="N369" t="s">
        <v>8635</v>
      </c>
      <c r="Q369" s="28" t="s">
        <v>8632</v>
      </c>
    </row>
    <row r="370" spans="1:17" x14ac:dyDescent="0.35">
      <c r="A370" t="s">
        <v>8520</v>
      </c>
      <c r="B370" s="3" t="s">
        <v>102</v>
      </c>
      <c r="F370">
        <v>5</v>
      </c>
      <c r="G370" t="s">
        <v>8607</v>
      </c>
      <c r="H370">
        <v>35</v>
      </c>
      <c r="I370" t="s">
        <v>9304</v>
      </c>
      <c r="J370" t="str">
        <f t="shared" si="5"/>
        <v>13F-HR-5.35.C9</v>
      </c>
      <c r="K370" s="5" t="s">
        <v>8637</v>
      </c>
      <c r="L370" t="s">
        <v>229</v>
      </c>
      <c r="M370" t="s">
        <v>8638</v>
      </c>
      <c r="N370" t="s">
        <v>8639</v>
      </c>
      <c r="Q370" s="28" t="s">
        <v>8636</v>
      </c>
    </row>
    <row r="371" spans="1:17" x14ac:dyDescent="0.35">
      <c r="A371" t="s">
        <v>8520</v>
      </c>
      <c r="B371" s="3" t="s">
        <v>102</v>
      </c>
      <c r="F371">
        <v>5</v>
      </c>
      <c r="G371" t="s">
        <v>8607</v>
      </c>
      <c r="H371">
        <v>36</v>
      </c>
      <c r="I371" t="s">
        <v>9305</v>
      </c>
      <c r="J371" t="str">
        <f t="shared" si="5"/>
        <v>13F-HR-5.36.C10</v>
      </c>
      <c r="K371" s="5" t="s">
        <v>8640</v>
      </c>
      <c r="L371" t="s">
        <v>241</v>
      </c>
      <c r="M371" t="s">
        <v>8641</v>
      </c>
      <c r="N371" t="s">
        <v>8642</v>
      </c>
      <c r="Q371" s="28">
        <v>16983</v>
      </c>
    </row>
    <row r="372" spans="1:17" x14ac:dyDescent="0.35">
      <c r="A372" t="s">
        <v>8520</v>
      </c>
      <c r="B372" s="3" t="s">
        <v>102</v>
      </c>
      <c r="F372">
        <v>5</v>
      </c>
      <c r="G372" t="s">
        <v>8607</v>
      </c>
      <c r="H372">
        <v>37</v>
      </c>
      <c r="I372" t="s">
        <v>9306</v>
      </c>
      <c r="J372" t="str">
        <f t="shared" si="5"/>
        <v>13F-HR-5.37.C11</v>
      </c>
      <c r="K372" s="5" t="s">
        <v>8643</v>
      </c>
      <c r="L372" t="s">
        <v>241</v>
      </c>
      <c r="M372" t="s">
        <v>8644</v>
      </c>
      <c r="N372" t="s">
        <v>8645</v>
      </c>
      <c r="Q372" s="28">
        <v>0</v>
      </c>
    </row>
    <row r="373" spans="1:17" x14ac:dyDescent="0.35">
      <c r="A373" t="s">
        <v>8520</v>
      </c>
      <c r="B373" s="3" t="s">
        <v>102</v>
      </c>
      <c r="F373">
        <v>5</v>
      </c>
      <c r="G373" t="s">
        <v>8607</v>
      </c>
      <c r="H373">
        <v>38</v>
      </c>
      <c r="I373" t="s">
        <v>9307</v>
      </c>
      <c r="J373" t="str">
        <f t="shared" si="5"/>
        <v>13F-HR-5.38.C12</v>
      </c>
      <c r="K373" s="5" t="s">
        <v>8646</v>
      </c>
      <c r="L373" t="s">
        <v>241</v>
      </c>
      <c r="M373" t="s">
        <v>8647</v>
      </c>
      <c r="N373" t="s">
        <v>8648</v>
      </c>
      <c r="Q373" s="28">
        <v>278972</v>
      </c>
    </row>
    <row r="374" spans="1:17" x14ac:dyDescent="0.35">
      <c r="A374" t="s">
        <v>8520</v>
      </c>
      <c r="B374" s="3" t="s">
        <v>102</v>
      </c>
      <c r="F374">
        <v>5</v>
      </c>
      <c r="G374" t="s">
        <v>8607</v>
      </c>
      <c r="H374">
        <v>27</v>
      </c>
      <c r="I374" t="s">
        <v>9296</v>
      </c>
      <c r="J374" t="str">
        <f t="shared" si="5"/>
        <v>13F-HR-5.27.C1</v>
      </c>
      <c r="K374" s="5" t="s">
        <v>8608</v>
      </c>
      <c r="L374" t="s">
        <v>229</v>
      </c>
      <c r="M374" t="s">
        <v>8609</v>
      </c>
      <c r="N374" t="s">
        <v>8610</v>
      </c>
      <c r="Q374" s="28" t="s">
        <v>8705</v>
      </c>
    </row>
    <row r="375" spans="1:17" x14ac:dyDescent="0.35">
      <c r="A375" t="s">
        <v>8520</v>
      </c>
      <c r="B375" s="3" t="s">
        <v>102</v>
      </c>
      <c r="F375">
        <v>5</v>
      </c>
      <c r="G375" t="s">
        <v>8607</v>
      </c>
      <c r="H375">
        <v>28</v>
      </c>
      <c r="I375" t="s">
        <v>9297</v>
      </c>
      <c r="J375" t="str">
        <f t="shared" si="5"/>
        <v>13F-HR-5.28.C2</v>
      </c>
      <c r="K375" s="5" t="s">
        <v>8612</v>
      </c>
      <c r="L375" t="s">
        <v>229</v>
      </c>
      <c r="M375" t="s">
        <v>8613</v>
      </c>
      <c r="N375" t="s">
        <v>8614</v>
      </c>
      <c r="Q375" s="28" t="s">
        <v>8706</v>
      </c>
    </row>
    <row r="376" spans="1:17" x14ac:dyDescent="0.35">
      <c r="A376" t="s">
        <v>8520</v>
      </c>
      <c r="B376" s="3" t="s">
        <v>102</v>
      </c>
      <c r="F376">
        <v>5</v>
      </c>
      <c r="G376" t="s">
        <v>8607</v>
      </c>
      <c r="H376">
        <v>29</v>
      </c>
      <c r="I376" t="s">
        <v>9298</v>
      </c>
      <c r="J376" t="str">
        <f t="shared" si="5"/>
        <v>13F-HR-5.29.C3</v>
      </c>
      <c r="K376" s="5" t="s">
        <v>8616</v>
      </c>
      <c r="L376" t="s">
        <v>229</v>
      </c>
      <c r="M376" t="s">
        <v>7927</v>
      </c>
      <c r="N376" t="s">
        <v>8617</v>
      </c>
      <c r="Q376" s="28">
        <v>49468101</v>
      </c>
    </row>
    <row r="377" spans="1:17" x14ac:dyDescent="0.35">
      <c r="A377" t="s">
        <v>8520</v>
      </c>
      <c r="B377" s="3" t="s">
        <v>102</v>
      </c>
      <c r="F377">
        <v>5</v>
      </c>
      <c r="G377" t="s">
        <v>8607</v>
      </c>
      <c r="H377">
        <v>30</v>
      </c>
      <c r="I377" t="s">
        <v>9299</v>
      </c>
      <c r="J377" t="str">
        <f t="shared" si="5"/>
        <v>13F-HR-5.30.C4</v>
      </c>
      <c r="K377" s="5" t="s">
        <v>8618</v>
      </c>
      <c r="L377" t="s">
        <v>8619</v>
      </c>
      <c r="M377" t="s">
        <v>8620</v>
      </c>
      <c r="N377" t="s">
        <v>8621</v>
      </c>
      <c r="Q377" s="28">
        <v>30797188</v>
      </c>
    </row>
    <row r="378" spans="1:17" x14ac:dyDescent="0.35">
      <c r="A378" t="s">
        <v>8520</v>
      </c>
      <c r="B378" s="3" t="s">
        <v>102</v>
      </c>
      <c r="F378">
        <v>5</v>
      </c>
      <c r="G378" t="s">
        <v>8607</v>
      </c>
      <c r="H378">
        <v>31</v>
      </c>
      <c r="I378" t="s">
        <v>9300</v>
      </c>
      <c r="J378" t="str">
        <f t="shared" si="5"/>
        <v>13F-HR-5.31.C5</v>
      </c>
      <c r="K378" s="5" t="s">
        <v>8622</v>
      </c>
      <c r="L378" t="s">
        <v>241</v>
      </c>
      <c r="M378" t="s">
        <v>8623</v>
      </c>
      <c r="N378" t="s">
        <v>8624</v>
      </c>
      <c r="Q378" s="28">
        <v>145126</v>
      </c>
    </row>
    <row r="379" spans="1:17" x14ac:dyDescent="0.35">
      <c r="A379" t="s">
        <v>8520</v>
      </c>
      <c r="B379" s="3" t="s">
        <v>102</v>
      </c>
      <c r="F379">
        <v>5</v>
      </c>
      <c r="G379" t="s">
        <v>8607</v>
      </c>
      <c r="H379">
        <v>32</v>
      </c>
      <c r="I379" t="s">
        <v>9301</v>
      </c>
      <c r="J379" t="str">
        <f t="shared" si="5"/>
        <v>13F-HR-5.32.C6</v>
      </c>
      <c r="K379" s="5" t="s">
        <v>8625</v>
      </c>
      <c r="L379" t="s">
        <v>229</v>
      </c>
      <c r="M379" t="s">
        <v>8626</v>
      </c>
      <c r="N379" t="s">
        <v>8627</v>
      </c>
      <c r="Q379" s="28" t="s">
        <v>8628</v>
      </c>
    </row>
    <row r="380" spans="1:17" x14ac:dyDescent="0.35">
      <c r="A380" t="s">
        <v>8520</v>
      </c>
      <c r="B380" s="3" t="s">
        <v>102</v>
      </c>
      <c r="F380">
        <v>5</v>
      </c>
      <c r="G380" t="s">
        <v>8607</v>
      </c>
      <c r="H380">
        <v>33</v>
      </c>
      <c r="I380" t="s">
        <v>9302</v>
      </c>
      <c r="J380" t="str">
        <f t="shared" si="5"/>
        <v>13F-HR-5.33.C7</v>
      </c>
      <c r="K380" s="5" t="s">
        <v>8629</v>
      </c>
      <c r="L380" t="s">
        <v>229</v>
      </c>
      <c r="M380" t="s">
        <v>8630</v>
      </c>
      <c r="N380" t="s">
        <v>8631</v>
      </c>
      <c r="Q380" s="28" t="s">
        <v>8685</v>
      </c>
    </row>
    <row r="381" spans="1:17" x14ac:dyDescent="0.35">
      <c r="A381" t="s">
        <v>8520</v>
      </c>
      <c r="B381" s="3" t="s">
        <v>102</v>
      </c>
      <c r="F381">
        <v>5</v>
      </c>
      <c r="G381" t="s">
        <v>8607</v>
      </c>
      <c r="H381">
        <v>34</v>
      </c>
      <c r="I381" t="s">
        <v>9303</v>
      </c>
      <c r="J381" t="str">
        <f t="shared" si="5"/>
        <v>13F-HR-5.34.C8</v>
      </c>
      <c r="K381" s="5" t="s">
        <v>8633</v>
      </c>
      <c r="L381" t="s">
        <v>4735</v>
      </c>
      <c r="M381" t="s">
        <v>8634</v>
      </c>
      <c r="N381" t="s">
        <v>8635</v>
      </c>
      <c r="Q381" s="28" t="s">
        <v>8632</v>
      </c>
    </row>
    <row r="382" spans="1:17" x14ac:dyDescent="0.35">
      <c r="A382" t="s">
        <v>8520</v>
      </c>
      <c r="B382" s="3" t="s">
        <v>102</v>
      </c>
      <c r="F382">
        <v>5</v>
      </c>
      <c r="G382" t="s">
        <v>8607</v>
      </c>
      <c r="H382">
        <v>35</v>
      </c>
      <c r="I382" t="s">
        <v>9304</v>
      </c>
      <c r="J382" t="str">
        <f t="shared" si="5"/>
        <v>13F-HR-5.35.C9</v>
      </c>
      <c r="K382" s="5" t="s">
        <v>8637</v>
      </c>
      <c r="L382" t="s">
        <v>229</v>
      </c>
      <c r="M382" t="s">
        <v>8638</v>
      </c>
      <c r="N382" t="s">
        <v>8639</v>
      </c>
      <c r="Q382" s="28" t="s">
        <v>8636</v>
      </c>
    </row>
    <row r="383" spans="1:17" x14ac:dyDescent="0.35">
      <c r="A383" t="s">
        <v>8520</v>
      </c>
      <c r="B383" s="3" t="s">
        <v>102</v>
      </c>
      <c r="F383">
        <v>5</v>
      </c>
      <c r="G383" t="s">
        <v>8607</v>
      </c>
      <c r="H383">
        <v>36</v>
      </c>
      <c r="I383" t="s">
        <v>9305</v>
      </c>
      <c r="J383" t="str">
        <f t="shared" si="5"/>
        <v>13F-HR-5.36.C10</v>
      </c>
      <c r="K383" s="5" t="s">
        <v>8640</v>
      </c>
      <c r="L383" t="s">
        <v>241</v>
      </c>
      <c r="M383" t="s">
        <v>8641</v>
      </c>
      <c r="N383" t="s">
        <v>8642</v>
      </c>
      <c r="Q383" s="28">
        <v>144226</v>
      </c>
    </row>
    <row r="384" spans="1:17" x14ac:dyDescent="0.35">
      <c r="A384" t="s">
        <v>8520</v>
      </c>
      <c r="B384" s="3" t="s">
        <v>102</v>
      </c>
      <c r="F384">
        <v>5</v>
      </c>
      <c r="G384" t="s">
        <v>8607</v>
      </c>
      <c r="H384">
        <v>37</v>
      </c>
      <c r="I384" t="s">
        <v>9306</v>
      </c>
      <c r="J384" t="str">
        <f t="shared" si="5"/>
        <v>13F-HR-5.37.C11</v>
      </c>
      <c r="K384" s="5" t="s">
        <v>8643</v>
      </c>
      <c r="L384" t="s">
        <v>241</v>
      </c>
      <c r="M384" t="s">
        <v>8644</v>
      </c>
      <c r="N384" t="s">
        <v>8645</v>
      </c>
      <c r="Q384" s="28">
        <v>0</v>
      </c>
    </row>
    <row r="385" spans="1:17" x14ac:dyDescent="0.35">
      <c r="A385" t="s">
        <v>8520</v>
      </c>
      <c r="B385" s="3" t="s">
        <v>102</v>
      </c>
      <c r="F385">
        <v>5</v>
      </c>
      <c r="G385" t="s">
        <v>8607</v>
      </c>
      <c r="H385">
        <v>38</v>
      </c>
      <c r="I385" t="s">
        <v>9307</v>
      </c>
      <c r="J385" t="str">
        <f t="shared" si="5"/>
        <v>13F-HR-5.38.C12</v>
      </c>
      <c r="K385" s="5" t="s">
        <v>8646</v>
      </c>
      <c r="L385" t="s">
        <v>241</v>
      </c>
      <c r="M385" t="s">
        <v>8647</v>
      </c>
      <c r="N385" t="s">
        <v>8648</v>
      </c>
      <c r="Q385" s="28">
        <v>900</v>
      </c>
    </row>
    <row r="386" spans="1:17" x14ac:dyDescent="0.35">
      <c r="A386" t="s">
        <v>8520</v>
      </c>
      <c r="B386" s="3" t="s">
        <v>102</v>
      </c>
      <c r="F386">
        <v>5</v>
      </c>
      <c r="G386" t="s">
        <v>8607</v>
      </c>
      <c r="H386">
        <v>27</v>
      </c>
      <c r="I386" t="s">
        <v>9296</v>
      </c>
      <c r="J386" t="str">
        <f t="shared" si="5"/>
        <v>13F-HR-5.27.C1</v>
      </c>
      <c r="K386" s="5" t="s">
        <v>8608</v>
      </c>
      <c r="L386" t="s">
        <v>229</v>
      </c>
      <c r="M386" t="s">
        <v>8609</v>
      </c>
      <c r="N386" t="s">
        <v>8610</v>
      </c>
      <c r="Q386" s="28" t="s">
        <v>8707</v>
      </c>
    </row>
    <row r="387" spans="1:17" x14ac:dyDescent="0.35">
      <c r="A387" t="s">
        <v>8520</v>
      </c>
      <c r="B387" s="3" t="s">
        <v>102</v>
      </c>
      <c r="F387">
        <v>5</v>
      </c>
      <c r="G387" t="s">
        <v>8607</v>
      </c>
      <c r="H387">
        <v>28</v>
      </c>
      <c r="I387" t="s">
        <v>9297</v>
      </c>
      <c r="J387" t="str">
        <f t="shared" ref="J387:J450" si="6">_xlfn.CONCAT(A387,"-",F387,".",H387,".",I387)</f>
        <v>13F-HR-5.28.C2</v>
      </c>
      <c r="K387" s="5" t="s">
        <v>8612</v>
      </c>
      <c r="L387" t="s">
        <v>229</v>
      </c>
      <c r="M387" t="s">
        <v>8613</v>
      </c>
      <c r="N387" t="s">
        <v>8614</v>
      </c>
      <c r="Q387" s="28" t="s">
        <v>8615</v>
      </c>
    </row>
    <row r="388" spans="1:17" x14ac:dyDescent="0.35">
      <c r="A388" t="s">
        <v>8520</v>
      </c>
      <c r="B388" s="3" t="s">
        <v>102</v>
      </c>
      <c r="F388">
        <v>5</v>
      </c>
      <c r="G388" t="s">
        <v>8607</v>
      </c>
      <c r="H388">
        <v>29</v>
      </c>
      <c r="I388" t="s">
        <v>9298</v>
      </c>
      <c r="J388" t="str">
        <f t="shared" si="6"/>
        <v>13F-HR-5.29.C3</v>
      </c>
      <c r="K388" s="5" t="s">
        <v>8616</v>
      </c>
      <c r="L388" t="s">
        <v>229</v>
      </c>
      <c r="M388" t="s">
        <v>7927</v>
      </c>
      <c r="N388" t="s">
        <v>8617</v>
      </c>
      <c r="Q388" s="28">
        <v>49560105</v>
      </c>
    </row>
    <row r="389" spans="1:17" x14ac:dyDescent="0.35">
      <c r="A389" t="s">
        <v>8520</v>
      </c>
      <c r="B389" s="3" t="s">
        <v>102</v>
      </c>
      <c r="F389">
        <v>5</v>
      </c>
      <c r="G389" t="s">
        <v>8607</v>
      </c>
      <c r="H389">
        <v>30</v>
      </c>
      <c r="I389" t="s">
        <v>9299</v>
      </c>
      <c r="J389" t="str">
        <f t="shared" si="6"/>
        <v>13F-HR-5.30.C4</v>
      </c>
      <c r="K389" s="5" t="s">
        <v>8618</v>
      </c>
      <c r="L389" t="s">
        <v>8619</v>
      </c>
      <c r="M389" t="s">
        <v>8620</v>
      </c>
      <c r="N389" t="s">
        <v>8621</v>
      </c>
      <c r="Q389" s="28">
        <v>43386123</v>
      </c>
    </row>
    <row r="390" spans="1:17" x14ac:dyDescent="0.35">
      <c r="A390" t="s">
        <v>8520</v>
      </c>
      <c r="B390" s="3" t="s">
        <v>102</v>
      </c>
      <c r="F390">
        <v>5</v>
      </c>
      <c r="G390" t="s">
        <v>8607</v>
      </c>
      <c r="H390">
        <v>31</v>
      </c>
      <c r="I390" t="s">
        <v>9300</v>
      </c>
      <c r="J390" t="str">
        <f t="shared" si="6"/>
        <v>13F-HR-5.31.C5</v>
      </c>
      <c r="K390" s="5" t="s">
        <v>8622</v>
      </c>
      <c r="L390" t="s">
        <v>241</v>
      </c>
      <c r="M390" t="s">
        <v>8623</v>
      </c>
      <c r="N390" t="s">
        <v>8624</v>
      </c>
      <c r="Q390" s="28">
        <v>280671</v>
      </c>
    </row>
    <row r="391" spans="1:17" x14ac:dyDescent="0.35">
      <c r="A391" t="s">
        <v>8520</v>
      </c>
      <c r="B391" s="3" t="s">
        <v>102</v>
      </c>
      <c r="F391">
        <v>5</v>
      </c>
      <c r="G391" t="s">
        <v>8607</v>
      </c>
      <c r="H391">
        <v>32</v>
      </c>
      <c r="I391" t="s">
        <v>9301</v>
      </c>
      <c r="J391" t="str">
        <f t="shared" si="6"/>
        <v>13F-HR-5.32.C6</v>
      </c>
      <c r="K391" s="5" t="s">
        <v>8625</v>
      </c>
      <c r="L391" t="s">
        <v>229</v>
      </c>
      <c r="M391" t="s">
        <v>8626</v>
      </c>
      <c r="N391" t="s">
        <v>8627</v>
      </c>
      <c r="Q391" s="28" t="s">
        <v>8628</v>
      </c>
    </row>
    <row r="392" spans="1:17" x14ac:dyDescent="0.35">
      <c r="A392" t="s">
        <v>8520</v>
      </c>
      <c r="B392" s="3" t="s">
        <v>102</v>
      </c>
      <c r="F392">
        <v>5</v>
      </c>
      <c r="G392" t="s">
        <v>8607</v>
      </c>
      <c r="H392">
        <v>33</v>
      </c>
      <c r="I392" t="s">
        <v>9302</v>
      </c>
      <c r="J392" t="str">
        <f t="shared" si="6"/>
        <v>13F-HR-5.33.C7</v>
      </c>
      <c r="K392" s="5" t="s">
        <v>8629</v>
      </c>
      <c r="L392" t="s">
        <v>229</v>
      </c>
      <c r="M392" t="s">
        <v>8630</v>
      </c>
      <c r="N392" t="s">
        <v>8631</v>
      </c>
      <c r="Q392" s="28" t="s">
        <v>8685</v>
      </c>
    </row>
    <row r="393" spans="1:17" x14ac:dyDescent="0.35">
      <c r="A393" t="s">
        <v>8520</v>
      </c>
      <c r="B393" s="3" t="s">
        <v>102</v>
      </c>
      <c r="F393">
        <v>5</v>
      </c>
      <c r="G393" t="s">
        <v>8607</v>
      </c>
      <c r="H393">
        <v>34</v>
      </c>
      <c r="I393" t="s">
        <v>9303</v>
      </c>
      <c r="J393" t="str">
        <f t="shared" si="6"/>
        <v>13F-HR-5.34.C8</v>
      </c>
      <c r="K393" s="5" t="s">
        <v>8633</v>
      </c>
      <c r="L393" t="s">
        <v>4735</v>
      </c>
      <c r="M393" t="s">
        <v>8634</v>
      </c>
      <c r="N393" t="s">
        <v>8635</v>
      </c>
      <c r="Q393" s="28" t="s">
        <v>8632</v>
      </c>
    </row>
    <row r="394" spans="1:17" x14ac:dyDescent="0.35">
      <c r="A394" t="s">
        <v>8520</v>
      </c>
      <c r="B394" s="3" t="s">
        <v>102</v>
      </c>
      <c r="F394">
        <v>5</v>
      </c>
      <c r="G394" t="s">
        <v>8607</v>
      </c>
      <c r="H394">
        <v>35</v>
      </c>
      <c r="I394" t="s">
        <v>9304</v>
      </c>
      <c r="J394" t="str">
        <f t="shared" si="6"/>
        <v>13F-HR-5.35.C9</v>
      </c>
      <c r="K394" s="5" t="s">
        <v>8637</v>
      </c>
      <c r="L394" t="s">
        <v>229</v>
      </c>
      <c r="M394" t="s">
        <v>8638</v>
      </c>
      <c r="N394" t="s">
        <v>8639</v>
      </c>
      <c r="Q394" s="28" t="s">
        <v>8636</v>
      </c>
    </row>
    <row r="395" spans="1:17" x14ac:dyDescent="0.35">
      <c r="A395" t="s">
        <v>8520</v>
      </c>
      <c r="B395" s="3" t="s">
        <v>102</v>
      </c>
      <c r="F395">
        <v>5</v>
      </c>
      <c r="G395" t="s">
        <v>8607</v>
      </c>
      <c r="H395">
        <v>36</v>
      </c>
      <c r="I395" t="s">
        <v>9305</v>
      </c>
      <c r="J395" t="str">
        <f t="shared" si="6"/>
        <v>13F-HR-5.36.C10</v>
      </c>
      <c r="K395" s="5" t="s">
        <v>8640</v>
      </c>
      <c r="L395" t="s">
        <v>241</v>
      </c>
      <c r="M395" t="s">
        <v>8641</v>
      </c>
      <c r="N395" t="s">
        <v>8642</v>
      </c>
      <c r="Q395" s="28">
        <v>280671</v>
      </c>
    </row>
    <row r="396" spans="1:17" x14ac:dyDescent="0.35">
      <c r="A396" t="s">
        <v>8520</v>
      </c>
      <c r="B396" s="3" t="s">
        <v>102</v>
      </c>
      <c r="F396">
        <v>5</v>
      </c>
      <c r="G396" t="s">
        <v>8607</v>
      </c>
      <c r="H396">
        <v>37</v>
      </c>
      <c r="I396" t="s">
        <v>9306</v>
      </c>
      <c r="J396" t="str">
        <f t="shared" si="6"/>
        <v>13F-HR-5.37.C11</v>
      </c>
      <c r="K396" s="5" t="s">
        <v>8643</v>
      </c>
      <c r="L396" t="s">
        <v>241</v>
      </c>
      <c r="M396" t="s">
        <v>8644</v>
      </c>
      <c r="N396" t="s">
        <v>8645</v>
      </c>
      <c r="Q396" s="28">
        <v>0</v>
      </c>
    </row>
    <row r="397" spans="1:17" x14ac:dyDescent="0.35">
      <c r="A397" t="s">
        <v>8520</v>
      </c>
      <c r="B397" s="3" t="s">
        <v>102</v>
      </c>
      <c r="F397">
        <v>5</v>
      </c>
      <c r="G397" t="s">
        <v>8607</v>
      </c>
      <c r="H397">
        <v>38</v>
      </c>
      <c r="I397" t="s">
        <v>9307</v>
      </c>
      <c r="J397" t="str">
        <f t="shared" si="6"/>
        <v>13F-HR-5.38.C12</v>
      </c>
      <c r="K397" s="5" t="s">
        <v>8646</v>
      </c>
      <c r="L397" t="s">
        <v>241</v>
      </c>
      <c r="M397" t="s">
        <v>8647</v>
      </c>
      <c r="N397" t="s">
        <v>8648</v>
      </c>
      <c r="Q397" s="28">
        <v>0</v>
      </c>
    </row>
    <row r="398" spans="1:17" x14ac:dyDescent="0.35">
      <c r="A398" t="s">
        <v>8520</v>
      </c>
      <c r="B398" s="3" t="s">
        <v>102</v>
      </c>
      <c r="F398">
        <v>5</v>
      </c>
      <c r="G398" t="s">
        <v>8607</v>
      </c>
      <c r="H398">
        <v>27</v>
      </c>
      <c r="I398" t="s">
        <v>9296</v>
      </c>
      <c r="J398" t="str">
        <f t="shared" si="6"/>
        <v>13F-HR-5.27.C1</v>
      </c>
      <c r="K398" s="5" t="s">
        <v>8608</v>
      </c>
      <c r="L398" t="s">
        <v>229</v>
      </c>
      <c r="M398" t="s">
        <v>8609</v>
      </c>
      <c r="N398" t="s">
        <v>8610</v>
      </c>
      <c r="Q398" s="28" t="s">
        <v>8708</v>
      </c>
    </row>
    <row r="399" spans="1:17" x14ac:dyDescent="0.35">
      <c r="A399" t="s">
        <v>8520</v>
      </c>
      <c r="B399" s="3" t="s">
        <v>102</v>
      </c>
      <c r="F399">
        <v>5</v>
      </c>
      <c r="G399" t="s">
        <v>8607</v>
      </c>
      <c r="H399">
        <v>28</v>
      </c>
      <c r="I399" t="s">
        <v>9297</v>
      </c>
      <c r="J399" t="str">
        <f t="shared" si="6"/>
        <v>13F-HR-5.28.C2</v>
      </c>
      <c r="K399" s="5" t="s">
        <v>8612</v>
      </c>
      <c r="L399" t="s">
        <v>229</v>
      </c>
      <c r="M399" t="s">
        <v>8613</v>
      </c>
      <c r="N399" t="s">
        <v>8614</v>
      </c>
      <c r="Q399" s="28" t="s">
        <v>8615</v>
      </c>
    </row>
    <row r="400" spans="1:17" x14ac:dyDescent="0.35">
      <c r="A400" t="s">
        <v>8520</v>
      </c>
      <c r="B400" s="3" t="s">
        <v>102</v>
      </c>
      <c r="F400">
        <v>5</v>
      </c>
      <c r="G400" t="s">
        <v>8607</v>
      </c>
      <c r="H400">
        <v>29</v>
      </c>
      <c r="I400" t="s">
        <v>9298</v>
      </c>
      <c r="J400" t="str">
        <f t="shared" si="6"/>
        <v>13F-HR-5.29.C3</v>
      </c>
      <c r="K400" s="5" t="s">
        <v>8616</v>
      </c>
      <c r="L400" t="s">
        <v>229</v>
      </c>
      <c r="M400" t="s">
        <v>7927</v>
      </c>
      <c r="N400" t="s">
        <v>8617</v>
      </c>
      <c r="Q400" s="28">
        <v>53484101</v>
      </c>
    </row>
    <row r="401" spans="1:17" x14ac:dyDescent="0.35">
      <c r="A401" t="s">
        <v>8520</v>
      </c>
      <c r="B401" s="3" t="s">
        <v>102</v>
      </c>
      <c r="F401">
        <v>5</v>
      </c>
      <c r="G401" t="s">
        <v>8607</v>
      </c>
      <c r="H401">
        <v>30</v>
      </c>
      <c r="I401" t="s">
        <v>9299</v>
      </c>
      <c r="J401" t="str">
        <f t="shared" si="6"/>
        <v>13F-HR-5.30.C4</v>
      </c>
      <c r="K401" s="5" t="s">
        <v>8618</v>
      </c>
      <c r="L401" t="s">
        <v>8619</v>
      </c>
      <c r="M401" t="s">
        <v>8620</v>
      </c>
      <c r="N401" t="s">
        <v>8621</v>
      </c>
      <c r="Q401" s="28">
        <v>2164657</v>
      </c>
    </row>
    <row r="402" spans="1:17" x14ac:dyDescent="0.35">
      <c r="A402" t="s">
        <v>8520</v>
      </c>
      <c r="B402" s="3" t="s">
        <v>102</v>
      </c>
      <c r="F402">
        <v>5</v>
      </c>
      <c r="G402" t="s">
        <v>8607</v>
      </c>
      <c r="H402">
        <v>31</v>
      </c>
      <c r="I402" t="s">
        <v>9300</v>
      </c>
      <c r="J402" t="str">
        <f t="shared" si="6"/>
        <v>13F-HR-5.31.C5</v>
      </c>
      <c r="K402" s="5" t="s">
        <v>8622</v>
      </c>
      <c r="L402" t="s">
        <v>241</v>
      </c>
      <c r="M402" t="s">
        <v>8623</v>
      </c>
      <c r="N402" t="s">
        <v>8624</v>
      </c>
      <c r="Q402" s="28">
        <v>10086</v>
      </c>
    </row>
    <row r="403" spans="1:17" x14ac:dyDescent="0.35">
      <c r="A403" t="s">
        <v>8520</v>
      </c>
      <c r="B403" s="3" t="s">
        <v>102</v>
      </c>
      <c r="F403">
        <v>5</v>
      </c>
      <c r="G403" t="s">
        <v>8607</v>
      </c>
      <c r="H403">
        <v>32</v>
      </c>
      <c r="I403" t="s">
        <v>9301</v>
      </c>
      <c r="J403" t="str">
        <f t="shared" si="6"/>
        <v>13F-HR-5.32.C6</v>
      </c>
      <c r="K403" s="5" t="s">
        <v>8625</v>
      </c>
      <c r="L403" t="s">
        <v>229</v>
      </c>
      <c r="M403" t="s">
        <v>8626</v>
      </c>
      <c r="N403" t="s">
        <v>8627</v>
      </c>
      <c r="Q403" s="28" t="s">
        <v>8628</v>
      </c>
    </row>
    <row r="404" spans="1:17" x14ac:dyDescent="0.35">
      <c r="A404" t="s">
        <v>8520</v>
      </c>
      <c r="B404" s="3" t="s">
        <v>102</v>
      </c>
      <c r="F404">
        <v>5</v>
      </c>
      <c r="G404" t="s">
        <v>8607</v>
      </c>
      <c r="H404">
        <v>33</v>
      </c>
      <c r="I404" t="s">
        <v>9302</v>
      </c>
      <c r="J404" t="str">
        <f t="shared" si="6"/>
        <v>13F-HR-5.33.C7</v>
      </c>
      <c r="K404" s="5" t="s">
        <v>8629</v>
      </c>
      <c r="L404" t="s">
        <v>229</v>
      </c>
      <c r="M404" t="s">
        <v>8630</v>
      </c>
      <c r="N404" t="s">
        <v>8631</v>
      </c>
      <c r="Q404" s="28" t="s">
        <v>8685</v>
      </c>
    </row>
    <row r="405" spans="1:17" x14ac:dyDescent="0.35">
      <c r="A405" t="s">
        <v>8520</v>
      </c>
      <c r="B405" s="3" t="s">
        <v>102</v>
      </c>
      <c r="F405">
        <v>5</v>
      </c>
      <c r="G405" t="s">
        <v>8607</v>
      </c>
      <c r="H405">
        <v>34</v>
      </c>
      <c r="I405" t="s">
        <v>9303</v>
      </c>
      <c r="J405" t="str">
        <f t="shared" si="6"/>
        <v>13F-HR-5.34.C8</v>
      </c>
      <c r="K405" s="5" t="s">
        <v>8633</v>
      </c>
      <c r="L405" t="s">
        <v>4735</v>
      </c>
      <c r="M405" t="s">
        <v>8634</v>
      </c>
      <c r="N405" t="s">
        <v>8635</v>
      </c>
      <c r="Q405" s="28" t="s">
        <v>8632</v>
      </c>
    </row>
    <row r="406" spans="1:17" x14ac:dyDescent="0.35">
      <c r="A406" t="s">
        <v>8520</v>
      </c>
      <c r="B406" s="3" t="s">
        <v>102</v>
      </c>
      <c r="F406">
        <v>5</v>
      </c>
      <c r="G406" t="s">
        <v>8607</v>
      </c>
      <c r="H406">
        <v>35</v>
      </c>
      <c r="I406" t="s">
        <v>9304</v>
      </c>
      <c r="J406" t="str">
        <f t="shared" si="6"/>
        <v>13F-HR-5.35.C9</v>
      </c>
      <c r="K406" s="5" t="s">
        <v>8637</v>
      </c>
      <c r="L406" t="s">
        <v>229</v>
      </c>
      <c r="M406" t="s">
        <v>8638</v>
      </c>
      <c r="N406" t="s">
        <v>8639</v>
      </c>
      <c r="Q406" s="28" t="s">
        <v>8636</v>
      </c>
    </row>
    <row r="407" spans="1:17" x14ac:dyDescent="0.35">
      <c r="A407" t="s">
        <v>8520</v>
      </c>
      <c r="B407" s="3" t="s">
        <v>102</v>
      </c>
      <c r="F407">
        <v>5</v>
      </c>
      <c r="G407" t="s">
        <v>8607</v>
      </c>
      <c r="H407">
        <v>36</v>
      </c>
      <c r="I407" t="s">
        <v>9305</v>
      </c>
      <c r="J407" t="str">
        <f t="shared" si="6"/>
        <v>13F-HR-5.36.C10</v>
      </c>
      <c r="K407" s="5" t="s">
        <v>8640</v>
      </c>
      <c r="L407" t="s">
        <v>241</v>
      </c>
      <c r="M407" t="s">
        <v>8641</v>
      </c>
      <c r="N407" t="s">
        <v>8642</v>
      </c>
      <c r="Q407" s="28">
        <v>0</v>
      </c>
    </row>
    <row r="408" spans="1:17" x14ac:dyDescent="0.35">
      <c r="A408" t="s">
        <v>8520</v>
      </c>
      <c r="B408" s="3" t="s">
        <v>102</v>
      </c>
      <c r="F408">
        <v>5</v>
      </c>
      <c r="G408" t="s">
        <v>8607</v>
      </c>
      <c r="H408">
        <v>37</v>
      </c>
      <c r="I408" t="s">
        <v>9306</v>
      </c>
      <c r="J408" t="str">
        <f t="shared" si="6"/>
        <v>13F-HR-5.37.C11</v>
      </c>
      <c r="K408" s="5" t="s">
        <v>8643</v>
      </c>
      <c r="L408" t="s">
        <v>241</v>
      </c>
      <c r="M408" t="s">
        <v>8644</v>
      </c>
      <c r="N408" t="s">
        <v>8645</v>
      </c>
      <c r="Q408" s="28">
        <v>0</v>
      </c>
    </row>
    <row r="409" spans="1:17" x14ac:dyDescent="0.35">
      <c r="A409" t="s">
        <v>8520</v>
      </c>
      <c r="B409" s="3" t="s">
        <v>102</v>
      </c>
      <c r="F409">
        <v>5</v>
      </c>
      <c r="G409" t="s">
        <v>8607</v>
      </c>
      <c r="H409">
        <v>38</v>
      </c>
      <c r="I409" t="s">
        <v>9307</v>
      </c>
      <c r="J409" t="str">
        <f t="shared" si="6"/>
        <v>13F-HR-5.38.C12</v>
      </c>
      <c r="K409" s="5" t="s">
        <v>8646</v>
      </c>
      <c r="L409" t="s">
        <v>241</v>
      </c>
      <c r="M409" t="s">
        <v>8647</v>
      </c>
      <c r="N409" t="s">
        <v>8648</v>
      </c>
      <c r="Q409" s="28">
        <v>10086</v>
      </c>
    </row>
    <row r="410" spans="1:17" x14ac:dyDescent="0.35">
      <c r="A410" t="s">
        <v>8520</v>
      </c>
      <c r="B410" s="3" t="s">
        <v>102</v>
      </c>
      <c r="F410">
        <v>5</v>
      </c>
      <c r="G410" t="s">
        <v>8607</v>
      </c>
      <c r="H410">
        <v>27</v>
      </c>
      <c r="I410" t="s">
        <v>9296</v>
      </c>
      <c r="J410" t="str">
        <f t="shared" si="6"/>
        <v>13F-HR-5.27.C1</v>
      </c>
      <c r="K410" s="5" t="s">
        <v>8608</v>
      </c>
      <c r="L410" t="s">
        <v>229</v>
      </c>
      <c r="M410" t="s">
        <v>8609</v>
      </c>
      <c r="N410" t="s">
        <v>8610</v>
      </c>
      <c r="Q410" s="28" t="s">
        <v>8709</v>
      </c>
    </row>
    <row r="411" spans="1:17" x14ac:dyDescent="0.35">
      <c r="A411" t="s">
        <v>8520</v>
      </c>
      <c r="B411" s="3" t="s">
        <v>102</v>
      </c>
      <c r="F411">
        <v>5</v>
      </c>
      <c r="G411" t="s">
        <v>8607</v>
      </c>
      <c r="H411">
        <v>28</v>
      </c>
      <c r="I411" t="s">
        <v>9297</v>
      </c>
      <c r="J411" t="str">
        <f t="shared" si="6"/>
        <v>13F-HR-5.28.C2</v>
      </c>
      <c r="K411" s="5" t="s">
        <v>8612</v>
      </c>
      <c r="L411" t="s">
        <v>229</v>
      </c>
      <c r="M411" t="s">
        <v>8613</v>
      </c>
      <c r="N411" t="s">
        <v>8614</v>
      </c>
      <c r="Q411" s="28" t="s">
        <v>8615</v>
      </c>
    </row>
    <row r="412" spans="1:17" x14ac:dyDescent="0.35">
      <c r="A412" t="s">
        <v>8520</v>
      </c>
      <c r="B412" s="3" t="s">
        <v>102</v>
      </c>
      <c r="F412">
        <v>5</v>
      </c>
      <c r="G412" t="s">
        <v>8607</v>
      </c>
      <c r="H412">
        <v>29</v>
      </c>
      <c r="I412" t="s">
        <v>9298</v>
      </c>
      <c r="J412" t="str">
        <f t="shared" si="6"/>
        <v>13F-HR-5.29.C3</v>
      </c>
      <c r="K412" s="5" t="s">
        <v>8616</v>
      </c>
      <c r="L412" t="s">
        <v>229</v>
      </c>
      <c r="M412" t="s">
        <v>7927</v>
      </c>
      <c r="N412" t="s">
        <v>8617</v>
      </c>
      <c r="Q412" s="28">
        <v>60505104</v>
      </c>
    </row>
    <row r="413" spans="1:17" x14ac:dyDescent="0.35">
      <c r="A413" t="s">
        <v>8520</v>
      </c>
      <c r="B413" s="3" t="s">
        <v>102</v>
      </c>
      <c r="F413">
        <v>5</v>
      </c>
      <c r="G413" t="s">
        <v>8607</v>
      </c>
      <c r="H413">
        <v>30</v>
      </c>
      <c r="I413" t="s">
        <v>9299</v>
      </c>
      <c r="J413" t="str">
        <f t="shared" si="6"/>
        <v>13F-HR-5.30.C4</v>
      </c>
      <c r="K413" s="5" t="s">
        <v>8618</v>
      </c>
      <c r="L413" t="s">
        <v>8619</v>
      </c>
      <c r="M413" t="s">
        <v>8620</v>
      </c>
      <c r="N413" t="s">
        <v>8621</v>
      </c>
      <c r="Q413" s="28">
        <v>32090912</v>
      </c>
    </row>
    <row r="414" spans="1:17" x14ac:dyDescent="0.35">
      <c r="A414" t="s">
        <v>8520</v>
      </c>
      <c r="B414" s="3" t="s">
        <v>102</v>
      </c>
      <c r="F414">
        <v>5</v>
      </c>
      <c r="G414" t="s">
        <v>8607</v>
      </c>
      <c r="H414">
        <v>31</v>
      </c>
      <c r="I414" t="s">
        <v>9300</v>
      </c>
      <c r="J414" t="str">
        <f t="shared" si="6"/>
        <v>13F-HR-5.31.C5</v>
      </c>
      <c r="K414" s="5" t="s">
        <v>8622</v>
      </c>
      <c r="L414" t="s">
        <v>241</v>
      </c>
      <c r="M414" t="s">
        <v>8623</v>
      </c>
      <c r="N414" t="s">
        <v>8624</v>
      </c>
      <c r="Q414" s="28">
        <v>769013</v>
      </c>
    </row>
    <row r="415" spans="1:17" x14ac:dyDescent="0.35">
      <c r="A415" t="s">
        <v>8520</v>
      </c>
      <c r="B415" s="3" t="s">
        <v>102</v>
      </c>
      <c r="F415">
        <v>5</v>
      </c>
      <c r="G415" t="s">
        <v>8607</v>
      </c>
      <c r="H415">
        <v>32</v>
      </c>
      <c r="I415" t="s">
        <v>9301</v>
      </c>
      <c r="J415" t="str">
        <f t="shared" si="6"/>
        <v>13F-HR-5.32.C6</v>
      </c>
      <c r="K415" s="5" t="s">
        <v>8625</v>
      </c>
      <c r="L415" t="s">
        <v>229</v>
      </c>
      <c r="M415" t="s">
        <v>8626</v>
      </c>
      <c r="N415" t="s">
        <v>8627</v>
      </c>
      <c r="Q415" s="28" t="s">
        <v>8628</v>
      </c>
    </row>
    <row r="416" spans="1:17" x14ac:dyDescent="0.35">
      <c r="A416" t="s">
        <v>8520</v>
      </c>
      <c r="B416" s="3" t="s">
        <v>102</v>
      </c>
      <c r="F416">
        <v>5</v>
      </c>
      <c r="G416" t="s">
        <v>8607</v>
      </c>
      <c r="H416">
        <v>33</v>
      </c>
      <c r="I416" t="s">
        <v>9302</v>
      </c>
      <c r="J416" t="str">
        <f t="shared" si="6"/>
        <v>13F-HR-5.33.C7</v>
      </c>
      <c r="K416" s="5" t="s">
        <v>8629</v>
      </c>
      <c r="L416" t="s">
        <v>229</v>
      </c>
      <c r="M416" t="s">
        <v>8630</v>
      </c>
      <c r="N416" t="s">
        <v>8631</v>
      </c>
      <c r="Q416" s="28" t="s">
        <v>8685</v>
      </c>
    </row>
    <row r="417" spans="1:17" x14ac:dyDescent="0.35">
      <c r="A417" t="s">
        <v>8520</v>
      </c>
      <c r="B417" s="3" t="s">
        <v>102</v>
      </c>
      <c r="F417">
        <v>5</v>
      </c>
      <c r="G417" t="s">
        <v>8607</v>
      </c>
      <c r="H417">
        <v>34</v>
      </c>
      <c r="I417" t="s">
        <v>9303</v>
      </c>
      <c r="J417" t="str">
        <f t="shared" si="6"/>
        <v>13F-HR-5.34.C8</v>
      </c>
      <c r="K417" s="5" t="s">
        <v>8633</v>
      </c>
      <c r="L417" t="s">
        <v>4735</v>
      </c>
      <c r="M417" t="s">
        <v>8634</v>
      </c>
      <c r="N417" t="s">
        <v>8635</v>
      </c>
      <c r="Q417" s="28" t="s">
        <v>8632</v>
      </c>
    </row>
    <row r="418" spans="1:17" x14ac:dyDescent="0.35">
      <c r="A418" t="s">
        <v>8520</v>
      </c>
      <c r="B418" s="3" t="s">
        <v>102</v>
      </c>
      <c r="F418">
        <v>5</v>
      </c>
      <c r="G418" t="s">
        <v>8607</v>
      </c>
      <c r="H418">
        <v>35</v>
      </c>
      <c r="I418" t="s">
        <v>9304</v>
      </c>
      <c r="J418" t="str">
        <f t="shared" si="6"/>
        <v>13F-HR-5.35.C9</v>
      </c>
      <c r="K418" s="5" t="s">
        <v>8637</v>
      </c>
      <c r="L418" t="s">
        <v>229</v>
      </c>
      <c r="M418" t="s">
        <v>8638</v>
      </c>
      <c r="N418" t="s">
        <v>8639</v>
      </c>
      <c r="Q418" s="28" t="s">
        <v>8636</v>
      </c>
    </row>
    <row r="419" spans="1:17" x14ac:dyDescent="0.35">
      <c r="A419" t="s">
        <v>8520</v>
      </c>
      <c r="B419" s="3" t="s">
        <v>102</v>
      </c>
      <c r="F419">
        <v>5</v>
      </c>
      <c r="G419" t="s">
        <v>8607</v>
      </c>
      <c r="H419">
        <v>36</v>
      </c>
      <c r="I419" t="s">
        <v>9305</v>
      </c>
      <c r="J419" t="str">
        <f t="shared" si="6"/>
        <v>13F-HR-5.36.C10</v>
      </c>
      <c r="K419" s="5" t="s">
        <v>8640</v>
      </c>
      <c r="L419" t="s">
        <v>241</v>
      </c>
      <c r="M419" t="s">
        <v>8641</v>
      </c>
      <c r="N419" t="s">
        <v>8642</v>
      </c>
      <c r="Q419" s="28">
        <v>406506</v>
      </c>
    </row>
    <row r="420" spans="1:17" x14ac:dyDescent="0.35">
      <c r="A420" t="s">
        <v>8520</v>
      </c>
      <c r="B420" s="3" t="s">
        <v>102</v>
      </c>
      <c r="F420">
        <v>5</v>
      </c>
      <c r="G420" t="s">
        <v>8607</v>
      </c>
      <c r="H420">
        <v>37</v>
      </c>
      <c r="I420" t="s">
        <v>9306</v>
      </c>
      <c r="J420" t="str">
        <f t="shared" si="6"/>
        <v>13F-HR-5.37.C11</v>
      </c>
      <c r="K420" s="5" t="s">
        <v>8643</v>
      </c>
      <c r="L420" t="s">
        <v>241</v>
      </c>
      <c r="M420" t="s">
        <v>8644</v>
      </c>
      <c r="N420" t="s">
        <v>8645</v>
      </c>
      <c r="Q420" s="28">
        <v>0</v>
      </c>
    </row>
    <row r="421" spans="1:17" x14ac:dyDescent="0.35">
      <c r="A421" t="s">
        <v>8520</v>
      </c>
      <c r="B421" s="3" t="s">
        <v>102</v>
      </c>
      <c r="F421">
        <v>5</v>
      </c>
      <c r="G421" t="s">
        <v>8607</v>
      </c>
      <c r="H421">
        <v>38</v>
      </c>
      <c r="I421" t="s">
        <v>9307</v>
      </c>
      <c r="J421" t="str">
        <f t="shared" si="6"/>
        <v>13F-HR-5.38.C12</v>
      </c>
      <c r="K421" s="5" t="s">
        <v>8646</v>
      </c>
      <c r="L421" t="s">
        <v>241</v>
      </c>
      <c r="M421" t="s">
        <v>8647</v>
      </c>
      <c r="N421" t="s">
        <v>8648</v>
      </c>
      <c r="Q421" s="28">
        <v>362507</v>
      </c>
    </row>
    <row r="422" spans="1:17" x14ac:dyDescent="0.35">
      <c r="A422" t="s">
        <v>8520</v>
      </c>
      <c r="B422" s="3" t="s">
        <v>102</v>
      </c>
      <c r="F422">
        <v>5</v>
      </c>
      <c r="G422" t="s">
        <v>8607</v>
      </c>
      <c r="H422">
        <v>27</v>
      </c>
      <c r="I422" t="s">
        <v>9296</v>
      </c>
      <c r="J422" t="str">
        <f t="shared" si="6"/>
        <v>13F-HR-5.27.C1</v>
      </c>
      <c r="K422" s="5" t="s">
        <v>8608</v>
      </c>
      <c r="L422" t="s">
        <v>229</v>
      </c>
      <c r="M422" t="s">
        <v>8609</v>
      </c>
      <c r="N422" t="s">
        <v>8610</v>
      </c>
      <c r="Q422" s="28" t="s">
        <v>8710</v>
      </c>
    </row>
    <row r="423" spans="1:17" x14ac:dyDescent="0.35">
      <c r="A423" t="s">
        <v>8520</v>
      </c>
      <c r="B423" s="3" t="s">
        <v>102</v>
      </c>
      <c r="F423">
        <v>5</v>
      </c>
      <c r="G423" t="s">
        <v>8607</v>
      </c>
      <c r="H423">
        <v>28</v>
      </c>
      <c r="I423" t="s">
        <v>9297</v>
      </c>
      <c r="J423" t="str">
        <f t="shared" si="6"/>
        <v>13F-HR-5.28.C2</v>
      </c>
      <c r="K423" s="5" t="s">
        <v>8612</v>
      </c>
      <c r="L423" t="s">
        <v>229</v>
      </c>
      <c r="M423" t="s">
        <v>8613</v>
      </c>
      <c r="N423" t="s">
        <v>8614</v>
      </c>
      <c r="Q423" s="28" t="s">
        <v>8615</v>
      </c>
    </row>
    <row r="424" spans="1:17" x14ac:dyDescent="0.35">
      <c r="A424" t="s">
        <v>8520</v>
      </c>
      <c r="B424" s="3" t="s">
        <v>102</v>
      </c>
      <c r="F424">
        <v>5</v>
      </c>
      <c r="G424" t="s">
        <v>8607</v>
      </c>
      <c r="H424">
        <v>29</v>
      </c>
      <c r="I424" t="s">
        <v>9298</v>
      </c>
      <c r="J424" t="str">
        <f t="shared" si="6"/>
        <v>13F-HR-5.29.C3</v>
      </c>
      <c r="K424" s="5" t="s">
        <v>8616</v>
      </c>
      <c r="L424" t="s">
        <v>229</v>
      </c>
      <c r="M424" t="s">
        <v>7927</v>
      </c>
      <c r="N424" t="s">
        <v>8617</v>
      </c>
      <c r="Q424" s="28">
        <v>67901108</v>
      </c>
    </row>
    <row r="425" spans="1:17" x14ac:dyDescent="0.35">
      <c r="A425" t="s">
        <v>8520</v>
      </c>
      <c r="B425" s="3" t="s">
        <v>102</v>
      </c>
      <c r="F425">
        <v>5</v>
      </c>
      <c r="G425" t="s">
        <v>8607</v>
      </c>
      <c r="H425">
        <v>30</v>
      </c>
      <c r="I425" t="s">
        <v>9299</v>
      </c>
      <c r="J425" t="str">
        <f t="shared" si="6"/>
        <v>13F-HR-5.30.C4</v>
      </c>
      <c r="K425" s="5" t="s">
        <v>8618</v>
      </c>
      <c r="L425" t="s">
        <v>8619</v>
      </c>
      <c r="M425" t="s">
        <v>8620</v>
      </c>
      <c r="N425" t="s">
        <v>8621</v>
      </c>
      <c r="Q425" s="28">
        <v>76255464</v>
      </c>
    </row>
    <row r="426" spans="1:17" x14ac:dyDescent="0.35">
      <c r="A426" t="s">
        <v>8520</v>
      </c>
      <c r="B426" s="3" t="s">
        <v>102</v>
      </c>
      <c r="F426">
        <v>5</v>
      </c>
      <c r="G426" t="s">
        <v>8607</v>
      </c>
      <c r="H426">
        <v>31</v>
      </c>
      <c r="I426" t="s">
        <v>9300</v>
      </c>
      <c r="J426" t="str">
        <f t="shared" si="6"/>
        <v>13F-HR-5.31.C5</v>
      </c>
      <c r="K426" s="5" t="s">
        <v>8622</v>
      </c>
      <c r="L426" t="s">
        <v>241</v>
      </c>
      <c r="M426" t="s">
        <v>8623</v>
      </c>
      <c r="N426" t="s">
        <v>8624</v>
      </c>
      <c r="Q426" s="28">
        <v>3926449</v>
      </c>
    </row>
    <row r="427" spans="1:17" x14ac:dyDescent="0.35">
      <c r="A427" t="s">
        <v>8520</v>
      </c>
      <c r="B427" s="3" t="s">
        <v>102</v>
      </c>
      <c r="F427">
        <v>5</v>
      </c>
      <c r="G427" t="s">
        <v>8607</v>
      </c>
      <c r="H427">
        <v>32</v>
      </c>
      <c r="I427" t="s">
        <v>9301</v>
      </c>
      <c r="J427" t="str">
        <f t="shared" si="6"/>
        <v>13F-HR-5.32.C6</v>
      </c>
      <c r="K427" s="5" t="s">
        <v>8625</v>
      </c>
      <c r="L427" t="s">
        <v>229</v>
      </c>
      <c r="M427" t="s">
        <v>8626</v>
      </c>
      <c r="N427" t="s">
        <v>8627</v>
      </c>
      <c r="Q427" s="28" t="s">
        <v>8628</v>
      </c>
    </row>
    <row r="428" spans="1:17" x14ac:dyDescent="0.35">
      <c r="A428" t="s">
        <v>8520</v>
      </c>
      <c r="B428" s="3" t="s">
        <v>102</v>
      </c>
      <c r="F428">
        <v>5</v>
      </c>
      <c r="G428" t="s">
        <v>8607</v>
      </c>
      <c r="H428">
        <v>33</v>
      </c>
      <c r="I428" t="s">
        <v>9302</v>
      </c>
      <c r="J428" t="str">
        <f t="shared" si="6"/>
        <v>13F-HR-5.33.C7</v>
      </c>
      <c r="K428" s="5" t="s">
        <v>8629</v>
      </c>
      <c r="L428" t="s">
        <v>229</v>
      </c>
      <c r="M428" t="s">
        <v>8630</v>
      </c>
      <c r="N428" t="s">
        <v>8631</v>
      </c>
      <c r="Q428" s="28" t="s">
        <v>8685</v>
      </c>
    </row>
    <row r="429" spans="1:17" x14ac:dyDescent="0.35">
      <c r="A429" t="s">
        <v>8520</v>
      </c>
      <c r="B429" s="3" t="s">
        <v>102</v>
      </c>
      <c r="F429">
        <v>5</v>
      </c>
      <c r="G429" t="s">
        <v>8607</v>
      </c>
      <c r="H429">
        <v>34</v>
      </c>
      <c r="I429" t="s">
        <v>9303</v>
      </c>
      <c r="J429" t="str">
        <f t="shared" si="6"/>
        <v>13F-HR-5.34.C8</v>
      </c>
      <c r="K429" s="5" t="s">
        <v>8633</v>
      </c>
      <c r="L429" t="s">
        <v>4735</v>
      </c>
      <c r="M429" t="s">
        <v>8634</v>
      </c>
      <c r="N429" t="s">
        <v>8635</v>
      </c>
      <c r="Q429" s="28" t="s">
        <v>8632</v>
      </c>
    </row>
    <row r="430" spans="1:17" x14ac:dyDescent="0.35">
      <c r="A430" t="s">
        <v>8520</v>
      </c>
      <c r="B430" s="3" t="s">
        <v>102</v>
      </c>
      <c r="F430">
        <v>5</v>
      </c>
      <c r="G430" t="s">
        <v>8607</v>
      </c>
      <c r="H430">
        <v>35</v>
      </c>
      <c r="I430" t="s">
        <v>9304</v>
      </c>
      <c r="J430" t="str">
        <f t="shared" si="6"/>
        <v>13F-HR-5.35.C9</v>
      </c>
      <c r="K430" s="5" t="s">
        <v>8637</v>
      </c>
      <c r="L430" t="s">
        <v>229</v>
      </c>
      <c r="M430" t="s">
        <v>8638</v>
      </c>
      <c r="N430" t="s">
        <v>8639</v>
      </c>
      <c r="Q430" s="28" t="s">
        <v>8636</v>
      </c>
    </row>
    <row r="431" spans="1:17" x14ac:dyDescent="0.35">
      <c r="A431" t="s">
        <v>8520</v>
      </c>
      <c r="B431" s="3" t="s">
        <v>102</v>
      </c>
      <c r="F431">
        <v>5</v>
      </c>
      <c r="G431" t="s">
        <v>8607</v>
      </c>
      <c r="H431">
        <v>36</v>
      </c>
      <c r="I431" t="s">
        <v>9305</v>
      </c>
      <c r="J431" t="str">
        <f t="shared" si="6"/>
        <v>13F-HR-5.36.C10</v>
      </c>
      <c r="K431" s="5" t="s">
        <v>8640</v>
      </c>
      <c r="L431" t="s">
        <v>241</v>
      </c>
      <c r="M431" t="s">
        <v>8641</v>
      </c>
      <c r="N431" t="s">
        <v>8642</v>
      </c>
      <c r="Q431" s="28">
        <v>3259805</v>
      </c>
    </row>
    <row r="432" spans="1:17" x14ac:dyDescent="0.35">
      <c r="A432" t="s">
        <v>8520</v>
      </c>
      <c r="B432" s="3" t="s">
        <v>102</v>
      </c>
      <c r="F432">
        <v>5</v>
      </c>
      <c r="G432" t="s">
        <v>8607</v>
      </c>
      <c r="H432">
        <v>37</v>
      </c>
      <c r="I432" t="s">
        <v>9306</v>
      </c>
      <c r="J432" t="str">
        <f t="shared" si="6"/>
        <v>13F-HR-5.37.C11</v>
      </c>
      <c r="K432" s="5" t="s">
        <v>8643</v>
      </c>
      <c r="L432" t="s">
        <v>241</v>
      </c>
      <c r="M432" t="s">
        <v>8644</v>
      </c>
      <c r="N432" t="s">
        <v>8645</v>
      </c>
      <c r="Q432" s="28">
        <v>0</v>
      </c>
    </row>
    <row r="433" spans="1:17" x14ac:dyDescent="0.35">
      <c r="A433" t="s">
        <v>8520</v>
      </c>
      <c r="B433" s="3" t="s">
        <v>102</v>
      </c>
      <c r="F433">
        <v>5</v>
      </c>
      <c r="G433" t="s">
        <v>8607</v>
      </c>
      <c r="H433">
        <v>38</v>
      </c>
      <c r="I433" t="s">
        <v>9307</v>
      </c>
      <c r="J433" t="str">
        <f t="shared" si="6"/>
        <v>13F-HR-5.38.C12</v>
      </c>
      <c r="K433" s="5" t="s">
        <v>8646</v>
      </c>
      <c r="L433" t="s">
        <v>241</v>
      </c>
      <c r="M433" t="s">
        <v>8647</v>
      </c>
      <c r="N433" t="s">
        <v>8648</v>
      </c>
      <c r="Q433" s="28">
        <v>666644</v>
      </c>
    </row>
    <row r="434" spans="1:17" x14ac:dyDescent="0.35">
      <c r="A434" t="s">
        <v>8520</v>
      </c>
      <c r="B434" s="3" t="s">
        <v>102</v>
      </c>
      <c r="F434">
        <v>5</v>
      </c>
      <c r="G434" t="s">
        <v>8607</v>
      </c>
      <c r="H434">
        <v>27</v>
      </c>
      <c r="I434" t="s">
        <v>9296</v>
      </c>
      <c r="J434" t="str">
        <f t="shared" si="6"/>
        <v>13F-HR-5.27.C1</v>
      </c>
      <c r="K434" s="5" t="s">
        <v>8608</v>
      </c>
      <c r="L434" t="s">
        <v>229</v>
      </c>
      <c r="M434" t="s">
        <v>8609</v>
      </c>
      <c r="N434" t="s">
        <v>8610</v>
      </c>
      <c r="Q434" s="28" t="s">
        <v>8711</v>
      </c>
    </row>
    <row r="435" spans="1:17" x14ac:dyDescent="0.35">
      <c r="A435" t="s">
        <v>8520</v>
      </c>
      <c r="B435" s="3" t="s">
        <v>102</v>
      </c>
      <c r="F435">
        <v>5</v>
      </c>
      <c r="G435" t="s">
        <v>8607</v>
      </c>
      <c r="H435">
        <v>28</v>
      </c>
      <c r="I435" t="s">
        <v>9297</v>
      </c>
      <c r="J435" t="str">
        <f t="shared" si="6"/>
        <v>13F-HR-5.28.C2</v>
      </c>
      <c r="K435" s="5" t="s">
        <v>8612</v>
      </c>
      <c r="L435" t="s">
        <v>229</v>
      </c>
      <c r="M435" t="s">
        <v>8613</v>
      </c>
      <c r="N435" t="s">
        <v>8614</v>
      </c>
      <c r="Q435" s="28" t="s">
        <v>8698</v>
      </c>
    </row>
    <row r="436" spans="1:17" x14ac:dyDescent="0.35">
      <c r="A436" t="s">
        <v>8520</v>
      </c>
      <c r="B436" s="3" t="s">
        <v>102</v>
      </c>
      <c r="F436">
        <v>5</v>
      </c>
      <c r="G436" t="s">
        <v>8607</v>
      </c>
      <c r="H436">
        <v>29</v>
      </c>
      <c r="I436" t="s">
        <v>9298</v>
      </c>
      <c r="J436" t="str">
        <f t="shared" si="6"/>
        <v>13F-HR-5.29.C3</v>
      </c>
      <c r="K436" s="5" t="s">
        <v>8616</v>
      </c>
      <c r="L436" t="s">
        <v>229</v>
      </c>
      <c r="M436" t="s">
        <v>7927</v>
      </c>
      <c r="N436" t="s">
        <v>8617</v>
      </c>
      <c r="Q436" s="28" t="s">
        <v>8712</v>
      </c>
    </row>
    <row r="437" spans="1:17" x14ac:dyDescent="0.35">
      <c r="A437" t="s">
        <v>8520</v>
      </c>
      <c r="B437" s="3" t="s">
        <v>102</v>
      </c>
      <c r="F437">
        <v>5</v>
      </c>
      <c r="G437" t="s">
        <v>8607</v>
      </c>
      <c r="H437">
        <v>30</v>
      </c>
      <c r="I437" t="s">
        <v>9299</v>
      </c>
      <c r="J437" t="str">
        <f t="shared" si="6"/>
        <v>13F-HR-5.30.C4</v>
      </c>
      <c r="K437" s="5" t="s">
        <v>8618</v>
      </c>
      <c r="L437" t="s">
        <v>8619</v>
      </c>
      <c r="M437" t="s">
        <v>8620</v>
      </c>
      <c r="N437" t="s">
        <v>8621</v>
      </c>
      <c r="Q437" s="28">
        <v>119042259</v>
      </c>
    </row>
    <row r="438" spans="1:17" x14ac:dyDescent="0.35">
      <c r="A438" t="s">
        <v>8520</v>
      </c>
      <c r="B438" s="3" t="s">
        <v>102</v>
      </c>
      <c r="F438">
        <v>5</v>
      </c>
      <c r="G438" t="s">
        <v>8607</v>
      </c>
      <c r="H438">
        <v>31</v>
      </c>
      <c r="I438" t="s">
        <v>9300</v>
      </c>
      <c r="J438" t="str">
        <f t="shared" si="6"/>
        <v>13F-HR-5.31.C5</v>
      </c>
      <c r="K438" s="5" t="s">
        <v>8622</v>
      </c>
      <c r="L438" t="s">
        <v>241</v>
      </c>
      <c r="M438" t="s">
        <v>8623</v>
      </c>
      <c r="N438" t="s">
        <v>8624</v>
      </c>
      <c r="Q438" s="28">
        <v>437382</v>
      </c>
    </row>
    <row r="439" spans="1:17" x14ac:dyDescent="0.35">
      <c r="A439" t="s">
        <v>8520</v>
      </c>
      <c r="B439" s="3" t="s">
        <v>102</v>
      </c>
      <c r="F439">
        <v>5</v>
      </c>
      <c r="G439" t="s">
        <v>8607</v>
      </c>
      <c r="H439">
        <v>32</v>
      </c>
      <c r="I439" t="s">
        <v>9301</v>
      </c>
      <c r="J439" t="str">
        <f t="shared" si="6"/>
        <v>13F-HR-5.32.C6</v>
      </c>
      <c r="K439" s="5" t="s">
        <v>8625</v>
      </c>
      <c r="L439" t="s">
        <v>229</v>
      </c>
      <c r="M439" t="s">
        <v>8626</v>
      </c>
      <c r="N439" t="s">
        <v>8627</v>
      </c>
      <c r="Q439" s="28" t="s">
        <v>8628</v>
      </c>
    </row>
    <row r="440" spans="1:17" x14ac:dyDescent="0.35">
      <c r="A440" t="s">
        <v>8520</v>
      </c>
      <c r="B440" s="3" t="s">
        <v>102</v>
      </c>
      <c r="F440">
        <v>5</v>
      </c>
      <c r="G440" t="s">
        <v>8607</v>
      </c>
      <c r="H440">
        <v>33</v>
      </c>
      <c r="I440" t="s">
        <v>9302</v>
      </c>
      <c r="J440" t="str">
        <f t="shared" si="6"/>
        <v>13F-HR-5.33.C7</v>
      </c>
      <c r="K440" s="5" t="s">
        <v>8629</v>
      </c>
      <c r="L440" t="s">
        <v>229</v>
      </c>
      <c r="M440" t="s">
        <v>8630</v>
      </c>
      <c r="N440" t="s">
        <v>8631</v>
      </c>
      <c r="Q440" s="28" t="s">
        <v>8685</v>
      </c>
    </row>
    <row r="441" spans="1:17" x14ac:dyDescent="0.35">
      <c r="A441" t="s">
        <v>8520</v>
      </c>
      <c r="B441" s="3" t="s">
        <v>102</v>
      </c>
      <c r="F441">
        <v>5</v>
      </c>
      <c r="G441" t="s">
        <v>8607</v>
      </c>
      <c r="H441">
        <v>34</v>
      </c>
      <c r="I441" t="s">
        <v>9303</v>
      </c>
      <c r="J441" t="str">
        <f t="shared" si="6"/>
        <v>13F-HR-5.34.C8</v>
      </c>
      <c r="K441" s="5" t="s">
        <v>8633</v>
      </c>
      <c r="L441" t="s">
        <v>4735</v>
      </c>
      <c r="M441" t="s">
        <v>8634</v>
      </c>
      <c r="N441" t="s">
        <v>8635</v>
      </c>
      <c r="Q441" s="28" t="s">
        <v>8632</v>
      </c>
    </row>
    <row r="442" spans="1:17" x14ac:dyDescent="0.35">
      <c r="A442" t="s">
        <v>8520</v>
      </c>
      <c r="B442" s="3" t="s">
        <v>102</v>
      </c>
      <c r="F442">
        <v>5</v>
      </c>
      <c r="G442" t="s">
        <v>8607</v>
      </c>
      <c r="H442">
        <v>35</v>
      </c>
      <c r="I442" t="s">
        <v>9304</v>
      </c>
      <c r="J442" t="str">
        <f t="shared" si="6"/>
        <v>13F-HR-5.35.C9</v>
      </c>
      <c r="K442" s="5" t="s">
        <v>8637</v>
      </c>
      <c r="L442" t="s">
        <v>229</v>
      </c>
      <c r="M442" t="s">
        <v>8638</v>
      </c>
      <c r="N442" t="s">
        <v>8639</v>
      </c>
      <c r="Q442" s="28" t="s">
        <v>8636</v>
      </c>
    </row>
    <row r="443" spans="1:17" x14ac:dyDescent="0.35">
      <c r="A443" t="s">
        <v>8520</v>
      </c>
      <c r="B443" s="3" t="s">
        <v>102</v>
      </c>
      <c r="F443">
        <v>5</v>
      </c>
      <c r="G443" t="s">
        <v>8607</v>
      </c>
      <c r="H443">
        <v>36</v>
      </c>
      <c r="I443" t="s">
        <v>9305</v>
      </c>
      <c r="J443" t="str">
        <f t="shared" si="6"/>
        <v>13F-HR-5.36.C10</v>
      </c>
      <c r="K443" s="5" t="s">
        <v>8640</v>
      </c>
      <c r="L443" t="s">
        <v>241</v>
      </c>
      <c r="M443" t="s">
        <v>8641</v>
      </c>
      <c r="N443" t="s">
        <v>8642</v>
      </c>
      <c r="Q443" s="28">
        <v>408997</v>
      </c>
    </row>
    <row r="444" spans="1:17" x14ac:dyDescent="0.35">
      <c r="A444" t="s">
        <v>8520</v>
      </c>
      <c r="B444" s="3" t="s">
        <v>102</v>
      </c>
      <c r="F444">
        <v>5</v>
      </c>
      <c r="G444" t="s">
        <v>8607</v>
      </c>
      <c r="H444">
        <v>37</v>
      </c>
      <c r="I444" t="s">
        <v>9306</v>
      </c>
      <c r="J444" t="str">
        <f t="shared" si="6"/>
        <v>13F-HR-5.37.C11</v>
      </c>
      <c r="K444" s="5" t="s">
        <v>8643</v>
      </c>
      <c r="L444" t="s">
        <v>241</v>
      </c>
      <c r="M444" t="s">
        <v>8644</v>
      </c>
      <c r="N444" t="s">
        <v>8645</v>
      </c>
      <c r="Q444" s="28">
        <v>0</v>
      </c>
    </row>
    <row r="445" spans="1:17" x14ac:dyDescent="0.35">
      <c r="A445" t="s">
        <v>8520</v>
      </c>
      <c r="B445" s="3" t="s">
        <v>102</v>
      </c>
      <c r="F445">
        <v>5</v>
      </c>
      <c r="G445" t="s">
        <v>8607</v>
      </c>
      <c r="H445">
        <v>38</v>
      </c>
      <c r="I445" t="s">
        <v>9307</v>
      </c>
      <c r="J445" t="str">
        <f t="shared" si="6"/>
        <v>13F-HR-5.38.C12</v>
      </c>
      <c r="K445" s="5" t="s">
        <v>8646</v>
      </c>
      <c r="L445" t="s">
        <v>241</v>
      </c>
      <c r="M445" t="s">
        <v>8647</v>
      </c>
      <c r="N445" t="s">
        <v>8648</v>
      </c>
      <c r="Q445" s="28">
        <v>28385</v>
      </c>
    </row>
    <row r="446" spans="1:17" x14ac:dyDescent="0.35">
      <c r="A446" t="s">
        <v>8520</v>
      </c>
      <c r="B446" s="3" t="s">
        <v>102</v>
      </c>
      <c r="F446">
        <v>5</v>
      </c>
      <c r="G446" t="s">
        <v>8607</v>
      </c>
      <c r="H446">
        <v>27</v>
      </c>
      <c r="I446" t="s">
        <v>9296</v>
      </c>
      <c r="J446" t="str">
        <f t="shared" si="6"/>
        <v>13F-HR-5.27.C1</v>
      </c>
      <c r="K446" s="5" t="s">
        <v>8608</v>
      </c>
      <c r="L446" t="s">
        <v>229</v>
      </c>
      <c r="M446" t="s">
        <v>8609</v>
      </c>
      <c r="N446" t="s">
        <v>8610</v>
      </c>
      <c r="Q446" s="28" t="s">
        <v>8713</v>
      </c>
    </row>
    <row r="447" spans="1:17" x14ac:dyDescent="0.35">
      <c r="A447" t="s">
        <v>8520</v>
      </c>
      <c r="B447" s="3" t="s">
        <v>102</v>
      </c>
      <c r="F447">
        <v>5</v>
      </c>
      <c r="G447" t="s">
        <v>8607</v>
      </c>
      <c r="H447">
        <v>28</v>
      </c>
      <c r="I447" t="s">
        <v>9297</v>
      </c>
      <c r="J447" t="str">
        <f t="shared" si="6"/>
        <v>13F-HR-5.28.C2</v>
      </c>
      <c r="K447" s="5" t="s">
        <v>8612</v>
      </c>
      <c r="L447" t="s">
        <v>229</v>
      </c>
      <c r="M447" t="s">
        <v>8613</v>
      </c>
      <c r="N447" t="s">
        <v>8614</v>
      </c>
      <c r="Q447" s="28" t="s">
        <v>8698</v>
      </c>
    </row>
    <row r="448" spans="1:17" x14ac:dyDescent="0.35">
      <c r="A448" t="s">
        <v>8520</v>
      </c>
      <c r="B448" s="3" t="s">
        <v>102</v>
      </c>
      <c r="F448">
        <v>5</v>
      </c>
      <c r="G448" t="s">
        <v>8607</v>
      </c>
      <c r="H448">
        <v>29</v>
      </c>
      <c r="I448" t="s">
        <v>9298</v>
      </c>
      <c r="J448" t="str">
        <f t="shared" si="6"/>
        <v>13F-HR-5.29.C3</v>
      </c>
      <c r="K448" s="5" t="s">
        <v>8616</v>
      </c>
      <c r="L448" t="s">
        <v>229</v>
      </c>
      <c r="M448" t="s">
        <v>7927</v>
      </c>
      <c r="N448" t="s">
        <v>8617</v>
      </c>
      <c r="Q448" s="28" t="s">
        <v>8714</v>
      </c>
    </row>
    <row r="449" spans="1:17" x14ac:dyDescent="0.35">
      <c r="A449" t="s">
        <v>8520</v>
      </c>
      <c r="B449" s="3" t="s">
        <v>102</v>
      </c>
      <c r="F449">
        <v>5</v>
      </c>
      <c r="G449" t="s">
        <v>8607</v>
      </c>
      <c r="H449">
        <v>30</v>
      </c>
      <c r="I449" t="s">
        <v>9299</v>
      </c>
      <c r="J449" t="str">
        <f t="shared" si="6"/>
        <v>13F-HR-5.30.C4</v>
      </c>
      <c r="K449" s="5" t="s">
        <v>8618</v>
      </c>
      <c r="L449" t="s">
        <v>8619</v>
      </c>
      <c r="M449" t="s">
        <v>8620</v>
      </c>
      <c r="N449" t="s">
        <v>8621</v>
      </c>
      <c r="Q449" s="28">
        <v>58105295</v>
      </c>
    </row>
    <row r="450" spans="1:17" x14ac:dyDescent="0.35">
      <c r="A450" t="s">
        <v>8520</v>
      </c>
      <c r="B450" s="3" t="s">
        <v>102</v>
      </c>
      <c r="F450">
        <v>5</v>
      </c>
      <c r="G450" t="s">
        <v>8607</v>
      </c>
      <c r="H450">
        <v>31</v>
      </c>
      <c r="I450" t="s">
        <v>9300</v>
      </c>
      <c r="J450" t="str">
        <f t="shared" si="6"/>
        <v>13F-HR-5.31.C5</v>
      </c>
      <c r="K450" s="5" t="s">
        <v>8622</v>
      </c>
      <c r="L450" t="s">
        <v>241</v>
      </c>
      <c r="M450" t="s">
        <v>8623</v>
      </c>
      <c r="N450" t="s">
        <v>8624</v>
      </c>
      <c r="Q450" s="28">
        <v>638099</v>
      </c>
    </row>
    <row r="451" spans="1:17" x14ac:dyDescent="0.35">
      <c r="A451" t="s">
        <v>8520</v>
      </c>
      <c r="B451" s="3" t="s">
        <v>102</v>
      </c>
      <c r="F451">
        <v>5</v>
      </c>
      <c r="G451" t="s">
        <v>8607</v>
      </c>
      <c r="H451">
        <v>32</v>
      </c>
      <c r="I451" t="s">
        <v>9301</v>
      </c>
      <c r="J451" t="str">
        <f t="shared" ref="J451:J514" si="7">_xlfn.CONCAT(A451,"-",F451,".",H451,".",I451)</f>
        <v>13F-HR-5.32.C6</v>
      </c>
      <c r="K451" s="5" t="s">
        <v>8625</v>
      </c>
      <c r="L451" t="s">
        <v>229</v>
      </c>
      <c r="M451" t="s">
        <v>8626</v>
      </c>
      <c r="N451" t="s">
        <v>8627</v>
      </c>
      <c r="Q451" s="28" t="s">
        <v>8628</v>
      </c>
    </row>
    <row r="452" spans="1:17" x14ac:dyDescent="0.35">
      <c r="A452" t="s">
        <v>8520</v>
      </c>
      <c r="B452" s="3" t="s">
        <v>102</v>
      </c>
      <c r="F452">
        <v>5</v>
      </c>
      <c r="G452" t="s">
        <v>8607</v>
      </c>
      <c r="H452">
        <v>33</v>
      </c>
      <c r="I452" t="s">
        <v>9302</v>
      </c>
      <c r="J452" t="str">
        <f t="shared" si="7"/>
        <v>13F-HR-5.33.C7</v>
      </c>
      <c r="K452" s="5" t="s">
        <v>8629</v>
      </c>
      <c r="L452" t="s">
        <v>229</v>
      </c>
      <c r="M452" t="s">
        <v>8630</v>
      </c>
      <c r="N452" t="s">
        <v>8631</v>
      </c>
      <c r="Q452" s="28" t="s">
        <v>8685</v>
      </c>
    </row>
    <row r="453" spans="1:17" x14ac:dyDescent="0.35">
      <c r="A453" t="s">
        <v>8520</v>
      </c>
      <c r="B453" s="3" t="s">
        <v>102</v>
      </c>
      <c r="F453">
        <v>5</v>
      </c>
      <c r="G453" t="s">
        <v>8607</v>
      </c>
      <c r="H453">
        <v>34</v>
      </c>
      <c r="I453" t="s">
        <v>9303</v>
      </c>
      <c r="J453" t="str">
        <f t="shared" si="7"/>
        <v>13F-HR-5.34.C8</v>
      </c>
      <c r="K453" s="5" t="s">
        <v>8633</v>
      </c>
      <c r="L453" t="s">
        <v>4735</v>
      </c>
      <c r="M453" t="s">
        <v>8634</v>
      </c>
      <c r="N453" t="s">
        <v>8635</v>
      </c>
      <c r="Q453" s="28" t="s">
        <v>8632</v>
      </c>
    </row>
    <row r="454" spans="1:17" x14ac:dyDescent="0.35">
      <c r="A454" t="s">
        <v>8520</v>
      </c>
      <c r="B454" s="3" t="s">
        <v>102</v>
      </c>
      <c r="F454">
        <v>5</v>
      </c>
      <c r="G454" t="s">
        <v>8607</v>
      </c>
      <c r="H454">
        <v>35</v>
      </c>
      <c r="I454" t="s">
        <v>9304</v>
      </c>
      <c r="J454" t="str">
        <f t="shared" si="7"/>
        <v>13F-HR-5.35.C9</v>
      </c>
      <c r="K454" s="5" t="s">
        <v>8637</v>
      </c>
      <c r="L454" t="s">
        <v>229</v>
      </c>
      <c r="M454" t="s">
        <v>8638</v>
      </c>
      <c r="N454" t="s">
        <v>8639</v>
      </c>
      <c r="Q454" s="28" t="s">
        <v>8636</v>
      </c>
    </row>
    <row r="455" spans="1:17" x14ac:dyDescent="0.35">
      <c r="A455" t="s">
        <v>8520</v>
      </c>
      <c r="B455" s="3" t="s">
        <v>102</v>
      </c>
      <c r="F455">
        <v>5</v>
      </c>
      <c r="G455" t="s">
        <v>8607</v>
      </c>
      <c r="H455">
        <v>36</v>
      </c>
      <c r="I455" t="s">
        <v>9305</v>
      </c>
      <c r="J455" t="str">
        <f t="shared" si="7"/>
        <v>13F-HR-5.36.C10</v>
      </c>
      <c r="K455" s="5" t="s">
        <v>8640</v>
      </c>
      <c r="L455" t="s">
        <v>241</v>
      </c>
      <c r="M455" t="s">
        <v>8641</v>
      </c>
      <c r="N455" t="s">
        <v>8642</v>
      </c>
      <c r="Q455" s="28">
        <v>530918</v>
      </c>
    </row>
    <row r="456" spans="1:17" x14ac:dyDescent="0.35">
      <c r="A456" t="s">
        <v>8520</v>
      </c>
      <c r="B456" s="3" t="s">
        <v>102</v>
      </c>
      <c r="F456">
        <v>5</v>
      </c>
      <c r="G456" t="s">
        <v>8607</v>
      </c>
      <c r="H456">
        <v>37</v>
      </c>
      <c r="I456" t="s">
        <v>9306</v>
      </c>
      <c r="J456" t="str">
        <f t="shared" si="7"/>
        <v>13F-HR-5.37.C11</v>
      </c>
      <c r="K456" s="5" t="s">
        <v>8643</v>
      </c>
      <c r="L456" t="s">
        <v>241</v>
      </c>
      <c r="M456" t="s">
        <v>8644</v>
      </c>
      <c r="N456" t="s">
        <v>8645</v>
      </c>
      <c r="Q456" s="28">
        <v>0</v>
      </c>
    </row>
    <row r="457" spans="1:17" x14ac:dyDescent="0.35">
      <c r="A457" t="s">
        <v>8520</v>
      </c>
      <c r="B457" s="3" t="s">
        <v>102</v>
      </c>
      <c r="F457">
        <v>5</v>
      </c>
      <c r="G457" t="s">
        <v>8607</v>
      </c>
      <c r="H457">
        <v>38</v>
      </c>
      <c r="I457" t="s">
        <v>9307</v>
      </c>
      <c r="J457" t="str">
        <f t="shared" si="7"/>
        <v>13F-HR-5.38.C12</v>
      </c>
      <c r="K457" s="5" t="s">
        <v>8646</v>
      </c>
      <c r="L457" t="s">
        <v>241</v>
      </c>
      <c r="M457" t="s">
        <v>8647</v>
      </c>
      <c r="N457" t="s">
        <v>8648</v>
      </c>
      <c r="Q457" s="28">
        <v>107181</v>
      </c>
    </row>
    <row r="458" spans="1:17" x14ac:dyDescent="0.35">
      <c r="A458" t="s">
        <v>8520</v>
      </c>
      <c r="B458" s="3" t="s">
        <v>102</v>
      </c>
      <c r="F458">
        <v>5</v>
      </c>
      <c r="G458" t="s">
        <v>8607</v>
      </c>
      <c r="H458">
        <v>27</v>
      </c>
      <c r="I458" t="s">
        <v>9296</v>
      </c>
      <c r="J458" t="str">
        <f t="shared" si="7"/>
        <v>13F-HR-5.27.C1</v>
      </c>
      <c r="K458" s="5" t="s">
        <v>8608</v>
      </c>
      <c r="L458" t="s">
        <v>229</v>
      </c>
      <c r="M458" t="s">
        <v>8609</v>
      </c>
      <c r="N458" t="s">
        <v>8610</v>
      </c>
      <c r="Q458" s="28" t="s">
        <v>8715</v>
      </c>
    </row>
    <row r="459" spans="1:17" x14ac:dyDescent="0.35">
      <c r="A459" t="s">
        <v>8520</v>
      </c>
      <c r="B459" s="3" t="s">
        <v>102</v>
      </c>
      <c r="F459">
        <v>5</v>
      </c>
      <c r="G459" t="s">
        <v>8607</v>
      </c>
      <c r="H459">
        <v>28</v>
      </c>
      <c r="I459" t="s">
        <v>9297</v>
      </c>
      <c r="J459" t="str">
        <f t="shared" si="7"/>
        <v>13F-HR-5.28.C2</v>
      </c>
      <c r="K459" s="5" t="s">
        <v>8612</v>
      </c>
      <c r="L459" t="s">
        <v>229</v>
      </c>
      <c r="M459" t="s">
        <v>8613</v>
      </c>
      <c r="N459" t="s">
        <v>8614</v>
      </c>
      <c r="Q459" s="28" t="s">
        <v>8615</v>
      </c>
    </row>
    <row r="460" spans="1:17" x14ac:dyDescent="0.35">
      <c r="A460" t="s">
        <v>8520</v>
      </c>
      <c r="B460" s="3" t="s">
        <v>102</v>
      </c>
      <c r="F460">
        <v>5</v>
      </c>
      <c r="G460" t="s">
        <v>8607</v>
      </c>
      <c r="H460">
        <v>29</v>
      </c>
      <c r="I460" t="s">
        <v>9298</v>
      </c>
      <c r="J460" t="str">
        <f t="shared" si="7"/>
        <v>13F-HR-5.29.C3</v>
      </c>
      <c r="K460" s="5" t="s">
        <v>8616</v>
      </c>
      <c r="L460" t="s">
        <v>229</v>
      </c>
      <c r="M460" t="s">
        <v>7927</v>
      </c>
      <c r="N460" t="s">
        <v>8617</v>
      </c>
      <c r="Q460" s="28" t="s">
        <v>8716</v>
      </c>
    </row>
    <row r="461" spans="1:17" x14ac:dyDescent="0.35">
      <c r="A461" t="s">
        <v>8520</v>
      </c>
      <c r="B461" s="3" t="s">
        <v>102</v>
      </c>
      <c r="F461">
        <v>5</v>
      </c>
      <c r="G461" t="s">
        <v>8607</v>
      </c>
      <c r="H461">
        <v>30</v>
      </c>
      <c r="I461" t="s">
        <v>9299</v>
      </c>
      <c r="J461" t="str">
        <f t="shared" si="7"/>
        <v>13F-HR-5.30.C4</v>
      </c>
      <c r="K461" s="5" t="s">
        <v>8618</v>
      </c>
      <c r="L461" t="s">
        <v>8619</v>
      </c>
      <c r="M461" t="s">
        <v>8620</v>
      </c>
      <c r="N461" t="s">
        <v>8621</v>
      </c>
      <c r="Q461" s="28">
        <v>27677838</v>
      </c>
    </row>
    <row r="462" spans="1:17" x14ac:dyDescent="0.35">
      <c r="A462" t="s">
        <v>8520</v>
      </c>
      <c r="B462" s="3" t="s">
        <v>102</v>
      </c>
      <c r="F462">
        <v>5</v>
      </c>
      <c r="G462" t="s">
        <v>8607</v>
      </c>
      <c r="H462">
        <v>31</v>
      </c>
      <c r="I462" t="s">
        <v>9300</v>
      </c>
      <c r="J462" t="str">
        <f t="shared" si="7"/>
        <v>13F-HR-5.31.C5</v>
      </c>
      <c r="K462" s="5" t="s">
        <v>8622</v>
      </c>
      <c r="L462" t="s">
        <v>241</v>
      </c>
      <c r="M462" t="s">
        <v>8623</v>
      </c>
      <c r="N462" t="s">
        <v>8624</v>
      </c>
      <c r="Q462" s="28">
        <v>198010</v>
      </c>
    </row>
    <row r="463" spans="1:17" x14ac:dyDescent="0.35">
      <c r="A463" t="s">
        <v>8520</v>
      </c>
      <c r="B463" s="3" t="s">
        <v>102</v>
      </c>
      <c r="F463">
        <v>5</v>
      </c>
      <c r="G463" t="s">
        <v>8607</v>
      </c>
      <c r="H463">
        <v>32</v>
      </c>
      <c r="I463" t="s">
        <v>9301</v>
      </c>
      <c r="J463" t="str">
        <f t="shared" si="7"/>
        <v>13F-HR-5.32.C6</v>
      </c>
      <c r="K463" s="5" t="s">
        <v>8625</v>
      </c>
      <c r="L463" t="s">
        <v>229</v>
      </c>
      <c r="M463" t="s">
        <v>8626</v>
      </c>
      <c r="N463" t="s">
        <v>8627</v>
      </c>
      <c r="Q463" s="28" t="s">
        <v>8628</v>
      </c>
    </row>
    <row r="464" spans="1:17" x14ac:dyDescent="0.35">
      <c r="A464" t="s">
        <v>8520</v>
      </c>
      <c r="B464" s="3" t="s">
        <v>102</v>
      </c>
      <c r="F464">
        <v>5</v>
      </c>
      <c r="G464" t="s">
        <v>8607</v>
      </c>
      <c r="H464">
        <v>33</v>
      </c>
      <c r="I464" t="s">
        <v>9302</v>
      </c>
      <c r="J464" t="str">
        <f t="shared" si="7"/>
        <v>13F-HR-5.33.C7</v>
      </c>
      <c r="K464" s="5" t="s">
        <v>8629</v>
      </c>
      <c r="L464" t="s">
        <v>229</v>
      </c>
      <c r="M464" t="s">
        <v>8630</v>
      </c>
      <c r="N464" t="s">
        <v>8631</v>
      </c>
      <c r="Q464" s="28" t="s">
        <v>8685</v>
      </c>
    </row>
    <row r="465" spans="1:17" x14ac:dyDescent="0.35">
      <c r="A465" t="s">
        <v>8520</v>
      </c>
      <c r="B465" s="3" t="s">
        <v>102</v>
      </c>
      <c r="F465">
        <v>5</v>
      </c>
      <c r="G465" t="s">
        <v>8607</v>
      </c>
      <c r="H465">
        <v>34</v>
      </c>
      <c r="I465" t="s">
        <v>9303</v>
      </c>
      <c r="J465" t="str">
        <f t="shared" si="7"/>
        <v>13F-HR-5.34.C8</v>
      </c>
      <c r="K465" s="5" t="s">
        <v>8633</v>
      </c>
      <c r="L465" t="s">
        <v>4735</v>
      </c>
      <c r="M465" t="s">
        <v>8634</v>
      </c>
      <c r="N465" t="s">
        <v>8635</v>
      </c>
      <c r="Q465" s="28" t="s">
        <v>8632</v>
      </c>
    </row>
    <row r="466" spans="1:17" x14ac:dyDescent="0.35">
      <c r="A466" t="s">
        <v>8520</v>
      </c>
      <c r="B466" s="3" t="s">
        <v>102</v>
      </c>
      <c r="F466">
        <v>5</v>
      </c>
      <c r="G466" t="s">
        <v>8607</v>
      </c>
      <c r="H466">
        <v>35</v>
      </c>
      <c r="I466" t="s">
        <v>9304</v>
      </c>
      <c r="J466" t="str">
        <f t="shared" si="7"/>
        <v>13F-HR-5.35.C9</v>
      </c>
      <c r="K466" s="5" t="s">
        <v>8637</v>
      </c>
      <c r="L466" t="s">
        <v>229</v>
      </c>
      <c r="M466" t="s">
        <v>8638</v>
      </c>
      <c r="N466" t="s">
        <v>8639</v>
      </c>
      <c r="Q466" s="28" t="s">
        <v>8636</v>
      </c>
    </row>
    <row r="467" spans="1:17" x14ac:dyDescent="0.35">
      <c r="A467" t="s">
        <v>8520</v>
      </c>
      <c r="B467" s="3" t="s">
        <v>102</v>
      </c>
      <c r="F467">
        <v>5</v>
      </c>
      <c r="G467" t="s">
        <v>8607</v>
      </c>
      <c r="H467">
        <v>36</v>
      </c>
      <c r="I467" t="s">
        <v>9305</v>
      </c>
      <c r="J467" t="str">
        <f t="shared" si="7"/>
        <v>13F-HR-5.36.C10</v>
      </c>
      <c r="K467" s="5" t="s">
        <v>8640</v>
      </c>
      <c r="L467" t="s">
        <v>241</v>
      </c>
      <c r="M467" t="s">
        <v>8641</v>
      </c>
      <c r="N467" t="s">
        <v>8642</v>
      </c>
      <c r="Q467" s="28">
        <v>92112</v>
      </c>
    </row>
    <row r="468" spans="1:17" x14ac:dyDescent="0.35">
      <c r="A468" t="s">
        <v>8520</v>
      </c>
      <c r="B468" s="3" t="s">
        <v>102</v>
      </c>
      <c r="F468">
        <v>5</v>
      </c>
      <c r="G468" t="s">
        <v>8607</v>
      </c>
      <c r="H468">
        <v>37</v>
      </c>
      <c r="I468" t="s">
        <v>9306</v>
      </c>
      <c r="J468" t="str">
        <f t="shared" si="7"/>
        <v>13F-HR-5.37.C11</v>
      </c>
      <c r="K468" s="5" t="s">
        <v>8643</v>
      </c>
      <c r="L468" t="s">
        <v>241</v>
      </c>
      <c r="M468" t="s">
        <v>8644</v>
      </c>
      <c r="N468" t="s">
        <v>8645</v>
      </c>
      <c r="Q468" s="28">
        <v>0</v>
      </c>
    </row>
    <row r="469" spans="1:17" x14ac:dyDescent="0.35">
      <c r="A469" t="s">
        <v>8520</v>
      </c>
      <c r="B469" s="3" t="s">
        <v>102</v>
      </c>
      <c r="F469">
        <v>5</v>
      </c>
      <c r="G469" t="s">
        <v>8607</v>
      </c>
      <c r="H469">
        <v>38</v>
      </c>
      <c r="I469" t="s">
        <v>9307</v>
      </c>
      <c r="J469" t="str">
        <f t="shared" si="7"/>
        <v>13F-HR-5.38.C12</v>
      </c>
      <c r="K469" s="5" t="s">
        <v>8646</v>
      </c>
      <c r="L469" t="s">
        <v>241</v>
      </c>
      <c r="M469" t="s">
        <v>8647</v>
      </c>
      <c r="N469" t="s">
        <v>8648</v>
      </c>
      <c r="Q469" s="28">
        <v>105898</v>
      </c>
    </row>
    <row r="470" spans="1:17" x14ac:dyDescent="0.35">
      <c r="A470" t="s">
        <v>8520</v>
      </c>
      <c r="B470" s="3" t="s">
        <v>102</v>
      </c>
      <c r="F470">
        <v>5</v>
      </c>
      <c r="G470" t="s">
        <v>8607</v>
      </c>
      <c r="H470">
        <v>27</v>
      </c>
      <c r="I470" t="s">
        <v>9296</v>
      </c>
      <c r="J470" t="str">
        <f t="shared" si="7"/>
        <v>13F-HR-5.27.C1</v>
      </c>
      <c r="K470" s="5" t="s">
        <v>8608</v>
      </c>
      <c r="L470" t="s">
        <v>229</v>
      </c>
      <c r="M470" t="s">
        <v>8609</v>
      </c>
      <c r="N470" t="s">
        <v>8610</v>
      </c>
      <c r="Q470" s="28" t="s">
        <v>8717</v>
      </c>
    </row>
    <row r="471" spans="1:17" x14ac:dyDescent="0.35">
      <c r="A471" t="s">
        <v>8520</v>
      </c>
      <c r="B471" s="3" t="s">
        <v>102</v>
      </c>
      <c r="F471">
        <v>5</v>
      </c>
      <c r="G471" t="s">
        <v>8607</v>
      </c>
      <c r="H471">
        <v>28</v>
      </c>
      <c r="I471" t="s">
        <v>9297</v>
      </c>
      <c r="J471" t="str">
        <f t="shared" si="7"/>
        <v>13F-HR-5.28.C2</v>
      </c>
      <c r="K471" s="5" t="s">
        <v>8612</v>
      </c>
      <c r="L471" t="s">
        <v>229</v>
      </c>
      <c r="M471" t="s">
        <v>8613</v>
      </c>
      <c r="N471" t="s">
        <v>8614</v>
      </c>
      <c r="Q471" s="28" t="s">
        <v>8615</v>
      </c>
    </row>
    <row r="472" spans="1:17" x14ac:dyDescent="0.35">
      <c r="A472" t="s">
        <v>8520</v>
      </c>
      <c r="B472" s="3" t="s">
        <v>102</v>
      </c>
      <c r="F472">
        <v>5</v>
      </c>
      <c r="G472" t="s">
        <v>8607</v>
      </c>
      <c r="H472">
        <v>29</v>
      </c>
      <c r="I472" t="s">
        <v>9298</v>
      </c>
      <c r="J472" t="str">
        <f t="shared" si="7"/>
        <v>13F-HR-5.29.C3</v>
      </c>
      <c r="K472" s="5" t="s">
        <v>8616</v>
      </c>
      <c r="L472" t="s">
        <v>229</v>
      </c>
      <c r="M472" t="s">
        <v>7927</v>
      </c>
      <c r="N472" t="s">
        <v>8617</v>
      </c>
      <c r="Q472" s="28" t="s">
        <v>8718</v>
      </c>
    </row>
    <row r="473" spans="1:17" x14ac:dyDescent="0.35">
      <c r="A473" t="s">
        <v>8520</v>
      </c>
      <c r="B473" s="3" t="s">
        <v>102</v>
      </c>
      <c r="F473">
        <v>5</v>
      </c>
      <c r="G473" t="s">
        <v>8607</v>
      </c>
      <c r="H473">
        <v>30</v>
      </c>
      <c r="I473" t="s">
        <v>9299</v>
      </c>
      <c r="J473" t="str">
        <f t="shared" si="7"/>
        <v>13F-HR-5.30.C4</v>
      </c>
      <c r="K473" s="5" t="s">
        <v>8618</v>
      </c>
      <c r="L473" t="s">
        <v>8619</v>
      </c>
      <c r="M473" t="s">
        <v>8620</v>
      </c>
      <c r="N473" t="s">
        <v>8621</v>
      </c>
      <c r="Q473" s="28">
        <v>43950745</v>
      </c>
    </row>
    <row r="474" spans="1:17" x14ac:dyDescent="0.35">
      <c r="A474" t="s">
        <v>8520</v>
      </c>
      <c r="B474" s="3" t="s">
        <v>102</v>
      </c>
      <c r="F474">
        <v>5</v>
      </c>
      <c r="G474" t="s">
        <v>8607</v>
      </c>
      <c r="H474">
        <v>31</v>
      </c>
      <c r="I474" t="s">
        <v>9300</v>
      </c>
      <c r="J474" t="str">
        <f t="shared" si="7"/>
        <v>13F-HR-5.31.C5</v>
      </c>
      <c r="K474" s="5" t="s">
        <v>8622</v>
      </c>
      <c r="L474" t="s">
        <v>241</v>
      </c>
      <c r="M474" t="s">
        <v>8623</v>
      </c>
      <c r="N474" t="s">
        <v>8624</v>
      </c>
      <c r="Q474" s="28">
        <v>46436</v>
      </c>
    </row>
    <row r="475" spans="1:17" x14ac:dyDescent="0.35">
      <c r="A475" t="s">
        <v>8520</v>
      </c>
      <c r="B475" s="3" t="s">
        <v>102</v>
      </c>
      <c r="F475">
        <v>5</v>
      </c>
      <c r="G475" t="s">
        <v>8607</v>
      </c>
      <c r="H475">
        <v>32</v>
      </c>
      <c r="I475" t="s">
        <v>9301</v>
      </c>
      <c r="J475" t="str">
        <f t="shared" si="7"/>
        <v>13F-HR-5.32.C6</v>
      </c>
      <c r="K475" s="5" t="s">
        <v>8625</v>
      </c>
      <c r="L475" t="s">
        <v>229</v>
      </c>
      <c r="M475" t="s">
        <v>8626</v>
      </c>
      <c r="N475" t="s">
        <v>8627</v>
      </c>
      <c r="Q475" s="28" t="s">
        <v>8628</v>
      </c>
    </row>
    <row r="476" spans="1:17" x14ac:dyDescent="0.35">
      <c r="A476" t="s">
        <v>8520</v>
      </c>
      <c r="B476" s="3" t="s">
        <v>102</v>
      </c>
      <c r="F476">
        <v>5</v>
      </c>
      <c r="G476" t="s">
        <v>8607</v>
      </c>
      <c r="H476">
        <v>33</v>
      </c>
      <c r="I476" t="s">
        <v>9302</v>
      </c>
      <c r="J476" t="str">
        <f t="shared" si="7"/>
        <v>13F-HR-5.33.C7</v>
      </c>
      <c r="K476" s="5" t="s">
        <v>8629</v>
      </c>
      <c r="L476" t="s">
        <v>229</v>
      </c>
      <c r="M476" t="s">
        <v>8630</v>
      </c>
      <c r="N476" t="s">
        <v>8631</v>
      </c>
      <c r="Q476" s="28" t="s">
        <v>8685</v>
      </c>
    </row>
    <row r="477" spans="1:17" x14ac:dyDescent="0.35">
      <c r="A477" t="s">
        <v>8520</v>
      </c>
      <c r="B477" s="3" t="s">
        <v>102</v>
      </c>
      <c r="F477">
        <v>5</v>
      </c>
      <c r="G477" t="s">
        <v>8607</v>
      </c>
      <c r="H477">
        <v>34</v>
      </c>
      <c r="I477" t="s">
        <v>9303</v>
      </c>
      <c r="J477" t="str">
        <f t="shared" si="7"/>
        <v>13F-HR-5.34.C8</v>
      </c>
      <c r="K477" s="5" t="s">
        <v>8633</v>
      </c>
      <c r="L477" t="s">
        <v>4735</v>
      </c>
      <c r="M477" t="s">
        <v>8634</v>
      </c>
      <c r="N477" t="s">
        <v>8635</v>
      </c>
      <c r="Q477" s="28" t="s">
        <v>8632</v>
      </c>
    </row>
    <row r="478" spans="1:17" x14ac:dyDescent="0.35">
      <c r="A478" t="s">
        <v>8520</v>
      </c>
      <c r="B478" s="3" t="s">
        <v>102</v>
      </c>
      <c r="F478">
        <v>5</v>
      </c>
      <c r="G478" t="s">
        <v>8607</v>
      </c>
      <c r="H478">
        <v>35</v>
      </c>
      <c r="I478" t="s">
        <v>9304</v>
      </c>
      <c r="J478" t="str">
        <f t="shared" si="7"/>
        <v>13F-HR-5.35.C9</v>
      </c>
      <c r="K478" s="5" t="s">
        <v>8637</v>
      </c>
      <c r="L478" t="s">
        <v>229</v>
      </c>
      <c r="M478" t="s">
        <v>8638</v>
      </c>
      <c r="N478" t="s">
        <v>8639</v>
      </c>
      <c r="Q478" s="28" t="s">
        <v>8636</v>
      </c>
    </row>
    <row r="479" spans="1:17" x14ac:dyDescent="0.35">
      <c r="A479" t="s">
        <v>8520</v>
      </c>
      <c r="B479" s="3" t="s">
        <v>102</v>
      </c>
      <c r="F479">
        <v>5</v>
      </c>
      <c r="G479" t="s">
        <v>8607</v>
      </c>
      <c r="H479">
        <v>36</v>
      </c>
      <c r="I479" t="s">
        <v>9305</v>
      </c>
      <c r="J479" t="str">
        <f t="shared" si="7"/>
        <v>13F-HR-5.36.C10</v>
      </c>
      <c r="K479" s="5" t="s">
        <v>8640</v>
      </c>
      <c r="L479" t="s">
        <v>241</v>
      </c>
      <c r="M479" t="s">
        <v>8641</v>
      </c>
      <c r="N479" t="s">
        <v>8642</v>
      </c>
      <c r="Q479" s="28">
        <v>6608</v>
      </c>
    </row>
    <row r="480" spans="1:17" x14ac:dyDescent="0.35">
      <c r="A480" t="s">
        <v>8520</v>
      </c>
      <c r="B480" s="3" t="s">
        <v>102</v>
      </c>
      <c r="F480">
        <v>5</v>
      </c>
      <c r="G480" t="s">
        <v>8607</v>
      </c>
      <c r="H480">
        <v>37</v>
      </c>
      <c r="I480" t="s">
        <v>9306</v>
      </c>
      <c r="J480" t="str">
        <f t="shared" si="7"/>
        <v>13F-HR-5.37.C11</v>
      </c>
      <c r="K480" s="5" t="s">
        <v>8643</v>
      </c>
      <c r="L480" t="s">
        <v>241</v>
      </c>
      <c r="M480" t="s">
        <v>8644</v>
      </c>
      <c r="N480" t="s">
        <v>8645</v>
      </c>
      <c r="Q480" s="28">
        <v>0</v>
      </c>
    </row>
    <row r="481" spans="1:17" x14ac:dyDescent="0.35">
      <c r="A481" t="s">
        <v>8520</v>
      </c>
      <c r="B481" s="3" t="s">
        <v>102</v>
      </c>
      <c r="F481">
        <v>5</v>
      </c>
      <c r="G481" t="s">
        <v>8607</v>
      </c>
      <c r="H481">
        <v>38</v>
      </c>
      <c r="I481" t="s">
        <v>9307</v>
      </c>
      <c r="J481" t="str">
        <f t="shared" si="7"/>
        <v>13F-HR-5.38.C12</v>
      </c>
      <c r="K481" s="5" t="s">
        <v>8646</v>
      </c>
      <c r="L481" t="s">
        <v>241</v>
      </c>
      <c r="M481" t="s">
        <v>8647</v>
      </c>
      <c r="N481" t="s">
        <v>8648</v>
      </c>
      <c r="Q481" s="28">
        <v>39828</v>
      </c>
    </row>
    <row r="482" spans="1:17" x14ac:dyDescent="0.35">
      <c r="A482" t="s">
        <v>8520</v>
      </c>
      <c r="B482" s="3" t="s">
        <v>102</v>
      </c>
      <c r="F482">
        <v>5</v>
      </c>
      <c r="G482" t="s">
        <v>8607</v>
      </c>
      <c r="H482">
        <v>27</v>
      </c>
      <c r="I482" t="s">
        <v>9296</v>
      </c>
      <c r="J482" t="str">
        <f t="shared" si="7"/>
        <v>13F-HR-5.27.C1</v>
      </c>
      <c r="K482" s="5" t="s">
        <v>8608</v>
      </c>
      <c r="L482" t="s">
        <v>229</v>
      </c>
      <c r="M482" t="s">
        <v>8609</v>
      </c>
      <c r="N482" t="s">
        <v>8610</v>
      </c>
      <c r="Q482" s="28" t="s">
        <v>8719</v>
      </c>
    </row>
    <row r="483" spans="1:17" x14ac:dyDescent="0.35">
      <c r="A483" t="s">
        <v>8520</v>
      </c>
      <c r="B483" s="3" t="s">
        <v>102</v>
      </c>
      <c r="F483">
        <v>5</v>
      </c>
      <c r="G483" t="s">
        <v>8607</v>
      </c>
      <c r="H483">
        <v>28</v>
      </c>
      <c r="I483" t="s">
        <v>9297</v>
      </c>
      <c r="J483" t="str">
        <f t="shared" si="7"/>
        <v>13F-HR-5.28.C2</v>
      </c>
      <c r="K483" s="5" t="s">
        <v>8612</v>
      </c>
      <c r="L483" t="s">
        <v>229</v>
      </c>
      <c r="M483" t="s">
        <v>8613</v>
      </c>
      <c r="N483" t="s">
        <v>8614</v>
      </c>
      <c r="Q483" s="28" t="s">
        <v>8661</v>
      </c>
    </row>
    <row r="484" spans="1:17" x14ac:dyDescent="0.35">
      <c r="A484" t="s">
        <v>8520</v>
      </c>
      <c r="B484" s="3" t="s">
        <v>102</v>
      </c>
      <c r="F484">
        <v>5</v>
      </c>
      <c r="G484" t="s">
        <v>8607</v>
      </c>
      <c r="H484">
        <v>29</v>
      </c>
      <c r="I484" t="s">
        <v>9298</v>
      </c>
      <c r="J484" t="str">
        <f t="shared" si="7"/>
        <v>13F-HR-5.29.C3</v>
      </c>
      <c r="K484" s="5" t="s">
        <v>8616</v>
      </c>
      <c r="L484" t="s">
        <v>229</v>
      </c>
      <c r="M484" t="s">
        <v>7927</v>
      </c>
      <c r="N484" t="s">
        <v>8617</v>
      </c>
      <c r="Q484" s="28" t="s">
        <v>8720</v>
      </c>
    </row>
    <row r="485" spans="1:17" x14ac:dyDescent="0.35">
      <c r="A485" t="s">
        <v>8520</v>
      </c>
      <c r="B485" s="3" t="s">
        <v>102</v>
      </c>
      <c r="F485">
        <v>5</v>
      </c>
      <c r="G485" t="s">
        <v>8607</v>
      </c>
      <c r="H485">
        <v>30</v>
      </c>
      <c r="I485" t="s">
        <v>9299</v>
      </c>
      <c r="J485" t="str">
        <f t="shared" si="7"/>
        <v>13F-HR-5.30.C4</v>
      </c>
      <c r="K485" s="5" t="s">
        <v>8618</v>
      </c>
      <c r="L485" t="s">
        <v>8619</v>
      </c>
      <c r="M485" t="s">
        <v>8620</v>
      </c>
      <c r="N485" t="s">
        <v>8621</v>
      </c>
      <c r="Q485" s="28">
        <v>841039</v>
      </c>
    </row>
    <row r="486" spans="1:17" x14ac:dyDescent="0.35">
      <c r="A486" t="s">
        <v>8520</v>
      </c>
      <c r="B486" s="3" t="s">
        <v>102</v>
      </c>
      <c r="F486">
        <v>5</v>
      </c>
      <c r="G486" t="s">
        <v>8607</v>
      </c>
      <c r="H486">
        <v>31</v>
      </c>
      <c r="I486" t="s">
        <v>9300</v>
      </c>
      <c r="J486" t="str">
        <f t="shared" si="7"/>
        <v>13F-HR-5.31.C5</v>
      </c>
      <c r="K486" s="5" t="s">
        <v>8622</v>
      </c>
      <c r="L486" t="s">
        <v>241</v>
      </c>
      <c r="M486" t="s">
        <v>8623</v>
      </c>
      <c r="N486" t="s">
        <v>8624</v>
      </c>
      <c r="Q486" s="28">
        <v>41968</v>
      </c>
    </row>
    <row r="487" spans="1:17" x14ac:dyDescent="0.35">
      <c r="A487" t="s">
        <v>8520</v>
      </c>
      <c r="B487" s="3" t="s">
        <v>102</v>
      </c>
      <c r="F487">
        <v>5</v>
      </c>
      <c r="G487" t="s">
        <v>8607</v>
      </c>
      <c r="H487">
        <v>32</v>
      </c>
      <c r="I487" t="s">
        <v>9301</v>
      </c>
      <c r="J487" t="str">
        <f t="shared" si="7"/>
        <v>13F-HR-5.32.C6</v>
      </c>
      <c r="K487" s="5" t="s">
        <v>8625</v>
      </c>
      <c r="L487" t="s">
        <v>229</v>
      </c>
      <c r="M487" t="s">
        <v>8626</v>
      </c>
      <c r="N487" t="s">
        <v>8627</v>
      </c>
      <c r="Q487" s="28" t="s">
        <v>8628</v>
      </c>
    </row>
    <row r="488" spans="1:17" x14ac:dyDescent="0.35">
      <c r="A488" t="s">
        <v>8520</v>
      </c>
      <c r="B488" s="3" t="s">
        <v>102</v>
      </c>
      <c r="F488">
        <v>5</v>
      </c>
      <c r="G488" t="s">
        <v>8607</v>
      </c>
      <c r="H488">
        <v>33</v>
      </c>
      <c r="I488" t="s">
        <v>9302</v>
      </c>
      <c r="J488" t="str">
        <f t="shared" si="7"/>
        <v>13F-HR-5.33.C7</v>
      </c>
      <c r="K488" s="5" t="s">
        <v>8629</v>
      </c>
      <c r="L488" t="s">
        <v>229</v>
      </c>
      <c r="M488" t="s">
        <v>8630</v>
      </c>
      <c r="N488" t="s">
        <v>8631</v>
      </c>
      <c r="Q488" s="28" t="s">
        <v>8685</v>
      </c>
    </row>
    <row r="489" spans="1:17" x14ac:dyDescent="0.35">
      <c r="A489" t="s">
        <v>8520</v>
      </c>
      <c r="B489" s="3" t="s">
        <v>102</v>
      </c>
      <c r="F489">
        <v>5</v>
      </c>
      <c r="G489" t="s">
        <v>8607</v>
      </c>
      <c r="H489">
        <v>34</v>
      </c>
      <c r="I489" t="s">
        <v>9303</v>
      </c>
      <c r="J489" t="str">
        <f t="shared" si="7"/>
        <v>13F-HR-5.34.C8</v>
      </c>
      <c r="K489" s="5" t="s">
        <v>8633</v>
      </c>
      <c r="L489" t="s">
        <v>4735</v>
      </c>
      <c r="M489" t="s">
        <v>8634</v>
      </c>
      <c r="N489" t="s">
        <v>8635</v>
      </c>
      <c r="Q489" s="28" t="s">
        <v>8632</v>
      </c>
    </row>
    <row r="490" spans="1:17" x14ac:dyDescent="0.35">
      <c r="A490" t="s">
        <v>8520</v>
      </c>
      <c r="B490" s="3" t="s">
        <v>102</v>
      </c>
      <c r="F490">
        <v>5</v>
      </c>
      <c r="G490" t="s">
        <v>8607</v>
      </c>
      <c r="H490">
        <v>35</v>
      </c>
      <c r="I490" t="s">
        <v>9304</v>
      </c>
      <c r="J490" t="str">
        <f t="shared" si="7"/>
        <v>13F-HR-5.35.C9</v>
      </c>
      <c r="K490" s="5" t="s">
        <v>8637</v>
      </c>
      <c r="L490" t="s">
        <v>229</v>
      </c>
      <c r="M490" t="s">
        <v>8638</v>
      </c>
      <c r="N490" t="s">
        <v>8639</v>
      </c>
      <c r="Q490" s="28" t="s">
        <v>8636</v>
      </c>
    </row>
    <row r="491" spans="1:17" x14ac:dyDescent="0.35">
      <c r="A491" t="s">
        <v>8520</v>
      </c>
      <c r="B491" s="3" t="s">
        <v>102</v>
      </c>
      <c r="F491">
        <v>5</v>
      </c>
      <c r="G491" t="s">
        <v>8607</v>
      </c>
      <c r="H491">
        <v>36</v>
      </c>
      <c r="I491" t="s">
        <v>9305</v>
      </c>
      <c r="J491" t="str">
        <f t="shared" si="7"/>
        <v>13F-HR-5.36.C10</v>
      </c>
      <c r="K491" s="5" t="s">
        <v>8640</v>
      </c>
      <c r="L491" t="s">
        <v>241</v>
      </c>
      <c r="M491" t="s">
        <v>8641</v>
      </c>
      <c r="N491" t="s">
        <v>8642</v>
      </c>
      <c r="Q491" s="28">
        <v>41968</v>
      </c>
    </row>
    <row r="492" spans="1:17" x14ac:dyDescent="0.35">
      <c r="A492" t="s">
        <v>8520</v>
      </c>
      <c r="B492" s="3" t="s">
        <v>102</v>
      </c>
      <c r="F492">
        <v>5</v>
      </c>
      <c r="G492" t="s">
        <v>8607</v>
      </c>
      <c r="H492">
        <v>37</v>
      </c>
      <c r="I492" t="s">
        <v>9306</v>
      </c>
      <c r="J492" t="str">
        <f t="shared" si="7"/>
        <v>13F-HR-5.37.C11</v>
      </c>
      <c r="K492" s="5" t="s">
        <v>8643</v>
      </c>
      <c r="L492" t="s">
        <v>241</v>
      </c>
      <c r="M492" t="s">
        <v>8644</v>
      </c>
      <c r="N492" t="s">
        <v>8645</v>
      </c>
      <c r="Q492" s="28">
        <v>0</v>
      </c>
    </row>
    <row r="493" spans="1:17" x14ac:dyDescent="0.35">
      <c r="A493" t="s">
        <v>8520</v>
      </c>
      <c r="B493" s="3" t="s">
        <v>102</v>
      </c>
      <c r="F493">
        <v>5</v>
      </c>
      <c r="G493" t="s">
        <v>8607</v>
      </c>
      <c r="H493">
        <v>38</v>
      </c>
      <c r="I493" t="s">
        <v>9307</v>
      </c>
      <c r="J493" t="str">
        <f t="shared" si="7"/>
        <v>13F-HR-5.38.C12</v>
      </c>
      <c r="K493" s="5" t="s">
        <v>8646</v>
      </c>
      <c r="L493" t="s">
        <v>241</v>
      </c>
      <c r="M493" t="s">
        <v>8647</v>
      </c>
      <c r="N493" t="s">
        <v>8648</v>
      </c>
      <c r="Q493" s="28">
        <v>0</v>
      </c>
    </row>
    <row r="494" spans="1:17" x14ac:dyDescent="0.35">
      <c r="A494" t="s">
        <v>8520</v>
      </c>
      <c r="B494" s="3" t="s">
        <v>102</v>
      </c>
      <c r="F494">
        <v>5</v>
      </c>
      <c r="G494" t="s">
        <v>8607</v>
      </c>
      <c r="H494">
        <v>27</v>
      </c>
      <c r="I494" t="s">
        <v>9296</v>
      </c>
      <c r="J494" t="str">
        <f t="shared" si="7"/>
        <v>13F-HR-5.27.C1</v>
      </c>
      <c r="K494" s="5" t="s">
        <v>8608</v>
      </c>
      <c r="L494" t="s">
        <v>229</v>
      </c>
      <c r="M494" t="s">
        <v>8609</v>
      </c>
      <c r="N494" t="s">
        <v>8610</v>
      </c>
      <c r="Q494" s="28" t="s">
        <v>8721</v>
      </c>
    </row>
    <row r="495" spans="1:17" x14ac:dyDescent="0.35">
      <c r="A495" t="s">
        <v>8520</v>
      </c>
      <c r="B495" s="3" t="s">
        <v>102</v>
      </c>
      <c r="F495">
        <v>5</v>
      </c>
      <c r="G495" t="s">
        <v>8607</v>
      </c>
      <c r="H495">
        <v>28</v>
      </c>
      <c r="I495" t="s">
        <v>9297</v>
      </c>
      <c r="J495" t="str">
        <f t="shared" si="7"/>
        <v>13F-HR-5.28.C2</v>
      </c>
      <c r="K495" s="5" t="s">
        <v>8612</v>
      </c>
      <c r="L495" t="s">
        <v>229</v>
      </c>
      <c r="M495" t="s">
        <v>8613</v>
      </c>
      <c r="N495" t="s">
        <v>8614</v>
      </c>
      <c r="Q495" s="28" t="s">
        <v>8615</v>
      </c>
    </row>
    <row r="496" spans="1:17" x14ac:dyDescent="0.35">
      <c r="A496" t="s">
        <v>8520</v>
      </c>
      <c r="B496" s="3" t="s">
        <v>102</v>
      </c>
      <c r="F496">
        <v>5</v>
      </c>
      <c r="G496" t="s">
        <v>8607</v>
      </c>
      <c r="H496">
        <v>29</v>
      </c>
      <c r="I496" t="s">
        <v>9298</v>
      </c>
      <c r="J496" t="str">
        <f t="shared" si="7"/>
        <v>13F-HR-5.29.C3</v>
      </c>
      <c r="K496" s="5" t="s">
        <v>8616</v>
      </c>
      <c r="L496" t="s">
        <v>229</v>
      </c>
      <c r="M496" t="s">
        <v>7927</v>
      </c>
      <c r="N496" t="s">
        <v>8617</v>
      </c>
      <c r="Q496" s="28">
        <v>97023105</v>
      </c>
    </row>
    <row r="497" spans="1:17" x14ac:dyDescent="0.35">
      <c r="A497" t="s">
        <v>8520</v>
      </c>
      <c r="B497" s="3" t="s">
        <v>102</v>
      </c>
      <c r="F497">
        <v>5</v>
      </c>
      <c r="G497" t="s">
        <v>8607</v>
      </c>
      <c r="H497">
        <v>30</v>
      </c>
      <c r="I497" t="s">
        <v>9299</v>
      </c>
      <c r="J497" t="str">
        <f t="shared" si="7"/>
        <v>13F-HR-5.30.C4</v>
      </c>
      <c r="K497" s="5" t="s">
        <v>8618</v>
      </c>
      <c r="L497" t="s">
        <v>8619</v>
      </c>
      <c r="M497" t="s">
        <v>8620</v>
      </c>
      <c r="N497" t="s">
        <v>8621</v>
      </c>
      <c r="Q497" s="28">
        <v>23585189</v>
      </c>
    </row>
    <row r="498" spans="1:17" x14ac:dyDescent="0.35">
      <c r="A498" t="s">
        <v>8520</v>
      </c>
      <c r="B498" s="3" t="s">
        <v>102</v>
      </c>
      <c r="F498">
        <v>5</v>
      </c>
      <c r="G498" t="s">
        <v>8607</v>
      </c>
      <c r="H498">
        <v>31</v>
      </c>
      <c r="I498" t="s">
        <v>9300</v>
      </c>
      <c r="J498" t="str">
        <f t="shared" si="7"/>
        <v>13F-HR-5.31.C5</v>
      </c>
      <c r="K498" s="5" t="s">
        <v>8622</v>
      </c>
      <c r="L498" t="s">
        <v>241</v>
      </c>
      <c r="M498" t="s">
        <v>8623</v>
      </c>
      <c r="N498" t="s">
        <v>8624</v>
      </c>
      <c r="Q498" s="28">
        <v>138289</v>
      </c>
    </row>
    <row r="499" spans="1:17" x14ac:dyDescent="0.35">
      <c r="A499" t="s">
        <v>8520</v>
      </c>
      <c r="B499" s="3" t="s">
        <v>102</v>
      </c>
      <c r="F499">
        <v>5</v>
      </c>
      <c r="G499" t="s">
        <v>8607</v>
      </c>
      <c r="H499">
        <v>32</v>
      </c>
      <c r="I499" t="s">
        <v>9301</v>
      </c>
      <c r="J499" t="str">
        <f t="shared" si="7"/>
        <v>13F-HR-5.32.C6</v>
      </c>
      <c r="K499" s="5" t="s">
        <v>8625</v>
      </c>
      <c r="L499" t="s">
        <v>229</v>
      </c>
      <c r="M499" t="s">
        <v>8626</v>
      </c>
      <c r="N499" t="s">
        <v>8627</v>
      </c>
      <c r="Q499" s="28" t="s">
        <v>8628</v>
      </c>
    </row>
    <row r="500" spans="1:17" x14ac:dyDescent="0.35">
      <c r="A500" t="s">
        <v>8520</v>
      </c>
      <c r="B500" s="3" t="s">
        <v>102</v>
      </c>
      <c r="F500">
        <v>5</v>
      </c>
      <c r="G500" t="s">
        <v>8607</v>
      </c>
      <c r="H500">
        <v>33</v>
      </c>
      <c r="I500" t="s">
        <v>9302</v>
      </c>
      <c r="J500" t="str">
        <f t="shared" si="7"/>
        <v>13F-HR-5.33.C7</v>
      </c>
      <c r="K500" s="5" t="s">
        <v>8629</v>
      </c>
      <c r="L500" t="s">
        <v>229</v>
      </c>
      <c r="M500" t="s">
        <v>8630</v>
      </c>
      <c r="N500" t="s">
        <v>8631</v>
      </c>
      <c r="Q500" s="28" t="s">
        <v>8685</v>
      </c>
    </row>
    <row r="501" spans="1:17" x14ac:dyDescent="0.35">
      <c r="A501" t="s">
        <v>8520</v>
      </c>
      <c r="B501" s="3" t="s">
        <v>102</v>
      </c>
      <c r="F501">
        <v>5</v>
      </c>
      <c r="G501" t="s">
        <v>8607</v>
      </c>
      <c r="H501">
        <v>34</v>
      </c>
      <c r="I501" t="s">
        <v>9303</v>
      </c>
      <c r="J501" t="str">
        <f t="shared" si="7"/>
        <v>13F-HR-5.34.C8</v>
      </c>
      <c r="K501" s="5" t="s">
        <v>8633</v>
      </c>
      <c r="L501" t="s">
        <v>4735</v>
      </c>
      <c r="M501" t="s">
        <v>8634</v>
      </c>
      <c r="N501" t="s">
        <v>8635</v>
      </c>
      <c r="Q501" s="28" t="s">
        <v>8632</v>
      </c>
    </row>
    <row r="502" spans="1:17" x14ac:dyDescent="0.35">
      <c r="A502" t="s">
        <v>8520</v>
      </c>
      <c r="B502" s="3" t="s">
        <v>102</v>
      </c>
      <c r="F502">
        <v>5</v>
      </c>
      <c r="G502" t="s">
        <v>8607</v>
      </c>
      <c r="H502">
        <v>35</v>
      </c>
      <c r="I502" t="s">
        <v>9304</v>
      </c>
      <c r="J502" t="str">
        <f t="shared" si="7"/>
        <v>13F-HR-5.35.C9</v>
      </c>
      <c r="K502" s="5" t="s">
        <v>8637</v>
      </c>
      <c r="L502" t="s">
        <v>229</v>
      </c>
      <c r="M502" t="s">
        <v>8638</v>
      </c>
      <c r="N502" t="s">
        <v>8639</v>
      </c>
      <c r="Q502" s="28" t="s">
        <v>8636</v>
      </c>
    </row>
    <row r="503" spans="1:17" x14ac:dyDescent="0.35">
      <c r="A503" t="s">
        <v>8520</v>
      </c>
      <c r="B503" s="3" t="s">
        <v>102</v>
      </c>
      <c r="F503">
        <v>5</v>
      </c>
      <c r="G503" t="s">
        <v>8607</v>
      </c>
      <c r="H503">
        <v>36</v>
      </c>
      <c r="I503" t="s">
        <v>9305</v>
      </c>
      <c r="J503" t="str">
        <f t="shared" si="7"/>
        <v>13F-HR-5.36.C10</v>
      </c>
      <c r="K503" s="5" t="s">
        <v>8640</v>
      </c>
      <c r="L503" t="s">
        <v>241</v>
      </c>
      <c r="M503" t="s">
        <v>8641</v>
      </c>
      <c r="N503" t="s">
        <v>8642</v>
      </c>
      <c r="Q503" s="28">
        <v>50358</v>
      </c>
    </row>
    <row r="504" spans="1:17" x14ac:dyDescent="0.35">
      <c r="A504" t="s">
        <v>8520</v>
      </c>
      <c r="B504" s="3" t="s">
        <v>102</v>
      </c>
      <c r="F504">
        <v>5</v>
      </c>
      <c r="G504" t="s">
        <v>8607</v>
      </c>
      <c r="H504">
        <v>37</v>
      </c>
      <c r="I504" t="s">
        <v>9306</v>
      </c>
      <c r="J504" t="str">
        <f t="shared" si="7"/>
        <v>13F-HR-5.37.C11</v>
      </c>
      <c r="K504" s="5" t="s">
        <v>8643</v>
      </c>
      <c r="L504" t="s">
        <v>241</v>
      </c>
      <c r="M504" t="s">
        <v>8644</v>
      </c>
      <c r="N504" t="s">
        <v>8645</v>
      </c>
      <c r="Q504" s="28">
        <v>0</v>
      </c>
    </row>
    <row r="505" spans="1:17" x14ac:dyDescent="0.35">
      <c r="A505" t="s">
        <v>8520</v>
      </c>
      <c r="B505" s="3" t="s">
        <v>102</v>
      </c>
      <c r="F505">
        <v>5</v>
      </c>
      <c r="G505" t="s">
        <v>8607</v>
      </c>
      <c r="H505">
        <v>38</v>
      </c>
      <c r="I505" t="s">
        <v>9307</v>
      </c>
      <c r="J505" t="str">
        <f t="shared" si="7"/>
        <v>13F-HR-5.38.C12</v>
      </c>
      <c r="K505" s="5" t="s">
        <v>8646</v>
      </c>
      <c r="L505" t="s">
        <v>241</v>
      </c>
      <c r="M505" t="s">
        <v>8647</v>
      </c>
      <c r="N505" t="s">
        <v>8648</v>
      </c>
      <c r="Q505" s="28">
        <v>87931</v>
      </c>
    </row>
    <row r="506" spans="1:17" x14ac:dyDescent="0.35">
      <c r="A506" t="s">
        <v>8520</v>
      </c>
      <c r="B506" s="3" t="s">
        <v>102</v>
      </c>
      <c r="F506">
        <v>5</v>
      </c>
      <c r="G506" t="s">
        <v>8607</v>
      </c>
      <c r="H506">
        <v>27</v>
      </c>
      <c r="I506" t="s">
        <v>9296</v>
      </c>
      <c r="J506" t="str">
        <f t="shared" si="7"/>
        <v>13F-HR-5.27.C1</v>
      </c>
      <c r="K506" s="5" t="s">
        <v>8608</v>
      </c>
      <c r="L506" t="s">
        <v>229</v>
      </c>
      <c r="M506" t="s">
        <v>8609</v>
      </c>
      <c r="N506" t="s">
        <v>8610</v>
      </c>
      <c r="Q506" s="28" t="s">
        <v>8721</v>
      </c>
    </row>
    <row r="507" spans="1:17" x14ac:dyDescent="0.35">
      <c r="A507" t="s">
        <v>8520</v>
      </c>
      <c r="B507" s="3" t="s">
        <v>102</v>
      </c>
      <c r="F507">
        <v>5</v>
      </c>
      <c r="G507" t="s">
        <v>8607</v>
      </c>
      <c r="H507">
        <v>28</v>
      </c>
      <c r="I507" t="s">
        <v>9297</v>
      </c>
      <c r="J507" t="str">
        <f t="shared" si="7"/>
        <v>13F-HR-5.28.C2</v>
      </c>
      <c r="K507" s="5" t="s">
        <v>8612</v>
      </c>
      <c r="L507" t="s">
        <v>229</v>
      </c>
      <c r="M507" t="s">
        <v>8613</v>
      </c>
      <c r="N507" t="s">
        <v>8614</v>
      </c>
      <c r="Q507" s="28" t="s">
        <v>8722</v>
      </c>
    </row>
    <row r="508" spans="1:17" x14ac:dyDescent="0.35">
      <c r="A508" t="s">
        <v>8520</v>
      </c>
      <c r="B508" s="3" t="s">
        <v>102</v>
      </c>
      <c r="F508">
        <v>5</v>
      </c>
      <c r="G508" t="s">
        <v>8607</v>
      </c>
      <c r="H508">
        <v>29</v>
      </c>
      <c r="I508" t="s">
        <v>9298</v>
      </c>
      <c r="J508" t="str">
        <f t="shared" si="7"/>
        <v>13F-HR-5.29.C3</v>
      </c>
      <c r="K508" s="5" t="s">
        <v>8616</v>
      </c>
      <c r="L508" t="s">
        <v>229</v>
      </c>
      <c r="M508" t="s">
        <v>7927</v>
      </c>
      <c r="N508" t="s">
        <v>8617</v>
      </c>
      <c r="Q508" s="28">
        <v>97023204</v>
      </c>
    </row>
    <row r="509" spans="1:17" x14ac:dyDescent="0.35">
      <c r="A509" t="s">
        <v>8520</v>
      </c>
      <c r="B509" s="3" t="s">
        <v>102</v>
      </c>
      <c r="F509">
        <v>5</v>
      </c>
      <c r="G509" t="s">
        <v>8607</v>
      </c>
      <c r="H509">
        <v>30</v>
      </c>
      <c r="I509" t="s">
        <v>9299</v>
      </c>
      <c r="J509" t="str">
        <f t="shared" si="7"/>
        <v>13F-HR-5.30.C4</v>
      </c>
      <c r="K509" s="5" t="s">
        <v>8618</v>
      </c>
      <c r="L509" t="s">
        <v>8619</v>
      </c>
      <c r="M509" t="s">
        <v>8620</v>
      </c>
      <c r="N509" t="s">
        <v>8621</v>
      </c>
      <c r="Q509" s="28">
        <v>6254808</v>
      </c>
    </row>
    <row r="510" spans="1:17" x14ac:dyDescent="0.35">
      <c r="A510" t="s">
        <v>8520</v>
      </c>
      <c r="B510" s="3" t="s">
        <v>102</v>
      </c>
      <c r="F510">
        <v>5</v>
      </c>
      <c r="G510" t="s">
        <v>8607</v>
      </c>
      <c r="H510">
        <v>31</v>
      </c>
      <c r="I510" t="s">
        <v>9300</v>
      </c>
      <c r="J510" t="str">
        <f t="shared" si="7"/>
        <v>13F-HR-5.31.C5</v>
      </c>
      <c r="K510" s="5" t="s">
        <v>8622</v>
      </c>
      <c r="L510" t="s">
        <v>241</v>
      </c>
      <c r="M510" t="s">
        <v>8623</v>
      </c>
      <c r="N510" t="s">
        <v>8624</v>
      </c>
      <c r="Q510" s="28">
        <v>104543</v>
      </c>
    </row>
    <row r="511" spans="1:17" x14ac:dyDescent="0.35">
      <c r="A511" t="s">
        <v>8520</v>
      </c>
      <c r="B511" s="3" t="s">
        <v>102</v>
      </c>
      <c r="F511">
        <v>5</v>
      </c>
      <c r="G511" t="s">
        <v>8607</v>
      </c>
      <c r="H511">
        <v>32</v>
      </c>
      <c r="I511" t="s">
        <v>9301</v>
      </c>
      <c r="J511" t="str">
        <f t="shared" si="7"/>
        <v>13F-HR-5.32.C6</v>
      </c>
      <c r="K511" s="5" t="s">
        <v>8625</v>
      </c>
      <c r="L511" t="s">
        <v>229</v>
      </c>
      <c r="M511" t="s">
        <v>8626</v>
      </c>
      <c r="N511" t="s">
        <v>8627</v>
      </c>
      <c r="Q511" s="28" t="s">
        <v>8628</v>
      </c>
    </row>
    <row r="512" spans="1:17" x14ac:dyDescent="0.35">
      <c r="A512" t="s">
        <v>8520</v>
      </c>
      <c r="B512" s="3" t="s">
        <v>102</v>
      </c>
      <c r="F512">
        <v>5</v>
      </c>
      <c r="G512" t="s">
        <v>8607</v>
      </c>
      <c r="H512">
        <v>33</v>
      </c>
      <c r="I512" t="s">
        <v>9302</v>
      </c>
      <c r="J512" t="str">
        <f t="shared" si="7"/>
        <v>13F-HR-5.33.C7</v>
      </c>
      <c r="K512" s="5" t="s">
        <v>8629</v>
      </c>
      <c r="L512" t="s">
        <v>229</v>
      </c>
      <c r="M512" t="s">
        <v>8630</v>
      </c>
      <c r="N512" t="s">
        <v>8631</v>
      </c>
      <c r="Q512" s="28" t="s">
        <v>8685</v>
      </c>
    </row>
    <row r="513" spans="1:17" x14ac:dyDescent="0.35">
      <c r="A513" t="s">
        <v>8520</v>
      </c>
      <c r="B513" s="3" t="s">
        <v>102</v>
      </c>
      <c r="F513">
        <v>5</v>
      </c>
      <c r="G513" t="s">
        <v>8607</v>
      </c>
      <c r="H513">
        <v>34</v>
      </c>
      <c r="I513" t="s">
        <v>9303</v>
      </c>
      <c r="J513" t="str">
        <f t="shared" si="7"/>
        <v>13F-HR-5.34.C8</v>
      </c>
      <c r="K513" s="5" t="s">
        <v>8633</v>
      </c>
      <c r="L513" t="s">
        <v>4735</v>
      </c>
      <c r="M513" t="s">
        <v>8634</v>
      </c>
      <c r="N513" t="s">
        <v>8635</v>
      </c>
      <c r="Q513" s="28" t="s">
        <v>8632</v>
      </c>
    </row>
    <row r="514" spans="1:17" x14ac:dyDescent="0.35">
      <c r="A514" t="s">
        <v>8651</v>
      </c>
      <c r="B514" s="3" t="s">
        <v>102</v>
      </c>
      <c r="F514">
        <v>5</v>
      </c>
      <c r="G514" t="s">
        <v>8607</v>
      </c>
      <c r="H514">
        <v>35</v>
      </c>
      <c r="I514" t="s">
        <v>9304</v>
      </c>
      <c r="J514" t="str">
        <f t="shared" si="7"/>
        <v>135-HR-5.35.C9</v>
      </c>
      <c r="K514" s="5" t="s">
        <v>8637</v>
      </c>
      <c r="L514" t="s">
        <v>229</v>
      </c>
      <c r="M514" t="s">
        <v>8638</v>
      </c>
      <c r="N514" t="s">
        <v>8639</v>
      </c>
      <c r="Q514" s="28" t="s">
        <v>8636</v>
      </c>
    </row>
    <row r="515" spans="1:17" x14ac:dyDescent="0.35">
      <c r="A515" t="s">
        <v>8520</v>
      </c>
      <c r="B515" s="3" t="s">
        <v>102</v>
      </c>
      <c r="F515">
        <v>5</v>
      </c>
      <c r="G515" t="s">
        <v>8607</v>
      </c>
      <c r="H515">
        <v>36</v>
      </c>
      <c r="I515" t="s">
        <v>9305</v>
      </c>
      <c r="J515" t="str">
        <f t="shared" ref="J515:J578" si="8">_xlfn.CONCAT(A515,"-",F515,".",H515,".",I515)</f>
        <v>13F-HR-5.36.C10</v>
      </c>
      <c r="K515" s="5" t="s">
        <v>8640</v>
      </c>
      <c r="L515" t="s">
        <v>241</v>
      </c>
      <c r="M515" t="s">
        <v>8641</v>
      </c>
      <c r="N515" t="s">
        <v>8642</v>
      </c>
      <c r="Q515" s="28">
        <v>0</v>
      </c>
    </row>
    <row r="516" spans="1:17" x14ac:dyDescent="0.35">
      <c r="A516" t="s">
        <v>8520</v>
      </c>
      <c r="B516" s="3" t="s">
        <v>102</v>
      </c>
      <c r="F516">
        <v>5</v>
      </c>
      <c r="G516" t="s">
        <v>8607</v>
      </c>
      <c r="H516">
        <v>37</v>
      </c>
      <c r="I516" t="s">
        <v>9306</v>
      </c>
      <c r="J516" t="str">
        <f t="shared" si="8"/>
        <v>13F-HR-5.37.C11</v>
      </c>
      <c r="K516" s="5" t="s">
        <v>8643</v>
      </c>
      <c r="L516" t="s">
        <v>241</v>
      </c>
      <c r="M516" t="s">
        <v>8644</v>
      </c>
      <c r="N516" t="s">
        <v>8645</v>
      </c>
      <c r="Q516" s="28">
        <v>0</v>
      </c>
    </row>
    <row r="517" spans="1:17" x14ac:dyDescent="0.35">
      <c r="A517" t="s">
        <v>8520</v>
      </c>
      <c r="B517" s="3" t="s">
        <v>102</v>
      </c>
      <c r="F517">
        <v>5</v>
      </c>
      <c r="G517" t="s">
        <v>8607</v>
      </c>
      <c r="H517">
        <v>38</v>
      </c>
      <c r="I517" t="s">
        <v>9307</v>
      </c>
      <c r="J517" t="str">
        <f t="shared" si="8"/>
        <v>13F-HR-5.38.C12</v>
      </c>
      <c r="K517" s="5" t="s">
        <v>8646</v>
      </c>
      <c r="L517" t="s">
        <v>241</v>
      </c>
      <c r="M517" t="s">
        <v>8647</v>
      </c>
      <c r="N517" t="s">
        <v>8648</v>
      </c>
      <c r="Q517" s="28">
        <v>104543</v>
      </c>
    </row>
    <row r="518" spans="1:17" x14ac:dyDescent="0.35">
      <c r="A518" t="s">
        <v>8520</v>
      </c>
      <c r="B518" s="3" t="s">
        <v>102</v>
      </c>
      <c r="F518">
        <v>5</v>
      </c>
      <c r="G518" t="s">
        <v>8607</v>
      </c>
      <c r="H518">
        <v>27</v>
      </c>
      <c r="I518" t="s">
        <v>9296</v>
      </c>
      <c r="J518" t="str">
        <f t="shared" si="8"/>
        <v>13F-HR-5.27.C1</v>
      </c>
      <c r="K518" s="5" t="s">
        <v>8608</v>
      </c>
      <c r="L518" t="s">
        <v>229</v>
      </c>
      <c r="M518" t="s">
        <v>8609</v>
      </c>
      <c r="N518" t="s">
        <v>8610</v>
      </c>
      <c r="Q518" s="28" t="s">
        <v>8723</v>
      </c>
    </row>
    <row r="519" spans="1:17" x14ac:dyDescent="0.35">
      <c r="A519" t="s">
        <v>8520</v>
      </c>
      <c r="B519" s="3" t="s">
        <v>102</v>
      </c>
      <c r="F519">
        <v>5</v>
      </c>
      <c r="G519" t="s">
        <v>8607</v>
      </c>
      <c r="H519">
        <v>28</v>
      </c>
      <c r="I519" t="s">
        <v>9297</v>
      </c>
      <c r="J519" t="str">
        <f t="shared" si="8"/>
        <v>13F-HR-5.28.C2</v>
      </c>
      <c r="K519" s="5" t="s">
        <v>8612</v>
      </c>
      <c r="L519" t="s">
        <v>229</v>
      </c>
      <c r="M519" t="s">
        <v>8613</v>
      </c>
      <c r="N519" t="s">
        <v>8614</v>
      </c>
      <c r="Q519" s="28" t="s">
        <v>8615</v>
      </c>
    </row>
    <row r="520" spans="1:17" x14ac:dyDescent="0.35">
      <c r="A520" t="s">
        <v>8520</v>
      </c>
      <c r="B520" s="3" t="s">
        <v>102</v>
      </c>
      <c r="F520">
        <v>5</v>
      </c>
      <c r="G520" t="s">
        <v>8607</v>
      </c>
      <c r="H520">
        <v>29</v>
      </c>
      <c r="I520" t="s">
        <v>9298</v>
      </c>
      <c r="J520" t="str">
        <f t="shared" si="8"/>
        <v>13F-HR-5.29.C3</v>
      </c>
      <c r="K520" s="5" t="s">
        <v>8616</v>
      </c>
      <c r="L520" t="s">
        <v>229</v>
      </c>
      <c r="M520" t="s">
        <v>7927</v>
      </c>
      <c r="N520" t="s">
        <v>8617</v>
      </c>
      <c r="Q520" s="28" t="s">
        <v>8724</v>
      </c>
    </row>
    <row r="521" spans="1:17" x14ac:dyDescent="0.35">
      <c r="A521" t="s">
        <v>8520</v>
      </c>
      <c r="B521" s="3" t="s">
        <v>102</v>
      </c>
      <c r="F521">
        <v>5</v>
      </c>
      <c r="G521" t="s">
        <v>8607</v>
      </c>
      <c r="H521">
        <v>30</v>
      </c>
      <c r="I521" t="s">
        <v>9299</v>
      </c>
      <c r="J521" t="str">
        <f t="shared" si="8"/>
        <v>13F-HR-5.30.C4</v>
      </c>
      <c r="K521" s="5" t="s">
        <v>8618</v>
      </c>
      <c r="L521" t="s">
        <v>8619</v>
      </c>
      <c r="M521" t="s">
        <v>8620</v>
      </c>
      <c r="N521" t="s">
        <v>8621</v>
      </c>
      <c r="Q521" s="28">
        <v>37196191</v>
      </c>
    </row>
    <row r="522" spans="1:17" x14ac:dyDescent="0.35">
      <c r="A522" t="s">
        <v>8520</v>
      </c>
      <c r="B522" s="3" t="s">
        <v>102</v>
      </c>
      <c r="F522">
        <v>5</v>
      </c>
      <c r="G522" t="s">
        <v>8607</v>
      </c>
      <c r="H522">
        <v>31</v>
      </c>
      <c r="I522" t="s">
        <v>9300</v>
      </c>
      <c r="J522" t="str">
        <f t="shared" si="8"/>
        <v>13F-HR-5.31.C5</v>
      </c>
      <c r="K522" s="5" t="s">
        <v>8622</v>
      </c>
      <c r="L522" t="s">
        <v>241</v>
      </c>
      <c r="M522" t="s">
        <v>8623</v>
      </c>
      <c r="N522" t="s">
        <v>8624</v>
      </c>
      <c r="Q522" s="28">
        <v>8074</v>
      </c>
    </row>
    <row r="523" spans="1:17" x14ac:dyDescent="0.35">
      <c r="A523" t="s">
        <v>8520</v>
      </c>
      <c r="B523" s="3" t="s">
        <v>102</v>
      </c>
      <c r="F523">
        <v>5</v>
      </c>
      <c r="G523" t="s">
        <v>8607</v>
      </c>
      <c r="H523">
        <v>32</v>
      </c>
      <c r="I523" t="s">
        <v>9301</v>
      </c>
      <c r="J523" t="str">
        <f t="shared" si="8"/>
        <v>13F-HR-5.32.C6</v>
      </c>
      <c r="K523" s="5" t="s">
        <v>8625</v>
      </c>
      <c r="L523" t="s">
        <v>229</v>
      </c>
      <c r="M523" t="s">
        <v>8626</v>
      </c>
      <c r="N523" t="s">
        <v>8627</v>
      </c>
      <c r="Q523" s="28" t="s">
        <v>8628</v>
      </c>
    </row>
    <row r="524" spans="1:17" x14ac:dyDescent="0.35">
      <c r="A524" t="s">
        <v>8520</v>
      </c>
      <c r="B524" s="3" t="s">
        <v>102</v>
      </c>
      <c r="F524">
        <v>5</v>
      </c>
      <c r="G524" t="s">
        <v>8607</v>
      </c>
      <c r="H524">
        <v>33</v>
      </c>
      <c r="I524" t="s">
        <v>9302</v>
      </c>
      <c r="J524" t="str">
        <f t="shared" si="8"/>
        <v>13F-HR-5.33.C7</v>
      </c>
      <c r="K524" s="5" t="s">
        <v>8629</v>
      </c>
      <c r="L524" t="s">
        <v>229</v>
      </c>
      <c r="M524" t="s">
        <v>8630</v>
      </c>
      <c r="N524" t="s">
        <v>8631</v>
      </c>
      <c r="Q524" s="28" t="s">
        <v>8685</v>
      </c>
    </row>
    <row r="525" spans="1:17" x14ac:dyDescent="0.35">
      <c r="A525" t="s">
        <v>8520</v>
      </c>
      <c r="B525" s="3" t="s">
        <v>102</v>
      </c>
      <c r="F525">
        <v>5</v>
      </c>
      <c r="G525" t="s">
        <v>8607</v>
      </c>
      <c r="H525">
        <v>34</v>
      </c>
      <c r="I525" t="s">
        <v>9303</v>
      </c>
      <c r="J525" t="str">
        <f t="shared" si="8"/>
        <v>13F-HR-5.34.C8</v>
      </c>
      <c r="K525" s="5" t="s">
        <v>8633</v>
      </c>
      <c r="L525" t="s">
        <v>4735</v>
      </c>
      <c r="M525" t="s">
        <v>8634</v>
      </c>
      <c r="N525" t="s">
        <v>8635</v>
      </c>
      <c r="Q525" s="28" t="s">
        <v>8632</v>
      </c>
    </row>
    <row r="526" spans="1:17" x14ac:dyDescent="0.35">
      <c r="A526" t="s">
        <v>8651</v>
      </c>
      <c r="B526" s="3" t="s">
        <v>102</v>
      </c>
      <c r="F526">
        <v>5</v>
      </c>
      <c r="G526" t="s">
        <v>8607</v>
      </c>
      <c r="H526">
        <v>35</v>
      </c>
      <c r="I526" t="s">
        <v>9304</v>
      </c>
      <c r="J526" t="str">
        <f t="shared" si="8"/>
        <v>135-HR-5.35.C9</v>
      </c>
      <c r="K526" s="5" t="s">
        <v>8637</v>
      </c>
      <c r="L526" t="s">
        <v>229</v>
      </c>
      <c r="M526" t="s">
        <v>8638</v>
      </c>
      <c r="N526" t="s">
        <v>8639</v>
      </c>
      <c r="Q526" s="28" t="s">
        <v>8636</v>
      </c>
    </row>
    <row r="527" spans="1:17" x14ac:dyDescent="0.35">
      <c r="A527" t="s">
        <v>8520</v>
      </c>
      <c r="B527" s="3" t="s">
        <v>102</v>
      </c>
      <c r="F527">
        <v>5</v>
      </c>
      <c r="G527" t="s">
        <v>8607</v>
      </c>
      <c r="H527">
        <v>36</v>
      </c>
      <c r="I527" t="s">
        <v>9305</v>
      </c>
      <c r="J527" t="str">
        <f t="shared" si="8"/>
        <v>13F-HR-5.36.C10</v>
      </c>
      <c r="K527" s="5" t="s">
        <v>8640</v>
      </c>
      <c r="L527" t="s">
        <v>241</v>
      </c>
      <c r="M527" t="s">
        <v>8641</v>
      </c>
      <c r="N527" t="s">
        <v>8642</v>
      </c>
      <c r="Q527" s="28">
        <v>7915</v>
      </c>
    </row>
    <row r="528" spans="1:17" x14ac:dyDescent="0.35">
      <c r="A528" t="s">
        <v>8520</v>
      </c>
      <c r="B528" s="3" t="s">
        <v>102</v>
      </c>
      <c r="F528">
        <v>5</v>
      </c>
      <c r="G528" t="s">
        <v>8607</v>
      </c>
      <c r="H528">
        <v>37</v>
      </c>
      <c r="I528" t="s">
        <v>9306</v>
      </c>
      <c r="J528" t="str">
        <f t="shared" si="8"/>
        <v>13F-HR-5.37.C11</v>
      </c>
      <c r="K528" s="5" t="s">
        <v>8643</v>
      </c>
      <c r="L528" t="s">
        <v>241</v>
      </c>
      <c r="M528" t="s">
        <v>8644</v>
      </c>
      <c r="N528" t="s">
        <v>8645</v>
      </c>
      <c r="Q528" s="28">
        <v>0</v>
      </c>
    </row>
    <row r="529" spans="1:17" x14ac:dyDescent="0.35">
      <c r="A529" t="s">
        <v>8520</v>
      </c>
      <c r="B529" s="3" t="s">
        <v>102</v>
      </c>
      <c r="F529">
        <v>5</v>
      </c>
      <c r="G529" t="s">
        <v>8607</v>
      </c>
      <c r="H529">
        <v>38</v>
      </c>
      <c r="I529" t="s">
        <v>9307</v>
      </c>
      <c r="J529" t="str">
        <f t="shared" si="8"/>
        <v>13F-HR-5.38.C12</v>
      </c>
      <c r="K529" s="5" t="s">
        <v>8646</v>
      </c>
      <c r="L529" t="s">
        <v>241</v>
      </c>
      <c r="M529" t="s">
        <v>8647</v>
      </c>
      <c r="N529" t="s">
        <v>8648</v>
      </c>
      <c r="Q529" s="28">
        <v>159</v>
      </c>
    </row>
    <row r="530" spans="1:17" x14ac:dyDescent="0.35">
      <c r="A530" t="s">
        <v>8520</v>
      </c>
      <c r="B530" s="3" t="s">
        <v>102</v>
      </c>
      <c r="F530">
        <v>5</v>
      </c>
      <c r="G530" t="s">
        <v>8607</v>
      </c>
      <c r="H530">
        <v>27</v>
      </c>
      <c r="I530" t="s">
        <v>9296</v>
      </c>
      <c r="J530" t="str">
        <f t="shared" si="8"/>
        <v>13F-HR-5.27.C1</v>
      </c>
      <c r="K530" s="5" t="s">
        <v>8608</v>
      </c>
      <c r="L530" t="s">
        <v>229</v>
      </c>
      <c r="M530" t="s">
        <v>8609</v>
      </c>
      <c r="N530" t="s">
        <v>8610</v>
      </c>
      <c r="Q530" s="28" t="s">
        <v>8725</v>
      </c>
    </row>
    <row r="531" spans="1:17" x14ac:dyDescent="0.35">
      <c r="A531" t="s">
        <v>8520</v>
      </c>
      <c r="B531" s="3" t="s">
        <v>102</v>
      </c>
      <c r="F531">
        <v>5</v>
      </c>
      <c r="G531" t="s">
        <v>8607</v>
      </c>
      <c r="H531">
        <v>28</v>
      </c>
      <c r="I531" t="s">
        <v>9297</v>
      </c>
      <c r="J531" t="str">
        <f t="shared" si="8"/>
        <v>13F-HR-5.28.C2</v>
      </c>
      <c r="K531" s="5" t="s">
        <v>8612</v>
      </c>
      <c r="L531" t="s">
        <v>229</v>
      </c>
      <c r="M531" t="s">
        <v>8613</v>
      </c>
      <c r="N531" t="s">
        <v>8614</v>
      </c>
      <c r="Q531" s="28" t="s">
        <v>8615</v>
      </c>
    </row>
    <row r="532" spans="1:17" x14ac:dyDescent="0.35">
      <c r="A532" t="s">
        <v>8520</v>
      </c>
      <c r="B532" s="3" t="s">
        <v>102</v>
      </c>
      <c r="F532">
        <v>5</v>
      </c>
      <c r="G532" t="s">
        <v>8607</v>
      </c>
      <c r="H532">
        <v>29</v>
      </c>
      <c r="I532" t="s">
        <v>9298</v>
      </c>
      <c r="J532" t="str">
        <f t="shared" si="8"/>
        <v>13F-HR-5.29.C3</v>
      </c>
      <c r="K532" s="5" t="s">
        <v>8616</v>
      </c>
      <c r="L532" t="s">
        <v>229</v>
      </c>
      <c r="M532" t="s">
        <v>7927</v>
      </c>
      <c r="N532" t="s">
        <v>8617</v>
      </c>
      <c r="Q532" s="28">
        <v>101137107</v>
      </c>
    </row>
    <row r="533" spans="1:17" x14ac:dyDescent="0.35">
      <c r="A533" t="s">
        <v>8520</v>
      </c>
      <c r="B533" s="3" t="s">
        <v>102</v>
      </c>
      <c r="F533">
        <v>5</v>
      </c>
      <c r="G533" t="s">
        <v>8607</v>
      </c>
      <c r="H533">
        <v>30</v>
      </c>
      <c r="I533" t="s">
        <v>9299</v>
      </c>
      <c r="J533" t="str">
        <f t="shared" si="8"/>
        <v>13F-HR-5.30.C4</v>
      </c>
      <c r="K533" s="5" t="s">
        <v>8618</v>
      </c>
      <c r="L533" t="s">
        <v>8619</v>
      </c>
      <c r="M533" t="s">
        <v>8620</v>
      </c>
      <c r="N533" t="s">
        <v>8621</v>
      </c>
      <c r="Q533" s="28">
        <v>17019566</v>
      </c>
    </row>
    <row r="534" spans="1:17" x14ac:dyDescent="0.35">
      <c r="A534" t="s">
        <v>8520</v>
      </c>
      <c r="B534" s="3" t="s">
        <v>102</v>
      </c>
      <c r="F534">
        <v>5</v>
      </c>
      <c r="G534" t="s">
        <v>8607</v>
      </c>
      <c r="H534">
        <v>31</v>
      </c>
      <c r="I534" t="s">
        <v>9300</v>
      </c>
      <c r="J534" t="str">
        <f t="shared" si="8"/>
        <v>13F-HR-5.31.C5</v>
      </c>
      <c r="K534" s="5" t="s">
        <v>8622</v>
      </c>
      <c r="L534" t="s">
        <v>241</v>
      </c>
      <c r="M534" t="s">
        <v>8623</v>
      </c>
      <c r="N534" t="s">
        <v>8624</v>
      </c>
      <c r="Q534" s="28">
        <v>168711</v>
      </c>
    </row>
    <row r="535" spans="1:17" x14ac:dyDescent="0.35">
      <c r="A535" t="s">
        <v>8520</v>
      </c>
      <c r="B535" s="3" t="s">
        <v>102</v>
      </c>
      <c r="F535">
        <v>5</v>
      </c>
      <c r="G535" t="s">
        <v>8607</v>
      </c>
      <c r="H535">
        <v>32</v>
      </c>
      <c r="I535" t="s">
        <v>9301</v>
      </c>
      <c r="J535" t="str">
        <f t="shared" si="8"/>
        <v>13F-HR-5.32.C6</v>
      </c>
      <c r="K535" s="5" t="s">
        <v>8625</v>
      </c>
      <c r="L535" t="s">
        <v>229</v>
      </c>
      <c r="M535" t="s">
        <v>8626</v>
      </c>
      <c r="N535" t="s">
        <v>8627</v>
      </c>
      <c r="Q535" s="28" t="s">
        <v>8628</v>
      </c>
    </row>
    <row r="536" spans="1:17" x14ac:dyDescent="0.35">
      <c r="A536" t="s">
        <v>8520</v>
      </c>
      <c r="B536" s="3" t="s">
        <v>102</v>
      </c>
      <c r="F536">
        <v>5</v>
      </c>
      <c r="G536" t="s">
        <v>8607</v>
      </c>
      <c r="H536">
        <v>33</v>
      </c>
      <c r="I536" t="s">
        <v>9302</v>
      </c>
      <c r="J536" t="str">
        <f t="shared" si="8"/>
        <v>13F-HR-5.33.C7</v>
      </c>
      <c r="K536" s="5" t="s">
        <v>8629</v>
      </c>
      <c r="L536" t="s">
        <v>229</v>
      </c>
      <c r="M536" t="s">
        <v>8630</v>
      </c>
      <c r="N536" t="s">
        <v>8631</v>
      </c>
      <c r="Q536" s="28" t="s">
        <v>8685</v>
      </c>
    </row>
    <row r="537" spans="1:17" x14ac:dyDescent="0.35">
      <c r="A537" t="s">
        <v>8520</v>
      </c>
      <c r="B537" s="3" t="s">
        <v>102</v>
      </c>
      <c r="F537">
        <v>5</v>
      </c>
      <c r="G537" t="s">
        <v>8607</v>
      </c>
      <c r="H537">
        <v>34</v>
      </c>
      <c r="I537" t="s">
        <v>9303</v>
      </c>
      <c r="J537" t="str">
        <f t="shared" si="8"/>
        <v>13F-HR-5.34.C8</v>
      </c>
      <c r="K537" s="5" t="s">
        <v>8633</v>
      </c>
      <c r="L537" t="s">
        <v>4735</v>
      </c>
      <c r="M537" t="s">
        <v>8634</v>
      </c>
      <c r="N537" t="s">
        <v>8635</v>
      </c>
      <c r="Q537" s="28" t="s">
        <v>8632</v>
      </c>
    </row>
    <row r="538" spans="1:17" x14ac:dyDescent="0.35">
      <c r="A538" t="s">
        <v>8651</v>
      </c>
      <c r="B538" s="3" t="s">
        <v>102</v>
      </c>
      <c r="F538">
        <v>5</v>
      </c>
      <c r="G538" t="s">
        <v>8607</v>
      </c>
      <c r="H538">
        <v>35</v>
      </c>
      <c r="I538" t="s">
        <v>9304</v>
      </c>
      <c r="J538" t="str">
        <f t="shared" si="8"/>
        <v>135-HR-5.35.C9</v>
      </c>
      <c r="K538" s="5" t="s">
        <v>8637</v>
      </c>
      <c r="L538" t="s">
        <v>229</v>
      </c>
      <c r="M538" t="s">
        <v>8638</v>
      </c>
      <c r="N538" t="s">
        <v>8639</v>
      </c>
      <c r="Q538" s="28" t="s">
        <v>8636</v>
      </c>
    </row>
    <row r="539" spans="1:17" x14ac:dyDescent="0.35">
      <c r="A539" t="s">
        <v>8520</v>
      </c>
      <c r="B539" s="3" t="s">
        <v>102</v>
      </c>
      <c r="F539">
        <v>5</v>
      </c>
      <c r="G539" t="s">
        <v>8607</v>
      </c>
      <c r="H539">
        <v>36</v>
      </c>
      <c r="I539" t="s">
        <v>9305</v>
      </c>
      <c r="J539" t="str">
        <f t="shared" si="8"/>
        <v>13F-HR-5.36.C10</v>
      </c>
      <c r="K539" s="5" t="s">
        <v>8640</v>
      </c>
      <c r="L539" t="s">
        <v>241</v>
      </c>
      <c r="M539" t="s">
        <v>8641</v>
      </c>
      <c r="N539" t="s">
        <v>8642</v>
      </c>
      <c r="Q539" s="28">
        <v>163479</v>
      </c>
    </row>
    <row r="540" spans="1:17" x14ac:dyDescent="0.35">
      <c r="A540" t="s">
        <v>8520</v>
      </c>
      <c r="B540" s="3" t="s">
        <v>102</v>
      </c>
      <c r="F540">
        <v>5</v>
      </c>
      <c r="G540" t="s">
        <v>8607</v>
      </c>
      <c r="H540">
        <v>37</v>
      </c>
      <c r="I540" t="s">
        <v>9306</v>
      </c>
      <c r="J540" t="str">
        <f t="shared" si="8"/>
        <v>13F-HR-5.37.C11</v>
      </c>
      <c r="K540" s="5" t="s">
        <v>8643</v>
      </c>
      <c r="L540" t="s">
        <v>241</v>
      </c>
      <c r="M540" t="s">
        <v>8644</v>
      </c>
      <c r="N540" t="s">
        <v>8645</v>
      </c>
      <c r="Q540" s="28">
        <v>0</v>
      </c>
    </row>
    <row r="541" spans="1:17" x14ac:dyDescent="0.35">
      <c r="A541" t="s">
        <v>8520</v>
      </c>
      <c r="B541" s="3" t="s">
        <v>102</v>
      </c>
      <c r="F541">
        <v>5</v>
      </c>
      <c r="G541" t="s">
        <v>8607</v>
      </c>
      <c r="H541">
        <v>38</v>
      </c>
      <c r="I541" t="s">
        <v>9307</v>
      </c>
      <c r="J541" t="str">
        <f t="shared" si="8"/>
        <v>13F-HR-5.38.C12</v>
      </c>
      <c r="K541" s="5" t="s">
        <v>8646</v>
      </c>
      <c r="L541" t="s">
        <v>241</v>
      </c>
      <c r="M541" t="s">
        <v>8647</v>
      </c>
      <c r="N541" t="s">
        <v>8648</v>
      </c>
      <c r="Q541" s="28">
        <v>5232</v>
      </c>
    </row>
    <row r="542" spans="1:17" x14ac:dyDescent="0.35">
      <c r="A542" t="s">
        <v>8520</v>
      </c>
      <c r="B542" s="3" t="s">
        <v>102</v>
      </c>
      <c r="F542">
        <v>5</v>
      </c>
      <c r="G542" t="s">
        <v>8607</v>
      </c>
      <c r="H542">
        <v>27</v>
      </c>
      <c r="I542" t="s">
        <v>9296</v>
      </c>
      <c r="J542" t="str">
        <f t="shared" si="8"/>
        <v>13F-HR-5.27.C1</v>
      </c>
      <c r="K542" s="5" t="s">
        <v>8608</v>
      </c>
      <c r="L542" t="s">
        <v>229</v>
      </c>
      <c r="M542" t="s">
        <v>8609</v>
      </c>
      <c r="N542" t="s">
        <v>8610</v>
      </c>
      <c r="Q542" s="28" t="s">
        <v>8726</v>
      </c>
    </row>
    <row r="543" spans="1:17" x14ac:dyDescent="0.35">
      <c r="A543" t="s">
        <v>8520</v>
      </c>
      <c r="B543" s="3" t="s">
        <v>102</v>
      </c>
      <c r="F543">
        <v>5</v>
      </c>
      <c r="G543" t="s">
        <v>8607</v>
      </c>
      <c r="H543">
        <v>28</v>
      </c>
      <c r="I543" t="s">
        <v>9297</v>
      </c>
      <c r="J543" t="str">
        <f t="shared" si="8"/>
        <v>13F-HR-5.28.C2</v>
      </c>
      <c r="K543" s="5" t="s">
        <v>8612</v>
      </c>
      <c r="L543" t="s">
        <v>229</v>
      </c>
      <c r="M543" t="s">
        <v>8613</v>
      </c>
      <c r="N543" t="s">
        <v>8614</v>
      </c>
      <c r="Q543" s="28" t="s">
        <v>8615</v>
      </c>
    </row>
    <row r="544" spans="1:17" x14ac:dyDescent="0.35">
      <c r="A544" t="s">
        <v>8520</v>
      </c>
      <c r="B544" s="3" t="s">
        <v>102</v>
      </c>
      <c r="F544">
        <v>5</v>
      </c>
      <c r="G544" t="s">
        <v>8607</v>
      </c>
      <c r="H544">
        <v>29</v>
      </c>
      <c r="I544" t="s">
        <v>9298</v>
      </c>
      <c r="J544" t="str">
        <f t="shared" si="8"/>
        <v>13F-HR-5.29.C3</v>
      </c>
      <c r="K544" s="5" t="s">
        <v>8616</v>
      </c>
      <c r="L544" t="s">
        <v>229</v>
      </c>
      <c r="M544" t="s">
        <v>7927</v>
      </c>
      <c r="N544" t="s">
        <v>8617</v>
      </c>
      <c r="Q544" s="28">
        <v>110122108</v>
      </c>
    </row>
    <row r="545" spans="1:17" x14ac:dyDescent="0.35">
      <c r="A545" t="s">
        <v>8520</v>
      </c>
      <c r="B545" s="3" t="s">
        <v>102</v>
      </c>
      <c r="F545">
        <v>5</v>
      </c>
      <c r="G545" t="s">
        <v>8607</v>
      </c>
      <c r="H545">
        <v>30</v>
      </c>
      <c r="I545" t="s">
        <v>9299</v>
      </c>
      <c r="J545" t="str">
        <f t="shared" si="8"/>
        <v>13F-HR-5.30.C4</v>
      </c>
      <c r="K545" s="5" t="s">
        <v>8618</v>
      </c>
      <c r="L545" t="s">
        <v>8619</v>
      </c>
      <c r="M545" t="s">
        <v>8620</v>
      </c>
      <c r="N545" t="s">
        <v>8621</v>
      </c>
      <c r="Q545" s="28">
        <v>40290665</v>
      </c>
    </row>
    <row r="546" spans="1:17" x14ac:dyDescent="0.35">
      <c r="A546" t="s">
        <v>8520</v>
      </c>
      <c r="B546" s="3" t="s">
        <v>102</v>
      </c>
      <c r="F546">
        <v>5</v>
      </c>
      <c r="G546" t="s">
        <v>8607</v>
      </c>
      <c r="H546">
        <v>31</v>
      </c>
      <c r="I546" t="s">
        <v>9300</v>
      </c>
      <c r="J546" t="str">
        <f t="shared" si="8"/>
        <v>13F-HR-5.31.C5</v>
      </c>
      <c r="K546" s="5" t="s">
        <v>8622</v>
      </c>
      <c r="L546" t="s">
        <v>241</v>
      </c>
      <c r="M546" t="s">
        <v>8623</v>
      </c>
      <c r="N546" t="s">
        <v>8624</v>
      </c>
      <c r="Q546" s="28">
        <v>660611</v>
      </c>
    </row>
    <row r="547" spans="1:17" x14ac:dyDescent="0.35">
      <c r="A547" t="s">
        <v>8520</v>
      </c>
      <c r="B547" s="3" t="s">
        <v>102</v>
      </c>
      <c r="F547">
        <v>5</v>
      </c>
      <c r="G547" t="s">
        <v>8607</v>
      </c>
      <c r="H547">
        <v>32</v>
      </c>
      <c r="I547" t="s">
        <v>9301</v>
      </c>
      <c r="J547" t="str">
        <f t="shared" si="8"/>
        <v>13F-HR-5.32.C6</v>
      </c>
      <c r="K547" s="5" t="s">
        <v>8625</v>
      </c>
      <c r="L547" t="s">
        <v>229</v>
      </c>
      <c r="M547" t="s">
        <v>8626</v>
      </c>
      <c r="N547" t="s">
        <v>8627</v>
      </c>
      <c r="Q547" s="28" t="s">
        <v>8628</v>
      </c>
    </row>
    <row r="548" spans="1:17" x14ac:dyDescent="0.35">
      <c r="A548" t="s">
        <v>8520</v>
      </c>
      <c r="B548" s="3" t="s">
        <v>102</v>
      </c>
      <c r="F548">
        <v>5</v>
      </c>
      <c r="G548" t="s">
        <v>8607</v>
      </c>
      <c r="H548">
        <v>33</v>
      </c>
      <c r="I548" t="s">
        <v>9302</v>
      </c>
      <c r="J548" t="str">
        <f t="shared" si="8"/>
        <v>13F-HR-5.33.C7</v>
      </c>
      <c r="K548" s="5" t="s">
        <v>8629</v>
      </c>
      <c r="L548" t="s">
        <v>229</v>
      </c>
      <c r="M548" t="s">
        <v>8630</v>
      </c>
      <c r="N548" t="s">
        <v>8631</v>
      </c>
      <c r="Q548" s="28" t="s">
        <v>8685</v>
      </c>
    </row>
    <row r="549" spans="1:17" x14ac:dyDescent="0.35">
      <c r="A549" t="s">
        <v>8520</v>
      </c>
      <c r="B549" s="3" t="s">
        <v>102</v>
      </c>
      <c r="F549">
        <v>5</v>
      </c>
      <c r="G549" t="s">
        <v>8607</v>
      </c>
      <c r="H549">
        <v>34</v>
      </c>
      <c r="I549" t="s">
        <v>9303</v>
      </c>
      <c r="J549" t="str">
        <f t="shared" si="8"/>
        <v>13F-HR-5.34.C8</v>
      </c>
      <c r="K549" s="5" t="s">
        <v>8633</v>
      </c>
      <c r="L549" t="s">
        <v>4735</v>
      </c>
      <c r="M549" t="s">
        <v>8634</v>
      </c>
      <c r="N549" t="s">
        <v>8635</v>
      </c>
      <c r="Q549" s="28" t="s">
        <v>8632</v>
      </c>
    </row>
    <row r="550" spans="1:17" x14ac:dyDescent="0.35">
      <c r="A550" t="s">
        <v>8651</v>
      </c>
      <c r="B550" s="3" t="s">
        <v>102</v>
      </c>
      <c r="F550">
        <v>5</v>
      </c>
      <c r="G550" t="s">
        <v>8607</v>
      </c>
      <c r="H550">
        <v>35</v>
      </c>
      <c r="I550" t="s">
        <v>9304</v>
      </c>
      <c r="J550" t="str">
        <f t="shared" si="8"/>
        <v>135-HR-5.35.C9</v>
      </c>
      <c r="K550" s="5" t="s">
        <v>8637</v>
      </c>
      <c r="L550" t="s">
        <v>229</v>
      </c>
      <c r="M550" t="s">
        <v>8638</v>
      </c>
      <c r="N550" t="s">
        <v>8639</v>
      </c>
      <c r="Q550" s="28" t="s">
        <v>8636</v>
      </c>
    </row>
    <row r="551" spans="1:17" x14ac:dyDescent="0.35">
      <c r="A551" t="s">
        <v>8520</v>
      </c>
      <c r="B551" s="3" t="s">
        <v>102</v>
      </c>
      <c r="F551">
        <v>5</v>
      </c>
      <c r="G551" t="s">
        <v>8607</v>
      </c>
      <c r="H551">
        <v>36</v>
      </c>
      <c r="I551" t="s">
        <v>9305</v>
      </c>
      <c r="J551" t="str">
        <f t="shared" si="8"/>
        <v>13F-HR-5.36.C10</v>
      </c>
      <c r="K551" s="5" t="s">
        <v>8640</v>
      </c>
      <c r="L551" t="s">
        <v>241</v>
      </c>
      <c r="M551" t="s">
        <v>8641</v>
      </c>
      <c r="N551" t="s">
        <v>8642</v>
      </c>
      <c r="Q551" s="28">
        <v>559426</v>
      </c>
    </row>
    <row r="552" spans="1:17" x14ac:dyDescent="0.35">
      <c r="A552" t="s">
        <v>8520</v>
      </c>
      <c r="B552" s="3" t="s">
        <v>102</v>
      </c>
      <c r="F552">
        <v>5</v>
      </c>
      <c r="G552" t="s">
        <v>8607</v>
      </c>
      <c r="H552">
        <v>37</v>
      </c>
      <c r="I552" t="s">
        <v>9306</v>
      </c>
      <c r="J552" t="str">
        <f t="shared" si="8"/>
        <v>13F-HR-5.37.C11</v>
      </c>
      <c r="K552" s="5" t="s">
        <v>8643</v>
      </c>
      <c r="L552" t="s">
        <v>241</v>
      </c>
      <c r="M552" t="s">
        <v>8644</v>
      </c>
      <c r="N552" t="s">
        <v>8645</v>
      </c>
      <c r="Q552" s="28">
        <v>0</v>
      </c>
    </row>
    <row r="553" spans="1:17" x14ac:dyDescent="0.35">
      <c r="A553" t="s">
        <v>8520</v>
      </c>
      <c r="B553" s="3" t="s">
        <v>102</v>
      </c>
      <c r="F553">
        <v>5</v>
      </c>
      <c r="G553" t="s">
        <v>8607</v>
      </c>
      <c r="H553">
        <v>38</v>
      </c>
      <c r="I553" t="s">
        <v>9307</v>
      </c>
      <c r="J553" t="str">
        <f t="shared" si="8"/>
        <v>13F-HR-5.38.C12</v>
      </c>
      <c r="K553" s="5" t="s">
        <v>8646</v>
      </c>
      <c r="L553" t="s">
        <v>241</v>
      </c>
      <c r="M553" t="s">
        <v>8647</v>
      </c>
      <c r="N553" t="s">
        <v>8648</v>
      </c>
      <c r="Q553" s="28">
        <v>101185</v>
      </c>
    </row>
    <row r="554" spans="1:17" x14ac:dyDescent="0.35">
      <c r="A554" t="s">
        <v>8520</v>
      </c>
      <c r="B554" s="3" t="s">
        <v>102</v>
      </c>
      <c r="F554">
        <v>5</v>
      </c>
      <c r="G554" t="s">
        <v>8607</v>
      </c>
      <c r="H554">
        <v>27</v>
      </c>
      <c r="I554" t="s">
        <v>9296</v>
      </c>
      <c r="J554" t="str">
        <f t="shared" si="8"/>
        <v>13F-HR-5.27.C1</v>
      </c>
      <c r="K554" s="5" t="s">
        <v>8608</v>
      </c>
      <c r="L554" t="s">
        <v>229</v>
      </c>
      <c r="M554" t="s">
        <v>8609</v>
      </c>
      <c r="N554" t="s">
        <v>8610</v>
      </c>
      <c r="Q554" s="28" t="s">
        <v>8727</v>
      </c>
    </row>
    <row r="555" spans="1:17" x14ac:dyDescent="0.35">
      <c r="A555" t="s">
        <v>8520</v>
      </c>
      <c r="B555" s="3" t="s">
        <v>102</v>
      </c>
      <c r="F555">
        <v>5</v>
      </c>
      <c r="G555" t="s">
        <v>8607</v>
      </c>
      <c r="H555">
        <v>28</v>
      </c>
      <c r="I555" t="s">
        <v>9297</v>
      </c>
      <c r="J555" t="str">
        <f t="shared" si="8"/>
        <v>13F-HR-5.28.C2</v>
      </c>
      <c r="K555" s="5" t="s">
        <v>8612</v>
      </c>
      <c r="L555" t="s">
        <v>229</v>
      </c>
      <c r="M555" t="s">
        <v>8613</v>
      </c>
      <c r="N555" t="s">
        <v>8614</v>
      </c>
      <c r="Q555" s="28" t="s">
        <v>8702</v>
      </c>
    </row>
    <row r="556" spans="1:17" x14ac:dyDescent="0.35">
      <c r="A556" t="s">
        <v>8520</v>
      </c>
      <c r="B556" s="3" t="s">
        <v>102</v>
      </c>
      <c r="F556">
        <v>5</v>
      </c>
      <c r="G556" t="s">
        <v>8607</v>
      </c>
      <c r="H556">
        <v>29</v>
      </c>
      <c r="I556" t="s">
        <v>9298</v>
      </c>
      <c r="J556" t="str">
        <f t="shared" si="8"/>
        <v>13F-HR-5.29.C3</v>
      </c>
      <c r="K556" s="5" t="s">
        <v>8616</v>
      </c>
      <c r="L556" t="s">
        <v>229</v>
      </c>
      <c r="M556" t="s">
        <v>7927</v>
      </c>
      <c r="N556" t="s">
        <v>8617</v>
      </c>
      <c r="Q556" s="28">
        <v>110448107</v>
      </c>
    </row>
    <row r="557" spans="1:17" x14ac:dyDescent="0.35">
      <c r="A557" t="s">
        <v>8520</v>
      </c>
      <c r="B557" s="3" t="s">
        <v>102</v>
      </c>
      <c r="F557">
        <v>5</v>
      </c>
      <c r="G557" t="s">
        <v>8607</v>
      </c>
      <c r="H557">
        <v>30</v>
      </c>
      <c r="I557" t="s">
        <v>9299</v>
      </c>
      <c r="J557" t="str">
        <f t="shared" si="8"/>
        <v>13F-HR-5.30.C4</v>
      </c>
      <c r="K557" s="5" t="s">
        <v>8618</v>
      </c>
      <c r="L557" t="s">
        <v>8619</v>
      </c>
      <c r="M557" t="s">
        <v>8620</v>
      </c>
      <c r="N557" t="s">
        <v>8621</v>
      </c>
      <c r="Q557" s="28">
        <v>18707845</v>
      </c>
    </row>
    <row r="558" spans="1:17" x14ac:dyDescent="0.35">
      <c r="A558" t="s">
        <v>8520</v>
      </c>
      <c r="B558" s="3" t="s">
        <v>102</v>
      </c>
      <c r="F558">
        <v>5</v>
      </c>
      <c r="G558" t="s">
        <v>8607</v>
      </c>
      <c r="H558">
        <v>31</v>
      </c>
      <c r="I558" t="s">
        <v>9300</v>
      </c>
      <c r="J558" t="str">
        <f t="shared" si="8"/>
        <v>13F-HR-5.31.C5</v>
      </c>
      <c r="K558" s="5" t="s">
        <v>8622</v>
      </c>
      <c r="L558" t="s">
        <v>241</v>
      </c>
      <c r="M558" t="s">
        <v>8623</v>
      </c>
      <c r="N558" t="s">
        <v>8624</v>
      </c>
      <c r="Q558" s="28">
        <v>452208</v>
      </c>
    </row>
    <row r="559" spans="1:17" x14ac:dyDescent="0.35">
      <c r="A559" t="s">
        <v>8520</v>
      </c>
      <c r="B559" s="3" t="s">
        <v>102</v>
      </c>
      <c r="F559">
        <v>5</v>
      </c>
      <c r="G559" t="s">
        <v>8607</v>
      </c>
      <c r="H559">
        <v>32</v>
      </c>
      <c r="I559" t="s">
        <v>9301</v>
      </c>
      <c r="J559" t="str">
        <f t="shared" si="8"/>
        <v>13F-HR-5.32.C6</v>
      </c>
      <c r="K559" s="5" t="s">
        <v>8625</v>
      </c>
      <c r="L559" t="s">
        <v>229</v>
      </c>
      <c r="M559" t="s">
        <v>8626</v>
      </c>
      <c r="N559" t="s">
        <v>8627</v>
      </c>
      <c r="Q559" s="28" t="s">
        <v>8628</v>
      </c>
    </row>
    <row r="560" spans="1:17" x14ac:dyDescent="0.35">
      <c r="A560" t="s">
        <v>8520</v>
      </c>
      <c r="B560" s="3" t="s">
        <v>102</v>
      </c>
      <c r="F560">
        <v>5</v>
      </c>
      <c r="G560" t="s">
        <v>8607</v>
      </c>
      <c r="H560">
        <v>33</v>
      </c>
      <c r="I560" t="s">
        <v>9302</v>
      </c>
      <c r="J560" t="str">
        <f t="shared" si="8"/>
        <v>13F-HR-5.33.C7</v>
      </c>
      <c r="K560" s="5" t="s">
        <v>8629</v>
      </c>
      <c r="L560" t="s">
        <v>229</v>
      </c>
      <c r="M560" t="s">
        <v>8630</v>
      </c>
      <c r="N560" t="s">
        <v>8631</v>
      </c>
      <c r="Q560" s="28" t="s">
        <v>8685</v>
      </c>
    </row>
    <row r="561" spans="1:17" x14ac:dyDescent="0.35">
      <c r="A561" t="s">
        <v>8520</v>
      </c>
      <c r="B561" s="3" t="s">
        <v>102</v>
      </c>
      <c r="F561">
        <v>5</v>
      </c>
      <c r="G561" t="s">
        <v>8607</v>
      </c>
      <c r="H561">
        <v>34</v>
      </c>
      <c r="I561" t="s">
        <v>9303</v>
      </c>
      <c r="J561" t="str">
        <f t="shared" si="8"/>
        <v>13F-HR-5.34.C8</v>
      </c>
      <c r="K561" s="5" t="s">
        <v>8633</v>
      </c>
      <c r="L561" t="s">
        <v>4735</v>
      </c>
      <c r="M561" t="s">
        <v>8634</v>
      </c>
      <c r="N561" t="s">
        <v>8635</v>
      </c>
      <c r="Q561" s="28" t="s">
        <v>8632</v>
      </c>
    </row>
    <row r="562" spans="1:17" x14ac:dyDescent="0.35">
      <c r="A562" t="s">
        <v>8651</v>
      </c>
      <c r="B562" s="3" t="s">
        <v>102</v>
      </c>
      <c r="F562">
        <v>5</v>
      </c>
      <c r="G562" t="s">
        <v>8607</v>
      </c>
      <c r="H562">
        <v>35</v>
      </c>
      <c r="I562" t="s">
        <v>9304</v>
      </c>
      <c r="J562" t="str">
        <f t="shared" si="8"/>
        <v>135-HR-5.35.C9</v>
      </c>
      <c r="K562" s="5" t="s">
        <v>8637</v>
      </c>
      <c r="L562" t="s">
        <v>229</v>
      </c>
      <c r="M562" t="s">
        <v>8638</v>
      </c>
      <c r="N562" t="s">
        <v>8639</v>
      </c>
      <c r="Q562" s="28" t="s">
        <v>8636</v>
      </c>
    </row>
    <row r="563" spans="1:17" x14ac:dyDescent="0.35">
      <c r="A563" t="s">
        <v>8520</v>
      </c>
      <c r="B563" s="3" t="s">
        <v>102</v>
      </c>
      <c r="F563">
        <v>5</v>
      </c>
      <c r="G563" t="s">
        <v>8607</v>
      </c>
      <c r="H563">
        <v>36</v>
      </c>
      <c r="I563" t="s">
        <v>9305</v>
      </c>
      <c r="J563" t="str">
        <f t="shared" si="8"/>
        <v>13F-HR-5.36.C10</v>
      </c>
      <c r="K563" s="5" t="s">
        <v>8640</v>
      </c>
      <c r="L563" t="s">
        <v>241</v>
      </c>
      <c r="M563" t="s">
        <v>8641</v>
      </c>
      <c r="N563" t="s">
        <v>8642</v>
      </c>
      <c r="Q563" s="28">
        <v>0</v>
      </c>
    </row>
    <row r="564" spans="1:17" x14ac:dyDescent="0.35">
      <c r="A564" t="s">
        <v>8520</v>
      </c>
      <c r="B564" s="3" t="s">
        <v>102</v>
      </c>
      <c r="F564">
        <v>5</v>
      </c>
      <c r="G564" t="s">
        <v>8607</v>
      </c>
      <c r="H564">
        <v>37</v>
      </c>
      <c r="I564" t="s">
        <v>9306</v>
      </c>
      <c r="J564" t="str">
        <f t="shared" si="8"/>
        <v>13F-HR-5.37.C11</v>
      </c>
      <c r="K564" s="5" t="s">
        <v>8643</v>
      </c>
      <c r="L564" t="s">
        <v>241</v>
      </c>
      <c r="M564" t="s">
        <v>8644</v>
      </c>
      <c r="N564" t="s">
        <v>8645</v>
      </c>
      <c r="Q564" s="28">
        <v>0</v>
      </c>
    </row>
    <row r="565" spans="1:17" x14ac:dyDescent="0.35">
      <c r="A565" t="s">
        <v>8520</v>
      </c>
      <c r="B565" s="3" t="s">
        <v>102</v>
      </c>
      <c r="F565">
        <v>5</v>
      </c>
      <c r="G565" t="s">
        <v>8607</v>
      </c>
      <c r="H565">
        <v>38</v>
      </c>
      <c r="I565" t="s">
        <v>9307</v>
      </c>
      <c r="J565" t="str">
        <f t="shared" si="8"/>
        <v>13F-HR-5.38.C12</v>
      </c>
      <c r="K565" s="5" t="s">
        <v>8646</v>
      </c>
      <c r="L565" t="s">
        <v>241</v>
      </c>
      <c r="M565" t="s">
        <v>8647</v>
      </c>
      <c r="N565" t="s">
        <v>8648</v>
      </c>
      <c r="Q565" s="28">
        <v>452208</v>
      </c>
    </row>
    <row r="566" spans="1:17" x14ac:dyDescent="0.35">
      <c r="A566" t="s">
        <v>8520</v>
      </c>
      <c r="B566" s="3" t="s">
        <v>102</v>
      </c>
      <c r="F566">
        <v>5</v>
      </c>
      <c r="G566" t="s">
        <v>8607</v>
      </c>
      <c r="H566">
        <v>27</v>
      </c>
      <c r="I566" t="s">
        <v>9296</v>
      </c>
      <c r="J566" t="str">
        <f t="shared" si="8"/>
        <v>13F-HR-5.27.C1</v>
      </c>
      <c r="K566" s="5" t="s">
        <v>8608</v>
      </c>
      <c r="L566" t="s">
        <v>229</v>
      </c>
      <c r="M566" t="s">
        <v>8609</v>
      </c>
      <c r="N566" t="s">
        <v>8610</v>
      </c>
      <c r="Q566" s="28" t="s">
        <v>8728</v>
      </c>
    </row>
    <row r="567" spans="1:17" x14ac:dyDescent="0.35">
      <c r="A567" t="s">
        <v>8520</v>
      </c>
      <c r="B567" s="3" t="s">
        <v>102</v>
      </c>
      <c r="F567">
        <v>5</v>
      </c>
      <c r="G567" t="s">
        <v>8607</v>
      </c>
      <c r="H567">
        <v>28</v>
      </c>
      <c r="I567" t="s">
        <v>9297</v>
      </c>
      <c r="J567" t="str">
        <f t="shared" si="8"/>
        <v>13F-HR-5.28.C2</v>
      </c>
      <c r="K567" s="5" t="s">
        <v>8612</v>
      </c>
      <c r="L567" t="s">
        <v>229</v>
      </c>
      <c r="M567" t="s">
        <v>8613</v>
      </c>
      <c r="N567" t="s">
        <v>8614</v>
      </c>
      <c r="Q567" s="28" t="s">
        <v>8615</v>
      </c>
    </row>
    <row r="568" spans="1:17" x14ac:dyDescent="0.35">
      <c r="A568" t="s">
        <v>8520</v>
      </c>
      <c r="B568" s="3" t="s">
        <v>102</v>
      </c>
      <c r="F568">
        <v>5</v>
      </c>
      <c r="G568" t="s">
        <v>8607</v>
      </c>
      <c r="H568">
        <v>29</v>
      </c>
      <c r="I568" t="s">
        <v>9298</v>
      </c>
      <c r="J568" t="str">
        <f t="shared" si="8"/>
        <v>13F-HR-5.29.C3</v>
      </c>
      <c r="K568" s="5" t="s">
        <v>8616</v>
      </c>
      <c r="L568" t="s">
        <v>229</v>
      </c>
      <c r="M568" t="s">
        <v>7927</v>
      </c>
      <c r="N568" t="s">
        <v>8617</v>
      </c>
      <c r="Q568" s="28" t="s">
        <v>8729</v>
      </c>
    </row>
    <row r="569" spans="1:17" x14ac:dyDescent="0.35">
      <c r="A569" t="s">
        <v>8520</v>
      </c>
      <c r="B569" s="3" t="s">
        <v>102</v>
      </c>
      <c r="F569">
        <v>5</v>
      </c>
      <c r="G569" t="s">
        <v>8607</v>
      </c>
      <c r="H569">
        <v>30</v>
      </c>
      <c r="I569" t="s">
        <v>9299</v>
      </c>
      <c r="J569" t="str">
        <f t="shared" si="8"/>
        <v>13F-HR-5.30.C4</v>
      </c>
      <c r="K569" s="5" t="s">
        <v>8618</v>
      </c>
      <c r="L569" t="s">
        <v>8619</v>
      </c>
      <c r="M569" t="s">
        <v>8620</v>
      </c>
      <c r="N569" t="s">
        <v>8621</v>
      </c>
      <c r="Q569" s="28">
        <v>1079674</v>
      </c>
    </row>
    <row r="570" spans="1:17" x14ac:dyDescent="0.35">
      <c r="A570" t="s">
        <v>8520</v>
      </c>
      <c r="B570" s="3" t="s">
        <v>102</v>
      </c>
      <c r="F570">
        <v>5</v>
      </c>
      <c r="G570" t="s">
        <v>8607</v>
      </c>
      <c r="H570">
        <v>31</v>
      </c>
      <c r="I570" t="s">
        <v>9300</v>
      </c>
      <c r="J570" t="str">
        <f t="shared" si="8"/>
        <v>13F-HR-5.31.C5</v>
      </c>
      <c r="K570" s="5" t="s">
        <v>8622</v>
      </c>
      <c r="L570" t="s">
        <v>241</v>
      </c>
      <c r="M570" t="s">
        <v>8623</v>
      </c>
      <c r="N570" t="s">
        <v>8624</v>
      </c>
      <c r="Q570" s="28">
        <v>4453</v>
      </c>
    </row>
    <row r="571" spans="1:17" x14ac:dyDescent="0.35">
      <c r="A571" t="s">
        <v>8520</v>
      </c>
      <c r="B571" s="3" t="s">
        <v>102</v>
      </c>
      <c r="F571">
        <v>5</v>
      </c>
      <c r="G571" t="s">
        <v>8607</v>
      </c>
      <c r="H571">
        <v>32</v>
      </c>
      <c r="I571" t="s">
        <v>9301</v>
      </c>
      <c r="J571" t="str">
        <f t="shared" si="8"/>
        <v>13F-HR-5.32.C6</v>
      </c>
      <c r="K571" s="5" t="s">
        <v>8625</v>
      </c>
      <c r="L571" t="s">
        <v>229</v>
      </c>
      <c r="M571" t="s">
        <v>8626</v>
      </c>
      <c r="N571" t="s">
        <v>8627</v>
      </c>
      <c r="Q571" s="28" t="s">
        <v>8628</v>
      </c>
    </row>
    <row r="572" spans="1:17" x14ac:dyDescent="0.35">
      <c r="A572" t="s">
        <v>8520</v>
      </c>
      <c r="B572" s="3" t="s">
        <v>102</v>
      </c>
      <c r="F572">
        <v>5</v>
      </c>
      <c r="G572" t="s">
        <v>8607</v>
      </c>
      <c r="H572">
        <v>33</v>
      </c>
      <c r="I572" t="s">
        <v>9302</v>
      </c>
      <c r="J572" t="str">
        <f t="shared" si="8"/>
        <v>13F-HR-5.33.C7</v>
      </c>
      <c r="K572" s="5" t="s">
        <v>8629</v>
      </c>
      <c r="L572" t="s">
        <v>229</v>
      </c>
      <c r="M572" t="s">
        <v>8630</v>
      </c>
      <c r="N572" t="s">
        <v>8631</v>
      </c>
      <c r="Q572" s="28" t="s">
        <v>8685</v>
      </c>
    </row>
    <row r="573" spans="1:17" x14ac:dyDescent="0.35">
      <c r="A573" t="s">
        <v>8520</v>
      </c>
      <c r="B573" s="3" t="s">
        <v>102</v>
      </c>
      <c r="F573">
        <v>5</v>
      </c>
      <c r="G573" t="s">
        <v>8607</v>
      </c>
      <c r="H573">
        <v>34</v>
      </c>
      <c r="I573" t="s">
        <v>9303</v>
      </c>
      <c r="J573" t="str">
        <f t="shared" si="8"/>
        <v>13F-HR-5.34.C8</v>
      </c>
      <c r="K573" s="5" t="s">
        <v>8633</v>
      </c>
      <c r="L573" t="s">
        <v>4735</v>
      </c>
      <c r="M573" t="s">
        <v>8634</v>
      </c>
      <c r="N573" t="s">
        <v>8635</v>
      </c>
      <c r="Q573" s="28" t="s">
        <v>8632</v>
      </c>
    </row>
    <row r="574" spans="1:17" x14ac:dyDescent="0.35">
      <c r="A574" t="s">
        <v>8651</v>
      </c>
      <c r="B574" s="3" t="s">
        <v>102</v>
      </c>
      <c r="F574">
        <v>5</v>
      </c>
      <c r="G574" t="s">
        <v>8607</v>
      </c>
      <c r="H574">
        <v>35</v>
      </c>
      <c r="I574" t="s">
        <v>9304</v>
      </c>
      <c r="J574" t="str">
        <f t="shared" si="8"/>
        <v>135-HR-5.35.C9</v>
      </c>
      <c r="K574" s="5" t="s">
        <v>8637</v>
      </c>
      <c r="L574" t="s">
        <v>229</v>
      </c>
      <c r="M574" t="s">
        <v>8638</v>
      </c>
      <c r="N574" t="s">
        <v>8639</v>
      </c>
      <c r="Q574" s="28" t="s">
        <v>8636</v>
      </c>
    </row>
    <row r="575" spans="1:17" x14ac:dyDescent="0.35">
      <c r="A575" t="s">
        <v>8520</v>
      </c>
      <c r="B575" s="3" t="s">
        <v>102</v>
      </c>
      <c r="F575">
        <v>5</v>
      </c>
      <c r="G575" t="s">
        <v>8607</v>
      </c>
      <c r="H575">
        <v>36</v>
      </c>
      <c r="I575" t="s">
        <v>9305</v>
      </c>
      <c r="J575" t="str">
        <f t="shared" si="8"/>
        <v>13F-HR-5.36.C10</v>
      </c>
      <c r="K575" s="5" t="s">
        <v>8640</v>
      </c>
      <c r="L575" t="s">
        <v>241</v>
      </c>
      <c r="M575" t="s">
        <v>8641</v>
      </c>
      <c r="N575" t="s">
        <v>8642</v>
      </c>
      <c r="Q575" s="28">
        <v>4453</v>
      </c>
    </row>
    <row r="576" spans="1:17" x14ac:dyDescent="0.35">
      <c r="A576" t="s">
        <v>8520</v>
      </c>
      <c r="B576" s="3" t="s">
        <v>102</v>
      </c>
      <c r="F576">
        <v>5</v>
      </c>
      <c r="G576" t="s">
        <v>8607</v>
      </c>
      <c r="H576">
        <v>37</v>
      </c>
      <c r="I576" t="s">
        <v>9306</v>
      </c>
      <c r="J576" t="str">
        <f t="shared" si="8"/>
        <v>13F-HR-5.37.C11</v>
      </c>
      <c r="K576" s="5" t="s">
        <v>8643</v>
      </c>
      <c r="L576" t="s">
        <v>241</v>
      </c>
      <c r="M576" t="s">
        <v>8644</v>
      </c>
      <c r="N576" t="s">
        <v>8645</v>
      </c>
      <c r="Q576" s="28">
        <v>0</v>
      </c>
    </row>
    <row r="577" spans="1:17" x14ac:dyDescent="0.35">
      <c r="A577" t="s">
        <v>8520</v>
      </c>
      <c r="B577" s="3" t="s">
        <v>102</v>
      </c>
      <c r="F577">
        <v>5</v>
      </c>
      <c r="G577" t="s">
        <v>8607</v>
      </c>
      <c r="H577">
        <v>38</v>
      </c>
      <c r="I577" t="s">
        <v>9307</v>
      </c>
      <c r="J577" t="str">
        <f t="shared" si="8"/>
        <v>13F-HR-5.38.C12</v>
      </c>
      <c r="K577" s="5" t="s">
        <v>8646</v>
      </c>
      <c r="L577" t="s">
        <v>241</v>
      </c>
      <c r="M577" t="s">
        <v>8647</v>
      </c>
      <c r="N577" t="s">
        <v>8648</v>
      </c>
      <c r="Q577" s="28">
        <v>0</v>
      </c>
    </row>
    <row r="578" spans="1:17" x14ac:dyDescent="0.35">
      <c r="A578" t="s">
        <v>8520</v>
      </c>
      <c r="B578" s="3" t="s">
        <v>102</v>
      </c>
      <c r="F578">
        <v>5</v>
      </c>
      <c r="G578" t="s">
        <v>8607</v>
      </c>
      <c r="H578">
        <v>27</v>
      </c>
      <c r="I578" t="s">
        <v>9296</v>
      </c>
      <c r="J578" t="str">
        <f t="shared" si="8"/>
        <v>13F-HR-5.27.C1</v>
      </c>
      <c r="K578" s="5" t="s">
        <v>8608</v>
      </c>
      <c r="L578" t="s">
        <v>229</v>
      </c>
      <c r="M578" t="s">
        <v>8609</v>
      </c>
      <c r="N578" t="s">
        <v>8610</v>
      </c>
      <c r="Q578" s="28" t="s">
        <v>8730</v>
      </c>
    </row>
    <row r="579" spans="1:17" x14ac:dyDescent="0.35">
      <c r="A579" t="s">
        <v>8520</v>
      </c>
      <c r="B579" s="3" t="s">
        <v>102</v>
      </c>
      <c r="F579">
        <v>5</v>
      </c>
      <c r="G579" t="s">
        <v>8607</v>
      </c>
      <c r="H579">
        <v>28</v>
      </c>
      <c r="I579" t="s">
        <v>9297</v>
      </c>
      <c r="J579" t="str">
        <f t="shared" ref="J579:J642" si="9">_xlfn.CONCAT(A579,"-",F579,".",H579,".",I579)</f>
        <v>13F-HR-5.28.C2</v>
      </c>
      <c r="K579" s="5" t="s">
        <v>8612</v>
      </c>
      <c r="L579" t="s">
        <v>229</v>
      </c>
      <c r="M579" t="s">
        <v>8613</v>
      </c>
      <c r="N579" t="s">
        <v>8614</v>
      </c>
      <c r="Q579" s="28" t="s">
        <v>8615</v>
      </c>
    </row>
    <row r="580" spans="1:17" x14ac:dyDescent="0.35">
      <c r="A580" t="s">
        <v>8520</v>
      </c>
      <c r="B580" s="3" t="s">
        <v>102</v>
      </c>
      <c r="F580">
        <v>5</v>
      </c>
      <c r="G580" t="s">
        <v>8607</v>
      </c>
      <c r="H580">
        <v>29</v>
      </c>
      <c r="I580" t="s">
        <v>9298</v>
      </c>
      <c r="J580" t="str">
        <f t="shared" si="9"/>
        <v>13F-HR-5.29.C3</v>
      </c>
      <c r="K580" s="5" t="s">
        <v>8616</v>
      </c>
      <c r="L580" t="s">
        <v>229</v>
      </c>
      <c r="M580" t="s">
        <v>7927</v>
      </c>
      <c r="N580" t="s">
        <v>8617</v>
      </c>
      <c r="Q580" s="28" t="s">
        <v>8731</v>
      </c>
    </row>
    <row r="581" spans="1:17" x14ac:dyDescent="0.35">
      <c r="A581" t="s">
        <v>8520</v>
      </c>
      <c r="B581" s="3" t="s">
        <v>102</v>
      </c>
      <c r="F581">
        <v>5</v>
      </c>
      <c r="G581" t="s">
        <v>8607</v>
      </c>
      <c r="H581">
        <v>30</v>
      </c>
      <c r="I581" t="s">
        <v>9299</v>
      </c>
      <c r="J581" t="str">
        <f t="shared" si="9"/>
        <v>13F-HR-5.30.C4</v>
      </c>
      <c r="K581" s="5" t="s">
        <v>8618</v>
      </c>
      <c r="L581" t="s">
        <v>8619</v>
      </c>
      <c r="M581" t="s">
        <v>8620</v>
      </c>
      <c r="N581" t="s">
        <v>8621</v>
      </c>
      <c r="Q581" s="28">
        <v>343673683</v>
      </c>
    </row>
    <row r="582" spans="1:17" x14ac:dyDescent="0.35">
      <c r="A582" t="s">
        <v>8520</v>
      </c>
      <c r="B582" s="3" t="s">
        <v>102</v>
      </c>
      <c r="F582">
        <v>5</v>
      </c>
      <c r="G582" t="s">
        <v>8607</v>
      </c>
      <c r="H582">
        <v>31</v>
      </c>
      <c r="I582" t="s">
        <v>9300</v>
      </c>
      <c r="J582" t="str">
        <f t="shared" si="9"/>
        <v>13F-HR-5.31.C5</v>
      </c>
      <c r="K582" s="5" t="s">
        <v>8622</v>
      </c>
      <c r="L582" t="s">
        <v>241</v>
      </c>
      <c r="M582" t="s">
        <v>8623</v>
      </c>
      <c r="N582" t="s">
        <v>8624</v>
      </c>
      <c r="Q582" s="28">
        <v>2052641</v>
      </c>
    </row>
    <row r="583" spans="1:17" x14ac:dyDescent="0.35">
      <c r="A583" t="s">
        <v>8520</v>
      </c>
      <c r="B583" s="3" t="s">
        <v>102</v>
      </c>
      <c r="F583">
        <v>5</v>
      </c>
      <c r="G583" t="s">
        <v>8607</v>
      </c>
      <c r="H583">
        <v>32</v>
      </c>
      <c r="I583" t="s">
        <v>9301</v>
      </c>
      <c r="J583" t="str">
        <f t="shared" si="9"/>
        <v>13F-HR-5.32.C6</v>
      </c>
      <c r="K583" s="5" t="s">
        <v>8625</v>
      </c>
      <c r="L583" t="s">
        <v>229</v>
      </c>
      <c r="M583" t="s">
        <v>8626</v>
      </c>
      <c r="N583" t="s">
        <v>8627</v>
      </c>
      <c r="Q583" s="28" t="s">
        <v>8628</v>
      </c>
    </row>
    <row r="584" spans="1:17" x14ac:dyDescent="0.35">
      <c r="A584" t="s">
        <v>8520</v>
      </c>
      <c r="B584" s="3" t="s">
        <v>102</v>
      </c>
      <c r="F584">
        <v>5</v>
      </c>
      <c r="G584" t="s">
        <v>8607</v>
      </c>
      <c r="H584">
        <v>33</v>
      </c>
      <c r="I584" t="s">
        <v>9302</v>
      </c>
      <c r="J584" t="str">
        <f t="shared" si="9"/>
        <v>13F-HR-5.33.C7</v>
      </c>
      <c r="K584" s="5" t="s">
        <v>8629</v>
      </c>
      <c r="L584" t="s">
        <v>229</v>
      </c>
      <c r="M584" t="s">
        <v>8630</v>
      </c>
      <c r="N584" t="s">
        <v>8631</v>
      </c>
      <c r="Q584" s="28" t="s">
        <v>8685</v>
      </c>
    </row>
    <row r="585" spans="1:17" x14ac:dyDescent="0.35">
      <c r="A585" t="s">
        <v>8520</v>
      </c>
      <c r="B585" s="3" t="s">
        <v>102</v>
      </c>
      <c r="F585">
        <v>5</v>
      </c>
      <c r="G585" t="s">
        <v>8607</v>
      </c>
      <c r="H585">
        <v>34</v>
      </c>
      <c r="I585" t="s">
        <v>9303</v>
      </c>
      <c r="J585" t="str">
        <f t="shared" si="9"/>
        <v>13F-HR-5.34.C8</v>
      </c>
      <c r="K585" s="5" t="s">
        <v>8633</v>
      </c>
      <c r="L585" t="s">
        <v>4735</v>
      </c>
      <c r="M585" t="s">
        <v>8634</v>
      </c>
      <c r="N585" t="s">
        <v>8635</v>
      </c>
      <c r="Q585" s="28" t="s">
        <v>8632</v>
      </c>
    </row>
    <row r="586" spans="1:17" x14ac:dyDescent="0.35">
      <c r="A586" t="s">
        <v>8651</v>
      </c>
      <c r="B586" s="3" t="s">
        <v>102</v>
      </c>
      <c r="F586">
        <v>5</v>
      </c>
      <c r="G586" t="s">
        <v>8607</v>
      </c>
      <c r="H586">
        <v>35</v>
      </c>
      <c r="I586" t="s">
        <v>9304</v>
      </c>
      <c r="J586" t="str">
        <f t="shared" si="9"/>
        <v>135-HR-5.35.C9</v>
      </c>
      <c r="K586" s="5" t="s">
        <v>8637</v>
      </c>
      <c r="L586" t="s">
        <v>229</v>
      </c>
      <c r="M586" t="s">
        <v>8638</v>
      </c>
      <c r="N586" t="s">
        <v>8639</v>
      </c>
      <c r="Q586" s="28" t="s">
        <v>8636</v>
      </c>
    </row>
    <row r="587" spans="1:17" x14ac:dyDescent="0.35">
      <c r="A587" t="s">
        <v>8520</v>
      </c>
      <c r="B587" s="3" t="s">
        <v>102</v>
      </c>
      <c r="F587">
        <v>5</v>
      </c>
      <c r="G587" t="s">
        <v>8607</v>
      </c>
      <c r="H587">
        <v>36</v>
      </c>
      <c r="I587" t="s">
        <v>9305</v>
      </c>
      <c r="J587" t="str">
        <f t="shared" si="9"/>
        <v>13F-HR-5.36.C10</v>
      </c>
      <c r="K587" s="5" t="s">
        <v>8640</v>
      </c>
      <c r="L587" t="s">
        <v>241</v>
      </c>
      <c r="M587" t="s">
        <v>8641</v>
      </c>
      <c r="N587" t="s">
        <v>8642</v>
      </c>
      <c r="Q587" s="28">
        <v>1225847</v>
      </c>
    </row>
    <row r="588" spans="1:17" x14ac:dyDescent="0.35">
      <c r="A588" t="s">
        <v>8520</v>
      </c>
      <c r="B588" s="3" t="s">
        <v>102</v>
      </c>
      <c r="F588">
        <v>5</v>
      </c>
      <c r="G588" t="s">
        <v>8607</v>
      </c>
      <c r="H588">
        <v>37</v>
      </c>
      <c r="I588" t="s">
        <v>9306</v>
      </c>
      <c r="J588" t="str">
        <f t="shared" si="9"/>
        <v>13F-HR-5.37.C11</v>
      </c>
      <c r="K588" s="5" t="s">
        <v>8643</v>
      </c>
      <c r="L588" t="s">
        <v>241</v>
      </c>
      <c r="M588" t="s">
        <v>8644</v>
      </c>
      <c r="N588" t="s">
        <v>8645</v>
      </c>
      <c r="Q588" s="28">
        <v>0</v>
      </c>
    </row>
    <row r="589" spans="1:17" x14ac:dyDescent="0.35">
      <c r="A589" t="s">
        <v>8520</v>
      </c>
      <c r="B589" s="3" t="s">
        <v>102</v>
      </c>
      <c r="F589">
        <v>5</v>
      </c>
      <c r="G589" t="s">
        <v>8607</v>
      </c>
      <c r="H589">
        <v>38</v>
      </c>
      <c r="I589" t="s">
        <v>9307</v>
      </c>
      <c r="J589" t="str">
        <f t="shared" si="9"/>
        <v>13F-HR-5.38.C12</v>
      </c>
      <c r="K589" s="5" t="s">
        <v>8646</v>
      </c>
      <c r="L589" t="s">
        <v>241</v>
      </c>
      <c r="M589" t="s">
        <v>8647</v>
      </c>
      <c r="N589" t="s">
        <v>8648</v>
      </c>
      <c r="Q589" s="28">
        <v>826794</v>
      </c>
    </row>
    <row r="590" spans="1:17" x14ac:dyDescent="0.35">
      <c r="A590" t="s">
        <v>8520</v>
      </c>
      <c r="B590" s="3" t="s">
        <v>102</v>
      </c>
      <c r="G590" t="s">
        <v>8607</v>
      </c>
      <c r="H590">
        <v>27</v>
      </c>
      <c r="I590" t="s">
        <v>9296</v>
      </c>
      <c r="J590" t="str">
        <f t="shared" si="9"/>
        <v>13F-HR-.27.C1</v>
      </c>
      <c r="K590" s="5" t="s">
        <v>8608</v>
      </c>
      <c r="L590" t="s">
        <v>229</v>
      </c>
      <c r="M590" t="s">
        <v>8609</v>
      </c>
      <c r="N590" t="s">
        <v>8610</v>
      </c>
      <c r="Q590" s="28" t="s">
        <v>8732</v>
      </c>
    </row>
    <row r="591" spans="1:17" x14ac:dyDescent="0.35">
      <c r="A591" t="s">
        <v>8520</v>
      </c>
      <c r="B591" s="3" t="s">
        <v>102</v>
      </c>
      <c r="G591" t="s">
        <v>8607</v>
      </c>
      <c r="H591">
        <v>28</v>
      </c>
      <c r="I591" t="s">
        <v>9297</v>
      </c>
      <c r="J591" t="str">
        <f t="shared" si="9"/>
        <v>13F-HR-.28.C2</v>
      </c>
      <c r="K591" s="5" t="s">
        <v>8612</v>
      </c>
      <c r="L591" t="s">
        <v>229</v>
      </c>
      <c r="M591" t="s">
        <v>8613</v>
      </c>
      <c r="N591" t="s">
        <v>8614</v>
      </c>
      <c r="Q591" s="28" t="s">
        <v>8733</v>
      </c>
    </row>
    <row r="592" spans="1:17" x14ac:dyDescent="0.35">
      <c r="A592" t="s">
        <v>8520</v>
      </c>
      <c r="B592" s="3" t="s">
        <v>102</v>
      </c>
      <c r="G592" t="s">
        <v>8607</v>
      </c>
      <c r="H592">
        <v>29</v>
      </c>
      <c r="I592" t="s">
        <v>9298</v>
      </c>
      <c r="J592" t="str">
        <f t="shared" si="9"/>
        <v>13F-HR-.29.C3</v>
      </c>
      <c r="K592" s="5" t="s">
        <v>8616</v>
      </c>
      <c r="L592" t="s">
        <v>229</v>
      </c>
      <c r="M592" t="s">
        <v>7927</v>
      </c>
      <c r="N592" t="s">
        <v>8617</v>
      </c>
      <c r="Q592" s="28" t="s">
        <v>8734</v>
      </c>
    </row>
    <row r="593" spans="1:17" x14ac:dyDescent="0.35">
      <c r="A593" t="s">
        <v>8520</v>
      </c>
      <c r="B593" s="3" t="s">
        <v>102</v>
      </c>
      <c r="G593" t="s">
        <v>8607</v>
      </c>
      <c r="H593">
        <v>30</v>
      </c>
      <c r="I593" t="s">
        <v>9299</v>
      </c>
      <c r="J593" t="str">
        <f t="shared" si="9"/>
        <v>13F-HR-.30.C4</v>
      </c>
      <c r="K593" s="5" t="s">
        <v>8618</v>
      </c>
      <c r="L593" t="s">
        <v>8619</v>
      </c>
      <c r="M593" t="s">
        <v>8620</v>
      </c>
      <c r="N593" t="s">
        <v>8621</v>
      </c>
      <c r="Q593" s="28">
        <v>3415717</v>
      </c>
    </row>
    <row r="594" spans="1:17" x14ac:dyDescent="0.35">
      <c r="A594" t="s">
        <v>8520</v>
      </c>
      <c r="B594" s="3" t="s">
        <v>102</v>
      </c>
      <c r="G594" t="s">
        <v>8607</v>
      </c>
      <c r="H594">
        <v>31</v>
      </c>
      <c r="I594" t="s">
        <v>9300</v>
      </c>
      <c r="J594" t="str">
        <f t="shared" si="9"/>
        <v>13F-HR-.31.C5</v>
      </c>
      <c r="K594" s="5" t="s">
        <v>8622</v>
      </c>
      <c r="L594" t="s">
        <v>241</v>
      </c>
      <c r="M594" t="s">
        <v>8623</v>
      </c>
      <c r="N594" t="s">
        <v>8624</v>
      </c>
      <c r="Q594" s="28">
        <v>65173</v>
      </c>
    </row>
    <row r="595" spans="1:17" x14ac:dyDescent="0.35">
      <c r="A595" t="s">
        <v>8520</v>
      </c>
      <c r="B595" s="3" t="s">
        <v>102</v>
      </c>
      <c r="G595" t="s">
        <v>8607</v>
      </c>
      <c r="H595">
        <v>32</v>
      </c>
      <c r="I595" t="s">
        <v>9301</v>
      </c>
      <c r="J595" t="str">
        <f t="shared" si="9"/>
        <v>13F-HR-.32.C6</v>
      </c>
      <c r="K595" s="5" t="s">
        <v>8625</v>
      </c>
      <c r="L595" t="s">
        <v>229</v>
      </c>
      <c r="M595" t="s">
        <v>8626</v>
      </c>
      <c r="N595" t="s">
        <v>8627</v>
      </c>
      <c r="Q595" s="28" t="s">
        <v>8628</v>
      </c>
    </row>
    <row r="596" spans="1:17" x14ac:dyDescent="0.35">
      <c r="A596" t="s">
        <v>8520</v>
      </c>
      <c r="B596" s="3" t="s">
        <v>102</v>
      </c>
      <c r="G596" t="s">
        <v>8607</v>
      </c>
      <c r="H596">
        <v>33</v>
      </c>
      <c r="I596" t="s">
        <v>9302</v>
      </c>
      <c r="J596" t="str">
        <f t="shared" si="9"/>
        <v>13F-HR-.33.C7</v>
      </c>
      <c r="K596" s="5" t="s">
        <v>8629</v>
      </c>
      <c r="L596" t="s">
        <v>229</v>
      </c>
      <c r="M596" t="s">
        <v>8630</v>
      </c>
      <c r="N596" t="s">
        <v>8631</v>
      </c>
      <c r="Q596" s="28" t="s">
        <v>8685</v>
      </c>
    </row>
    <row r="597" spans="1:17" x14ac:dyDescent="0.35">
      <c r="A597" t="s">
        <v>8520</v>
      </c>
      <c r="B597" s="3" t="s">
        <v>102</v>
      </c>
      <c r="G597" t="s">
        <v>8607</v>
      </c>
      <c r="H597">
        <v>34</v>
      </c>
      <c r="I597" t="s">
        <v>9303</v>
      </c>
      <c r="J597" t="str">
        <f t="shared" si="9"/>
        <v>13F-HR-.34.C8</v>
      </c>
      <c r="K597" s="5" t="s">
        <v>8633</v>
      </c>
      <c r="L597" t="s">
        <v>4735</v>
      </c>
      <c r="M597" t="s">
        <v>8634</v>
      </c>
      <c r="N597" t="s">
        <v>8635</v>
      </c>
      <c r="Q597" s="28" t="s">
        <v>8632</v>
      </c>
    </row>
    <row r="598" spans="1:17" x14ac:dyDescent="0.35">
      <c r="A598" t="s">
        <v>8651</v>
      </c>
      <c r="B598" s="3" t="s">
        <v>102</v>
      </c>
      <c r="G598" t="s">
        <v>8607</v>
      </c>
      <c r="H598">
        <v>35</v>
      </c>
      <c r="I598" t="s">
        <v>9304</v>
      </c>
      <c r="J598" t="str">
        <f t="shared" si="9"/>
        <v>135-HR-.35.C9</v>
      </c>
      <c r="K598" s="5" t="s">
        <v>8637</v>
      </c>
      <c r="L598" t="s">
        <v>229</v>
      </c>
      <c r="M598" t="s">
        <v>8638</v>
      </c>
      <c r="N598" t="s">
        <v>8639</v>
      </c>
      <c r="Q598" s="28" t="s">
        <v>8636</v>
      </c>
    </row>
    <row r="599" spans="1:17" x14ac:dyDescent="0.35">
      <c r="A599" t="s">
        <v>8520</v>
      </c>
      <c r="B599" s="3" t="s">
        <v>102</v>
      </c>
      <c r="G599" t="s">
        <v>8607</v>
      </c>
      <c r="H599">
        <v>36</v>
      </c>
      <c r="I599" t="s">
        <v>9305</v>
      </c>
      <c r="J599" t="str">
        <f t="shared" si="9"/>
        <v>13F-HR-.36.C10</v>
      </c>
      <c r="K599" s="5" t="s">
        <v>8640</v>
      </c>
      <c r="L599" t="s">
        <v>241</v>
      </c>
      <c r="M599" t="s">
        <v>8641</v>
      </c>
      <c r="N599" t="s">
        <v>8642</v>
      </c>
      <c r="Q599" s="28">
        <v>61954</v>
      </c>
    </row>
    <row r="600" spans="1:17" x14ac:dyDescent="0.35">
      <c r="A600" t="s">
        <v>8520</v>
      </c>
      <c r="B600" s="3" t="s">
        <v>102</v>
      </c>
      <c r="G600" t="s">
        <v>8607</v>
      </c>
      <c r="H600">
        <v>37</v>
      </c>
      <c r="I600" t="s">
        <v>9306</v>
      </c>
      <c r="J600" t="str">
        <f t="shared" si="9"/>
        <v>13F-HR-.37.C11</v>
      </c>
      <c r="K600" s="5" t="s">
        <v>8643</v>
      </c>
      <c r="L600" t="s">
        <v>241</v>
      </c>
      <c r="M600" t="s">
        <v>8644</v>
      </c>
      <c r="N600" t="s">
        <v>8645</v>
      </c>
      <c r="Q600" s="28">
        <v>0</v>
      </c>
    </row>
    <row r="601" spans="1:17" x14ac:dyDescent="0.35">
      <c r="A601" t="s">
        <v>8520</v>
      </c>
      <c r="B601" s="3" t="s">
        <v>102</v>
      </c>
      <c r="G601" t="s">
        <v>8607</v>
      </c>
      <c r="H601">
        <v>38</v>
      </c>
      <c r="I601" t="s">
        <v>9307</v>
      </c>
      <c r="J601" t="str">
        <f t="shared" si="9"/>
        <v>13F-HR-.38.C12</v>
      </c>
      <c r="K601" s="5" t="s">
        <v>8646</v>
      </c>
      <c r="L601" t="s">
        <v>241</v>
      </c>
      <c r="M601" t="s">
        <v>8647</v>
      </c>
      <c r="N601" t="s">
        <v>8648</v>
      </c>
      <c r="Q601" s="28">
        <v>3219</v>
      </c>
    </row>
    <row r="602" spans="1:17" x14ac:dyDescent="0.35">
      <c r="A602" t="s">
        <v>8520</v>
      </c>
      <c r="B602" s="3" t="s">
        <v>102</v>
      </c>
      <c r="G602" t="s">
        <v>8607</v>
      </c>
      <c r="H602">
        <v>27</v>
      </c>
      <c r="I602" t="s">
        <v>9296</v>
      </c>
      <c r="J602" t="str">
        <f t="shared" si="9"/>
        <v>13F-HR-.27.C1</v>
      </c>
      <c r="K602" s="5" t="s">
        <v>8608</v>
      </c>
      <c r="L602" t="s">
        <v>229</v>
      </c>
      <c r="M602" t="s">
        <v>8609</v>
      </c>
      <c r="N602" t="s">
        <v>8610</v>
      </c>
      <c r="Q602" s="28" t="s">
        <v>8735</v>
      </c>
    </row>
    <row r="603" spans="1:17" x14ac:dyDescent="0.35">
      <c r="A603" t="s">
        <v>8520</v>
      </c>
      <c r="B603" s="3" t="s">
        <v>102</v>
      </c>
      <c r="G603" t="s">
        <v>8607</v>
      </c>
      <c r="H603">
        <v>28</v>
      </c>
      <c r="I603" t="s">
        <v>9297</v>
      </c>
      <c r="J603" t="str">
        <f t="shared" si="9"/>
        <v>13F-HR-.28.C2</v>
      </c>
      <c r="K603" s="5" t="s">
        <v>8612</v>
      </c>
      <c r="L603" t="s">
        <v>229</v>
      </c>
      <c r="M603" t="s">
        <v>8613</v>
      </c>
      <c r="N603" t="s">
        <v>8614</v>
      </c>
      <c r="Q603" s="28" t="s">
        <v>8736</v>
      </c>
    </row>
    <row r="604" spans="1:17" x14ac:dyDescent="0.35">
      <c r="A604" t="s">
        <v>8520</v>
      </c>
      <c r="B604" s="3" t="s">
        <v>102</v>
      </c>
      <c r="G604" t="s">
        <v>8607</v>
      </c>
      <c r="H604">
        <v>29</v>
      </c>
      <c r="I604" t="s">
        <v>9298</v>
      </c>
      <c r="J604" t="str">
        <f t="shared" si="9"/>
        <v>13F-HR-.29.C3</v>
      </c>
      <c r="K604" s="5" t="s">
        <v>8616</v>
      </c>
      <c r="L604" t="s">
        <v>229</v>
      </c>
      <c r="M604" t="s">
        <v>7927</v>
      </c>
      <c r="N604" t="s">
        <v>8617</v>
      </c>
      <c r="Q604" s="28">
        <v>113004105</v>
      </c>
    </row>
    <row r="605" spans="1:17" x14ac:dyDescent="0.35">
      <c r="A605" t="s">
        <v>8520</v>
      </c>
      <c r="B605" s="3" t="s">
        <v>102</v>
      </c>
      <c r="G605" t="s">
        <v>8607</v>
      </c>
      <c r="H605">
        <v>30</v>
      </c>
      <c r="I605" t="s">
        <v>9299</v>
      </c>
      <c r="J605" t="str">
        <f t="shared" si="9"/>
        <v>13F-HR-.30.C4</v>
      </c>
      <c r="K605" s="5" t="s">
        <v>8618</v>
      </c>
      <c r="L605" t="s">
        <v>8619</v>
      </c>
      <c r="M605" t="s">
        <v>8620</v>
      </c>
      <c r="N605" t="s">
        <v>8621</v>
      </c>
      <c r="Q605" s="28">
        <v>12582950</v>
      </c>
    </row>
    <row r="606" spans="1:17" x14ac:dyDescent="0.35">
      <c r="A606" t="s">
        <v>8520</v>
      </c>
      <c r="B606" s="3" t="s">
        <v>102</v>
      </c>
      <c r="G606" t="s">
        <v>8607</v>
      </c>
      <c r="H606">
        <v>31</v>
      </c>
      <c r="I606" t="s">
        <v>9300</v>
      </c>
      <c r="J606" t="str">
        <f t="shared" si="9"/>
        <v>13F-HR-.31.C5</v>
      </c>
      <c r="K606" s="5" t="s">
        <v>8622</v>
      </c>
      <c r="L606" t="s">
        <v>241</v>
      </c>
      <c r="M606" t="s">
        <v>8623</v>
      </c>
      <c r="N606" t="s">
        <v>8624</v>
      </c>
      <c r="Q606" s="28">
        <v>259710</v>
      </c>
    </row>
    <row r="607" spans="1:17" x14ac:dyDescent="0.35">
      <c r="A607" t="s">
        <v>8520</v>
      </c>
      <c r="B607" s="3" t="s">
        <v>102</v>
      </c>
      <c r="G607" t="s">
        <v>8607</v>
      </c>
      <c r="H607">
        <v>32</v>
      </c>
      <c r="I607" t="s">
        <v>9301</v>
      </c>
      <c r="J607" t="str">
        <f t="shared" si="9"/>
        <v>13F-HR-.32.C6</v>
      </c>
      <c r="K607" s="5" t="s">
        <v>8625</v>
      </c>
      <c r="L607" t="s">
        <v>229</v>
      </c>
      <c r="M607" t="s">
        <v>8626</v>
      </c>
      <c r="N607" t="s">
        <v>8627</v>
      </c>
      <c r="Q607" s="28" t="s">
        <v>8628</v>
      </c>
    </row>
    <row r="608" spans="1:17" x14ac:dyDescent="0.35">
      <c r="A608" t="s">
        <v>8520</v>
      </c>
      <c r="B608" s="3" t="s">
        <v>102</v>
      </c>
      <c r="G608" t="s">
        <v>8607</v>
      </c>
      <c r="H608">
        <v>33</v>
      </c>
      <c r="I608" t="s">
        <v>9302</v>
      </c>
      <c r="J608" t="str">
        <f t="shared" si="9"/>
        <v>13F-HR-.33.C7</v>
      </c>
      <c r="K608" s="5" t="s">
        <v>8629</v>
      </c>
      <c r="L608" t="s">
        <v>229</v>
      </c>
      <c r="M608" t="s">
        <v>8630</v>
      </c>
      <c r="N608" t="s">
        <v>8631</v>
      </c>
      <c r="Q608" s="28" t="s">
        <v>8685</v>
      </c>
    </row>
    <row r="609" spans="1:17" x14ac:dyDescent="0.35">
      <c r="A609" t="s">
        <v>8520</v>
      </c>
      <c r="B609" s="3" t="s">
        <v>102</v>
      </c>
      <c r="G609" t="s">
        <v>8607</v>
      </c>
      <c r="H609">
        <v>34</v>
      </c>
      <c r="I609" t="s">
        <v>9303</v>
      </c>
      <c r="J609" t="str">
        <f t="shared" si="9"/>
        <v>13F-HR-.34.C8</v>
      </c>
      <c r="K609" s="5" t="s">
        <v>8633</v>
      </c>
      <c r="L609" t="s">
        <v>4735</v>
      </c>
      <c r="M609" t="s">
        <v>8634</v>
      </c>
      <c r="N609" t="s">
        <v>8635</v>
      </c>
      <c r="Q609" s="28" t="s">
        <v>8632</v>
      </c>
    </row>
    <row r="610" spans="1:17" x14ac:dyDescent="0.35">
      <c r="A610" t="s">
        <v>8651</v>
      </c>
      <c r="B610" s="3" t="s">
        <v>102</v>
      </c>
      <c r="G610" t="s">
        <v>8607</v>
      </c>
      <c r="H610">
        <v>35</v>
      </c>
      <c r="I610" t="s">
        <v>9304</v>
      </c>
      <c r="J610" t="str">
        <f t="shared" si="9"/>
        <v>135-HR-.35.C9</v>
      </c>
      <c r="K610" s="5" t="s">
        <v>8637</v>
      </c>
      <c r="L610" t="s">
        <v>229</v>
      </c>
      <c r="M610" t="s">
        <v>8638</v>
      </c>
      <c r="N610" t="s">
        <v>8639</v>
      </c>
      <c r="Q610" s="28" t="s">
        <v>8636</v>
      </c>
    </row>
    <row r="611" spans="1:17" x14ac:dyDescent="0.35">
      <c r="A611" t="s">
        <v>8520</v>
      </c>
      <c r="B611" s="3" t="s">
        <v>102</v>
      </c>
      <c r="G611" t="s">
        <v>8607</v>
      </c>
      <c r="H611">
        <v>36</v>
      </c>
      <c r="I611" t="s">
        <v>9305</v>
      </c>
      <c r="J611" t="str">
        <f t="shared" si="9"/>
        <v>13F-HR-.36.C10</v>
      </c>
      <c r="K611" s="5" t="s">
        <v>8640</v>
      </c>
      <c r="L611" t="s">
        <v>241</v>
      </c>
      <c r="M611" t="s">
        <v>8641</v>
      </c>
      <c r="N611" t="s">
        <v>8642</v>
      </c>
      <c r="Q611" s="28">
        <v>139700</v>
      </c>
    </row>
    <row r="612" spans="1:17" x14ac:dyDescent="0.35">
      <c r="A612" t="s">
        <v>8520</v>
      </c>
      <c r="B612" s="3" t="s">
        <v>102</v>
      </c>
      <c r="G612" t="s">
        <v>8607</v>
      </c>
      <c r="H612">
        <v>37</v>
      </c>
      <c r="I612" t="s">
        <v>9306</v>
      </c>
      <c r="J612" t="str">
        <f t="shared" si="9"/>
        <v>13F-HR-.37.C11</v>
      </c>
      <c r="K612" s="5" t="s">
        <v>8643</v>
      </c>
      <c r="L612" t="s">
        <v>241</v>
      </c>
      <c r="M612" t="s">
        <v>8644</v>
      </c>
      <c r="N612" t="s">
        <v>8645</v>
      </c>
      <c r="Q612" s="28">
        <v>0</v>
      </c>
    </row>
    <row r="613" spans="1:17" x14ac:dyDescent="0.35">
      <c r="A613" t="s">
        <v>8520</v>
      </c>
      <c r="B613" s="3" t="s">
        <v>102</v>
      </c>
      <c r="G613" t="s">
        <v>8607</v>
      </c>
      <c r="H613">
        <v>38</v>
      </c>
      <c r="I613" t="s">
        <v>9307</v>
      </c>
      <c r="J613" t="str">
        <f t="shared" si="9"/>
        <v>13F-HR-.38.C12</v>
      </c>
      <c r="K613" s="5" t="s">
        <v>8646</v>
      </c>
      <c r="L613" t="s">
        <v>241</v>
      </c>
      <c r="M613" t="s">
        <v>8647</v>
      </c>
      <c r="N613" t="s">
        <v>8648</v>
      </c>
      <c r="Q613" s="28">
        <v>120010</v>
      </c>
    </row>
    <row r="614" spans="1:17" x14ac:dyDescent="0.35">
      <c r="A614" t="s">
        <v>8520</v>
      </c>
      <c r="B614" s="3" t="s">
        <v>102</v>
      </c>
      <c r="G614" t="s">
        <v>8607</v>
      </c>
      <c r="H614">
        <v>27</v>
      </c>
      <c r="I614" t="s">
        <v>9296</v>
      </c>
      <c r="J614" t="str">
        <f t="shared" si="9"/>
        <v>13F-HR-.27.C1</v>
      </c>
      <c r="K614" s="5" t="s">
        <v>8608</v>
      </c>
      <c r="L614" t="s">
        <v>229</v>
      </c>
      <c r="M614" t="s">
        <v>8609</v>
      </c>
      <c r="N614" t="s">
        <v>8610</v>
      </c>
      <c r="Q614" s="28" t="s">
        <v>8737</v>
      </c>
    </row>
    <row r="615" spans="1:17" x14ac:dyDescent="0.35">
      <c r="A615" t="s">
        <v>8520</v>
      </c>
      <c r="B615" s="3" t="s">
        <v>102</v>
      </c>
      <c r="G615" t="s">
        <v>8607</v>
      </c>
      <c r="H615">
        <v>28</v>
      </c>
      <c r="I615" t="s">
        <v>9297</v>
      </c>
      <c r="J615" t="str">
        <f t="shared" si="9"/>
        <v>13F-HR-.28.C2</v>
      </c>
      <c r="K615" s="5" t="s">
        <v>8612</v>
      </c>
      <c r="L615" t="s">
        <v>229</v>
      </c>
      <c r="M615" t="s">
        <v>8613</v>
      </c>
      <c r="N615" t="s">
        <v>8614</v>
      </c>
      <c r="Q615" s="28" t="s">
        <v>8615</v>
      </c>
    </row>
    <row r="616" spans="1:17" x14ac:dyDescent="0.35">
      <c r="A616" t="s">
        <v>8520</v>
      </c>
      <c r="B616" s="3" t="s">
        <v>102</v>
      </c>
      <c r="G616" t="s">
        <v>8607</v>
      </c>
      <c r="H616">
        <v>29</v>
      </c>
      <c r="I616" t="s">
        <v>9298</v>
      </c>
      <c r="J616" t="str">
        <f t="shared" si="9"/>
        <v>13F-HR-.29.C3</v>
      </c>
      <c r="K616" s="5" t="s">
        <v>8616</v>
      </c>
      <c r="L616" t="s">
        <v>229</v>
      </c>
      <c r="M616" t="s">
        <v>7927</v>
      </c>
      <c r="N616" t="s">
        <v>8617</v>
      </c>
      <c r="Q616" s="28">
        <v>122017106</v>
      </c>
    </row>
    <row r="617" spans="1:17" x14ac:dyDescent="0.35">
      <c r="A617" t="s">
        <v>8520</v>
      </c>
      <c r="B617" s="3" t="s">
        <v>102</v>
      </c>
      <c r="G617" t="s">
        <v>8607</v>
      </c>
      <c r="H617">
        <v>30</v>
      </c>
      <c r="I617" t="s">
        <v>9299</v>
      </c>
      <c r="J617" t="str">
        <f t="shared" si="9"/>
        <v>13F-HR-.30.C4</v>
      </c>
      <c r="K617" s="5" t="s">
        <v>8618</v>
      </c>
      <c r="L617" t="s">
        <v>8619</v>
      </c>
      <c r="M617" t="s">
        <v>8620</v>
      </c>
      <c r="N617" t="s">
        <v>8621</v>
      </c>
      <c r="Q617" s="28">
        <v>16647827</v>
      </c>
    </row>
    <row r="618" spans="1:17" x14ac:dyDescent="0.35">
      <c r="A618" t="s">
        <v>8520</v>
      </c>
      <c r="B618" s="3" t="s">
        <v>102</v>
      </c>
      <c r="G618" t="s">
        <v>8607</v>
      </c>
      <c r="H618">
        <v>31</v>
      </c>
      <c r="I618" t="s">
        <v>9300</v>
      </c>
      <c r="J618" t="str">
        <f t="shared" si="9"/>
        <v>13F-HR-.31.C5</v>
      </c>
      <c r="K618" s="5" t="s">
        <v>8622</v>
      </c>
      <c r="L618" t="s">
        <v>241</v>
      </c>
      <c r="M618" t="s">
        <v>8623</v>
      </c>
      <c r="N618" t="s">
        <v>8624</v>
      </c>
      <c r="Q618" s="28">
        <v>69852</v>
      </c>
    </row>
    <row r="619" spans="1:17" x14ac:dyDescent="0.35">
      <c r="A619" t="s">
        <v>8520</v>
      </c>
      <c r="B619" s="3" t="s">
        <v>102</v>
      </c>
      <c r="G619" t="s">
        <v>8607</v>
      </c>
      <c r="H619">
        <v>32</v>
      </c>
      <c r="I619" t="s">
        <v>9301</v>
      </c>
      <c r="J619" t="str">
        <f t="shared" si="9"/>
        <v>13F-HR-.32.C6</v>
      </c>
      <c r="K619" s="5" t="s">
        <v>8625</v>
      </c>
      <c r="L619" t="s">
        <v>229</v>
      </c>
      <c r="M619" t="s">
        <v>8626</v>
      </c>
      <c r="N619" t="s">
        <v>8627</v>
      </c>
      <c r="Q619" s="28" t="s">
        <v>8628</v>
      </c>
    </row>
    <row r="620" spans="1:17" x14ac:dyDescent="0.35">
      <c r="A620" t="s">
        <v>8520</v>
      </c>
      <c r="B620" s="3" t="s">
        <v>102</v>
      </c>
      <c r="G620" t="s">
        <v>8607</v>
      </c>
      <c r="H620">
        <v>33</v>
      </c>
      <c r="I620" t="s">
        <v>9302</v>
      </c>
      <c r="J620" t="str">
        <f t="shared" si="9"/>
        <v>13F-HR-.33.C7</v>
      </c>
      <c r="K620" s="5" t="s">
        <v>8629</v>
      </c>
      <c r="L620" t="s">
        <v>229</v>
      </c>
      <c r="M620" t="s">
        <v>8630</v>
      </c>
      <c r="N620" t="s">
        <v>8631</v>
      </c>
      <c r="Q620" s="28" t="s">
        <v>8685</v>
      </c>
    </row>
    <row r="621" spans="1:17" x14ac:dyDescent="0.35">
      <c r="A621" t="s">
        <v>8520</v>
      </c>
      <c r="B621" s="3" t="s">
        <v>102</v>
      </c>
      <c r="G621" t="s">
        <v>8607</v>
      </c>
      <c r="H621">
        <v>34</v>
      </c>
      <c r="I621" t="s">
        <v>9303</v>
      </c>
      <c r="J621" t="str">
        <f t="shared" si="9"/>
        <v>13F-HR-.34.C8</v>
      </c>
      <c r="K621" s="5" t="s">
        <v>8633</v>
      </c>
      <c r="L621" t="s">
        <v>4735</v>
      </c>
      <c r="M621" t="s">
        <v>8634</v>
      </c>
      <c r="N621" t="s">
        <v>8635</v>
      </c>
      <c r="Q621" s="28" t="s">
        <v>8632</v>
      </c>
    </row>
    <row r="622" spans="1:17" x14ac:dyDescent="0.35">
      <c r="A622" t="s">
        <v>8651</v>
      </c>
      <c r="B622" s="3" t="s">
        <v>102</v>
      </c>
      <c r="G622" t="s">
        <v>8607</v>
      </c>
      <c r="H622">
        <v>35</v>
      </c>
      <c r="I622" t="s">
        <v>9304</v>
      </c>
      <c r="J622" t="str">
        <f t="shared" si="9"/>
        <v>135-HR-.35.C9</v>
      </c>
      <c r="K622" s="5" t="s">
        <v>8637</v>
      </c>
      <c r="L622" t="s">
        <v>229</v>
      </c>
      <c r="M622" t="s">
        <v>8638</v>
      </c>
      <c r="N622" t="s">
        <v>8639</v>
      </c>
      <c r="Q622" s="28" t="s">
        <v>8636</v>
      </c>
    </row>
    <row r="623" spans="1:17" x14ac:dyDescent="0.35">
      <c r="A623" t="s">
        <v>8520</v>
      </c>
      <c r="B623" s="3" t="s">
        <v>102</v>
      </c>
      <c r="G623" t="s">
        <v>8607</v>
      </c>
      <c r="H623">
        <v>36</v>
      </c>
      <c r="I623" t="s">
        <v>9305</v>
      </c>
      <c r="J623" t="str">
        <f t="shared" si="9"/>
        <v>13F-HR-.36.C10</v>
      </c>
      <c r="K623" s="5" t="s">
        <v>8640</v>
      </c>
      <c r="L623" t="s">
        <v>241</v>
      </c>
      <c r="M623" t="s">
        <v>8641</v>
      </c>
      <c r="N623" t="s">
        <v>8642</v>
      </c>
      <c r="Q623" s="28">
        <v>69852</v>
      </c>
    </row>
    <row r="624" spans="1:17" x14ac:dyDescent="0.35">
      <c r="A624" t="s">
        <v>8520</v>
      </c>
      <c r="B624" s="3" t="s">
        <v>102</v>
      </c>
      <c r="G624" t="s">
        <v>8607</v>
      </c>
      <c r="H624">
        <v>37</v>
      </c>
      <c r="I624" t="s">
        <v>9306</v>
      </c>
      <c r="J624" t="str">
        <f t="shared" si="9"/>
        <v>13F-HR-.37.C11</v>
      </c>
      <c r="K624" s="5" t="s">
        <v>8643</v>
      </c>
      <c r="L624" t="s">
        <v>241</v>
      </c>
      <c r="M624" t="s">
        <v>8644</v>
      </c>
      <c r="N624" t="s">
        <v>8645</v>
      </c>
      <c r="Q624" s="28">
        <v>0</v>
      </c>
    </row>
    <row r="625" spans="1:17" x14ac:dyDescent="0.35">
      <c r="A625" t="s">
        <v>8520</v>
      </c>
      <c r="B625" s="3" t="s">
        <v>102</v>
      </c>
      <c r="G625" t="s">
        <v>8607</v>
      </c>
      <c r="H625">
        <v>38</v>
      </c>
      <c r="I625" t="s">
        <v>9307</v>
      </c>
      <c r="J625" t="str">
        <f t="shared" si="9"/>
        <v>13F-HR-.38.C12</v>
      </c>
      <c r="K625" s="5" t="s">
        <v>8646</v>
      </c>
      <c r="L625" t="s">
        <v>241</v>
      </c>
      <c r="M625" t="s">
        <v>8647</v>
      </c>
      <c r="N625" t="s">
        <v>8648</v>
      </c>
      <c r="Q625" s="28">
        <v>0</v>
      </c>
    </row>
    <row r="626" spans="1:17" x14ac:dyDescent="0.35">
      <c r="A626" t="s">
        <v>8520</v>
      </c>
      <c r="B626" s="3" t="s">
        <v>102</v>
      </c>
      <c r="G626" t="s">
        <v>8607</v>
      </c>
      <c r="H626">
        <v>27</v>
      </c>
      <c r="I626" t="s">
        <v>9296</v>
      </c>
      <c r="J626" t="str">
        <f t="shared" si="9"/>
        <v>13F-HR-.27.C1</v>
      </c>
      <c r="K626" s="5" t="s">
        <v>8608</v>
      </c>
      <c r="L626" t="s">
        <v>229</v>
      </c>
      <c r="M626" t="s">
        <v>8609</v>
      </c>
      <c r="N626" t="s">
        <v>8610</v>
      </c>
      <c r="Q626" s="28" t="s">
        <v>8738</v>
      </c>
    </row>
    <row r="627" spans="1:17" x14ac:dyDescent="0.35">
      <c r="A627" t="s">
        <v>8520</v>
      </c>
      <c r="B627" s="3" t="s">
        <v>102</v>
      </c>
      <c r="G627" t="s">
        <v>8607</v>
      </c>
      <c r="H627">
        <v>28</v>
      </c>
      <c r="I627" t="s">
        <v>9297</v>
      </c>
      <c r="J627" t="str">
        <f t="shared" si="9"/>
        <v>13F-HR-.28.C2</v>
      </c>
      <c r="K627" s="5" t="s">
        <v>8612</v>
      </c>
      <c r="L627" t="s">
        <v>229</v>
      </c>
      <c r="M627" t="s">
        <v>8613</v>
      </c>
      <c r="N627" t="s">
        <v>8614</v>
      </c>
      <c r="Q627" s="28" t="s">
        <v>8615</v>
      </c>
    </row>
    <row r="628" spans="1:17" x14ac:dyDescent="0.35">
      <c r="A628" t="s">
        <v>8520</v>
      </c>
      <c r="B628" s="3" t="s">
        <v>102</v>
      </c>
      <c r="G628" t="s">
        <v>8607</v>
      </c>
      <c r="H628">
        <v>29</v>
      </c>
      <c r="I628" t="s">
        <v>9298</v>
      </c>
      <c r="J628" t="str">
        <f t="shared" si="9"/>
        <v>13F-HR-.29.C3</v>
      </c>
      <c r="K628" s="5" t="s">
        <v>8616</v>
      </c>
      <c r="L628" t="s">
        <v>229</v>
      </c>
      <c r="M628" t="s">
        <v>7927</v>
      </c>
      <c r="N628" t="s">
        <v>8617</v>
      </c>
      <c r="Q628" s="28" t="s">
        <v>8739</v>
      </c>
    </row>
    <row r="629" spans="1:17" x14ac:dyDescent="0.35">
      <c r="A629" t="s">
        <v>8520</v>
      </c>
      <c r="B629" s="3" t="s">
        <v>102</v>
      </c>
      <c r="G629" t="s">
        <v>8607</v>
      </c>
      <c r="H629">
        <v>30</v>
      </c>
      <c r="I629" t="s">
        <v>9299</v>
      </c>
      <c r="J629" t="str">
        <f t="shared" si="9"/>
        <v>13F-HR-.30.C4</v>
      </c>
      <c r="K629" s="5" t="s">
        <v>8618</v>
      </c>
      <c r="L629" t="s">
        <v>8619</v>
      </c>
      <c r="M629" t="s">
        <v>8620</v>
      </c>
      <c r="N629" t="s">
        <v>8621</v>
      </c>
      <c r="Q629" s="28">
        <v>21568077</v>
      </c>
    </row>
    <row r="630" spans="1:17" x14ac:dyDescent="0.35">
      <c r="A630" t="s">
        <v>8520</v>
      </c>
      <c r="B630" s="3" t="s">
        <v>102</v>
      </c>
      <c r="G630" t="s">
        <v>8607</v>
      </c>
      <c r="H630">
        <v>31</v>
      </c>
      <c r="I630" t="s">
        <v>9300</v>
      </c>
      <c r="J630" t="str">
        <f t="shared" si="9"/>
        <v>13F-HR-.31.C5</v>
      </c>
      <c r="K630" s="5" t="s">
        <v>8622</v>
      </c>
      <c r="L630" t="s">
        <v>241</v>
      </c>
      <c r="M630" t="s">
        <v>8623</v>
      </c>
      <c r="N630" t="s">
        <v>8624</v>
      </c>
      <c r="Q630" s="28">
        <v>81300</v>
      </c>
    </row>
    <row r="631" spans="1:17" x14ac:dyDescent="0.35">
      <c r="A631" t="s">
        <v>8520</v>
      </c>
      <c r="B631" s="3" t="s">
        <v>102</v>
      </c>
      <c r="G631" t="s">
        <v>8607</v>
      </c>
      <c r="H631">
        <v>32</v>
      </c>
      <c r="I631" t="s">
        <v>9301</v>
      </c>
      <c r="J631" t="str">
        <f t="shared" si="9"/>
        <v>13F-HR-.32.C6</v>
      </c>
      <c r="K631" s="5" t="s">
        <v>8625</v>
      </c>
      <c r="L631" t="s">
        <v>229</v>
      </c>
      <c r="M631" t="s">
        <v>8626</v>
      </c>
      <c r="N631" t="s">
        <v>8627</v>
      </c>
      <c r="Q631" s="28" t="s">
        <v>8628</v>
      </c>
    </row>
    <row r="632" spans="1:17" x14ac:dyDescent="0.35">
      <c r="A632" t="s">
        <v>8520</v>
      </c>
      <c r="B632" s="3" t="s">
        <v>102</v>
      </c>
      <c r="G632" t="s">
        <v>8607</v>
      </c>
      <c r="H632">
        <v>33</v>
      </c>
      <c r="I632" t="s">
        <v>9302</v>
      </c>
      <c r="J632" t="str">
        <f t="shared" si="9"/>
        <v>13F-HR-.33.C7</v>
      </c>
      <c r="K632" s="5" t="s">
        <v>8629</v>
      </c>
      <c r="L632" t="s">
        <v>229</v>
      </c>
      <c r="M632" t="s">
        <v>8630</v>
      </c>
      <c r="N632" t="s">
        <v>8631</v>
      </c>
      <c r="Q632" s="28" t="s">
        <v>8685</v>
      </c>
    </row>
    <row r="633" spans="1:17" x14ac:dyDescent="0.35">
      <c r="A633" t="s">
        <v>8520</v>
      </c>
      <c r="B633" s="3" t="s">
        <v>102</v>
      </c>
      <c r="G633" t="s">
        <v>8607</v>
      </c>
      <c r="H633">
        <v>34</v>
      </c>
      <c r="I633" t="s">
        <v>9303</v>
      </c>
      <c r="J633" t="str">
        <f t="shared" si="9"/>
        <v>13F-HR-.34.C8</v>
      </c>
      <c r="K633" s="5" t="s">
        <v>8633</v>
      </c>
      <c r="L633" t="s">
        <v>4735</v>
      </c>
      <c r="M633" t="s">
        <v>8634</v>
      </c>
      <c r="N633" t="s">
        <v>8635</v>
      </c>
      <c r="Q633" s="28" t="s">
        <v>8632</v>
      </c>
    </row>
    <row r="634" spans="1:17" x14ac:dyDescent="0.35">
      <c r="A634" t="s">
        <v>8651</v>
      </c>
      <c r="B634" s="3" t="s">
        <v>102</v>
      </c>
      <c r="G634" t="s">
        <v>8607</v>
      </c>
      <c r="H634">
        <v>35</v>
      </c>
      <c r="I634" t="s">
        <v>9304</v>
      </c>
      <c r="J634" t="str">
        <f t="shared" si="9"/>
        <v>135-HR-.35.C9</v>
      </c>
      <c r="K634" s="5" t="s">
        <v>8637</v>
      </c>
      <c r="L634" t="s">
        <v>229</v>
      </c>
      <c r="M634" t="s">
        <v>8638</v>
      </c>
      <c r="N634" t="s">
        <v>8639</v>
      </c>
      <c r="Q634" s="28" t="s">
        <v>8636</v>
      </c>
    </row>
    <row r="635" spans="1:17" x14ac:dyDescent="0.35">
      <c r="A635" t="s">
        <v>8520</v>
      </c>
      <c r="B635" s="3" t="s">
        <v>102</v>
      </c>
      <c r="G635" t="s">
        <v>8607</v>
      </c>
      <c r="H635">
        <v>36</v>
      </c>
      <c r="I635" t="s">
        <v>9305</v>
      </c>
      <c r="J635" t="str">
        <f t="shared" si="9"/>
        <v>13F-HR-.36.C10</v>
      </c>
      <c r="K635" s="5" t="s">
        <v>8640</v>
      </c>
      <c r="L635" t="s">
        <v>241</v>
      </c>
      <c r="M635" t="s">
        <v>8641</v>
      </c>
      <c r="N635" t="s">
        <v>8642</v>
      </c>
      <c r="Q635" s="28">
        <v>47792</v>
      </c>
    </row>
    <row r="636" spans="1:17" x14ac:dyDescent="0.35">
      <c r="A636" t="s">
        <v>8520</v>
      </c>
      <c r="B636" s="3" t="s">
        <v>102</v>
      </c>
      <c r="G636" t="s">
        <v>8607</v>
      </c>
      <c r="H636">
        <v>37</v>
      </c>
      <c r="I636" t="s">
        <v>9306</v>
      </c>
      <c r="J636" t="str">
        <f t="shared" si="9"/>
        <v>13F-HR-.37.C11</v>
      </c>
      <c r="K636" s="5" t="s">
        <v>8643</v>
      </c>
      <c r="L636" t="s">
        <v>241</v>
      </c>
      <c r="M636" t="s">
        <v>8644</v>
      </c>
      <c r="N636" t="s">
        <v>8645</v>
      </c>
      <c r="Q636" s="28">
        <v>0</v>
      </c>
    </row>
    <row r="637" spans="1:17" x14ac:dyDescent="0.35">
      <c r="A637" t="s">
        <v>8520</v>
      </c>
      <c r="B637" s="3" t="s">
        <v>102</v>
      </c>
      <c r="G637" t="s">
        <v>8607</v>
      </c>
      <c r="H637">
        <v>38</v>
      </c>
      <c r="I637" t="s">
        <v>9307</v>
      </c>
      <c r="J637" t="str">
        <f t="shared" si="9"/>
        <v>13F-HR-.38.C12</v>
      </c>
      <c r="K637" s="5" t="s">
        <v>8646</v>
      </c>
      <c r="L637" t="s">
        <v>241</v>
      </c>
      <c r="M637" t="s">
        <v>8647</v>
      </c>
      <c r="N637" t="s">
        <v>8648</v>
      </c>
      <c r="Q637" s="28">
        <v>33508</v>
      </c>
    </row>
    <row r="638" spans="1:17" x14ac:dyDescent="0.35">
      <c r="A638" t="s">
        <v>8520</v>
      </c>
      <c r="B638" s="3" t="s">
        <v>102</v>
      </c>
      <c r="G638" t="s">
        <v>8607</v>
      </c>
      <c r="H638">
        <v>27</v>
      </c>
      <c r="I638" t="s">
        <v>9296</v>
      </c>
      <c r="J638" t="str">
        <f t="shared" si="9"/>
        <v>13F-HR-.27.C1</v>
      </c>
      <c r="K638" s="5" t="s">
        <v>8608</v>
      </c>
      <c r="L638" t="s">
        <v>229</v>
      </c>
      <c r="M638" t="s">
        <v>8609</v>
      </c>
      <c r="N638" t="s">
        <v>8610</v>
      </c>
      <c r="Q638" s="28" t="s">
        <v>8740</v>
      </c>
    </row>
    <row r="639" spans="1:17" x14ac:dyDescent="0.35">
      <c r="A639" t="s">
        <v>8520</v>
      </c>
      <c r="B639" s="3" t="s">
        <v>102</v>
      </c>
      <c r="G639" t="s">
        <v>8607</v>
      </c>
      <c r="H639">
        <v>28</v>
      </c>
      <c r="I639" t="s">
        <v>9297</v>
      </c>
      <c r="J639" t="str">
        <f t="shared" si="9"/>
        <v>13F-HR-.28.C2</v>
      </c>
      <c r="K639" s="5" t="s">
        <v>8612</v>
      </c>
      <c r="L639" t="s">
        <v>229</v>
      </c>
      <c r="M639" t="s">
        <v>8613</v>
      </c>
      <c r="N639" t="s">
        <v>8614</v>
      </c>
      <c r="Q639" s="28" t="s">
        <v>8615</v>
      </c>
    </row>
    <row r="640" spans="1:17" x14ac:dyDescent="0.35">
      <c r="A640" t="s">
        <v>8520</v>
      </c>
      <c r="B640" s="3" t="s">
        <v>102</v>
      </c>
      <c r="G640" t="s">
        <v>8607</v>
      </c>
      <c r="H640">
        <v>29</v>
      </c>
      <c r="I640" t="s">
        <v>9298</v>
      </c>
      <c r="J640" t="str">
        <f t="shared" si="9"/>
        <v>13F-HR-.29.C3</v>
      </c>
      <c r="K640" s="5" t="s">
        <v>8616</v>
      </c>
      <c r="L640" t="s">
        <v>229</v>
      </c>
      <c r="M640" t="s">
        <v>7927</v>
      </c>
      <c r="N640" t="s">
        <v>8617</v>
      </c>
      <c r="Q640" s="28">
        <v>125896100</v>
      </c>
    </row>
    <row r="641" spans="1:17" x14ac:dyDescent="0.35">
      <c r="A641" t="s">
        <v>8520</v>
      </c>
      <c r="B641" s="3" t="s">
        <v>102</v>
      </c>
      <c r="G641" t="s">
        <v>8607</v>
      </c>
      <c r="H641">
        <v>30</v>
      </c>
      <c r="I641" t="s">
        <v>9299</v>
      </c>
      <c r="J641" t="str">
        <f t="shared" si="9"/>
        <v>13F-HR-.30.C4</v>
      </c>
      <c r="K641" s="5" t="s">
        <v>8618</v>
      </c>
      <c r="L641" t="s">
        <v>8619</v>
      </c>
      <c r="M641" t="s">
        <v>8620</v>
      </c>
      <c r="N641" t="s">
        <v>8621</v>
      </c>
      <c r="Q641" s="28">
        <v>773032</v>
      </c>
    </row>
    <row r="642" spans="1:17" x14ac:dyDescent="0.35">
      <c r="A642" t="s">
        <v>8520</v>
      </c>
      <c r="B642" s="3" t="s">
        <v>102</v>
      </c>
      <c r="G642" t="s">
        <v>8607</v>
      </c>
      <c r="H642">
        <v>31</v>
      </c>
      <c r="I642" t="s">
        <v>9300</v>
      </c>
      <c r="J642" t="str">
        <f t="shared" si="9"/>
        <v>13F-HR-.31.C5</v>
      </c>
      <c r="K642" s="5" t="s">
        <v>8622</v>
      </c>
      <c r="L642" t="s">
        <v>241</v>
      </c>
      <c r="M642" t="s">
        <v>8623</v>
      </c>
      <c r="N642" t="s">
        <v>8624</v>
      </c>
      <c r="Q642" s="28">
        <v>10292</v>
      </c>
    </row>
    <row r="643" spans="1:17" x14ac:dyDescent="0.35">
      <c r="A643" t="s">
        <v>8520</v>
      </c>
      <c r="B643" s="3" t="s">
        <v>102</v>
      </c>
      <c r="G643" t="s">
        <v>8607</v>
      </c>
      <c r="H643">
        <v>32</v>
      </c>
      <c r="I643" t="s">
        <v>9301</v>
      </c>
      <c r="J643" t="str">
        <f t="shared" ref="J643:J706" si="10">_xlfn.CONCAT(A643,"-",F643,".",H643,".",I643)</f>
        <v>13F-HR-.32.C6</v>
      </c>
      <c r="K643" s="5" t="s">
        <v>8625</v>
      </c>
      <c r="L643" t="s">
        <v>229</v>
      </c>
      <c r="M643" t="s">
        <v>8626</v>
      </c>
      <c r="N643" t="s">
        <v>8627</v>
      </c>
      <c r="Q643" s="28" t="s">
        <v>8628</v>
      </c>
    </row>
    <row r="644" spans="1:17" x14ac:dyDescent="0.35">
      <c r="A644" t="s">
        <v>8520</v>
      </c>
      <c r="B644" s="3" t="s">
        <v>102</v>
      </c>
      <c r="G644" t="s">
        <v>8607</v>
      </c>
      <c r="H644">
        <v>33</v>
      </c>
      <c r="I644" t="s">
        <v>9302</v>
      </c>
      <c r="J644" t="str">
        <f t="shared" si="10"/>
        <v>13F-HR-.33.C7</v>
      </c>
      <c r="K644" s="5" t="s">
        <v>8629</v>
      </c>
      <c r="L644" t="s">
        <v>229</v>
      </c>
      <c r="M644" t="s">
        <v>8630</v>
      </c>
      <c r="N644" t="s">
        <v>8631</v>
      </c>
      <c r="Q644" s="28" t="s">
        <v>8685</v>
      </c>
    </row>
    <row r="645" spans="1:17" x14ac:dyDescent="0.35">
      <c r="A645" t="s">
        <v>8520</v>
      </c>
      <c r="B645" s="3" t="s">
        <v>102</v>
      </c>
      <c r="G645" t="s">
        <v>8607</v>
      </c>
      <c r="H645">
        <v>34</v>
      </c>
      <c r="I645" t="s">
        <v>9303</v>
      </c>
      <c r="J645" t="str">
        <f t="shared" si="10"/>
        <v>13F-HR-.34.C8</v>
      </c>
      <c r="K645" s="5" t="s">
        <v>8633</v>
      </c>
      <c r="L645" t="s">
        <v>4735</v>
      </c>
      <c r="M645" t="s">
        <v>8634</v>
      </c>
      <c r="N645" t="s">
        <v>8635</v>
      </c>
      <c r="Q645" s="28" t="s">
        <v>8632</v>
      </c>
    </row>
    <row r="646" spans="1:17" x14ac:dyDescent="0.35">
      <c r="A646" t="s">
        <v>8651</v>
      </c>
      <c r="B646" s="3" t="s">
        <v>102</v>
      </c>
      <c r="G646" t="s">
        <v>8607</v>
      </c>
      <c r="H646">
        <v>35</v>
      </c>
      <c r="I646" t="s">
        <v>9304</v>
      </c>
      <c r="J646" t="str">
        <f t="shared" si="10"/>
        <v>135-HR-.35.C9</v>
      </c>
      <c r="K646" s="5" t="s">
        <v>8637</v>
      </c>
      <c r="L646" t="s">
        <v>229</v>
      </c>
      <c r="M646" t="s">
        <v>8638</v>
      </c>
      <c r="N646" t="s">
        <v>8639</v>
      </c>
      <c r="Q646" s="28" t="s">
        <v>8636</v>
      </c>
    </row>
    <row r="647" spans="1:17" x14ac:dyDescent="0.35">
      <c r="A647" t="s">
        <v>8520</v>
      </c>
      <c r="B647" s="3" t="s">
        <v>102</v>
      </c>
      <c r="G647" t="s">
        <v>8607</v>
      </c>
      <c r="H647">
        <v>36</v>
      </c>
      <c r="I647" t="s">
        <v>9305</v>
      </c>
      <c r="J647" t="str">
        <f t="shared" si="10"/>
        <v>13F-HR-.36.C10</v>
      </c>
      <c r="K647" s="5" t="s">
        <v>8640</v>
      </c>
      <c r="L647" t="s">
        <v>241</v>
      </c>
      <c r="M647" t="s">
        <v>8641</v>
      </c>
      <c r="N647" t="s">
        <v>8642</v>
      </c>
      <c r="Q647" s="28">
        <v>10292</v>
      </c>
    </row>
    <row r="648" spans="1:17" x14ac:dyDescent="0.35">
      <c r="A648" t="s">
        <v>8520</v>
      </c>
      <c r="B648" s="3" t="s">
        <v>102</v>
      </c>
      <c r="G648" t="s">
        <v>8607</v>
      </c>
      <c r="H648">
        <v>37</v>
      </c>
      <c r="I648" t="s">
        <v>9306</v>
      </c>
      <c r="J648" t="str">
        <f t="shared" si="10"/>
        <v>13F-HR-.37.C11</v>
      </c>
      <c r="K648" s="5" t="s">
        <v>8643</v>
      </c>
      <c r="L648" t="s">
        <v>241</v>
      </c>
      <c r="M648" t="s">
        <v>8644</v>
      </c>
      <c r="N648" t="s">
        <v>8645</v>
      </c>
      <c r="Q648" s="28">
        <v>0</v>
      </c>
    </row>
    <row r="649" spans="1:17" x14ac:dyDescent="0.35">
      <c r="A649" t="s">
        <v>8520</v>
      </c>
      <c r="B649" s="3" t="s">
        <v>102</v>
      </c>
      <c r="G649" t="s">
        <v>8607</v>
      </c>
      <c r="H649">
        <v>38</v>
      </c>
      <c r="I649" t="s">
        <v>9307</v>
      </c>
      <c r="J649" t="str">
        <f t="shared" si="10"/>
        <v>13F-HR-.38.C12</v>
      </c>
      <c r="K649" s="5" t="s">
        <v>8646</v>
      </c>
      <c r="L649" t="s">
        <v>241</v>
      </c>
      <c r="M649" t="s">
        <v>8647</v>
      </c>
      <c r="N649" t="s">
        <v>8648</v>
      </c>
      <c r="Q649" s="28">
        <v>0</v>
      </c>
    </row>
    <row r="650" spans="1:17" x14ac:dyDescent="0.35">
      <c r="A650" t="s">
        <v>8520</v>
      </c>
      <c r="B650" s="3" t="s">
        <v>102</v>
      </c>
      <c r="G650" t="s">
        <v>8607</v>
      </c>
      <c r="H650">
        <v>27</v>
      </c>
      <c r="I650" t="s">
        <v>9296</v>
      </c>
      <c r="J650" t="str">
        <f t="shared" si="10"/>
        <v>13F-HR-.27.C1</v>
      </c>
      <c r="K650" s="5" t="s">
        <v>8608</v>
      </c>
      <c r="L650" t="s">
        <v>229</v>
      </c>
      <c r="M650" t="s">
        <v>8609</v>
      </c>
      <c r="N650" t="s">
        <v>8610</v>
      </c>
      <c r="Q650" s="28" t="s">
        <v>8741</v>
      </c>
    </row>
    <row r="651" spans="1:17" x14ac:dyDescent="0.35">
      <c r="A651" t="s">
        <v>8520</v>
      </c>
      <c r="B651" s="3" t="s">
        <v>102</v>
      </c>
      <c r="G651" t="s">
        <v>8607</v>
      </c>
      <c r="H651">
        <v>28</v>
      </c>
      <c r="I651" t="s">
        <v>9297</v>
      </c>
      <c r="J651" t="str">
        <f t="shared" si="10"/>
        <v>13F-HR-.28.C2</v>
      </c>
      <c r="K651" s="5" t="s">
        <v>8612</v>
      </c>
      <c r="L651" t="s">
        <v>229</v>
      </c>
      <c r="M651" t="s">
        <v>8613</v>
      </c>
      <c r="N651" t="s">
        <v>8614</v>
      </c>
      <c r="Q651" s="28" t="s">
        <v>8615</v>
      </c>
    </row>
    <row r="652" spans="1:17" x14ac:dyDescent="0.35">
      <c r="A652" t="s">
        <v>8520</v>
      </c>
      <c r="B652" s="3" t="s">
        <v>102</v>
      </c>
      <c r="G652" t="s">
        <v>8607</v>
      </c>
      <c r="H652">
        <v>29</v>
      </c>
      <c r="I652" t="s">
        <v>9298</v>
      </c>
      <c r="J652" t="str">
        <f t="shared" si="10"/>
        <v>13F-HR-.29.C3</v>
      </c>
      <c r="K652" s="5" t="s">
        <v>8616</v>
      </c>
      <c r="L652" t="s">
        <v>229</v>
      </c>
      <c r="M652" t="s">
        <v>7927</v>
      </c>
      <c r="N652" t="s">
        <v>8617</v>
      </c>
      <c r="Q652" s="28">
        <v>126408103</v>
      </c>
    </row>
    <row r="653" spans="1:17" x14ac:dyDescent="0.35">
      <c r="A653" t="s">
        <v>8520</v>
      </c>
      <c r="B653" s="3" t="s">
        <v>102</v>
      </c>
      <c r="G653" t="s">
        <v>8607</v>
      </c>
      <c r="H653">
        <v>30</v>
      </c>
      <c r="I653" t="s">
        <v>9299</v>
      </c>
      <c r="J653" t="str">
        <f t="shared" si="10"/>
        <v>13F-HR-.30.C4</v>
      </c>
      <c r="K653" s="5" t="s">
        <v>8618</v>
      </c>
      <c r="L653" t="s">
        <v>8619</v>
      </c>
      <c r="M653" t="s">
        <v>8620</v>
      </c>
      <c r="N653" t="s">
        <v>8621</v>
      </c>
      <c r="Q653" s="28">
        <v>3110486</v>
      </c>
    </row>
    <row r="654" spans="1:17" x14ac:dyDescent="0.35">
      <c r="A654" t="s">
        <v>8520</v>
      </c>
      <c r="B654" s="3" t="s">
        <v>102</v>
      </c>
      <c r="G654" t="s">
        <v>8607</v>
      </c>
      <c r="H654">
        <v>31</v>
      </c>
      <c r="I654" t="s">
        <v>9300</v>
      </c>
      <c r="J654" t="str">
        <f t="shared" si="10"/>
        <v>13F-HR-.31.C5</v>
      </c>
      <c r="K654" s="5" t="s">
        <v>8622</v>
      </c>
      <c r="L654" t="s">
        <v>241</v>
      </c>
      <c r="M654" t="s">
        <v>8623</v>
      </c>
      <c r="N654" t="s">
        <v>8624</v>
      </c>
      <c r="Q654" s="28">
        <v>105691</v>
      </c>
    </row>
    <row r="655" spans="1:17" x14ac:dyDescent="0.35">
      <c r="A655" t="s">
        <v>8520</v>
      </c>
      <c r="B655" s="3" t="s">
        <v>102</v>
      </c>
      <c r="G655" t="s">
        <v>8607</v>
      </c>
      <c r="H655">
        <v>32</v>
      </c>
      <c r="I655" t="s">
        <v>9301</v>
      </c>
      <c r="J655" t="str">
        <f t="shared" si="10"/>
        <v>13F-HR-.32.C6</v>
      </c>
      <c r="K655" s="5" t="s">
        <v>8625</v>
      </c>
      <c r="L655" t="s">
        <v>229</v>
      </c>
      <c r="M655" t="s">
        <v>8626</v>
      </c>
      <c r="N655" t="s">
        <v>8627</v>
      </c>
      <c r="Q655" s="28" t="s">
        <v>8628</v>
      </c>
    </row>
    <row r="656" spans="1:17" x14ac:dyDescent="0.35">
      <c r="A656" t="s">
        <v>8520</v>
      </c>
      <c r="B656" s="3" t="s">
        <v>102</v>
      </c>
      <c r="G656" t="s">
        <v>8607</v>
      </c>
      <c r="H656">
        <v>33</v>
      </c>
      <c r="I656" t="s">
        <v>9302</v>
      </c>
      <c r="J656" t="str">
        <f t="shared" si="10"/>
        <v>13F-HR-.33.C7</v>
      </c>
      <c r="K656" s="5" t="s">
        <v>8629</v>
      </c>
      <c r="L656" t="s">
        <v>229</v>
      </c>
      <c r="M656" t="s">
        <v>8630</v>
      </c>
      <c r="N656" t="s">
        <v>8631</v>
      </c>
      <c r="Q656" s="28" t="s">
        <v>8685</v>
      </c>
    </row>
    <row r="657" spans="1:17" x14ac:dyDescent="0.35">
      <c r="A657" t="s">
        <v>8520</v>
      </c>
      <c r="B657" s="3" t="s">
        <v>102</v>
      </c>
      <c r="G657" t="s">
        <v>8607</v>
      </c>
      <c r="H657">
        <v>34</v>
      </c>
      <c r="I657" t="s">
        <v>9303</v>
      </c>
      <c r="J657" t="str">
        <f t="shared" si="10"/>
        <v>13F-HR-.34.C8</v>
      </c>
      <c r="K657" s="5" t="s">
        <v>8633</v>
      </c>
      <c r="L657" t="s">
        <v>4735</v>
      </c>
      <c r="M657" t="s">
        <v>8634</v>
      </c>
      <c r="N657" t="s">
        <v>8635</v>
      </c>
      <c r="Q657" s="28" t="s">
        <v>8632</v>
      </c>
    </row>
    <row r="658" spans="1:17" x14ac:dyDescent="0.35">
      <c r="A658" t="s">
        <v>8651</v>
      </c>
      <c r="B658" s="3" t="s">
        <v>102</v>
      </c>
      <c r="G658" t="s">
        <v>8607</v>
      </c>
      <c r="H658">
        <v>35</v>
      </c>
      <c r="I658" t="s">
        <v>9304</v>
      </c>
      <c r="J658" t="str">
        <f t="shared" si="10"/>
        <v>135-HR-.35.C9</v>
      </c>
      <c r="K658" s="5" t="s">
        <v>8637</v>
      </c>
      <c r="L658" t="s">
        <v>229</v>
      </c>
      <c r="M658" t="s">
        <v>8638</v>
      </c>
      <c r="N658" t="s">
        <v>8639</v>
      </c>
      <c r="Q658" s="28" t="s">
        <v>8636</v>
      </c>
    </row>
    <row r="659" spans="1:17" x14ac:dyDescent="0.35">
      <c r="A659" t="s">
        <v>8520</v>
      </c>
      <c r="B659" s="3" t="s">
        <v>102</v>
      </c>
      <c r="G659" t="s">
        <v>8607</v>
      </c>
      <c r="H659">
        <v>36</v>
      </c>
      <c r="I659" t="s">
        <v>9305</v>
      </c>
      <c r="J659" t="str">
        <f t="shared" si="10"/>
        <v>13F-HR-.36.C10</v>
      </c>
      <c r="K659" s="5" t="s">
        <v>8640</v>
      </c>
      <c r="L659" t="s">
        <v>241</v>
      </c>
      <c r="M659" t="s">
        <v>8641</v>
      </c>
      <c r="N659" t="s">
        <v>8642</v>
      </c>
      <c r="Q659" s="28">
        <v>1486</v>
      </c>
    </row>
    <row r="660" spans="1:17" x14ac:dyDescent="0.35">
      <c r="A660" t="s">
        <v>8520</v>
      </c>
      <c r="B660" s="3" t="s">
        <v>102</v>
      </c>
      <c r="G660" t="s">
        <v>8607</v>
      </c>
      <c r="H660">
        <v>37</v>
      </c>
      <c r="I660" t="s">
        <v>9306</v>
      </c>
      <c r="J660" t="str">
        <f t="shared" si="10"/>
        <v>13F-HR-.37.C11</v>
      </c>
      <c r="K660" s="5" t="s">
        <v>8643</v>
      </c>
      <c r="L660" t="s">
        <v>241</v>
      </c>
      <c r="M660" t="s">
        <v>8644</v>
      </c>
      <c r="N660" t="s">
        <v>8645</v>
      </c>
      <c r="Q660" s="28">
        <v>0</v>
      </c>
    </row>
    <row r="661" spans="1:17" x14ac:dyDescent="0.35">
      <c r="A661" t="s">
        <v>8520</v>
      </c>
      <c r="B661" s="3" t="s">
        <v>102</v>
      </c>
      <c r="G661" t="s">
        <v>8607</v>
      </c>
      <c r="H661">
        <v>38</v>
      </c>
      <c r="I661" t="s">
        <v>9307</v>
      </c>
      <c r="J661" t="str">
        <f t="shared" si="10"/>
        <v>13F-HR-.38.C12</v>
      </c>
      <c r="K661" s="5" t="s">
        <v>8646</v>
      </c>
      <c r="L661" t="s">
        <v>241</v>
      </c>
      <c r="M661" t="s">
        <v>8647</v>
      </c>
      <c r="N661" t="s">
        <v>8648</v>
      </c>
      <c r="Q661" s="28">
        <v>104205</v>
      </c>
    </row>
    <row r="662" spans="1:17" x14ac:dyDescent="0.35">
      <c r="A662" t="s">
        <v>8520</v>
      </c>
      <c r="B662" s="3" t="s">
        <v>102</v>
      </c>
      <c r="G662" t="s">
        <v>8607</v>
      </c>
      <c r="H662">
        <v>27</v>
      </c>
      <c r="I662" t="s">
        <v>9296</v>
      </c>
      <c r="J662" t="str">
        <f t="shared" si="10"/>
        <v>13F-HR-.27.C1</v>
      </c>
      <c r="K662" s="5" t="s">
        <v>8608</v>
      </c>
      <c r="L662" t="s">
        <v>229</v>
      </c>
      <c r="M662" t="s">
        <v>8609</v>
      </c>
      <c r="N662" t="s">
        <v>8610</v>
      </c>
      <c r="Q662" s="28" t="s">
        <v>8742</v>
      </c>
    </row>
    <row r="663" spans="1:17" x14ac:dyDescent="0.35">
      <c r="A663" t="s">
        <v>8520</v>
      </c>
      <c r="B663" s="3" t="s">
        <v>102</v>
      </c>
      <c r="G663" t="s">
        <v>8607</v>
      </c>
      <c r="H663">
        <v>28</v>
      </c>
      <c r="I663" t="s">
        <v>9297</v>
      </c>
      <c r="J663" t="str">
        <f t="shared" si="10"/>
        <v>13F-HR-.28.C2</v>
      </c>
      <c r="K663" s="5" t="s">
        <v>8612</v>
      </c>
      <c r="L663" t="s">
        <v>229</v>
      </c>
      <c r="M663" t="s">
        <v>8613</v>
      </c>
      <c r="N663" t="s">
        <v>8614</v>
      </c>
      <c r="Q663" s="28" t="s">
        <v>8615</v>
      </c>
    </row>
    <row r="664" spans="1:17" x14ac:dyDescent="0.35">
      <c r="A664" t="s">
        <v>8520</v>
      </c>
      <c r="B664" s="3" t="s">
        <v>102</v>
      </c>
      <c r="G664" t="s">
        <v>8607</v>
      </c>
      <c r="H664">
        <v>29</v>
      </c>
      <c r="I664" t="s">
        <v>9298</v>
      </c>
      <c r="J664" t="str">
        <f t="shared" si="10"/>
        <v>13F-HR-.29.C3</v>
      </c>
      <c r="K664" s="5" t="s">
        <v>8616</v>
      </c>
      <c r="L664" t="s">
        <v>229</v>
      </c>
      <c r="M664" t="s">
        <v>7927</v>
      </c>
      <c r="N664" t="s">
        <v>8617</v>
      </c>
      <c r="Q664" s="28">
        <v>126650100</v>
      </c>
    </row>
    <row r="665" spans="1:17" x14ac:dyDescent="0.35">
      <c r="A665" t="s">
        <v>8520</v>
      </c>
      <c r="B665" s="3" t="s">
        <v>102</v>
      </c>
      <c r="G665" t="s">
        <v>8607</v>
      </c>
      <c r="H665">
        <v>30</v>
      </c>
      <c r="I665" t="s">
        <v>9299</v>
      </c>
      <c r="J665" t="str">
        <f t="shared" si="10"/>
        <v>13F-HR-.30.C4</v>
      </c>
      <c r="K665" s="5" t="s">
        <v>8618</v>
      </c>
      <c r="L665" t="s">
        <v>8619</v>
      </c>
      <c r="M665" t="s">
        <v>8620</v>
      </c>
      <c r="N665" t="s">
        <v>8621</v>
      </c>
      <c r="Q665" s="28">
        <v>31134580</v>
      </c>
    </row>
    <row r="666" spans="1:17" x14ac:dyDescent="0.35">
      <c r="A666" t="s">
        <v>8520</v>
      </c>
      <c r="B666" s="3" t="s">
        <v>102</v>
      </c>
      <c r="G666" t="s">
        <v>8607</v>
      </c>
      <c r="H666">
        <v>31</v>
      </c>
      <c r="I666" t="s">
        <v>9300</v>
      </c>
      <c r="J666" t="str">
        <f t="shared" si="10"/>
        <v>13F-HR-.31.C5</v>
      </c>
      <c r="K666" s="5" t="s">
        <v>8622</v>
      </c>
      <c r="L666" t="s">
        <v>241</v>
      </c>
      <c r="M666" t="s">
        <v>8623</v>
      </c>
      <c r="N666" t="s">
        <v>8624</v>
      </c>
      <c r="Q666" s="28">
        <v>459551</v>
      </c>
    </row>
    <row r="667" spans="1:17" x14ac:dyDescent="0.35">
      <c r="A667" t="s">
        <v>8520</v>
      </c>
      <c r="B667" s="3" t="s">
        <v>102</v>
      </c>
      <c r="G667" t="s">
        <v>8607</v>
      </c>
      <c r="H667">
        <v>32</v>
      </c>
      <c r="I667" t="s">
        <v>9301</v>
      </c>
      <c r="J667" t="str">
        <f t="shared" si="10"/>
        <v>13F-HR-.32.C6</v>
      </c>
      <c r="K667" s="5" t="s">
        <v>8625</v>
      </c>
      <c r="L667" t="s">
        <v>229</v>
      </c>
      <c r="M667" t="s">
        <v>8626</v>
      </c>
      <c r="N667" t="s">
        <v>8627</v>
      </c>
      <c r="Q667" s="28" t="s">
        <v>8628</v>
      </c>
    </row>
    <row r="668" spans="1:17" x14ac:dyDescent="0.35">
      <c r="A668" t="s">
        <v>8520</v>
      </c>
      <c r="B668" s="3" t="s">
        <v>102</v>
      </c>
      <c r="G668" t="s">
        <v>8607</v>
      </c>
      <c r="H668">
        <v>33</v>
      </c>
      <c r="I668" t="s">
        <v>9302</v>
      </c>
      <c r="J668" t="str">
        <f t="shared" si="10"/>
        <v>13F-HR-.33.C7</v>
      </c>
      <c r="K668" s="5" t="s">
        <v>8629</v>
      </c>
      <c r="L668" t="s">
        <v>229</v>
      </c>
      <c r="M668" t="s">
        <v>8630</v>
      </c>
      <c r="N668" t="s">
        <v>8631</v>
      </c>
      <c r="Q668" s="28" t="s">
        <v>8685</v>
      </c>
    </row>
    <row r="669" spans="1:17" x14ac:dyDescent="0.35">
      <c r="A669" t="s">
        <v>8520</v>
      </c>
      <c r="B669" s="3" t="s">
        <v>102</v>
      </c>
      <c r="G669" t="s">
        <v>8607</v>
      </c>
      <c r="H669">
        <v>34</v>
      </c>
      <c r="I669" t="s">
        <v>9303</v>
      </c>
      <c r="J669" t="str">
        <f t="shared" si="10"/>
        <v>13F-HR-.34.C8</v>
      </c>
      <c r="K669" s="5" t="s">
        <v>8633</v>
      </c>
      <c r="L669" t="s">
        <v>4735</v>
      </c>
      <c r="M669" t="s">
        <v>8634</v>
      </c>
      <c r="N669" t="s">
        <v>8635</v>
      </c>
      <c r="Q669" s="28" t="s">
        <v>8632</v>
      </c>
    </row>
    <row r="670" spans="1:17" x14ac:dyDescent="0.35">
      <c r="A670" t="s">
        <v>8651</v>
      </c>
      <c r="B670" s="3" t="s">
        <v>102</v>
      </c>
      <c r="G670" t="s">
        <v>8607</v>
      </c>
      <c r="H670">
        <v>35</v>
      </c>
      <c r="I670" t="s">
        <v>9304</v>
      </c>
      <c r="J670" t="str">
        <f t="shared" si="10"/>
        <v>135-HR-.35.C9</v>
      </c>
      <c r="K670" s="5" t="s">
        <v>8637</v>
      </c>
      <c r="L670" t="s">
        <v>229</v>
      </c>
      <c r="M670" t="s">
        <v>8638</v>
      </c>
      <c r="N670" t="s">
        <v>8639</v>
      </c>
      <c r="Q670" s="28" t="s">
        <v>8636</v>
      </c>
    </row>
    <row r="671" spans="1:17" x14ac:dyDescent="0.35">
      <c r="A671" t="s">
        <v>8520</v>
      </c>
      <c r="B671" s="3" t="s">
        <v>102</v>
      </c>
      <c r="G671" t="s">
        <v>8607</v>
      </c>
      <c r="H671">
        <v>36</v>
      </c>
      <c r="I671" t="s">
        <v>9305</v>
      </c>
      <c r="J671" t="str">
        <f t="shared" si="10"/>
        <v>13F-HR-.36.C10</v>
      </c>
      <c r="K671" s="5" t="s">
        <v>8640</v>
      </c>
      <c r="L671" t="s">
        <v>241</v>
      </c>
      <c r="M671" t="s">
        <v>8641</v>
      </c>
      <c r="N671" t="s">
        <v>8642</v>
      </c>
      <c r="Q671" s="28">
        <v>33906</v>
      </c>
    </row>
    <row r="672" spans="1:17" x14ac:dyDescent="0.35">
      <c r="A672" t="s">
        <v>8520</v>
      </c>
      <c r="B672" s="3" t="s">
        <v>102</v>
      </c>
      <c r="G672" t="s">
        <v>8607</v>
      </c>
      <c r="H672">
        <v>37</v>
      </c>
      <c r="I672" t="s">
        <v>9306</v>
      </c>
      <c r="J672" t="str">
        <f t="shared" si="10"/>
        <v>13F-HR-.37.C11</v>
      </c>
      <c r="K672" s="5" t="s">
        <v>8643</v>
      </c>
      <c r="L672" t="s">
        <v>241</v>
      </c>
      <c r="M672" t="s">
        <v>8644</v>
      </c>
      <c r="N672" t="s">
        <v>8645</v>
      </c>
      <c r="Q672" s="28">
        <v>0</v>
      </c>
    </row>
    <row r="673" spans="1:17" x14ac:dyDescent="0.35">
      <c r="A673" t="s">
        <v>8520</v>
      </c>
      <c r="B673" s="3" t="s">
        <v>102</v>
      </c>
      <c r="G673" t="s">
        <v>8607</v>
      </c>
      <c r="H673">
        <v>38</v>
      </c>
      <c r="I673" t="s">
        <v>9307</v>
      </c>
      <c r="J673" t="str">
        <f t="shared" si="10"/>
        <v>13F-HR-.38.C12</v>
      </c>
      <c r="K673" s="5" t="s">
        <v>8646</v>
      </c>
      <c r="L673" t="s">
        <v>241</v>
      </c>
      <c r="M673" t="s">
        <v>8647</v>
      </c>
      <c r="N673" t="s">
        <v>8648</v>
      </c>
      <c r="Q673" s="28">
        <v>425645</v>
      </c>
    </row>
    <row r="674" spans="1:17" x14ac:dyDescent="0.35">
      <c r="A674" t="s">
        <v>8520</v>
      </c>
      <c r="B674" s="3" t="s">
        <v>102</v>
      </c>
      <c r="G674" t="s">
        <v>8607</v>
      </c>
      <c r="H674">
        <v>27</v>
      </c>
      <c r="I674" t="s">
        <v>9296</v>
      </c>
      <c r="J674" t="str">
        <f t="shared" si="10"/>
        <v>13F-HR-.27.C1</v>
      </c>
      <c r="K674" s="5" t="s">
        <v>8608</v>
      </c>
      <c r="L674" t="s">
        <v>229</v>
      </c>
      <c r="M674" t="s">
        <v>8609</v>
      </c>
      <c r="N674" t="s">
        <v>8610</v>
      </c>
      <c r="Q674" s="28" t="s">
        <v>8743</v>
      </c>
    </row>
    <row r="675" spans="1:17" x14ac:dyDescent="0.35">
      <c r="A675" t="s">
        <v>8520</v>
      </c>
      <c r="B675" s="3" t="s">
        <v>102</v>
      </c>
      <c r="G675" t="s">
        <v>8607</v>
      </c>
      <c r="H675">
        <v>28</v>
      </c>
      <c r="I675" t="s">
        <v>9297</v>
      </c>
      <c r="J675" t="str">
        <f t="shared" si="10"/>
        <v>13F-HR-.28.C2</v>
      </c>
      <c r="K675" s="5" t="s">
        <v>8612</v>
      </c>
      <c r="L675" t="s">
        <v>229</v>
      </c>
      <c r="M675" t="s">
        <v>8613</v>
      </c>
      <c r="N675" t="s">
        <v>8614</v>
      </c>
      <c r="Q675" s="28" t="s">
        <v>8615</v>
      </c>
    </row>
    <row r="676" spans="1:17" x14ac:dyDescent="0.35">
      <c r="A676" t="s">
        <v>8520</v>
      </c>
      <c r="B676" s="3" t="s">
        <v>102</v>
      </c>
      <c r="G676" t="s">
        <v>8607</v>
      </c>
      <c r="H676">
        <v>29</v>
      </c>
      <c r="I676" t="s">
        <v>9298</v>
      </c>
      <c r="J676" t="str">
        <f t="shared" si="10"/>
        <v>13F-HR-.29.C3</v>
      </c>
      <c r="K676" s="5" t="s">
        <v>8616</v>
      </c>
      <c r="L676" t="s">
        <v>229</v>
      </c>
      <c r="M676" t="s">
        <v>7927</v>
      </c>
      <c r="N676" t="s">
        <v>8617</v>
      </c>
      <c r="Q676" s="28">
        <v>127387108</v>
      </c>
    </row>
    <row r="677" spans="1:17" x14ac:dyDescent="0.35">
      <c r="A677" t="s">
        <v>8520</v>
      </c>
      <c r="B677" s="3" t="s">
        <v>102</v>
      </c>
      <c r="G677" t="s">
        <v>8607</v>
      </c>
      <c r="H677">
        <v>30</v>
      </c>
      <c r="I677" t="s">
        <v>9299</v>
      </c>
      <c r="J677" t="str">
        <f t="shared" si="10"/>
        <v>13F-HR-.30.C4</v>
      </c>
      <c r="K677" s="5" t="s">
        <v>8618</v>
      </c>
      <c r="L677" t="s">
        <v>8619</v>
      </c>
      <c r="M677" t="s">
        <v>8620</v>
      </c>
      <c r="N677" t="s">
        <v>8621</v>
      </c>
      <c r="Q677" s="28">
        <v>3022712</v>
      </c>
    </row>
    <row r="678" spans="1:17" x14ac:dyDescent="0.35">
      <c r="A678" t="s">
        <v>8520</v>
      </c>
      <c r="B678" s="3" t="s">
        <v>102</v>
      </c>
      <c r="G678" t="s">
        <v>8607</v>
      </c>
      <c r="H678">
        <v>31</v>
      </c>
      <c r="I678" t="s">
        <v>9300</v>
      </c>
      <c r="J678" t="str">
        <f t="shared" si="10"/>
        <v>13F-HR-.31.C5</v>
      </c>
      <c r="K678" s="5" t="s">
        <v>8622</v>
      </c>
      <c r="L678" t="s">
        <v>241</v>
      </c>
      <c r="M678" t="s">
        <v>8623</v>
      </c>
      <c r="N678" t="s">
        <v>8624</v>
      </c>
      <c r="Q678" s="28">
        <v>11885</v>
      </c>
    </row>
    <row r="679" spans="1:17" x14ac:dyDescent="0.35">
      <c r="A679" t="s">
        <v>8520</v>
      </c>
      <c r="B679" s="3" t="s">
        <v>102</v>
      </c>
      <c r="G679" t="s">
        <v>8607</v>
      </c>
      <c r="H679">
        <v>32</v>
      </c>
      <c r="I679" t="s">
        <v>9301</v>
      </c>
      <c r="J679" t="str">
        <f t="shared" si="10"/>
        <v>13F-HR-.32.C6</v>
      </c>
      <c r="K679" s="5" t="s">
        <v>8625</v>
      </c>
      <c r="L679" t="s">
        <v>229</v>
      </c>
      <c r="M679" t="s">
        <v>8626</v>
      </c>
      <c r="N679" t="s">
        <v>8627</v>
      </c>
      <c r="Q679" s="28" t="s">
        <v>8628</v>
      </c>
    </row>
    <row r="680" spans="1:17" x14ac:dyDescent="0.35">
      <c r="A680" t="s">
        <v>8520</v>
      </c>
      <c r="B680" s="3" t="s">
        <v>102</v>
      </c>
      <c r="G680" t="s">
        <v>8607</v>
      </c>
      <c r="H680">
        <v>33</v>
      </c>
      <c r="I680" t="s">
        <v>9302</v>
      </c>
      <c r="J680" t="str">
        <f t="shared" si="10"/>
        <v>13F-HR-.33.C7</v>
      </c>
      <c r="K680" s="5" t="s">
        <v>8629</v>
      </c>
      <c r="L680" t="s">
        <v>229</v>
      </c>
      <c r="M680" t="s">
        <v>8630</v>
      </c>
      <c r="N680" t="s">
        <v>8631</v>
      </c>
      <c r="Q680" s="28" t="s">
        <v>8685</v>
      </c>
    </row>
    <row r="681" spans="1:17" x14ac:dyDescent="0.35">
      <c r="A681" t="s">
        <v>8520</v>
      </c>
      <c r="B681" s="3" t="s">
        <v>102</v>
      </c>
      <c r="G681" t="s">
        <v>8607</v>
      </c>
      <c r="H681">
        <v>34</v>
      </c>
      <c r="I681" t="s">
        <v>9303</v>
      </c>
      <c r="J681" t="str">
        <f t="shared" si="10"/>
        <v>13F-HR-.34.C8</v>
      </c>
      <c r="K681" s="5" t="s">
        <v>8633</v>
      </c>
      <c r="L681" t="s">
        <v>4735</v>
      </c>
      <c r="M681" t="s">
        <v>8634</v>
      </c>
      <c r="N681" t="s">
        <v>8635</v>
      </c>
      <c r="Q681" s="28" t="s">
        <v>8632</v>
      </c>
    </row>
    <row r="682" spans="1:17" x14ac:dyDescent="0.35">
      <c r="A682" t="s">
        <v>8651</v>
      </c>
      <c r="B682" s="3" t="s">
        <v>102</v>
      </c>
      <c r="G682" t="s">
        <v>8607</v>
      </c>
      <c r="H682">
        <v>35</v>
      </c>
      <c r="I682" t="s">
        <v>9304</v>
      </c>
      <c r="J682" t="str">
        <f t="shared" si="10"/>
        <v>135-HR-.35.C9</v>
      </c>
      <c r="K682" s="5" t="s">
        <v>8637</v>
      </c>
      <c r="L682" t="s">
        <v>229</v>
      </c>
      <c r="M682" t="s">
        <v>8638</v>
      </c>
      <c r="N682" t="s">
        <v>8639</v>
      </c>
      <c r="Q682" s="28" t="s">
        <v>8636</v>
      </c>
    </row>
    <row r="683" spans="1:17" x14ac:dyDescent="0.35">
      <c r="A683" t="s">
        <v>8520</v>
      </c>
      <c r="B683" s="3" t="s">
        <v>102</v>
      </c>
      <c r="G683" t="s">
        <v>8607</v>
      </c>
      <c r="H683">
        <v>36</v>
      </c>
      <c r="I683" t="s">
        <v>9305</v>
      </c>
      <c r="J683" t="str">
        <f t="shared" si="10"/>
        <v>13F-HR-.36.C10</v>
      </c>
      <c r="K683" s="5" t="s">
        <v>8640</v>
      </c>
      <c r="L683" t="s">
        <v>241</v>
      </c>
      <c r="M683" t="s">
        <v>8641</v>
      </c>
      <c r="N683" t="s">
        <v>8642</v>
      </c>
      <c r="Q683" s="28">
        <v>0</v>
      </c>
    </row>
    <row r="684" spans="1:17" x14ac:dyDescent="0.35">
      <c r="A684" t="s">
        <v>8520</v>
      </c>
      <c r="B684" s="3" t="s">
        <v>102</v>
      </c>
      <c r="G684" t="s">
        <v>8607</v>
      </c>
      <c r="H684">
        <v>37</v>
      </c>
      <c r="I684" t="s">
        <v>9306</v>
      </c>
      <c r="J684" t="str">
        <f t="shared" si="10"/>
        <v>13F-HR-.37.C11</v>
      </c>
      <c r="K684" s="5" t="s">
        <v>8643</v>
      </c>
      <c r="L684" t="s">
        <v>241</v>
      </c>
      <c r="M684" t="s">
        <v>8644</v>
      </c>
      <c r="N684" t="s">
        <v>8645</v>
      </c>
      <c r="Q684" s="28">
        <v>0</v>
      </c>
    </row>
    <row r="685" spans="1:17" x14ac:dyDescent="0.35">
      <c r="A685" t="s">
        <v>8520</v>
      </c>
      <c r="B685" s="3" t="s">
        <v>102</v>
      </c>
      <c r="G685" t="s">
        <v>8607</v>
      </c>
      <c r="H685">
        <v>38</v>
      </c>
      <c r="I685" t="s">
        <v>9307</v>
      </c>
      <c r="J685" t="str">
        <f t="shared" si="10"/>
        <v>13F-HR-.38.C12</v>
      </c>
      <c r="K685" s="5" t="s">
        <v>8646</v>
      </c>
      <c r="L685" t="s">
        <v>241</v>
      </c>
      <c r="M685" t="s">
        <v>8647</v>
      </c>
      <c r="N685" t="s">
        <v>8648</v>
      </c>
      <c r="Q685" s="28">
        <v>11885</v>
      </c>
    </row>
    <row r="686" spans="1:17" x14ac:dyDescent="0.35">
      <c r="A686" t="s">
        <v>8520</v>
      </c>
      <c r="B686" s="3" t="s">
        <v>102</v>
      </c>
      <c r="G686" t="s">
        <v>8607</v>
      </c>
      <c r="H686">
        <v>27</v>
      </c>
      <c r="I686" t="s">
        <v>9296</v>
      </c>
      <c r="J686" t="str">
        <f t="shared" si="10"/>
        <v>13F-HR-.27.C1</v>
      </c>
      <c r="K686" s="5" t="s">
        <v>8608</v>
      </c>
      <c r="L686" t="s">
        <v>229</v>
      </c>
      <c r="M686" t="s">
        <v>8609</v>
      </c>
      <c r="N686" t="s">
        <v>8610</v>
      </c>
      <c r="Q686" s="28" t="s">
        <v>8744</v>
      </c>
    </row>
    <row r="687" spans="1:17" x14ac:dyDescent="0.35">
      <c r="A687" t="s">
        <v>8520</v>
      </c>
      <c r="B687" s="3" t="s">
        <v>102</v>
      </c>
      <c r="G687" t="s">
        <v>8607</v>
      </c>
      <c r="H687">
        <v>28</v>
      </c>
      <c r="I687" t="s">
        <v>9297</v>
      </c>
      <c r="J687" t="str">
        <f t="shared" si="10"/>
        <v>13F-HR-.28.C2</v>
      </c>
      <c r="K687" s="5" t="s">
        <v>8612</v>
      </c>
      <c r="L687" t="s">
        <v>229</v>
      </c>
      <c r="M687" t="s">
        <v>8613</v>
      </c>
      <c r="N687" t="s">
        <v>8614</v>
      </c>
      <c r="Q687" s="28" t="s">
        <v>8615</v>
      </c>
    </row>
    <row r="688" spans="1:17" x14ac:dyDescent="0.35">
      <c r="A688" t="s">
        <v>8520</v>
      </c>
      <c r="B688" s="3" t="s">
        <v>102</v>
      </c>
      <c r="G688" t="s">
        <v>8607</v>
      </c>
      <c r="H688">
        <v>29</v>
      </c>
      <c r="I688" t="s">
        <v>9298</v>
      </c>
      <c r="J688" t="str">
        <f t="shared" si="10"/>
        <v>13F-HR-.29.C3</v>
      </c>
      <c r="K688" s="5" t="s">
        <v>8616</v>
      </c>
      <c r="L688" t="s">
        <v>229</v>
      </c>
      <c r="M688" t="s">
        <v>7927</v>
      </c>
      <c r="N688" t="s">
        <v>8617</v>
      </c>
      <c r="Q688" s="28">
        <v>136069101</v>
      </c>
    </row>
    <row r="689" spans="1:17" x14ac:dyDescent="0.35">
      <c r="A689" t="s">
        <v>8520</v>
      </c>
      <c r="B689" s="3" t="s">
        <v>102</v>
      </c>
      <c r="G689" t="s">
        <v>8607</v>
      </c>
      <c r="H689">
        <v>30</v>
      </c>
      <c r="I689" t="s">
        <v>9299</v>
      </c>
      <c r="J689" t="str">
        <f t="shared" si="10"/>
        <v>13F-HR-.30.C4</v>
      </c>
      <c r="K689" s="5" t="s">
        <v>8618</v>
      </c>
      <c r="L689" t="s">
        <v>8619</v>
      </c>
      <c r="M689" t="s">
        <v>8620</v>
      </c>
      <c r="N689" t="s">
        <v>8621</v>
      </c>
      <c r="Q689" s="28">
        <v>3254295</v>
      </c>
    </row>
    <row r="690" spans="1:17" x14ac:dyDescent="0.35">
      <c r="A690" t="s">
        <v>8520</v>
      </c>
      <c r="B690" s="3" t="s">
        <v>102</v>
      </c>
      <c r="G690" t="s">
        <v>8607</v>
      </c>
      <c r="H690">
        <v>31</v>
      </c>
      <c r="I690" t="s">
        <v>9300</v>
      </c>
      <c r="J690" t="str">
        <f t="shared" si="10"/>
        <v>13F-HR-.31.C5</v>
      </c>
      <c r="K690" s="5" t="s">
        <v>8622</v>
      </c>
      <c r="L690" t="s">
        <v>241</v>
      </c>
      <c r="M690" t="s">
        <v>8623</v>
      </c>
      <c r="N690" t="s">
        <v>8624</v>
      </c>
      <c r="Q690" s="28">
        <v>57857</v>
      </c>
    </row>
    <row r="691" spans="1:17" x14ac:dyDescent="0.35">
      <c r="A691" t="s">
        <v>8520</v>
      </c>
      <c r="B691" s="3" t="s">
        <v>102</v>
      </c>
      <c r="G691" t="s">
        <v>8607</v>
      </c>
      <c r="H691">
        <v>32</v>
      </c>
      <c r="I691" t="s">
        <v>9301</v>
      </c>
      <c r="J691" t="str">
        <f t="shared" si="10"/>
        <v>13F-HR-.32.C6</v>
      </c>
      <c r="K691" s="5" t="s">
        <v>8625</v>
      </c>
      <c r="L691" t="s">
        <v>229</v>
      </c>
      <c r="M691" t="s">
        <v>8626</v>
      </c>
      <c r="N691" t="s">
        <v>8627</v>
      </c>
      <c r="Q691" s="28" t="s">
        <v>8628</v>
      </c>
    </row>
    <row r="692" spans="1:17" x14ac:dyDescent="0.35">
      <c r="A692" t="s">
        <v>8520</v>
      </c>
      <c r="B692" s="3" t="s">
        <v>102</v>
      </c>
      <c r="G692" t="s">
        <v>8607</v>
      </c>
      <c r="H692">
        <v>33</v>
      </c>
      <c r="I692" t="s">
        <v>9302</v>
      </c>
      <c r="J692" t="str">
        <f t="shared" si="10"/>
        <v>13F-HR-.33.C7</v>
      </c>
      <c r="K692" s="5" t="s">
        <v>8629</v>
      </c>
      <c r="L692" t="s">
        <v>229</v>
      </c>
      <c r="M692" t="s">
        <v>8630</v>
      </c>
      <c r="N692" t="s">
        <v>8631</v>
      </c>
      <c r="Q692" s="28" t="s">
        <v>8685</v>
      </c>
    </row>
    <row r="693" spans="1:17" x14ac:dyDescent="0.35">
      <c r="A693" t="s">
        <v>8520</v>
      </c>
      <c r="B693" s="3" t="s">
        <v>102</v>
      </c>
      <c r="G693" t="s">
        <v>8607</v>
      </c>
      <c r="H693">
        <v>34</v>
      </c>
      <c r="I693" t="s">
        <v>9303</v>
      </c>
      <c r="J693" t="str">
        <f t="shared" si="10"/>
        <v>13F-HR-.34.C8</v>
      </c>
      <c r="K693" s="5" t="s">
        <v>8633</v>
      </c>
      <c r="L693" t="s">
        <v>4735</v>
      </c>
      <c r="M693" t="s">
        <v>8634</v>
      </c>
      <c r="N693" t="s">
        <v>8635</v>
      </c>
      <c r="Q693" s="28" t="s">
        <v>8632</v>
      </c>
    </row>
    <row r="694" spans="1:17" x14ac:dyDescent="0.35">
      <c r="A694" t="s">
        <v>8651</v>
      </c>
      <c r="B694" s="3" t="s">
        <v>102</v>
      </c>
      <c r="G694" t="s">
        <v>8607</v>
      </c>
      <c r="H694">
        <v>35</v>
      </c>
      <c r="I694" t="s">
        <v>9304</v>
      </c>
      <c r="J694" t="str">
        <f t="shared" si="10"/>
        <v>135-HR-.35.C9</v>
      </c>
      <c r="K694" s="5" t="s">
        <v>8637</v>
      </c>
      <c r="L694" t="s">
        <v>229</v>
      </c>
      <c r="M694" t="s">
        <v>8638</v>
      </c>
      <c r="N694" t="s">
        <v>8639</v>
      </c>
      <c r="Q694" s="28" t="s">
        <v>8636</v>
      </c>
    </row>
    <row r="695" spans="1:17" x14ac:dyDescent="0.35">
      <c r="A695" t="s">
        <v>8520</v>
      </c>
      <c r="B695" s="3" t="s">
        <v>102</v>
      </c>
      <c r="G695" t="s">
        <v>8607</v>
      </c>
      <c r="H695">
        <v>36</v>
      </c>
      <c r="I695" t="s">
        <v>9305</v>
      </c>
      <c r="J695" t="str">
        <f t="shared" si="10"/>
        <v>13F-HR-.36.C10</v>
      </c>
      <c r="K695" s="5" t="s">
        <v>8640</v>
      </c>
      <c r="L695" t="s">
        <v>241</v>
      </c>
      <c r="M695" t="s">
        <v>8641</v>
      </c>
      <c r="N695" t="s">
        <v>8642</v>
      </c>
      <c r="Q695" s="28">
        <v>56920</v>
      </c>
    </row>
    <row r="696" spans="1:17" x14ac:dyDescent="0.35">
      <c r="A696" t="s">
        <v>8520</v>
      </c>
      <c r="B696" s="3" t="s">
        <v>102</v>
      </c>
      <c r="G696" t="s">
        <v>8607</v>
      </c>
      <c r="H696">
        <v>37</v>
      </c>
      <c r="I696" t="s">
        <v>9306</v>
      </c>
      <c r="J696" t="str">
        <f t="shared" si="10"/>
        <v>13F-HR-.37.C11</v>
      </c>
      <c r="K696" s="5" t="s">
        <v>8643</v>
      </c>
      <c r="L696" t="s">
        <v>241</v>
      </c>
      <c r="M696" t="s">
        <v>8644</v>
      </c>
      <c r="N696" t="s">
        <v>8645</v>
      </c>
      <c r="Q696" s="28">
        <v>0</v>
      </c>
    </row>
    <row r="697" spans="1:17" x14ac:dyDescent="0.35">
      <c r="A697" t="s">
        <v>8520</v>
      </c>
      <c r="B697" s="3" t="s">
        <v>102</v>
      </c>
      <c r="G697" t="s">
        <v>8607</v>
      </c>
      <c r="H697">
        <v>38</v>
      </c>
      <c r="I697" t="s">
        <v>9307</v>
      </c>
      <c r="J697" t="str">
        <f t="shared" si="10"/>
        <v>13F-HR-.38.C12</v>
      </c>
      <c r="K697" s="5" t="s">
        <v>8646</v>
      </c>
      <c r="L697" t="s">
        <v>241</v>
      </c>
      <c r="M697" t="s">
        <v>8647</v>
      </c>
      <c r="N697" t="s">
        <v>8648</v>
      </c>
      <c r="Q697" s="28">
        <v>937</v>
      </c>
    </row>
    <row r="698" spans="1:17" x14ac:dyDescent="0.35">
      <c r="A698" t="s">
        <v>8520</v>
      </c>
      <c r="B698" s="3" t="s">
        <v>102</v>
      </c>
      <c r="G698" t="s">
        <v>8607</v>
      </c>
      <c r="H698">
        <v>27</v>
      </c>
      <c r="I698" t="s">
        <v>9296</v>
      </c>
      <c r="J698" t="str">
        <f t="shared" si="10"/>
        <v>13F-HR-.27.C1</v>
      </c>
      <c r="K698" s="5" t="s">
        <v>8608</v>
      </c>
      <c r="L698" t="s">
        <v>229</v>
      </c>
      <c r="M698" t="s">
        <v>8609</v>
      </c>
      <c r="N698" t="s">
        <v>8610</v>
      </c>
      <c r="Q698" s="28" t="s">
        <v>8745</v>
      </c>
    </row>
    <row r="699" spans="1:17" x14ac:dyDescent="0.35">
      <c r="A699" t="s">
        <v>8520</v>
      </c>
      <c r="B699" s="3" t="s">
        <v>102</v>
      </c>
      <c r="G699" t="s">
        <v>8607</v>
      </c>
      <c r="H699">
        <v>28</v>
      </c>
      <c r="I699" t="s">
        <v>9297</v>
      </c>
      <c r="J699" t="str">
        <f t="shared" si="10"/>
        <v>13F-HR-.28.C2</v>
      </c>
      <c r="K699" s="5" t="s">
        <v>8612</v>
      </c>
      <c r="L699" t="s">
        <v>229</v>
      </c>
      <c r="M699" t="s">
        <v>8613</v>
      </c>
      <c r="N699" t="s">
        <v>8614</v>
      </c>
      <c r="Q699" s="28" t="s">
        <v>8615</v>
      </c>
    </row>
    <row r="700" spans="1:17" x14ac:dyDescent="0.35">
      <c r="A700" t="s">
        <v>8520</v>
      </c>
      <c r="B700" s="3" t="s">
        <v>102</v>
      </c>
      <c r="G700" t="s">
        <v>8607</v>
      </c>
      <c r="H700">
        <v>29</v>
      </c>
      <c r="I700" t="s">
        <v>9298</v>
      </c>
      <c r="J700" t="str">
        <f t="shared" si="10"/>
        <v>13F-HR-.29.C3</v>
      </c>
      <c r="K700" s="5" t="s">
        <v>8616</v>
      </c>
      <c r="L700" t="s">
        <v>229</v>
      </c>
      <c r="M700" t="s">
        <v>7927</v>
      </c>
      <c r="N700" t="s">
        <v>8617</v>
      </c>
      <c r="Q700" s="28">
        <v>136375102</v>
      </c>
    </row>
    <row r="701" spans="1:17" x14ac:dyDescent="0.35">
      <c r="A701" t="s">
        <v>8520</v>
      </c>
      <c r="B701" s="3" t="s">
        <v>102</v>
      </c>
      <c r="G701" t="s">
        <v>8607</v>
      </c>
      <c r="H701">
        <v>30</v>
      </c>
      <c r="I701" t="s">
        <v>9299</v>
      </c>
      <c r="J701" t="str">
        <f t="shared" si="10"/>
        <v>13F-HR-.30.C4</v>
      </c>
      <c r="K701" s="5" t="s">
        <v>8618</v>
      </c>
      <c r="L701" t="s">
        <v>8619</v>
      </c>
      <c r="M701" t="s">
        <v>8620</v>
      </c>
      <c r="N701" t="s">
        <v>8621</v>
      </c>
      <c r="Q701" s="28">
        <v>40818277</v>
      </c>
    </row>
    <row r="702" spans="1:17" x14ac:dyDescent="0.35">
      <c r="A702" t="s">
        <v>8520</v>
      </c>
      <c r="B702" s="3" t="s">
        <v>102</v>
      </c>
      <c r="G702" t="s">
        <v>8607</v>
      </c>
      <c r="H702">
        <v>31</v>
      </c>
      <c r="I702" t="s">
        <v>9300</v>
      </c>
      <c r="J702" t="str">
        <f t="shared" si="10"/>
        <v>13F-HR-.31.C5</v>
      </c>
      <c r="K702" s="5" t="s">
        <v>8622</v>
      </c>
      <c r="L702" t="s">
        <v>241</v>
      </c>
      <c r="M702" t="s">
        <v>8623</v>
      </c>
      <c r="N702" t="s">
        <v>8624</v>
      </c>
      <c r="Q702" s="28">
        <v>419418</v>
      </c>
    </row>
    <row r="703" spans="1:17" x14ac:dyDescent="0.35">
      <c r="A703" t="s">
        <v>8520</v>
      </c>
      <c r="B703" s="3" t="s">
        <v>102</v>
      </c>
      <c r="G703" t="s">
        <v>8607</v>
      </c>
      <c r="H703">
        <v>32</v>
      </c>
      <c r="I703" t="s">
        <v>9301</v>
      </c>
      <c r="J703" t="str">
        <f t="shared" si="10"/>
        <v>13F-HR-.32.C6</v>
      </c>
      <c r="K703" s="5" t="s">
        <v>8625</v>
      </c>
      <c r="L703" t="s">
        <v>229</v>
      </c>
      <c r="M703" t="s">
        <v>8626</v>
      </c>
      <c r="N703" t="s">
        <v>8627</v>
      </c>
      <c r="Q703" s="28" t="s">
        <v>8628</v>
      </c>
    </row>
    <row r="704" spans="1:17" x14ac:dyDescent="0.35">
      <c r="A704" t="s">
        <v>8520</v>
      </c>
      <c r="B704" s="3" t="s">
        <v>102</v>
      </c>
      <c r="G704" t="s">
        <v>8607</v>
      </c>
      <c r="H704">
        <v>33</v>
      </c>
      <c r="I704" t="s">
        <v>9302</v>
      </c>
      <c r="J704" t="str">
        <f t="shared" si="10"/>
        <v>13F-HR-.33.C7</v>
      </c>
      <c r="K704" s="5" t="s">
        <v>8629</v>
      </c>
      <c r="L704" t="s">
        <v>229</v>
      </c>
      <c r="M704" t="s">
        <v>8630</v>
      </c>
      <c r="N704" t="s">
        <v>8631</v>
      </c>
      <c r="Q704" s="28" t="s">
        <v>8685</v>
      </c>
    </row>
    <row r="705" spans="1:17" x14ac:dyDescent="0.35">
      <c r="A705" t="s">
        <v>8520</v>
      </c>
      <c r="B705" s="3" t="s">
        <v>102</v>
      </c>
      <c r="G705" t="s">
        <v>8607</v>
      </c>
      <c r="H705">
        <v>34</v>
      </c>
      <c r="I705" t="s">
        <v>9303</v>
      </c>
      <c r="J705" t="str">
        <f t="shared" si="10"/>
        <v>13F-HR-.34.C8</v>
      </c>
      <c r="K705" s="5" t="s">
        <v>8633</v>
      </c>
      <c r="L705" t="s">
        <v>4735</v>
      </c>
      <c r="M705" t="s">
        <v>8634</v>
      </c>
      <c r="N705" t="s">
        <v>8635</v>
      </c>
      <c r="Q705" s="28" t="s">
        <v>8632</v>
      </c>
    </row>
    <row r="706" spans="1:17" x14ac:dyDescent="0.35">
      <c r="A706" t="s">
        <v>8651</v>
      </c>
      <c r="B706" s="3" t="s">
        <v>102</v>
      </c>
      <c r="G706" t="s">
        <v>8607</v>
      </c>
      <c r="H706">
        <v>35</v>
      </c>
      <c r="I706" t="s">
        <v>9304</v>
      </c>
      <c r="J706" t="str">
        <f t="shared" si="10"/>
        <v>135-HR-.35.C9</v>
      </c>
      <c r="K706" s="5" t="s">
        <v>8637</v>
      </c>
      <c r="L706" t="s">
        <v>229</v>
      </c>
      <c r="M706" t="s">
        <v>8638</v>
      </c>
      <c r="N706" t="s">
        <v>8639</v>
      </c>
      <c r="Q706" s="28" t="s">
        <v>8636</v>
      </c>
    </row>
    <row r="707" spans="1:17" x14ac:dyDescent="0.35">
      <c r="A707" t="s">
        <v>8520</v>
      </c>
      <c r="B707" s="3" t="s">
        <v>102</v>
      </c>
      <c r="G707" t="s">
        <v>8607</v>
      </c>
      <c r="H707">
        <v>36</v>
      </c>
      <c r="I707" t="s">
        <v>9305</v>
      </c>
      <c r="J707" t="str">
        <f t="shared" ref="J707:J770" si="11">_xlfn.CONCAT(A707,"-",F707,".",H707,".",I707)</f>
        <v>13F-HR-.36.C10</v>
      </c>
      <c r="K707" s="5" t="s">
        <v>8640</v>
      </c>
      <c r="L707" t="s">
        <v>241</v>
      </c>
      <c r="M707" t="s">
        <v>8641</v>
      </c>
      <c r="N707" t="s">
        <v>8642</v>
      </c>
      <c r="Q707" s="28">
        <v>324338</v>
      </c>
    </row>
    <row r="708" spans="1:17" x14ac:dyDescent="0.35">
      <c r="A708" t="s">
        <v>8520</v>
      </c>
      <c r="B708" s="3" t="s">
        <v>102</v>
      </c>
      <c r="G708" t="s">
        <v>8607</v>
      </c>
      <c r="H708">
        <v>37</v>
      </c>
      <c r="I708" t="s">
        <v>9306</v>
      </c>
      <c r="J708" t="str">
        <f t="shared" si="11"/>
        <v>13F-HR-.37.C11</v>
      </c>
      <c r="K708" s="5" t="s">
        <v>8643</v>
      </c>
      <c r="L708" t="s">
        <v>241</v>
      </c>
      <c r="M708" t="s">
        <v>8644</v>
      </c>
      <c r="N708" t="s">
        <v>8645</v>
      </c>
      <c r="Q708" s="28">
        <v>0</v>
      </c>
    </row>
    <row r="709" spans="1:17" x14ac:dyDescent="0.35">
      <c r="A709" t="s">
        <v>8520</v>
      </c>
      <c r="B709" s="3" t="s">
        <v>102</v>
      </c>
      <c r="G709" t="s">
        <v>8607</v>
      </c>
      <c r="H709">
        <v>38</v>
      </c>
      <c r="I709" t="s">
        <v>9307</v>
      </c>
      <c r="J709" t="str">
        <f t="shared" si="11"/>
        <v>13F-HR-.38.C12</v>
      </c>
      <c r="K709" s="5" t="s">
        <v>8646</v>
      </c>
      <c r="L709" t="s">
        <v>241</v>
      </c>
      <c r="M709" t="s">
        <v>8647</v>
      </c>
      <c r="N709" t="s">
        <v>8648</v>
      </c>
      <c r="Q709" s="28">
        <v>95080</v>
      </c>
    </row>
    <row r="710" spans="1:17" x14ac:dyDescent="0.35">
      <c r="A710" t="s">
        <v>8520</v>
      </c>
      <c r="B710" s="3" t="s">
        <v>102</v>
      </c>
      <c r="G710" t="s">
        <v>8607</v>
      </c>
      <c r="H710">
        <v>27</v>
      </c>
      <c r="I710" t="s">
        <v>9296</v>
      </c>
      <c r="J710" t="str">
        <f t="shared" si="11"/>
        <v>13F-HR-.27.C1</v>
      </c>
      <c r="K710" t="s">
        <v>8608</v>
      </c>
      <c r="L710" t="s">
        <v>229</v>
      </c>
      <c r="M710" t="s">
        <v>8609</v>
      </c>
      <c r="N710" t="s">
        <v>8610</v>
      </c>
      <c r="Q710" s="28" t="s">
        <v>8746</v>
      </c>
    </row>
    <row r="711" spans="1:17" x14ac:dyDescent="0.35">
      <c r="A711" t="s">
        <v>8520</v>
      </c>
      <c r="B711" s="3" t="s">
        <v>102</v>
      </c>
      <c r="G711" t="s">
        <v>8607</v>
      </c>
      <c r="H711">
        <v>28</v>
      </c>
      <c r="I711" t="s">
        <v>9297</v>
      </c>
      <c r="J711" t="str">
        <f t="shared" si="11"/>
        <v>13F-HR-.28.C2</v>
      </c>
      <c r="K711" t="s">
        <v>8612</v>
      </c>
      <c r="L711" t="s">
        <v>229</v>
      </c>
      <c r="M711" t="s">
        <v>8613</v>
      </c>
      <c r="N711" t="s">
        <v>8614</v>
      </c>
      <c r="Q711" s="28" t="s">
        <v>8615</v>
      </c>
    </row>
    <row r="712" spans="1:17" x14ac:dyDescent="0.35">
      <c r="A712" t="s">
        <v>8520</v>
      </c>
      <c r="B712" s="3" t="s">
        <v>102</v>
      </c>
      <c r="G712" t="s">
        <v>8607</v>
      </c>
      <c r="H712">
        <v>29</v>
      </c>
      <c r="I712" t="s">
        <v>9298</v>
      </c>
      <c r="J712" t="str">
        <f t="shared" si="11"/>
        <v>13F-HR-.29.C3</v>
      </c>
      <c r="K712" t="s">
        <v>8616</v>
      </c>
      <c r="L712" t="s">
        <v>229</v>
      </c>
      <c r="M712" t="s">
        <v>7927</v>
      </c>
      <c r="N712" t="s">
        <v>8617</v>
      </c>
      <c r="Q712" s="28">
        <v>136385101</v>
      </c>
    </row>
    <row r="713" spans="1:17" x14ac:dyDescent="0.35">
      <c r="A713" t="s">
        <v>8520</v>
      </c>
      <c r="B713" s="3" t="s">
        <v>102</v>
      </c>
      <c r="G713" t="s">
        <v>8607</v>
      </c>
      <c r="H713">
        <v>30</v>
      </c>
      <c r="I713" t="s">
        <v>9299</v>
      </c>
      <c r="J713" t="str">
        <f t="shared" si="11"/>
        <v>13F-HR-.30.C4</v>
      </c>
      <c r="K713" t="s">
        <v>8618</v>
      </c>
      <c r="L713" t="s">
        <v>8619</v>
      </c>
      <c r="M713" t="s">
        <v>8620</v>
      </c>
      <c r="N713" t="s">
        <v>8621</v>
      </c>
      <c r="Q713" s="28">
        <v>19975031</v>
      </c>
    </row>
    <row r="714" spans="1:17" x14ac:dyDescent="0.35">
      <c r="A714" t="s">
        <v>8520</v>
      </c>
      <c r="B714" s="3" t="s">
        <v>102</v>
      </c>
      <c r="G714" t="s">
        <v>8607</v>
      </c>
      <c r="H714">
        <v>31</v>
      </c>
      <c r="I714" t="s">
        <v>9300</v>
      </c>
      <c r="J714" t="str">
        <f t="shared" si="11"/>
        <v>13F-HR-.31.C5</v>
      </c>
      <c r="K714" t="s">
        <v>8622</v>
      </c>
      <c r="L714" t="s">
        <v>241</v>
      </c>
      <c r="M714" t="s">
        <v>8623</v>
      </c>
      <c r="N714" t="s">
        <v>8624</v>
      </c>
      <c r="Q714" s="28">
        <v>648777</v>
      </c>
    </row>
    <row r="715" spans="1:17" x14ac:dyDescent="0.35">
      <c r="A715" t="s">
        <v>8520</v>
      </c>
      <c r="B715" s="3" t="s">
        <v>102</v>
      </c>
      <c r="G715" t="s">
        <v>8607</v>
      </c>
      <c r="H715">
        <v>32</v>
      </c>
      <c r="I715" t="s">
        <v>9301</v>
      </c>
      <c r="J715" t="str">
        <f t="shared" si="11"/>
        <v>13F-HR-.32.C6</v>
      </c>
      <c r="K715" t="s">
        <v>8625</v>
      </c>
      <c r="L715" t="s">
        <v>229</v>
      </c>
      <c r="M715" t="s">
        <v>8626</v>
      </c>
      <c r="N715" t="s">
        <v>8627</v>
      </c>
      <c r="Q715" s="28" t="s">
        <v>8628</v>
      </c>
    </row>
    <row r="716" spans="1:17" x14ac:dyDescent="0.35">
      <c r="A716" t="s">
        <v>8520</v>
      </c>
      <c r="B716" s="3" t="s">
        <v>102</v>
      </c>
      <c r="G716" t="s">
        <v>8607</v>
      </c>
      <c r="H716">
        <v>33</v>
      </c>
      <c r="I716" t="s">
        <v>9302</v>
      </c>
      <c r="J716" t="str">
        <f t="shared" si="11"/>
        <v>13F-HR-.33.C7</v>
      </c>
      <c r="K716" t="s">
        <v>8629</v>
      </c>
      <c r="L716" t="s">
        <v>229</v>
      </c>
      <c r="M716" t="s">
        <v>8630</v>
      </c>
      <c r="N716" t="s">
        <v>8631</v>
      </c>
      <c r="Q716" s="28" t="s">
        <v>8685</v>
      </c>
    </row>
    <row r="717" spans="1:17" x14ac:dyDescent="0.35">
      <c r="A717" t="s">
        <v>8520</v>
      </c>
      <c r="B717" s="3" t="s">
        <v>102</v>
      </c>
      <c r="G717" t="s">
        <v>8607</v>
      </c>
      <c r="H717">
        <v>34</v>
      </c>
      <c r="I717" t="s">
        <v>9303</v>
      </c>
      <c r="J717" t="str">
        <f t="shared" si="11"/>
        <v>13F-HR-.34.C8</v>
      </c>
      <c r="K717" t="s">
        <v>8633</v>
      </c>
      <c r="L717" t="s">
        <v>4735</v>
      </c>
      <c r="M717" t="s">
        <v>8634</v>
      </c>
      <c r="N717" t="s">
        <v>8635</v>
      </c>
      <c r="Q717" s="28" t="s">
        <v>8632</v>
      </c>
    </row>
    <row r="718" spans="1:17" x14ac:dyDescent="0.35">
      <c r="A718" t="s">
        <v>8651</v>
      </c>
      <c r="B718" s="3" t="s">
        <v>102</v>
      </c>
      <c r="G718" t="s">
        <v>8607</v>
      </c>
      <c r="H718">
        <v>35</v>
      </c>
      <c r="I718" t="s">
        <v>9304</v>
      </c>
      <c r="J718" t="str">
        <f t="shared" si="11"/>
        <v>135-HR-.35.C9</v>
      </c>
      <c r="K718" t="s">
        <v>8637</v>
      </c>
      <c r="L718" t="s">
        <v>229</v>
      </c>
      <c r="M718" t="s">
        <v>8638</v>
      </c>
      <c r="N718" t="s">
        <v>8639</v>
      </c>
      <c r="Q718" s="28" t="s">
        <v>8636</v>
      </c>
    </row>
    <row r="719" spans="1:17" x14ac:dyDescent="0.35">
      <c r="A719" t="s">
        <v>8520</v>
      </c>
      <c r="B719" s="3" t="s">
        <v>102</v>
      </c>
      <c r="G719" t="s">
        <v>8607</v>
      </c>
      <c r="H719">
        <v>36</v>
      </c>
      <c r="I719" t="s">
        <v>9305</v>
      </c>
      <c r="J719" t="str">
        <f t="shared" si="11"/>
        <v>13F-HR-.36.C10</v>
      </c>
      <c r="K719" t="s">
        <v>8640</v>
      </c>
      <c r="L719" t="s">
        <v>241</v>
      </c>
      <c r="M719" t="s">
        <v>8641</v>
      </c>
      <c r="N719" t="s">
        <v>8642</v>
      </c>
      <c r="Q719" s="28">
        <v>231045</v>
      </c>
    </row>
    <row r="720" spans="1:17" x14ac:dyDescent="0.35">
      <c r="A720" t="s">
        <v>8520</v>
      </c>
      <c r="B720" s="3" t="s">
        <v>102</v>
      </c>
      <c r="G720" t="s">
        <v>8607</v>
      </c>
      <c r="H720">
        <v>37</v>
      </c>
      <c r="I720" t="s">
        <v>9306</v>
      </c>
      <c r="J720" t="str">
        <f t="shared" si="11"/>
        <v>13F-HR-.37.C11</v>
      </c>
      <c r="K720" t="s">
        <v>8643</v>
      </c>
      <c r="L720" t="s">
        <v>241</v>
      </c>
      <c r="M720" t="s">
        <v>8644</v>
      </c>
      <c r="N720" t="s">
        <v>8645</v>
      </c>
      <c r="Q720" s="28">
        <v>0</v>
      </c>
    </row>
    <row r="721" spans="1:17" x14ac:dyDescent="0.35">
      <c r="A721" t="s">
        <v>8520</v>
      </c>
      <c r="B721" s="3" t="s">
        <v>102</v>
      </c>
      <c r="G721" t="s">
        <v>8607</v>
      </c>
      <c r="H721">
        <v>38</v>
      </c>
      <c r="I721" t="s">
        <v>9307</v>
      </c>
      <c r="J721" t="str">
        <f t="shared" si="11"/>
        <v>13F-HR-.38.C12</v>
      </c>
      <c r="K721" t="s">
        <v>8646</v>
      </c>
      <c r="L721" t="s">
        <v>241</v>
      </c>
      <c r="M721" t="s">
        <v>8647</v>
      </c>
      <c r="N721" t="s">
        <v>8648</v>
      </c>
      <c r="Q721" s="28">
        <v>417732</v>
      </c>
    </row>
    <row r="722" spans="1:17" x14ac:dyDescent="0.35">
      <c r="A722" t="s">
        <v>8520</v>
      </c>
      <c r="B722" s="3" t="s">
        <v>102</v>
      </c>
      <c r="G722" t="s">
        <v>8607</v>
      </c>
      <c r="H722">
        <v>27</v>
      </c>
      <c r="I722" t="s">
        <v>9296</v>
      </c>
      <c r="J722" t="str">
        <f t="shared" si="11"/>
        <v>13F-HR-.27.C1</v>
      </c>
      <c r="K722" s="5" t="s">
        <v>8608</v>
      </c>
      <c r="L722" t="s">
        <v>229</v>
      </c>
      <c r="M722" t="s">
        <v>8609</v>
      </c>
      <c r="N722" t="s">
        <v>8610</v>
      </c>
      <c r="Q722" s="28" t="s">
        <v>8747</v>
      </c>
    </row>
    <row r="723" spans="1:17" x14ac:dyDescent="0.35">
      <c r="A723" t="s">
        <v>8520</v>
      </c>
      <c r="B723" s="3" t="s">
        <v>102</v>
      </c>
      <c r="G723" t="s">
        <v>8607</v>
      </c>
      <c r="H723">
        <v>28</v>
      </c>
      <c r="I723" t="s">
        <v>9297</v>
      </c>
      <c r="J723" t="str">
        <f t="shared" si="11"/>
        <v>13F-HR-.28.C2</v>
      </c>
      <c r="K723" s="5" t="s">
        <v>8612</v>
      </c>
      <c r="L723" t="s">
        <v>229</v>
      </c>
      <c r="M723" t="s">
        <v>8613</v>
      </c>
      <c r="N723" t="s">
        <v>8614</v>
      </c>
      <c r="Q723" s="28" t="s">
        <v>8615</v>
      </c>
    </row>
    <row r="724" spans="1:17" x14ac:dyDescent="0.35">
      <c r="A724" t="s">
        <v>8520</v>
      </c>
      <c r="B724" s="3" t="s">
        <v>102</v>
      </c>
      <c r="G724" t="s">
        <v>8607</v>
      </c>
      <c r="H724">
        <v>29</v>
      </c>
      <c r="I724" t="s">
        <v>9298</v>
      </c>
      <c r="J724" t="str">
        <f t="shared" si="11"/>
        <v>13F-HR-.29.C3</v>
      </c>
      <c r="K724" s="5" t="s">
        <v>8616</v>
      </c>
      <c r="L724" t="s">
        <v>229</v>
      </c>
      <c r="M724" t="s">
        <v>7927</v>
      </c>
      <c r="N724" t="s">
        <v>8617</v>
      </c>
      <c r="Q724" s="28" t="s">
        <v>8748</v>
      </c>
    </row>
    <row r="725" spans="1:17" x14ac:dyDescent="0.35">
      <c r="A725" t="s">
        <v>8520</v>
      </c>
      <c r="B725" s="3" t="s">
        <v>102</v>
      </c>
      <c r="G725" t="s">
        <v>8607</v>
      </c>
      <c r="H725">
        <v>30</v>
      </c>
      <c r="I725" t="s">
        <v>9299</v>
      </c>
      <c r="J725" t="str">
        <f t="shared" si="11"/>
        <v>13F-HR-.30.C4</v>
      </c>
      <c r="K725" s="5" t="s">
        <v>8618</v>
      </c>
      <c r="L725" t="s">
        <v>8619</v>
      </c>
      <c r="M725" t="s">
        <v>8620</v>
      </c>
      <c r="N725" t="s">
        <v>8621</v>
      </c>
      <c r="Q725" s="28">
        <v>6406389</v>
      </c>
    </row>
    <row r="726" spans="1:17" x14ac:dyDescent="0.35">
      <c r="A726" t="s">
        <v>8520</v>
      </c>
      <c r="B726" s="3" t="s">
        <v>102</v>
      </c>
      <c r="G726" t="s">
        <v>8607</v>
      </c>
      <c r="H726">
        <v>31</v>
      </c>
      <c r="I726" t="s">
        <v>9300</v>
      </c>
      <c r="J726" t="str">
        <f t="shared" si="11"/>
        <v>13F-HR-.31.C5</v>
      </c>
      <c r="K726" s="5" t="s">
        <v>8622</v>
      </c>
      <c r="L726" t="s">
        <v>241</v>
      </c>
      <c r="M726" t="s">
        <v>8623</v>
      </c>
      <c r="N726" t="s">
        <v>8624</v>
      </c>
      <c r="Q726" s="28">
        <v>35730</v>
      </c>
    </row>
    <row r="727" spans="1:17" x14ac:dyDescent="0.35">
      <c r="A727" t="s">
        <v>8520</v>
      </c>
      <c r="B727" s="3" t="s">
        <v>102</v>
      </c>
      <c r="G727" t="s">
        <v>8607</v>
      </c>
      <c r="H727">
        <v>32</v>
      </c>
      <c r="I727" t="s">
        <v>9301</v>
      </c>
      <c r="J727" t="str">
        <f t="shared" si="11"/>
        <v>13F-HR-.32.C6</v>
      </c>
      <c r="K727" s="5" t="s">
        <v>8625</v>
      </c>
      <c r="L727" t="s">
        <v>229</v>
      </c>
      <c r="M727" t="s">
        <v>8626</v>
      </c>
      <c r="N727" t="s">
        <v>8627</v>
      </c>
      <c r="Q727" s="28" t="s">
        <v>8628</v>
      </c>
    </row>
    <row r="728" spans="1:17" x14ac:dyDescent="0.35">
      <c r="A728" t="s">
        <v>8520</v>
      </c>
      <c r="B728" s="3" t="s">
        <v>102</v>
      </c>
      <c r="G728" t="s">
        <v>8607</v>
      </c>
      <c r="H728">
        <v>33</v>
      </c>
      <c r="I728" t="s">
        <v>9302</v>
      </c>
      <c r="J728" t="str">
        <f t="shared" si="11"/>
        <v>13F-HR-.33.C7</v>
      </c>
      <c r="K728" s="5" t="s">
        <v>8629</v>
      </c>
      <c r="L728" t="s">
        <v>229</v>
      </c>
      <c r="M728" t="s">
        <v>8630</v>
      </c>
      <c r="N728" t="s">
        <v>8631</v>
      </c>
      <c r="Q728" s="28" t="s">
        <v>8685</v>
      </c>
    </row>
    <row r="729" spans="1:17" x14ac:dyDescent="0.35">
      <c r="A729" t="s">
        <v>8520</v>
      </c>
      <c r="B729" s="3" t="s">
        <v>102</v>
      </c>
      <c r="G729" t="s">
        <v>8607</v>
      </c>
      <c r="H729">
        <v>34</v>
      </c>
      <c r="I729" t="s">
        <v>9303</v>
      </c>
      <c r="J729" t="str">
        <f t="shared" si="11"/>
        <v>13F-HR-.34.C8</v>
      </c>
      <c r="K729" s="5" t="s">
        <v>8633</v>
      </c>
      <c r="L729" t="s">
        <v>4735</v>
      </c>
      <c r="M729" t="s">
        <v>8634</v>
      </c>
      <c r="N729" t="s">
        <v>8635</v>
      </c>
      <c r="Q729" s="28" t="s">
        <v>8632</v>
      </c>
    </row>
    <row r="730" spans="1:17" x14ac:dyDescent="0.35">
      <c r="A730" t="s">
        <v>8651</v>
      </c>
      <c r="B730" s="3" t="s">
        <v>102</v>
      </c>
      <c r="G730" t="s">
        <v>8607</v>
      </c>
      <c r="H730">
        <v>35</v>
      </c>
      <c r="I730" t="s">
        <v>9304</v>
      </c>
      <c r="J730" t="str">
        <f t="shared" si="11"/>
        <v>135-HR-.35.C9</v>
      </c>
      <c r="K730" s="5" t="s">
        <v>8637</v>
      </c>
      <c r="L730" t="s">
        <v>229</v>
      </c>
      <c r="M730" t="s">
        <v>8638</v>
      </c>
      <c r="N730" t="s">
        <v>8639</v>
      </c>
      <c r="Q730" s="28" t="s">
        <v>8636</v>
      </c>
    </row>
    <row r="731" spans="1:17" x14ac:dyDescent="0.35">
      <c r="A731" t="s">
        <v>8520</v>
      </c>
      <c r="B731" s="3" t="s">
        <v>102</v>
      </c>
      <c r="G731" t="s">
        <v>8607</v>
      </c>
      <c r="H731">
        <v>36</v>
      </c>
      <c r="I731" t="s">
        <v>9305</v>
      </c>
      <c r="J731" t="str">
        <f t="shared" si="11"/>
        <v>13F-HR-.36.C10</v>
      </c>
      <c r="K731" s="5" t="s">
        <v>8640</v>
      </c>
      <c r="L731" t="s">
        <v>241</v>
      </c>
      <c r="M731" t="s">
        <v>8641</v>
      </c>
      <c r="N731" t="s">
        <v>8642</v>
      </c>
      <c r="Q731" s="28">
        <v>0</v>
      </c>
    </row>
    <row r="732" spans="1:17" x14ac:dyDescent="0.35">
      <c r="A732" t="s">
        <v>8520</v>
      </c>
      <c r="B732" s="3" t="s">
        <v>102</v>
      </c>
      <c r="G732" t="s">
        <v>8607</v>
      </c>
      <c r="H732">
        <v>37</v>
      </c>
      <c r="I732" t="s">
        <v>9306</v>
      </c>
      <c r="J732" t="str">
        <f t="shared" si="11"/>
        <v>13F-HR-.37.C11</v>
      </c>
      <c r="K732" s="5" t="s">
        <v>8643</v>
      </c>
      <c r="L732" t="s">
        <v>241</v>
      </c>
      <c r="M732" t="s">
        <v>8644</v>
      </c>
      <c r="N732" t="s">
        <v>8645</v>
      </c>
      <c r="Q732" s="28">
        <v>0</v>
      </c>
    </row>
    <row r="733" spans="1:17" x14ac:dyDescent="0.35">
      <c r="A733" t="s">
        <v>8520</v>
      </c>
      <c r="B733" s="3" t="s">
        <v>102</v>
      </c>
      <c r="G733" t="s">
        <v>8607</v>
      </c>
      <c r="H733">
        <v>38</v>
      </c>
      <c r="I733" t="s">
        <v>9307</v>
      </c>
      <c r="J733" t="str">
        <f t="shared" si="11"/>
        <v>13F-HR-.38.C12</v>
      </c>
      <c r="K733" s="5" t="s">
        <v>8646</v>
      </c>
      <c r="L733" t="s">
        <v>241</v>
      </c>
      <c r="M733" t="s">
        <v>8647</v>
      </c>
      <c r="N733" t="s">
        <v>8648</v>
      </c>
      <c r="Q733" s="28">
        <v>35730</v>
      </c>
    </row>
    <row r="734" spans="1:17" x14ac:dyDescent="0.35">
      <c r="A734" t="s">
        <v>8520</v>
      </c>
      <c r="B734" s="3" t="s">
        <v>102</v>
      </c>
      <c r="F734">
        <v>5</v>
      </c>
      <c r="G734" t="s">
        <v>8607</v>
      </c>
      <c r="H734">
        <v>27</v>
      </c>
      <c r="I734" t="s">
        <v>9296</v>
      </c>
      <c r="J734" t="str">
        <f t="shared" si="11"/>
        <v>13F-HR-5.27.C1</v>
      </c>
      <c r="K734" s="5" t="s">
        <v>8608</v>
      </c>
      <c r="L734" t="s">
        <v>229</v>
      </c>
      <c r="M734" t="s">
        <v>8609</v>
      </c>
      <c r="N734" t="s">
        <v>8610</v>
      </c>
      <c r="Q734" s="28" t="s">
        <v>8749</v>
      </c>
    </row>
    <row r="735" spans="1:17" x14ac:dyDescent="0.35">
      <c r="A735" t="s">
        <v>8520</v>
      </c>
      <c r="B735" s="3" t="s">
        <v>102</v>
      </c>
      <c r="F735">
        <v>5</v>
      </c>
      <c r="G735" t="s">
        <v>8607</v>
      </c>
      <c r="H735">
        <v>28</v>
      </c>
      <c r="I735" t="s">
        <v>9297</v>
      </c>
      <c r="J735" t="str">
        <f t="shared" si="11"/>
        <v>13F-HR-5.28.C2</v>
      </c>
      <c r="K735" s="5" t="s">
        <v>8612</v>
      </c>
      <c r="L735" t="s">
        <v>229</v>
      </c>
      <c r="M735" t="s">
        <v>8613</v>
      </c>
      <c r="N735" t="s">
        <v>8614</v>
      </c>
      <c r="Q735" s="28" t="s">
        <v>8615</v>
      </c>
    </row>
    <row r="736" spans="1:17" x14ac:dyDescent="0.35">
      <c r="A736" t="s">
        <v>8520</v>
      </c>
      <c r="B736" s="3" t="s">
        <v>102</v>
      </c>
      <c r="F736">
        <v>5</v>
      </c>
      <c r="G736" t="s">
        <v>8607</v>
      </c>
      <c r="H736">
        <v>29</v>
      </c>
      <c r="I736" t="s">
        <v>9298</v>
      </c>
      <c r="J736" t="str">
        <f t="shared" si="11"/>
        <v>13F-HR-5.29.C3</v>
      </c>
      <c r="K736" s="5" t="s">
        <v>8616</v>
      </c>
      <c r="L736" t="s">
        <v>229</v>
      </c>
      <c r="M736" t="s">
        <v>7927</v>
      </c>
      <c r="N736" t="s">
        <v>8617</v>
      </c>
      <c r="Q736" s="28" t="s">
        <v>8750</v>
      </c>
    </row>
    <row r="737" spans="1:17" x14ac:dyDescent="0.35">
      <c r="A737" t="s">
        <v>8520</v>
      </c>
      <c r="B737" s="3" t="s">
        <v>102</v>
      </c>
      <c r="F737">
        <v>5</v>
      </c>
      <c r="G737" t="s">
        <v>8607</v>
      </c>
      <c r="H737">
        <v>30</v>
      </c>
      <c r="I737" t="s">
        <v>9299</v>
      </c>
      <c r="J737" t="str">
        <f t="shared" si="11"/>
        <v>13F-HR-5.30.C4</v>
      </c>
      <c r="K737" s="5" t="s">
        <v>8618</v>
      </c>
      <c r="L737" t="s">
        <v>8619</v>
      </c>
      <c r="M737" t="s">
        <v>8620</v>
      </c>
      <c r="N737" t="s">
        <v>8621</v>
      </c>
      <c r="Q737" s="28">
        <v>2055269</v>
      </c>
    </row>
    <row r="738" spans="1:17" x14ac:dyDescent="0.35">
      <c r="A738" t="s">
        <v>8520</v>
      </c>
      <c r="B738" s="3" t="s">
        <v>102</v>
      </c>
      <c r="F738">
        <v>5</v>
      </c>
      <c r="G738" t="s">
        <v>8607</v>
      </c>
      <c r="H738">
        <v>31</v>
      </c>
      <c r="I738" t="s">
        <v>9300</v>
      </c>
      <c r="J738" t="str">
        <f t="shared" si="11"/>
        <v>13F-HR-5.31.C5</v>
      </c>
      <c r="K738" s="5" t="s">
        <v>8622</v>
      </c>
      <c r="L738" t="s">
        <v>241</v>
      </c>
      <c r="M738" t="s">
        <v>8623</v>
      </c>
      <c r="N738" t="s">
        <v>8624</v>
      </c>
      <c r="Q738" s="28">
        <v>47150</v>
      </c>
    </row>
    <row r="739" spans="1:17" x14ac:dyDescent="0.35">
      <c r="A739" t="s">
        <v>8520</v>
      </c>
      <c r="B739" s="3" t="s">
        <v>102</v>
      </c>
      <c r="F739">
        <v>5</v>
      </c>
      <c r="G739" t="s">
        <v>8607</v>
      </c>
      <c r="H739">
        <v>32</v>
      </c>
      <c r="I739" t="s">
        <v>9301</v>
      </c>
      <c r="J739" t="str">
        <f t="shared" si="11"/>
        <v>13F-HR-5.32.C6</v>
      </c>
      <c r="K739" s="5" t="s">
        <v>8625</v>
      </c>
      <c r="L739" t="s">
        <v>229</v>
      </c>
      <c r="M739" t="s">
        <v>8626</v>
      </c>
      <c r="N739" t="s">
        <v>8627</v>
      </c>
      <c r="Q739" s="28" t="s">
        <v>8628</v>
      </c>
    </row>
    <row r="740" spans="1:17" x14ac:dyDescent="0.35">
      <c r="A740" t="s">
        <v>8520</v>
      </c>
      <c r="B740" s="3" t="s">
        <v>102</v>
      </c>
      <c r="F740">
        <v>5</v>
      </c>
      <c r="G740" t="s">
        <v>8607</v>
      </c>
      <c r="H740">
        <v>33</v>
      </c>
      <c r="I740" t="s">
        <v>9302</v>
      </c>
      <c r="J740" t="str">
        <f t="shared" si="11"/>
        <v>13F-HR-5.33.C7</v>
      </c>
      <c r="K740" s="5" t="s">
        <v>8629</v>
      </c>
      <c r="L740" t="s">
        <v>229</v>
      </c>
      <c r="M740" t="s">
        <v>8630</v>
      </c>
      <c r="N740" t="s">
        <v>8631</v>
      </c>
      <c r="Q740" s="28" t="s">
        <v>8685</v>
      </c>
    </row>
    <row r="741" spans="1:17" x14ac:dyDescent="0.35">
      <c r="A741" t="s">
        <v>8520</v>
      </c>
      <c r="B741" s="3" t="s">
        <v>102</v>
      </c>
      <c r="F741">
        <v>5</v>
      </c>
      <c r="G741" t="s">
        <v>8607</v>
      </c>
      <c r="H741">
        <v>34</v>
      </c>
      <c r="I741" t="s">
        <v>9303</v>
      </c>
      <c r="J741" t="str">
        <f t="shared" si="11"/>
        <v>13F-HR-5.34.C8</v>
      </c>
      <c r="K741" s="5" t="s">
        <v>8633</v>
      </c>
      <c r="L741" t="s">
        <v>4735</v>
      </c>
      <c r="M741" t="s">
        <v>8634</v>
      </c>
      <c r="N741" t="s">
        <v>8635</v>
      </c>
      <c r="Q741" s="28" t="s">
        <v>8632</v>
      </c>
    </row>
    <row r="742" spans="1:17" x14ac:dyDescent="0.35">
      <c r="A742" t="s">
        <v>8520</v>
      </c>
      <c r="B742" s="3" t="s">
        <v>102</v>
      </c>
      <c r="F742">
        <v>5</v>
      </c>
      <c r="G742" t="s">
        <v>8607</v>
      </c>
      <c r="H742">
        <v>35</v>
      </c>
      <c r="I742" t="s">
        <v>9304</v>
      </c>
      <c r="J742" t="str">
        <f t="shared" si="11"/>
        <v>13F-HR-5.35.C9</v>
      </c>
      <c r="K742" s="5" t="s">
        <v>8637</v>
      </c>
      <c r="L742" t="s">
        <v>229</v>
      </c>
      <c r="M742" t="s">
        <v>8638</v>
      </c>
      <c r="N742" t="s">
        <v>8639</v>
      </c>
      <c r="Q742" s="28" t="s">
        <v>8636</v>
      </c>
    </row>
    <row r="743" spans="1:17" x14ac:dyDescent="0.35">
      <c r="A743" t="s">
        <v>8520</v>
      </c>
      <c r="B743" s="3" t="s">
        <v>102</v>
      </c>
      <c r="F743">
        <v>5</v>
      </c>
      <c r="G743" t="s">
        <v>8607</v>
      </c>
      <c r="H743">
        <v>36</v>
      </c>
      <c r="I743" t="s">
        <v>9305</v>
      </c>
      <c r="J743" t="str">
        <f t="shared" si="11"/>
        <v>13F-HR-5.36.C10</v>
      </c>
      <c r="K743" s="5" t="s">
        <v>8640</v>
      </c>
      <c r="L743" t="s">
        <v>241</v>
      </c>
      <c r="M743" t="s">
        <v>8641</v>
      </c>
      <c r="N743" t="s">
        <v>8642</v>
      </c>
      <c r="Q743" s="28">
        <v>0</v>
      </c>
    </row>
    <row r="744" spans="1:17" x14ac:dyDescent="0.35">
      <c r="A744" t="s">
        <v>8520</v>
      </c>
      <c r="B744" s="3" t="s">
        <v>102</v>
      </c>
      <c r="F744">
        <v>5</v>
      </c>
      <c r="G744" t="s">
        <v>8607</v>
      </c>
      <c r="H744">
        <v>37</v>
      </c>
      <c r="I744" t="s">
        <v>9306</v>
      </c>
      <c r="J744" t="str">
        <f t="shared" si="11"/>
        <v>13F-HR-5.37.C11</v>
      </c>
      <c r="K744" s="5" t="s">
        <v>8643</v>
      </c>
      <c r="L744" t="s">
        <v>241</v>
      </c>
      <c r="M744" t="s">
        <v>8644</v>
      </c>
      <c r="N744" t="s">
        <v>8645</v>
      </c>
      <c r="Q744" s="28">
        <v>0</v>
      </c>
    </row>
    <row r="745" spans="1:17" x14ac:dyDescent="0.35">
      <c r="A745" t="s">
        <v>8520</v>
      </c>
      <c r="B745" s="3" t="s">
        <v>102</v>
      </c>
      <c r="F745">
        <v>5</v>
      </c>
      <c r="G745" t="s">
        <v>8607</v>
      </c>
      <c r="H745">
        <v>38</v>
      </c>
      <c r="I745" t="s">
        <v>9307</v>
      </c>
      <c r="J745" t="str">
        <f t="shared" si="11"/>
        <v>13F-HR-5.38.C12</v>
      </c>
      <c r="K745" s="5" t="s">
        <v>8646</v>
      </c>
      <c r="L745" t="s">
        <v>241</v>
      </c>
      <c r="M745" t="s">
        <v>8647</v>
      </c>
      <c r="N745" t="s">
        <v>8648</v>
      </c>
      <c r="Q745" s="28">
        <v>47150</v>
      </c>
    </row>
    <row r="746" spans="1:17" x14ac:dyDescent="0.35">
      <c r="A746" t="s">
        <v>8520</v>
      </c>
      <c r="B746" s="3" t="s">
        <v>102</v>
      </c>
      <c r="F746">
        <v>5</v>
      </c>
      <c r="G746" t="s">
        <v>8607</v>
      </c>
      <c r="H746">
        <v>27</v>
      </c>
      <c r="I746" t="s">
        <v>9296</v>
      </c>
      <c r="J746" t="str">
        <f t="shared" si="11"/>
        <v>13F-HR-5.27.C1</v>
      </c>
      <c r="K746" s="5" t="s">
        <v>8608</v>
      </c>
      <c r="L746" t="s">
        <v>229</v>
      </c>
      <c r="M746" t="s">
        <v>8609</v>
      </c>
      <c r="N746" t="s">
        <v>8610</v>
      </c>
      <c r="Q746" s="28" t="s">
        <v>8751</v>
      </c>
    </row>
    <row r="747" spans="1:17" x14ac:dyDescent="0.35">
      <c r="A747" t="s">
        <v>8520</v>
      </c>
      <c r="B747" s="3" t="s">
        <v>102</v>
      </c>
      <c r="F747">
        <v>5</v>
      </c>
      <c r="G747" t="s">
        <v>8607</v>
      </c>
      <c r="H747">
        <v>28</v>
      </c>
      <c r="I747" t="s">
        <v>9297</v>
      </c>
      <c r="J747" t="str">
        <f t="shared" si="11"/>
        <v>13F-HR-5.28.C2</v>
      </c>
      <c r="K747" s="5" t="s">
        <v>8612</v>
      </c>
      <c r="L747" t="s">
        <v>229</v>
      </c>
      <c r="M747" t="s">
        <v>8613</v>
      </c>
      <c r="N747" t="s">
        <v>8614</v>
      </c>
      <c r="Q747" s="28" t="s">
        <v>8615</v>
      </c>
    </row>
    <row r="748" spans="1:17" x14ac:dyDescent="0.35">
      <c r="A748" t="s">
        <v>8520</v>
      </c>
      <c r="B748" s="3" t="s">
        <v>102</v>
      </c>
      <c r="F748">
        <v>5</v>
      </c>
      <c r="G748" t="s">
        <v>8607</v>
      </c>
      <c r="H748">
        <v>29</v>
      </c>
      <c r="I748" t="s">
        <v>9298</v>
      </c>
      <c r="J748" t="str">
        <f t="shared" si="11"/>
        <v>13F-HR-5.29.C3</v>
      </c>
      <c r="K748" s="5" t="s">
        <v>8616</v>
      </c>
      <c r="L748" t="s">
        <v>229</v>
      </c>
      <c r="M748" t="s">
        <v>7927</v>
      </c>
      <c r="N748" t="s">
        <v>8617</v>
      </c>
      <c r="Q748" s="28" t="s">
        <v>8752</v>
      </c>
    </row>
    <row r="749" spans="1:17" x14ac:dyDescent="0.35">
      <c r="A749" t="s">
        <v>8520</v>
      </c>
      <c r="B749" s="3" t="s">
        <v>102</v>
      </c>
      <c r="F749">
        <v>5</v>
      </c>
      <c r="G749" t="s">
        <v>8607</v>
      </c>
      <c r="H749">
        <v>30</v>
      </c>
      <c r="I749" t="s">
        <v>9299</v>
      </c>
      <c r="J749" t="str">
        <f t="shared" si="11"/>
        <v>13F-HR-5.30.C4</v>
      </c>
      <c r="K749" s="5" t="s">
        <v>8618</v>
      </c>
      <c r="L749" t="s">
        <v>8619</v>
      </c>
      <c r="M749" t="s">
        <v>8620</v>
      </c>
      <c r="N749" t="s">
        <v>8621</v>
      </c>
      <c r="Q749" s="28">
        <v>66808638</v>
      </c>
    </row>
    <row r="750" spans="1:17" x14ac:dyDescent="0.35">
      <c r="A750" t="s">
        <v>8520</v>
      </c>
      <c r="B750" s="3" t="s">
        <v>102</v>
      </c>
      <c r="F750">
        <v>5</v>
      </c>
      <c r="G750" t="s">
        <v>8607</v>
      </c>
      <c r="H750">
        <v>31</v>
      </c>
      <c r="I750" t="s">
        <v>9300</v>
      </c>
      <c r="J750" t="str">
        <f t="shared" si="11"/>
        <v>13F-HR-5.31.C5</v>
      </c>
      <c r="K750" s="5" t="s">
        <v>8622</v>
      </c>
      <c r="L750" t="s">
        <v>241</v>
      </c>
      <c r="M750" t="s">
        <v>8623</v>
      </c>
      <c r="N750" t="s">
        <v>8624</v>
      </c>
      <c r="Q750" s="28">
        <v>1053764</v>
      </c>
    </row>
    <row r="751" spans="1:17" x14ac:dyDescent="0.35">
      <c r="A751" t="s">
        <v>8520</v>
      </c>
      <c r="B751" s="3" t="s">
        <v>102</v>
      </c>
      <c r="F751">
        <v>5</v>
      </c>
      <c r="G751" t="s">
        <v>8607</v>
      </c>
      <c r="H751">
        <v>32</v>
      </c>
      <c r="I751" t="s">
        <v>9301</v>
      </c>
      <c r="J751" t="str">
        <f t="shared" si="11"/>
        <v>13F-HR-5.32.C6</v>
      </c>
      <c r="K751" s="5" t="s">
        <v>8625</v>
      </c>
      <c r="L751" t="s">
        <v>229</v>
      </c>
      <c r="M751" t="s">
        <v>8626</v>
      </c>
      <c r="N751" t="s">
        <v>8627</v>
      </c>
      <c r="Q751" s="28" t="s">
        <v>8628</v>
      </c>
    </row>
    <row r="752" spans="1:17" x14ac:dyDescent="0.35">
      <c r="A752" t="s">
        <v>8520</v>
      </c>
      <c r="B752" s="3" t="s">
        <v>102</v>
      </c>
      <c r="F752">
        <v>5</v>
      </c>
      <c r="G752" t="s">
        <v>8607</v>
      </c>
      <c r="H752">
        <v>33</v>
      </c>
      <c r="I752" t="s">
        <v>9302</v>
      </c>
      <c r="J752" t="str">
        <f t="shared" si="11"/>
        <v>13F-HR-5.33.C7</v>
      </c>
      <c r="K752" s="5" t="s">
        <v>8629</v>
      </c>
      <c r="L752" t="s">
        <v>229</v>
      </c>
      <c r="M752" t="s">
        <v>8630</v>
      </c>
      <c r="N752" t="s">
        <v>8631</v>
      </c>
      <c r="Q752" s="28" t="s">
        <v>8685</v>
      </c>
    </row>
    <row r="753" spans="1:17" x14ac:dyDescent="0.35">
      <c r="A753" t="s">
        <v>8520</v>
      </c>
      <c r="B753" s="3" t="s">
        <v>102</v>
      </c>
      <c r="F753">
        <v>5</v>
      </c>
      <c r="G753" t="s">
        <v>8607</v>
      </c>
      <c r="H753">
        <v>34</v>
      </c>
      <c r="I753" t="s">
        <v>9303</v>
      </c>
      <c r="J753" t="str">
        <f t="shared" si="11"/>
        <v>13F-HR-5.34.C8</v>
      </c>
      <c r="K753" s="5" t="s">
        <v>8633</v>
      </c>
      <c r="L753" t="s">
        <v>4735</v>
      </c>
      <c r="M753" t="s">
        <v>8634</v>
      </c>
      <c r="N753" t="s">
        <v>8635</v>
      </c>
      <c r="Q753" s="28" t="s">
        <v>8632</v>
      </c>
    </row>
    <row r="754" spans="1:17" x14ac:dyDescent="0.35">
      <c r="A754" t="s">
        <v>8520</v>
      </c>
      <c r="B754" s="3" t="s">
        <v>102</v>
      </c>
      <c r="F754">
        <v>5</v>
      </c>
      <c r="G754" t="s">
        <v>8607</v>
      </c>
      <c r="H754">
        <v>35</v>
      </c>
      <c r="I754" t="s">
        <v>9304</v>
      </c>
      <c r="J754" t="str">
        <f t="shared" si="11"/>
        <v>13F-HR-5.35.C9</v>
      </c>
      <c r="K754" s="5" t="s">
        <v>8637</v>
      </c>
      <c r="L754" t="s">
        <v>229</v>
      </c>
      <c r="M754" t="s">
        <v>8638</v>
      </c>
      <c r="N754" t="s">
        <v>8639</v>
      </c>
      <c r="Q754" s="28" t="s">
        <v>8636</v>
      </c>
    </row>
    <row r="755" spans="1:17" x14ac:dyDescent="0.35">
      <c r="A755" t="s">
        <v>8520</v>
      </c>
      <c r="B755" s="3" t="s">
        <v>102</v>
      </c>
      <c r="F755">
        <v>5</v>
      </c>
      <c r="G755" t="s">
        <v>8607</v>
      </c>
      <c r="H755">
        <v>36</v>
      </c>
      <c r="I755" t="s">
        <v>9305</v>
      </c>
      <c r="J755" t="str">
        <f t="shared" si="11"/>
        <v>13F-HR-5.36.C10</v>
      </c>
      <c r="K755" s="5" t="s">
        <v>8640</v>
      </c>
      <c r="L755" t="s">
        <v>241</v>
      </c>
      <c r="M755" t="s">
        <v>8641</v>
      </c>
      <c r="N755" t="s">
        <v>8642</v>
      </c>
      <c r="Q755" s="28">
        <v>937697</v>
      </c>
    </row>
    <row r="756" spans="1:17" x14ac:dyDescent="0.35">
      <c r="A756" t="s">
        <v>8520</v>
      </c>
      <c r="B756" s="3" t="s">
        <v>102</v>
      </c>
      <c r="F756">
        <v>5</v>
      </c>
      <c r="G756" t="s">
        <v>8607</v>
      </c>
      <c r="H756">
        <v>37</v>
      </c>
      <c r="I756" t="s">
        <v>9306</v>
      </c>
      <c r="J756" t="str">
        <f t="shared" si="11"/>
        <v>13F-HR-5.37.C11</v>
      </c>
      <c r="K756" s="5" t="s">
        <v>8643</v>
      </c>
      <c r="L756" t="s">
        <v>241</v>
      </c>
      <c r="M756" t="s">
        <v>8644</v>
      </c>
      <c r="N756" t="s">
        <v>8645</v>
      </c>
      <c r="Q756" s="28">
        <v>0</v>
      </c>
    </row>
    <row r="757" spans="1:17" x14ac:dyDescent="0.35">
      <c r="A757" t="s">
        <v>8520</v>
      </c>
      <c r="B757" s="3" t="s">
        <v>102</v>
      </c>
      <c r="F757">
        <v>5</v>
      </c>
      <c r="G757" t="s">
        <v>8607</v>
      </c>
      <c r="H757">
        <v>38</v>
      </c>
      <c r="I757" t="s">
        <v>9307</v>
      </c>
      <c r="J757" t="str">
        <f t="shared" si="11"/>
        <v>13F-HR-5.38.C12</v>
      </c>
      <c r="K757" s="5" t="s">
        <v>8646</v>
      </c>
      <c r="L757" t="s">
        <v>241</v>
      </c>
      <c r="M757" t="s">
        <v>8647</v>
      </c>
      <c r="N757" t="s">
        <v>8648</v>
      </c>
      <c r="Q757" s="28">
        <v>116067</v>
      </c>
    </row>
    <row r="758" spans="1:17" x14ac:dyDescent="0.35">
      <c r="A758" t="s">
        <v>8520</v>
      </c>
      <c r="B758" s="3" t="s">
        <v>102</v>
      </c>
      <c r="F758">
        <v>5</v>
      </c>
      <c r="G758" t="s">
        <v>8607</v>
      </c>
      <c r="H758">
        <v>27</v>
      </c>
      <c r="I758" t="s">
        <v>9296</v>
      </c>
      <c r="J758" t="str">
        <f t="shared" si="11"/>
        <v>13F-HR-5.27.C1</v>
      </c>
      <c r="K758" s="5" t="s">
        <v>8608</v>
      </c>
      <c r="L758" t="s">
        <v>229</v>
      </c>
      <c r="M758" t="s">
        <v>8609</v>
      </c>
      <c r="N758" t="s">
        <v>8610</v>
      </c>
      <c r="Q758" s="28" t="s">
        <v>8753</v>
      </c>
    </row>
    <row r="759" spans="1:17" x14ac:dyDescent="0.35">
      <c r="A759" t="s">
        <v>8520</v>
      </c>
      <c r="B759" s="3" t="s">
        <v>102</v>
      </c>
      <c r="F759">
        <v>5</v>
      </c>
      <c r="G759" t="s">
        <v>8607</v>
      </c>
      <c r="H759">
        <v>28</v>
      </c>
      <c r="I759" t="s">
        <v>9297</v>
      </c>
      <c r="J759" t="str">
        <f t="shared" si="11"/>
        <v>13F-HR-5.28.C2</v>
      </c>
      <c r="K759" s="5" t="s">
        <v>8612</v>
      </c>
      <c r="L759" t="s">
        <v>229</v>
      </c>
      <c r="M759" t="s">
        <v>8613</v>
      </c>
      <c r="N759" t="s">
        <v>8614</v>
      </c>
      <c r="Q759" s="28" t="s">
        <v>8706</v>
      </c>
    </row>
    <row r="760" spans="1:17" x14ac:dyDescent="0.35">
      <c r="A760" t="s">
        <v>8520</v>
      </c>
      <c r="B760" s="3" t="s">
        <v>102</v>
      </c>
      <c r="F760">
        <v>5</v>
      </c>
      <c r="G760" t="s">
        <v>8607</v>
      </c>
      <c r="H760">
        <v>29</v>
      </c>
      <c r="I760" t="s">
        <v>9298</v>
      </c>
      <c r="J760" t="str">
        <f t="shared" si="11"/>
        <v>13F-HR-5.29.C3</v>
      </c>
      <c r="K760" s="5" t="s">
        <v>8616</v>
      </c>
      <c r="L760" t="s">
        <v>229</v>
      </c>
      <c r="M760" t="s">
        <v>7927</v>
      </c>
      <c r="N760" t="s">
        <v>8617</v>
      </c>
      <c r="Q760" s="28">
        <v>147448104</v>
      </c>
    </row>
    <row r="761" spans="1:17" x14ac:dyDescent="0.35">
      <c r="A761" t="s">
        <v>8520</v>
      </c>
      <c r="B761" s="3" t="s">
        <v>102</v>
      </c>
      <c r="F761">
        <v>5</v>
      </c>
      <c r="G761" t="s">
        <v>8607</v>
      </c>
      <c r="H761">
        <v>30</v>
      </c>
      <c r="I761" t="s">
        <v>9299</v>
      </c>
      <c r="J761" t="str">
        <f t="shared" si="11"/>
        <v>13F-HR-5.30.C4</v>
      </c>
      <c r="K761" s="5" t="s">
        <v>8618</v>
      </c>
      <c r="L761" t="s">
        <v>8619</v>
      </c>
      <c r="M761" t="s">
        <v>8620</v>
      </c>
      <c r="N761" t="s">
        <v>8621</v>
      </c>
      <c r="Q761" s="28">
        <v>3648050</v>
      </c>
    </row>
    <row r="762" spans="1:17" x14ac:dyDescent="0.35">
      <c r="A762" t="s">
        <v>8520</v>
      </c>
      <c r="B762" s="3" t="s">
        <v>102</v>
      </c>
      <c r="F762">
        <v>5</v>
      </c>
      <c r="G762" t="s">
        <v>8607</v>
      </c>
      <c r="H762">
        <v>31</v>
      </c>
      <c r="I762" t="s">
        <v>9300</v>
      </c>
      <c r="J762" t="str">
        <f t="shared" si="11"/>
        <v>13F-HR-5.31.C5</v>
      </c>
      <c r="K762" s="5" t="s">
        <v>8622</v>
      </c>
      <c r="L762" t="s">
        <v>241</v>
      </c>
      <c r="M762" t="s">
        <v>8623</v>
      </c>
      <c r="N762" t="s">
        <v>8624</v>
      </c>
      <c r="Q762" s="28">
        <v>32715</v>
      </c>
    </row>
    <row r="763" spans="1:17" x14ac:dyDescent="0.35">
      <c r="A763" t="s">
        <v>8520</v>
      </c>
      <c r="B763" s="3" t="s">
        <v>102</v>
      </c>
      <c r="F763">
        <v>5</v>
      </c>
      <c r="G763" t="s">
        <v>8607</v>
      </c>
      <c r="H763">
        <v>32</v>
      </c>
      <c r="I763" t="s">
        <v>9301</v>
      </c>
      <c r="J763" t="str">
        <f t="shared" si="11"/>
        <v>13F-HR-5.32.C6</v>
      </c>
      <c r="K763" s="5" t="s">
        <v>8625</v>
      </c>
      <c r="L763" t="s">
        <v>229</v>
      </c>
      <c r="M763" t="s">
        <v>8626</v>
      </c>
      <c r="N763" t="s">
        <v>8627</v>
      </c>
      <c r="Q763" s="28" t="s">
        <v>8628</v>
      </c>
    </row>
    <row r="764" spans="1:17" x14ac:dyDescent="0.35">
      <c r="A764" t="s">
        <v>8520</v>
      </c>
      <c r="B764" s="3" t="s">
        <v>102</v>
      </c>
      <c r="F764">
        <v>5</v>
      </c>
      <c r="G764" t="s">
        <v>8607</v>
      </c>
      <c r="H764">
        <v>33</v>
      </c>
      <c r="I764" t="s">
        <v>9302</v>
      </c>
      <c r="J764" t="str">
        <f t="shared" si="11"/>
        <v>13F-HR-5.33.C7</v>
      </c>
      <c r="K764" s="5" t="s">
        <v>8629</v>
      </c>
      <c r="L764" t="s">
        <v>229</v>
      </c>
      <c r="M764" t="s">
        <v>8630</v>
      </c>
      <c r="N764" t="s">
        <v>8631</v>
      </c>
      <c r="Q764" s="28" t="s">
        <v>8685</v>
      </c>
    </row>
    <row r="765" spans="1:17" x14ac:dyDescent="0.35">
      <c r="A765" t="s">
        <v>8520</v>
      </c>
      <c r="B765" s="3" t="s">
        <v>102</v>
      </c>
      <c r="F765">
        <v>5</v>
      </c>
      <c r="G765" t="s">
        <v>8607</v>
      </c>
      <c r="H765">
        <v>34</v>
      </c>
      <c r="I765" t="s">
        <v>9303</v>
      </c>
      <c r="J765" t="str">
        <f t="shared" si="11"/>
        <v>13F-HR-5.34.C8</v>
      </c>
      <c r="K765" s="5" t="s">
        <v>8633</v>
      </c>
      <c r="L765" t="s">
        <v>4735</v>
      </c>
      <c r="M765" t="s">
        <v>8634</v>
      </c>
      <c r="N765" t="s">
        <v>8635</v>
      </c>
      <c r="Q765" s="28" t="s">
        <v>8632</v>
      </c>
    </row>
    <row r="766" spans="1:17" x14ac:dyDescent="0.35">
      <c r="A766" t="s">
        <v>8520</v>
      </c>
      <c r="B766" s="3" t="s">
        <v>102</v>
      </c>
      <c r="F766">
        <v>5</v>
      </c>
      <c r="G766" t="s">
        <v>8607</v>
      </c>
      <c r="H766">
        <v>35</v>
      </c>
      <c r="I766" t="s">
        <v>9304</v>
      </c>
      <c r="J766" t="str">
        <f t="shared" si="11"/>
        <v>13F-HR-5.35.C9</v>
      </c>
      <c r="K766" s="5" t="s">
        <v>8637</v>
      </c>
      <c r="L766" t="s">
        <v>229</v>
      </c>
      <c r="M766" t="s">
        <v>8638</v>
      </c>
      <c r="N766" t="s">
        <v>8639</v>
      </c>
      <c r="Q766" s="28" t="s">
        <v>8636</v>
      </c>
    </row>
    <row r="767" spans="1:17" x14ac:dyDescent="0.35">
      <c r="A767" t="s">
        <v>8520</v>
      </c>
      <c r="B767" s="3" t="s">
        <v>102</v>
      </c>
      <c r="F767">
        <v>5</v>
      </c>
      <c r="G767" t="s">
        <v>8607</v>
      </c>
      <c r="H767">
        <v>36</v>
      </c>
      <c r="I767" t="s">
        <v>9305</v>
      </c>
      <c r="J767" t="str">
        <f t="shared" si="11"/>
        <v>13F-HR-5.36.C10</v>
      </c>
      <c r="K767" s="5" t="s">
        <v>8640</v>
      </c>
      <c r="L767" t="s">
        <v>241</v>
      </c>
      <c r="M767" t="s">
        <v>8641</v>
      </c>
      <c r="N767" t="s">
        <v>8642</v>
      </c>
      <c r="Q767" s="28">
        <v>32715</v>
      </c>
    </row>
    <row r="768" spans="1:17" x14ac:dyDescent="0.35">
      <c r="A768" t="s">
        <v>8520</v>
      </c>
      <c r="B768" s="3" t="s">
        <v>102</v>
      </c>
      <c r="F768">
        <v>5</v>
      </c>
      <c r="G768" t="s">
        <v>8607</v>
      </c>
      <c r="H768">
        <v>37</v>
      </c>
      <c r="I768" t="s">
        <v>9306</v>
      </c>
      <c r="J768" t="str">
        <f t="shared" si="11"/>
        <v>13F-HR-5.37.C11</v>
      </c>
      <c r="K768" s="5" t="s">
        <v>8643</v>
      </c>
      <c r="L768" t="s">
        <v>241</v>
      </c>
      <c r="M768" t="s">
        <v>8644</v>
      </c>
      <c r="N768" t="s">
        <v>8645</v>
      </c>
      <c r="Q768" s="28">
        <v>0</v>
      </c>
    </row>
    <row r="769" spans="1:17" x14ac:dyDescent="0.35">
      <c r="A769" t="s">
        <v>8520</v>
      </c>
      <c r="B769" s="3" t="s">
        <v>102</v>
      </c>
      <c r="F769">
        <v>5</v>
      </c>
      <c r="G769" t="s">
        <v>8607</v>
      </c>
      <c r="H769">
        <v>38</v>
      </c>
      <c r="I769" t="s">
        <v>9307</v>
      </c>
      <c r="J769" t="str">
        <f t="shared" si="11"/>
        <v>13F-HR-5.38.C12</v>
      </c>
      <c r="K769" s="5" t="s">
        <v>8646</v>
      </c>
      <c r="L769" t="s">
        <v>241</v>
      </c>
      <c r="M769" t="s">
        <v>8647</v>
      </c>
      <c r="N769" t="s">
        <v>8648</v>
      </c>
      <c r="Q769" s="28">
        <v>0</v>
      </c>
    </row>
    <row r="770" spans="1:17" x14ac:dyDescent="0.35">
      <c r="A770" t="s">
        <v>8520</v>
      </c>
      <c r="B770" s="3" t="s">
        <v>102</v>
      </c>
      <c r="F770">
        <v>5</v>
      </c>
      <c r="G770" t="s">
        <v>8607</v>
      </c>
      <c r="H770">
        <v>27</v>
      </c>
      <c r="I770" t="s">
        <v>9296</v>
      </c>
      <c r="J770" t="str">
        <f t="shared" si="11"/>
        <v>13F-HR-5.27.C1</v>
      </c>
      <c r="K770" s="5" t="s">
        <v>8608</v>
      </c>
      <c r="L770" t="s">
        <v>229</v>
      </c>
      <c r="M770" t="s">
        <v>8609</v>
      </c>
      <c r="N770" t="s">
        <v>8610</v>
      </c>
      <c r="Q770" s="28" t="s">
        <v>8754</v>
      </c>
    </row>
    <row r="771" spans="1:17" x14ac:dyDescent="0.35">
      <c r="A771" t="s">
        <v>8520</v>
      </c>
      <c r="B771" s="3" t="s">
        <v>102</v>
      </c>
      <c r="F771">
        <v>5</v>
      </c>
      <c r="G771" t="s">
        <v>8607</v>
      </c>
      <c r="H771">
        <v>28</v>
      </c>
      <c r="I771" t="s">
        <v>9297</v>
      </c>
      <c r="J771" t="str">
        <f t="shared" ref="J771:J834" si="12">_xlfn.CONCAT(A771,"-",F771,".",H771,".",I771)</f>
        <v>13F-HR-5.28.C2</v>
      </c>
      <c r="K771" s="5" t="s">
        <v>8612</v>
      </c>
      <c r="L771" t="s">
        <v>229</v>
      </c>
      <c r="M771" t="s">
        <v>8613</v>
      </c>
      <c r="N771" t="s">
        <v>8614</v>
      </c>
      <c r="Q771" s="28" t="s">
        <v>8615</v>
      </c>
    </row>
    <row r="772" spans="1:17" x14ac:dyDescent="0.35">
      <c r="A772" t="s">
        <v>8520</v>
      </c>
      <c r="B772" s="3" t="s">
        <v>102</v>
      </c>
      <c r="F772">
        <v>5</v>
      </c>
      <c r="G772" t="s">
        <v>8607</v>
      </c>
      <c r="H772">
        <v>29</v>
      </c>
      <c r="I772" t="s">
        <v>9298</v>
      </c>
      <c r="J772" t="str">
        <f t="shared" si="12"/>
        <v>13F-HR-5.29.C3</v>
      </c>
      <c r="K772" s="5" t="s">
        <v>8616</v>
      </c>
      <c r="L772" t="s">
        <v>229</v>
      </c>
      <c r="M772" t="s">
        <v>7927</v>
      </c>
      <c r="N772" t="s">
        <v>8617</v>
      </c>
      <c r="Q772" s="28">
        <v>149123101</v>
      </c>
    </row>
    <row r="773" spans="1:17" x14ac:dyDescent="0.35">
      <c r="A773" t="s">
        <v>8520</v>
      </c>
      <c r="B773" s="3" t="s">
        <v>102</v>
      </c>
      <c r="F773">
        <v>5</v>
      </c>
      <c r="G773" t="s">
        <v>8607</v>
      </c>
      <c r="H773">
        <v>30</v>
      </c>
      <c r="I773" t="s">
        <v>9299</v>
      </c>
      <c r="J773" t="str">
        <f t="shared" si="12"/>
        <v>13F-HR-5.30.C4</v>
      </c>
      <c r="K773" s="5" t="s">
        <v>8618</v>
      </c>
      <c r="L773" t="s">
        <v>8619</v>
      </c>
      <c r="M773" t="s">
        <v>8620</v>
      </c>
      <c r="N773" t="s">
        <v>8621</v>
      </c>
      <c r="Q773" s="28">
        <v>25544329</v>
      </c>
    </row>
    <row r="774" spans="1:17" x14ac:dyDescent="0.35">
      <c r="A774" t="s">
        <v>8520</v>
      </c>
      <c r="B774" s="3" t="s">
        <v>102</v>
      </c>
      <c r="F774">
        <v>5</v>
      </c>
      <c r="G774" t="s">
        <v>8607</v>
      </c>
      <c r="H774">
        <v>31</v>
      </c>
      <c r="I774" t="s">
        <v>9300</v>
      </c>
      <c r="J774" t="str">
        <f t="shared" si="12"/>
        <v>13F-HR-5.31.C5</v>
      </c>
      <c r="K774" s="5" t="s">
        <v>8622</v>
      </c>
      <c r="L774" t="s">
        <v>241</v>
      </c>
      <c r="M774" t="s">
        <v>8623</v>
      </c>
      <c r="N774" t="s">
        <v>8624</v>
      </c>
      <c r="Q774" s="28">
        <v>77454</v>
      </c>
    </row>
    <row r="775" spans="1:17" x14ac:dyDescent="0.35">
      <c r="A775" t="s">
        <v>8520</v>
      </c>
      <c r="B775" s="3" t="s">
        <v>102</v>
      </c>
      <c r="F775">
        <v>5</v>
      </c>
      <c r="G775" t="s">
        <v>8607</v>
      </c>
      <c r="H775">
        <v>32</v>
      </c>
      <c r="I775" t="s">
        <v>9301</v>
      </c>
      <c r="J775" t="str">
        <f t="shared" si="12"/>
        <v>13F-HR-5.32.C6</v>
      </c>
      <c r="K775" s="5" t="s">
        <v>8625</v>
      </c>
      <c r="L775" t="s">
        <v>229</v>
      </c>
      <c r="M775" t="s">
        <v>8626</v>
      </c>
      <c r="N775" t="s">
        <v>8627</v>
      </c>
      <c r="Q775" s="28" t="s">
        <v>8628</v>
      </c>
    </row>
    <row r="776" spans="1:17" x14ac:dyDescent="0.35">
      <c r="A776" t="s">
        <v>8520</v>
      </c>
      <c r="B776" s="3" t="s">
        <v>102</v>
      </c>
      <c r="F776">
        <v>5</v>
      </c>
      <c r="G776" t="s">
        <v>8607</v>
      </c>
      <c r="H776">
        <v>33</v>
      </c>
      <c r="I776" t="s">
        <v>9302</v>
      </c>
      <c r="J776" t="str">
        <f t="shared" si="12"/>
        <v>13F-HR-5.33.C7</v>
      </c>
      <c r="K776" s="5" t="s">
        <v>8629</v>
      </c>
      <c r="L776" t="s">
        <v>229</v>
      </c>
      <c r="M776" t="s">
        <v>8630</v>
      </c>
      <c r="N776" t="s">
        <v>8631</v>
      </c>
      <c r="Q776" s="28" t="s">
        <v>8685</v>
      </c>
    </row>
    <row r="777" spans="1:17" x14ac:dyDescent="0.35">
      <c r="A777" t="s">
        <v>8520</v>
      </c>
      <c r="B777" s="3" t="s">
        <v>102</v>
      </c>
      <c r="F777">
        <v>5</v>
      </c>
      <c r="G777" t="s">
        <v>8607</v>
      </c>
      <c r="H777">
        <v>34</v>
      </c>
      <c r="I777" t="s">
        <v>9303</v>
      </c>
      <c r="J777" t="str">
        <f t="shared" si="12"/>
        <v>13F-HR-5.34.C8</v>
      </c>
      <c r="K777" s="5" t="s">
        <v>8633</v>
      </c>
      <c r="L777" t="s">
        <v>4735</v>
      </c>
      <c r="M777" t="s">
        <v>8634</v>
      </c>
      <c r="N777" t="s">
        <v>8635</v>
      </c>
      <c r="Q777" s="28" t="s">
        <v>8632</v>
      </c>
    </row>
    <row r="778" spans="1:17" x14ac:dyDescent="0.35">
      <c r="A778" t="s">
        <v>8520</v>
      </c>
      <c r="B778" s="3" t="s">
        <v>102</v>
      </c>
      <c r="F778">
        <v>5</v>
      </c>
      <c r="G778" t="s">
        <v>8607</v>
      </c>
      <c r="H778">
        <v>35</v>
      </c>
      <c r="I778" t="s">
        <v>9304</v>
      </c>
      <c r="J778" t="str">
        <f t="shared" si="12"/>
        <v>13F-HR-5.35.C9</v>
      </c>
      <c r="K778" s="5" t="s">
        <v>8637</v>
      </c>
      <c r="L778" t="s">
        <v>229</v>
      </c>
      <c r="M778" t="s">
        <v>8638</v>
      </c>
      <c r="N778" t="s">
        <v>8639</v>
      </c>
      <c r="Q778" s="28" t="s">
        <v>8636</v>
      </c>
    </row>
    <row r="779" spans="1:17" x14ac:dyDescent="0.35">
      <c r="A779" t="s">
        <v>8520</v>
      </c>
      <c r="B779" s="3" t="s">
        <v>102</v>
      </c>
      <c r="F779">
        <v>5</v>
      </c>
      <c r="G779" t="s">
        <v>8607</v>
      </c>
      <c r="H779">
        <v>36</v>
      </c>
      <c r="I779" t="s">
        <v>9305</v>
      </c>
      <c r="J779" t="str">
        <f t="shared" si="12"/>
        <v>13F-HR-5.36.C10</v>
      </c>
      <c r="K779" s="5" t="s">
        <v>8640</v>
      </c>
      <c r="L779" t="s">
        <v>241</v>
      </c>
      <c r="M779" t="s">
        <v>8641</v>
      </c>
      <c r="N779" t="s">
        <v>8642</v>
      </c>
      <c r="Q779" s="28">
        <v>37649</v>
      </c>
    </row>
    <row r="780" spans="1:17" x14ac:dyDescent="0.35">
      <c r="A780" t="s">
        <v>8520</v>
      </c>
      <c r="B780" s="3" t="s">
        <v>102</v>
      </c>
      <c r="F780">
        <v>5</v>
      </c>
      <c r="G780" t="s">
        <v>8607</v>
      </c>
      <c r="H780">
        <v>37</v>
      </c>
      <c r="I780" t="s">
        <v>9306</v>
      </c>
      <c r="J780" t="str">
        <f t="shared" si="12"/>
        <v>13F-HR-5.37.C11</v>
      </c>
      <c r="K780" s="5" t="s">
        <v>8643</v>
      </c>
      <c r="L780" t="s">
        <v>241</v>
      </c>
      <c r="M780" t="s">
        <v>8644</v>
      </c>
      <c r="N780" t="s">
        <v>8645</v>
      </c>
      <c r="Q780" s="28">
        <v>0</v>
      </c>
    </row>
    <row r="781" spans="1:17" x14ac:dyDescent="0.35">
      <c r="A781" t="s">
        <v>8520</v>
      </c>
      <c r="B781" s="3" t="s">
        <v>102</v>
      </c>
      <c r="F781">
        <v>5</v>
      </c>
      <c r="G781" t="s">
        <v>8607</v>
      </c>
      <c r="H781">
        <v>38</v>
      </c>
      <c r="I781" t="s">
        <v>9307</v>
      </c>
      <c r="J781" t="str">
        <f t="shared" si="12"/>
        <v>13F-HR-5.38.C12</v>
      </c>
      <c r="K781" s="5" t="s">
        <v>8646</v>
      </c>
      <c r="L781" t="s">
        <v>241</v>
      </c>
      <c r="M781" t="s">
        <v>8647</v>
      </c>
      <c r="N781" t="s">
        <v>8648</v>
      </c>
      <c r="Q781" s="28">
        <v>39805</v>
      </c>
    </row>
    <row r="782" spans="1:17" x14ac:dyDescent="0.35">
      <c r="A782" t="s">
        <v>8520</v>
      </c>
      <c r="B782" s="3" t="s">
        <v>102</v>
      </c>
      <c r="F782">
        <v>5</v>
      </c>
      <c r="G782" t="s">
        <v>8607</v>
      </c>
      <c r="H782">
        <v>27</v>
      </c>
      <c r="I782" t="s">
        <v>9296</v>
      </c>
      <c r="J782" t="str">
        <f t="shared" si="12"/>
        <v>13F-HR-5.27.C1</v>
      </c>
      <c r="K782" s="5" t="s">
        <v>8608</v>
      </c>
      <c r="L782" t="s">
        <v>229</v>
      </c>
      <c r="M782" t="s">
        <v>8609</v>
      </c>
      <c r="N782" t="s">
        <v>8610</v>
      </c>
      <c r="Q782" s="28" t="s">
        <v>8755</v>
      </c>
    </row>
    <row r="783" spans="1:17" x14ac:dyDescent="0.35">
      <c r="A783" t="s">
        <v>8520</v>
      </c>
      <c r="B783" s="3" t="s">
        <v>102</v>
      </c>
      <c r="F783">
        <v>5</v>
      </c>
      <c r="G783" t="s">
        <v>8607</v>
      </c>
      <c r="H783">
        <v>28</v>
      </c>
      <c r="I783" t="s">
        <v>9297</v>
      </c>
      <c r="J783" t="str">
        <f t="shared" si="12"/>
        <v>13F-HR-5.28.C2</v>
      </c>
      <c r="K783" s="5" t="s">
        <v>8612</v>
      </c>
      <c r="L783" t="s">
        <v>229</v>
      </c>
      <c r="M783" t="s">
        <v>8613</v>
      </c>
      <c r="N783" t="s">
        <v>8614</v>
      </c>
      <c r="Q783" s="28" t="s">
        <v>8615</v>
      </c>
    </row>
    <row r="784" spans="1:17" x14ac:dyDescent="0.35">
      <c r="A784" t="s">
        <v>8520</v>
      </c>
      <c r="B784" s="3" t="s">
        <v>102</v>
      </c>
      <c r="F784">
        <v>5</v>
      </c>
      <c r="G784" t="s">
        <v>8607</v>
      </c>
      <c r="H784">
        <v>29</v>
      </c>
      <c r="I784" t="s">
        <v>9298</v>
      </c>
      <c r="J784" t="str">
        <f t="shared" si="12"/>
        <v>13F-HR-5.29.C3</v>
      </c>
      <c r="K784" s="5" t="s">
        <v>8616</v>
      </c>
      <c r="L784" t="s">
        <v>229</v>
      </c>
      <c r="M784" t="s">
        <v>7927</v>
      </c>
      <c r="N784" t="s">
        <v>8617</v>
      </c>
      <c r="Q784" s="28">
        <v>150870103</v>
      </c>
    </row>
    <row r="785" spans="1:17" x14ac:dyDescent="0.35">
      <c r="A785" t="s">
        <v>8520</v>
      </c>
      <c r="B785" s="3" t="s">
        <v>102</v>
      </c>
      <c r="F785">
        <v>5</v>
      </c>
      <c r="G785" t="s">
        <v>8607</v>
      </c>
      <c r="H785">
        <v>30</v>
      </c>
      <c r="I785" t="s">
        <v>9299</v>
      </c>
      <c r="J785" t="str">
        <f t="shared" si="12"/>
        <v>13F-HR-5.30.C4</v>
      </c>
      <c r="K785" s="5" t="s">
        <v>8618</v>
      </c>
      <c r="L785" t="s">
        <v>8619</v>
      </c>
      <c r="M785" t="s">
        <v>8620</v>
      </c>
      <c r="N785" t="s">
        <v>8621</v>
      </c>
      <c r="Q785" s="28">
        <v>1373891</v>
      </c>
    </row>
    <row r="786" spans="1:17" x14ac:dyDescent="0.35">
      <c r="A786" t="s">
        <v>8520</v>
      </c>
      <c r="B786" s="3" t="s">
        <v>102</v>
      </c>
      <c r="F786">
        <v>5</v>
      </c>
      <c r="G786" t="s">
        <v>8607</v>
      </c>
      <c r="H786">
        <v>31</v>
      </c>
      <c r="I786" t="s">
        <v>9300</v>
      </c>
      <c r="J786" t="str">
        <f t="shared" si="12"/>
        <v>13F-HR-5.31.C5</v>
      </c>
      <c r="K786" s="5" t="s">
        <v>8622</v>
      </c>
      <c r="L786" t="s">
        <v>241</v>
      </c>
      <c r="M786" t="s">
        <v>8623</v>
      </c>
      <c r="N786" t="s">
        <v>8624</v>
      </c>
      <c r="Q786" s="28">
        <v>24201</v>
      </c>
    </row>
    <row r="787" spans="1:17" x14ac:dyDescent="0.35">
      <c r="A787" t="s">
        <v>8520</v>
      </c>
      <c r="B787" s="3" t="s">
        <v>102</v>
      </c>
      <c r="F787">
        <v>5</v>
      </c>
      <c r="G787" t="s">
        <v>8607</v>
      </c>
      <c r="H787">
        <v>32</v>
      </c>
      <c r="I787" t="s">
        <v>9301</v>
      </c>
      <c r="J787" t="str">
        <f t="shared" si="12"/>
        <v>13F-HR-5.32.C6</v>
      </c>
      <c r="K787" s="5" t="s">
        <v>8625</v>
      </c>
      <c r="L787" t="s">
        <v>229</v>
      </c>
      <c r="M787" t="s">
        <v>8626</v>
      </c>
      <c r="N787" t="s">
        <v>8627</v>
      </c>
      <c r="Q787" s="28" t="s">
        <v>8628</v>
      </c>
    </row>
    <row r="788" spans="1:17" x14ac:dyDescent="0.35">
      <c r="A788" t="s">
        <v>8520</v>
      </c>
      <c r="B788" s="3" t="s">
        <v>102</v>
      </c>
      <c r="F788">
        <v>5</v>
      </c>
      <c r="G788" t="s">
        <v>8607</v>
      </c>
      <c r="H788">
        <v>33</v>
      </c>
      <c r="I788" t="s">
        <v>9302</v>
      </c>
      <c r="J788" t="str">
        <f t="shared" si="12"/>
        <v>13F-HR-5.33.C7</v>
      </c>
      <c r="K788" s="5" t="s">
        <v>8629</v>
      </c>
      <c r="L788" t="s">
        <v>229</v>
      </c>
      <c r="M788" t="s">
        <v>8630</v>
      </c>
      <c r="N788" t="s">
        <v>8631</v>
      </c>
      <c r="Q788" s="28" t="s">
        <v>8685</v>
      </c>
    </row>
    <row r="789" spans="1:17" x14ac:dyDescent="0.35">
      <c r="A789" t="s">
        <v>8520</v>
      </c>
      <c r="B789" s="3" t="s">
        <v>102</v>
      </c>
      <c r="F789">
        <v>5</v>
      </c>
      <c r="G789" t="s">
        <v>8607</v>
      </c>
      <c r="H789">
        <v>34</v>
      </c>
      <c r="I789" t="s">
        <v>9303</v>
      </c>
      <c r="J789" t="str">
        <f t="shared" si="12"/>
        <v>13F-HR-5.34.C8</v>
      </c>
      <c r="K789" s="5" t="s">
        <v>8633</v>
      </c>
      <c r="L789" t="s">
        <v>4735</v>
      </c>
      <c r="M789" t="s">
        <v>8634</v>
      </c>
      <c r="N789" t="s">
        <v>8635</v>
      </c>
      <c r="Q789" s="28" t="s">
        <v>8632</v>
      </c>
    </row>
    <row r="790" spans="1:17" x14ac:dyDescent="0.35">
      <c r="A790" t="s">
        <v>8520</v>
      </c>
      <c r="B790" s="3" t="s">
        <v>102</v>
      </c>
      <c r="F790">
        <v>5</v>
      </c>
      <c r="G790" t="s">
        <v>8607</v>
      </c>
      <c r="H790">
        <v>35</v>
      </c>
      <c r="I790" t="s">
        <v>9304</v>
      </c>
      <c r="J790" t="str">
        <f t="shared" si="12"/>
        <v>13F-HR-5.35.C9</v>
      </c>
      <c r="K790" s="5" t="s">
        <v>8637</v>
      </c>
      <c r="L790" t="s">
        <v>229</v>
      </c>
      <c r="M790" t="s">
        <v>8638</v>
      </c>
      <c r="N790" t="s">
        <v>8639</v>
      </c>
      <c r="Q790" s="28" t="s">
        <v>8636</v>
      </c>
    </row>
    <row r="791" spans="1:17" x14ac:dyDescent="0.35">
      <c r="A791" t="s">
        <v>8520</v>
      </c>
      <c r="B791" s="3" t="s">
        <v>102</v>
      </c>
      <c r="F791">
        <v>5</v>
      </c>
      <c r="G791" t="s">
        <v>8607</v>
      </c>
      <c r="H791">
        <v>36</v>
      </c>
      <c r="I791" t="s">
        <v>9305</v>
      </c>
      <c r="J791" t="str">
        <f t="shared" si="12"/>
        <v>13F-HR-5.36.C10</v>
      </c>
      <c r="K791" s="5" t="s">
        <v>8640</v>
      </c>
      <c r="L791" t="s">
        <v>241</v>
      </c>
      <c r="M791" t="s">
        <v>8641</v>
      </c>
      <c r="N791" t="s">
        <v>8642</v>
      </c>
      <c r="Q791" s="28">
        <v>3066</v>
      </c>
    </row>
    <row r="792" spans="1:17" x14ac:dyDescent="0.35">
      <c r="A792" t="s">
        <v>8520</v>
      </c>
      <c r="B792" s="3" t="s">
        <v>102</v>
      </c>
      <c r="F792">
        <v>5</v>
      </c>
      <c r="G792" t="s">
        <v>8607</v>
      </c>
      <c r="H792">
        <v>37</v>
      </c>
      <c r="I792" t="s">
        <v>9306</v>
      </c>
      <c r="J792" t="str">
        <f t="shared" si="12"/>
        <v>13F-HR-5.37.C11</v>
      </c>
      <c r="K792" s="5" t="s">
        <v>8643</v>
      </c>
      <c r="L792" t="s">
        <v>241</v>
      </c>
      <c r="M792" t="s">
        <v>8644</v>
      </c>
      <c r="N792" t="s">
        <v>8645</v>
      </c>
      <c r="Q792" s="28">
        <v>0</v>
      </c>
    </row>
    <row r="793" spans="1:17" x14ac:dyDescent="0.35">
      <c r="A793" t="s">
        <v>8520</v>
      </c>
      <c r="B793" s="3" t="s">
        <v>102</v>
      </c>
      <c r="F793">
        <v>5</v>
      </c>
      <c r="G793" t="s">
        <v>8607</v>
      </c>
      <c r="H793">
        <v>38</v>
      </c>
      <c r="I793" t="s">
        <v>9307</v>
      </c>
      <c r="J793" t="str">
        <f t="shared" si="12"/>
        <v>13F-HR-5.38.C12</v>
      </c>
      <c r="K793" s="5" t="s">
        <v>8646</v>
      </c>
      <c r="L793" t="s">
        <v>241</v>
      </c>
      <c r="M793" t="s">
        <v>8647</v>
      </c>
      <c r="N793" t="s">
        <v>8648</v>
      </c>
      <c r="Q793" s="28">
        <v>21135</v>
      </c>
    </row>
    <row r="794" spans="1:17" x14ac:dyDescent="0.35">
      <c r="A794" t="s">
        <v>8520</v>
      </c>
      <c r="B794" s="3" t="s">
        <v>102</v>
      </c>
      <c r="F794">
        <v>5</v>
      </c>
      <c r="G794" t="s">
        <v>8607</v>
      </c>
      <c r="H794">
        <v>27</v>
      </c>
      <c r="I794" t="s">
        <v>9296</v>
      </c>
      <c r="J794" t="str">
        <f t="shared" si="12"/>
        <v>13F-HR-5.27.C1</v>
      </c>
      <c r="K794" s="5" t="s">
        <v>8608</v>
      </c>
      <c r="L794" t="s">
        <v>229</v>
      </c>
      <c r="M794" t="s">
        <v>8609</v>
      </c>
      <c r="N794" t="s">
        <v>8610</v>
      </c>
      <c r="Q794" s="28" t="s">
        <v>8756</v>
      </c>
    </row>
    <row r="795" spans="1:17" x14ac:dyDescent="0.35">
      <c r="A795" t="s">
        <v>8520</v>
      </c>
      <c r="B795" s="3" t="s">
        <v>102</v>
      </c>
      <c r="F795">
        <v>5</v>
      </c>
      <c r="G795" t="s">
        <v>8607</v>
      </c>
      <c r="H795">
        <v>28</v>
      </c>
      <c r="I795" t="s">
        <v>9297</v>
      </c>
      <c r="J795" t="str">
        <f t="shared" si="12"/>
        <v>13F-HR-5.28.C2</v>
      </c>
      <c r="K795" s="5" t="s">
        <v>8612</v>
      </c>
      <c r="L795" t="s">
        <v>229</v>
      </c>
      <c r="M795" t="s">
        <v>8613</v>
      </c>
      <c r="N795" t="s">
        <v>8614</v>
      </c>
      <c r="Q795" s="28" t="s">
        <v>8615</v>
      </c>
    </row>
    <row r="796" spans="1:17" x14ac:dyDescent="0.35">
      <c r="A796" t="s">
        <v>8520</v>
      </c>
      <c r="B796" s="3" t="s">
        <v>102</v>
      </c>
      <c r="F796">
        <v>5</v>
      </c>
      <c r="G796" t="s">
        <v>8607</v>
      </c>
      <c r="H796">
        <v>29</v>
      </c>
      <c r="I796" t="s">
        <v>9298</v>
      </c>
      <c r="J796" t="str">
        <f t="shared" si="12"/>
        <v>13F-HR-5.29.C3</v>
      </c>
      <c r="K796" s="5" t="s">
        <v>8616</v>
      </c>
      <c r="L796" t="s">
        <v>229</v>
      </c>
      <c r="M796" t="s">
        <v>7927</v>
      </c>
      <c r="N796" t="s">
        <v>8617</v>
      </c>
      <c r="Q796" s="28" t="s">
        <v>8757</v>
      </c>
    </row>
    <row r="797" spans="1:17" x14ac:dyDescent="0.35">
      <c r="A797" t="s">
        <v>8520</v>
      </c>
      <c r="B797" s="3" t="s">
        <v>102</v>
      </c>
      <c r="F797">
        <v>5</v>
      </c>
      <c r="G797" t="s">
        <v>8607</v>
      </c>
      <c r="H797">
        <v>30</v>
      </c>
      <c r="I797" t="s">
        <v>9299</v>
      </c>
      <c r="J797" t="str">
        <f t="shared" si="12"/>
        <v>13F-HR-5.30.C4</v>
      </c>
      <c r="K797" s="5" t="s">
        <v>8618</v>
      </c>
      <c r="L797" t="s">
        <v>8619</v>
      </c>
      <c r="M797" t="s">
        <v>8620</v>
      </c>
      <c r="N797" t="s">
        <v>8621</v>
      </c>
      <c r="Q797" s="28">
        <v>16916831</v>
      </c>
    </row>
    <row r="798" spans="1:17" x14ac:dyDescent="0.35">
      <c r="A798" t="s">
        <v>8520</v>
      </c>
      <c r="B798" s="3" t="s">
        <v>102</v>
      </c>
      <c r="F798">
        <v>5</v>
      </c>
      <c r="G798" t="s">
        <v>8607</v>
      </c>
      <c r="H798">
        <v>31</v>
      </c>
      <c r="I798" t="s">
        <v>9300</v>
      </c>
      <c r="J798" t="str">
        <f t="shared" si="12"/>
        <v>13F-HR-5.31.C5</v>
      </c>
      <c r="K798" s="5" t="s">
        <v>8622</v>
      </c>
      <c r="L798" t="s">
        <v>241</v>
      </c>
      <c r="M798" t="s">
        <v>8623</v>
      </c>
      <c r="N798" t="s">
        <v>8624</v>
      </c>
      <c r="Q798" s="28">
        <v>1216860</v>
      </c>
    </row>
    <row r="799" spans="1:17" x14ac:dyDescent="0.35">
      <c r="A799" t="s">
        <v>8520</v>
      </c>
      <c r="B799" s="3" t="s">
        <v>102</v>
      </c>
      <c r="F799">
        <v>5</v>
      </c>
      <c r="G799" t="s">
        <v>8607</v>
      </c>
      <c r="H799">
        <v>32</v>
      </c>
      <c r="I799" t="s">
        <v>9301</v>
      </c>
      <c r="J799" t="str">
        <f t="shared" si="12"/>
        <v>13F-HR-5.32.C6</v>
      </c>
      <c r="K799" s="5" t="s">
        <v>8625</v>
      </c>
      <c r="L799" t="s">
        <v>229</v>
      </c>
      <c r="M799" t="s">
        <v>8626</v>
      </c>
      <c r="N799" t="s">
        <v>8627</v>
      </c>
      <c r="Q799" s="28" t="s">
        <v>8628</v>
      </c>
    </row>
    <row r="800" spans="1:17" x14ac:dyDescent="0.35">
      <c r="A800" t="s">
        <v>8520</v>
      </c>
      <c r="B800" s="3" t="s">
        <v>102</v>
      </c>
      <c r="F800">
        <v>5</v>
      </c>
      <c r="G800" t="s">
        <v>8607</v>
      </c>
      <c r="H800">
        <v>33</v>
      </c>
      <c r="I800" t="s">
        <v>9302</v>
      </c>
      <c r="J800" t="str">
        <f t="shared" si="12"/>
        <v>13F-HR-5.33.C7</v>
      </c>
      <c r="K800" s="5" t="s">
        <v>8629</v>
      </c>
      <c r="L800" t="s">
        <v>229</v>
      </c>
      <c r="M800" t="s">
        <v>8630</v>
      </c>
      <c r="N800" t="s">
        <v>8631</v>
      </c>
      <c r="Q800" s="28" t="s">
        <v>8685</v>
      </c>
    </row>
    <row r="801" spans="1:17" x14ac:dyDescent="0.35">
      <c r="A801" t="s">
        <v>8520</v>
      </c>
      <c r="B801" s="3" t="s">
        <v>102</v>
      </c>
      <c r="F801">
        <v>5</v>
      </c>
      <c r="G801" t="s">
        <v>8607</v>
      </c>
      <c r="H801">
        <v>34</v>
      </c>
      <c r="I801" t="s">
        <v>9303</v>
      </c>
      <c r="J801" t="str">
        <f t="shared" si="12"/>
        <v>13F-HR-5.34.C8</v>
      </c>
      <c r="K801" s="5" t="s">
        <v>8633</v>
      </c>
      <c r="L801" t="s">
        <v>4735</v>
      </c>
      <c r="M801" t="s">
        <v>8634</v>
      </c>
      <c r="N801" t="s">
        <v>8635</v>
      </c>
      <c r="Q801" s="28" t="s">
        <v>8632</v>
      </c>
    </row>
    <row r="802" spans="1:17" x14ac:dyDescent="0.35">
      <c r="A802" t="s">
        <v>8520</v>
      </c>
      <c r="B802" s="3" t="s">
        <v>102</v>
      </c>
      <c r="F802">
        <v>5</v>
      </c>
      <c r="G802" t="s">
        <v>8607</v>
      </c>
      <c r="H802">
        <v>35</v>
      </c>
      <c r="I802" t="s">
        <v>9304</v>
      </c>
      <c r="J802" t="str">
        <f t="shared" si="12"/>
        <v>13F-HR-5.35.C9</v>
      </c>
      <c r="K802" s="5" t="s">
        <v>8637</v>
      </c>
      <c r="L802" t="s">
        <v>229</v>
      </c>
      <c r="M802" t="s">
        <v>8638</v>
      </c>
      <c r="N802" t="s">
        <v>8639</v>
      </c>
      <c r="Q802" s="28" t="s">
        <v>8636</v>
      </c>
    </row>
    <row r="803" spans="1:17" x14ac:dyDescent="0.35">
      <c r="A803" t="s">
        <v>8520</v>
      </c>
      <c r="B803" s="3" t="s">
        <v>102</v>
      </c>
      <c r="F803">
        <v>5</v>
      </c>
      <c r="G803" t="s">
        <v>8607</v>
      </c>
      <c r="H803">
        <v>36</v>
      </c>
      <c r="I803" t="s">
        <v>9305</v>
      </c>
      <c r="J803" t="str">
        <f t="shared" si="12"/>
        <v>13F-HR-5.36.C10</v>
      </c>
      <c r="K803" s="5" t="s">
        <v>8640</v>
      </c>
      <c r="L803" t="s">
        <v>241</v>
      </c>
      <c r="M803" t="s">
        <v>8641</v>
      </c>
      <c r="N803" t="s">
        <v>8642</v>
      </c>
      <c r="Q803" s="28">
        <v>877554</v>
      </c>
    </row>
    <row r="804" spans="1:17" x14ac:dyDescent="0.35">
      <c r="A804" t="s">
        <v>8520</v>
      </c>
      <c r="B804" s="3" t="s">
        <v>102</v>
      </c>
      <c r="F804">
        <v>5</v>
      </c>
      <c r="G804" t="s">
        <v>8607</v>
      </c>
      <c r="H804">
        <v>37</v>
      </c>
      <c r="I804" t="s">
        <v>9306</v>
      </c>
      <c r="J804" t="str">
        <f t="shared" si="12"/>
        <v>13F-HR-5.37.C11</v>
      </c>
      <c r="K804" s="5" t="s">
        <v>8643</v>
      </c>
      <c r="L804" t="s">
        <v>241</v>
      </c>
      <c r="M804" t="s">
        <v>8644</v>
      </c>
      <c r="N804" t="s">
        <v>8645</v>
      </c>
      <c r="Q804" s="28">
        <v>0</v>
      </c>
    </row>
    <row r="805" spans="1:17" x14ac:dyDescent="0.35">
      <c r="A805" t="s">
        <v>8520</v>
      </c>
      <c r="B805" s="3" t="s">
        <v>102</v>
      </c>
      <c r="F805">
        <v>5</v>
      </c>
      <c r="G805" t="s">
        <v>8607</v>
      </c>
      <c r="H805">
        <v>38</v>
      </c>
      <c r="I805" t="s">
        <v>9307</v>
      </c>
      <c r="J805" t="str">
        <f t="shared" si="12"/>
        <v>13F-HR-5.38.C12</v>
      </c>
      <c r="K805" s="5" t="s">
        <v>8646</v>
      </c>
      <c r="L805" t="s">
        <v>241</v>
      </c>
      <c r="M805" t="s">
        <v>8647</v>
      </c>
      <c r="N805" t="s">
        <v>8648</v>
      </c>
      <c r="Q805" s="28">
        <v>339306</v>
      </c>
    </row>
    <row r="806" spans="1:17" x14ac:dyDescent="0.35">
      <c r="A806" t="s">
        <v>8520</v>
      </c>
      <c r="B806" s="3" t="s">
        <v>102</v>
      </c>
      <c r="F806">
        <v>5</v>
      </c>
      <c r="G806" t="s">
        <v>8607</v>
      </c>
      <c r="H806">
        <v>27</v>
      </c>
      <c r="I806" t="s">
        <v>9296</v>
      </c>
      <c r="J806" t="str">
        <f t="shared" si="12"/>
        <v>13F-HR-5.27.C1</v>
      </c>
      <c r="K806" s="5" t="s">
        <v>8608</v>
      </c>
      <c r="L806" t="s">
        <v>229</v>
      </c>
      <c r="M806" t="s">
        <v>8609</v>
      </c>
      <c r="N806" t="s">
        <v>8610</v>
      </c>
      <c r="Q806" s="28" t="s">
        <v>8758</v>
      </c>
    </row>
    <row r="807" spans="1:17" x14ac:dyDescent="0.35">
      <c r="A807" t="s">
        <v>8520</v>
      </c>
      <c r="B807" s="3" t="s">
        <v>102</v>
      </c>
      <c r="F807">
        <v>5</v>
      </c>
      <c r="G807" t="s">
        <v>8607</v>
      </c>
      <c r="H807">
        <v>28</v>
      </c>
      <c r="I807" t="s">
        <v>9297</v>
      </c>
      <c r="J807" t="str">
        <f t="shared" si="12"/>
        <v>13F-HR-5.28.C2</v>
      </c>
      <c r="K807" s="5" t="s">
        <v>8612</v>
      </c>
      <c r="L807" t="s">
        <v>229</v>
      </c>
      <c r="M807" t="s">
        <v>8613</v>
      </c>
      <c r="N807" t="s">
        <v>8614</v>
      </c>
      <c r="Q807" s="28" t="s">
        <v>8615</v>
      </c>
    </row>
    <row r="808" spans="1:17" x14ac:dyDescent="0.35">
      <c r="A808" t="s">
        <v>8520</v>
      </c>
      <c r="B808" s="3" t="s">
        <v>102</v>
      </c>
      <c r="F808">
        <v>5</v>
      </c>
      <c r="G808" t="s">
        <v>8607</v>
      </c>
      <c r="H808">
        <v>29</v>
      </c>
      <c r="I808" t="s">
        <v>9298</v>
      </c>
      <c r="J808" t="str">
        <f t="shared" si="12"/>
        <v>13F-HR-5.29.C3</v>
      </c>
      <c r="K808" s="5" t="s">
        <v>8616</v>
      </c>
      <c r="L808" t="s">
        <v>229</v>
      </c>
      <c r="M808" t="s">
        <v>7927</v>
      </c>
      <c r="N808" t="s">
        <v>8617</v>
      </c>
      <c r="Q808" s="28" t="s">
        <v>8759</v>
      </c>
    </row>
    <row r="809" spans="1:17" x14ac:dyDescent="0.35">
      <c r="A809" t="s">
        <v>8520</v>
      </c>
      <c r="B809" s="3" t="s">
        <v>102</v>
      </c>
      <c r="F809">
        <v>5</v>
      </c>
      <c r="G809" t="s">
        <v>8607</v>
      </c>
      <c r="H809">
        <v>30</v>
      </c>
      <c r="I809" t="s">
        <v>9299</v>
      </c>
      <c r="J809" t="str">
        <f t="shared" si="12"/>
        <v>13F-HR-5.30.C4</v>
      </c>
      <c r="K809" s="5" t="s">
        <v>8618</v>
      </c>
      <c r="L809" t="s">
        <v>8619</v>
      </c>
      <c r="M809" t="s">
        <v>8620</v>
      </c>
      <c r="N809" t="s">
        <v>8621</v>
      </c>
      <c r="Q809" s="28">
        <v>12514530</v>
      </c>
    </row>
    <row r="810" spans="1:17" x14ac:dyDescent="0.35">
      <c r="A810" t="s">
        <v>8520</v>
      </c>
      <c r="B810" s="3" t="s">
        <v>102</v>
      </c>
      <c r="F810">
        <v>5</v>
      </c>
      <c r="G810" t="s">
        <v>8607</v>
      </c>
      <c r="H810">
        <v>31</v>
      </c>
      <c r="I810" t="s">
        <v>9300</v>
      </c>
      <c r="J810" t="str">
        <f t="shared" si="12"/>
        <v>13F-HR-5.31.C5</v>
      </c>
      <c r="K810" s="5" t="s">
        <v>8622</v>
      </c>
      <c r="L810" t="s">
        <v>241</v>
      </c>
      <c r="M810" t="s">
        <v>8623</v>
      </c>
      <c r="N810" t="s">
        <v>8624</v>
      </c>
      <c r="Q810" s="28">
        <v>345419</v>
      </c>
    </row>
    <row r="811" spans="1:17" x14ac:dyDescent="0.35">
      <c r="A811" t="s">
        <v>8520</v>
      </c>
      <c r="B811" s="3" t="s">
        <v>102</v>
      </c>
      <c r="F811">
        <v>5</v>
      </c>
      <c r="G811" t="s">
        <v>8607</v>
      </c>
      <c r="H811">
        <v>32</v>
      </c>
      <c r="I811" t="s">
        <v>9301</v>
      </c>
      <c r="J811" t="str">
        <f t="shared" si="12"/>
        <v>13F-HR-5.32.C6</v>
      </c>
      <c r="K811" s="5" t="s">
        <v>8625</v>
      </c>
      <c r="L811" t="s">
        <v>229</v>
      </c>
      <c r="M811" t="s">
        <v>8626</v>
      </c>
      <c r="N811" t="s">
        <v>8627</v>
      </c>
      <c r="Q811" s="28" t="s">
        <v>8628</v>
      </c>
    </row>
    <row r="812" spans="1:17" x14ac:dyDescent="0.35">
      <c r="A812" t="s">
        <v>8520</v>
      </c>
      <c r="B812" s="3" t="s">
        <v>102</v>
      </c>
      <c r="F812">
        <v>5</v>
      </c>
      <c r="G812" t="s">
        <v>8607</v>
      </c>
      <c r="H812">
        <v>33</v>
      </c>
      <c r="I812" t="s">
        <v>9302</v>
      </c>
      <c r="J812" t="str">
        <f t="shared" si="12"/>
        <v>13F-HR-5.33.C7</v>
      </c>
      <c r="K812" s="5" t="s">
        <v>8629</v>
      </c>
      <c r="L812" t="s">
        <v>229</v>
      </c>
      <c r="M812" t="s">
        <v>8630</v>
      </c>
      <c r="N812" t="s">
        <v>8631</v>
      </c>
      <c r="Q812" s="28" t="s">
        <v>8685</v>
      </c>
    </row>
    <row r="813" spans="1:17" x14ac:dyDescent="0.35">
      <c r="A813" t="s">
        <v>8520</v>
      </c>
      <c r="B813" s="3" t="s">
        <v>102</v>
      </c>
      <c r="F813">
        <v>5</v>
      </c>
      <c r="G813" t="s">
        <v>8607</v>
      </c>
      <c r="H813">
        <v>34</v>
      </c>
      <c r="I813" t="s">
        <v>9303</v>
      </c>
      <c r="J813" t="str">
        <f t="shared" si="12"/>
        <v>13F-HR-5.34.C8</v>
      </c>
      <c r="K813" s="5" t="s">
        <v>8633</v>
      </c>
      <c r="L813" t="s">
        <v>4735</v>
      </c>
      <c r="M813" t="s">
        <v>8634</v>
      </c>
      <c r="N813" t="s">
        <v>8635</v>
      </c>
      <c r="Q813" s="28" t="s">
        <v>8632</v>
      </c>
    </row>
    <row r="814" spans="1:17" x14ac:dyDescent="0.35">
      <c r="A814" t="s">
        <v>8520</v>
      </c>
      <c r="B814" s="3" t="s">
        <v>102</v>
      </c>
      <c r="F814">
        <v>5</v>
      </c>
      <c r="G814" t="s">
        <v>8607</v>
      </c>
      <c r="H814">
        <v>35</v>
      </c>
      <c r="I814" t="s">
        <v>9304</v>
      </c>
      <c r="J814" t="str">
        <f t="shared" si="12"/>
        <v>13F-HR-5.35.C9</v>
      </c>
      <c r="K814" s="5" t="s">
        <v>8637</v>
      </c>
      <c r="L814" t="s">
        <v>229</v>
      </c>
      <c r="M814" t="s">
        <v>8638</v>
      </c>
      <c r="N814" t="s">
        <v>8639</v>
      </c>
      <c r="Q814" s="28" t="s">
        <v>8636</v>
      </c>
    </row>
    <row r="815" spans="1:17" x14ac:dyDescent="0.35">
      <c r="A815" t="s">
        <v>8520</v>
      </c>
      <c r="B815" s="3" t="s">
        <v>102</v>
      </c>
      <c r="F815">
        <v>5</v>
      </c>
      <c r="G815" t="s">
        <v>8607</v>
      </c>
      <c r="H815">
        <v>36</v>
      </c>
      <c r="I815" t="s">
        <v>9305</v>
      </c>
      <c r="J815" t="str">
        <f t="shared" si="12"/>
        <v>13F-HR-5.36.C10</v>
      </c>
      <c r="K815" s="5" t="s">
        <v>8640</v>
      </c>
      <c r="L815" t="s">
        <v>241</v>
      </c>
      <c r="M815" t="s">
        <v>8641</v>
      </c>
      <c r="N815" t="s">
        <v>8642</v>
      </c>
      <c r="Q815" s="28">
        <v>213421</v>
      </c>
    </row>
    <row r="816" spans="1:17" x14ac:dyDescent="0.35">
      <c r="A816" t="s">
        <v>8520</v>
      </c>
      <c r="B816" s="3" t="s">
        <v>102</v>
      </c>
      <c r="F816">
        <v>5</v>
      </c>
      <c r="G816" t="s">
        <v>8607</v>
      </c>
      <c r="H816">
        <v>37</v>
      </c>
      <c r="I816" t="s">
        <v>9306</v>
      </c>
      <c r="J816" t="str">
        <f t="shared" si="12"/>
        <v>13F-HR-5.37.C11</v>
      </c>
      <c r="K816" s="5" t="s">
        <v>8643</v>
      </c>
      <c r="L816" t="s">
        <v>241</v>
      </c>
      <c r="M816" t="s">
        <v>8644</v>
      </c>
      <c r="N816" t="s">
        <v>8645</v>
      </c>
      <c r="Q816" s="28">
        <v>0</v>
      </c>
    </row>
    <row r="817" spans="1:17" x14ac:dyDescent="0.35">
      <c r="A817" t="s">
        <v>8520</v>
      </c>
      <c r="B817" s="3" t="s">
        <v>102</v>
      </c>
      <c r="F817">
        <v>5</v>
      </c>
      <c r="G817" t="s">
        <v>8607</v>
      </c>
      <c r="H817">
        <v>38</v>
      </c>
      <c r="I817" t="s">
        <v>9307</v>
      </c>
      <c r="J817" t="str">
        <f t="shared" si="12"/>
        <v>13F-HR-5.38.C12</v>
      </c>
      <c r="K817" s="5" t="s">
        <v>8646</v>
      </c>
      <c r="L817" t="s">
        <v>241</v>
      </c>
      <c r="M817" t="s">
        <v>8647</v>
      </c>
      <c r="N817" t="s">
        <v>8648</v>
      </c>
      <c r="Q817" s="28">
        <v>131998</v>
      </c>
    </row>
    <row r="818" spans="1:17" x14ac:dyDescent="0.35">
      <c r="A818" t="s">
        <v>8520</v>
      </c>
      <c r="B818" s="3" t="s">
        <v>102</v>
      </c>
      <c r="F818">
        <v>5</v>
      </c>
      <c r="G818" t="s">
        <v>8607</v>
      </c>
      <c r="H818">
        <v>27</v>
      </c>
      <c r="I818" t="s">
        <v>9296</v>
      </c>
      <c r="J818" t="str">
        <f t="shared" si="12"/>
        <v>13F-HR-5.27.C1</v>
      </c>
      <c r="K818" s="5" t="s">
        <v>8608</v>
      </c>
      <c r="L818" t="s">
        <v>229</v>
      </c>
      <c r="M818" t="s">
        <v>8609</v>
      </c>
      <c r="N818" t="s">
        <v>8610</v>
      </c>
      <c r="Q818" s="28" t="s">
        <v>8760</v>
      </c>
    </row>
    <row r="819" spans="1:17" x14ac:dyDescent="0.35">
      <c r="A819" t="s">
        <v>8520</v>
      </c>
      <c r="B819" s="3" t="s">
        <v>102</v>
      </c>
      <c r="F819">
        <v>5</v>
      </c>
      <c r="G819" t="s">
        <v>8607</v>
      </c>
      <c r="H819">
        <v>28</v>
      </c>
      <c r="I819" t="s">
        <v>9297</v>
      </c>
      <c r="J819" t="str">
        <f t="shared" si="12"/>
        <v>13F-HR-5.28.C2</v>
      </c>
      <c r="K819" s="5" t="s">
        <v>8612</v>
      </c>
      <c r="L819" t="s">
        <v>229</v>
      </c>
      <c r="M819" t="s">
        <v>8613</v>
      </c>
      <c r="N819" t="s">
        <v>8614</v>
      </c>
      <c r="Q819" s="28" t="s">
        <v>8615</v>
      </c>
    </row>
    <row r="820" spans="1:17" x14ac:dyDescent="0.35">
      <c r="A820" t="s">
        <v>8520</v>
      </c>
      <c r="B820" s="3" t="s">
        <v>102</v>
      </c>
      <c r="F820">
        <v>5</v>
      </c>
      <c r="G820" t="s">
        <v>8607</v>
      </c>
      <c r="H820">
        <v>29</v>
      </c>
      <c r="I820" t="s">
        <v>9298</v>
      </c>
      <c r="J820" t="str">
        <f t="shared" si="12"/>
        <v>13F-HR-5.29.C3</v>
      </c>
      <c r="K820" s="5" t="s">
        <v>8616</v>
      </c>
      <c r="L820" t="s">
        <v>229</v>
      </c>
      <c r="M820" t="s">
        <v>7927</v>
      </c>
      <c r="N820" t="s">
        <v>8617</v>
      </c>
      <c r="Q820" s="28" t="s">
        <v>8761</v>
      </c>
    </row>
    <row r="821" spans="1:17" x14ac:dyDescent="0.35">
      <c r="A821" t="s">
        <v>8520</v>
      </c>
      <c r="B821" s="3" t="s">
        <v>102</v>
      </c>
      <c r="F821">
        <v>5</v>
      </c>
      <c r="G821" t="s">
        <v>8607</v>
      </c>
      <c r="H821">
        <v>30</v>
      </c>
      <c r="I821" t="s">
        <v>9299</v>
      </c>
      <c r="J821" t="str">
        <f t="shared" si="12"/>
        <v>13F-HR-5.30.C4</v>
      </c>
      <c r="K821" s="5" t="s">
        <v>8618</v>
      </c>
      <c r="L821" t="s">
        <v>8619</v>
      </c>
      <c r="M821" t="s">
        <v>8620</v>
      </c>
      <c r="N821" t="s">
        <v>8621</v>
      </c>
      <c r="Q821" s="28">
        <v>16493099</v>
      </c>
    </row>
    <row r="822" spans="1:17" x14ac:dyDescent="0.35">
      <c r="A822" t="s">
        <v>8520</v>
      </c>
      <c r="B822" s="3" t="s">
        <v>102</v>
      </c>
      <c r="F822">
        <v>5</v>
      </c>
      <c r="G822" t="s">
        <v>8607</v>
      </c>
      <c r="H822">
        <v>31</v>
      </c>
      <c r="I822" t="s">
        <v>9300</v>
      </c>
      <c r="J822" t="str">
        <f t="shared" si="12"/>
        <v>13F-HR-5.31.C5</v>
      </c>
      <c r="K822" s="5" t="s">
        <v>8622</v>
      </c>
      <c r="L822" t="s">
        <v>241</v>
      </c>
      <c r="M822" t="s">
        <v>8623</v>
      </c>
      <c r="N822" t="s">
        <v>8624</v>
      </c>
      <c r="Q822" s="28">
        <v>282755</v>
      </c>
    </row>
    <row r="823" spans="1:17" x14ac:dyDescent="0.35">
      <c r="A823" t="s">
        <v>8520</v>
      </c>
      <c r="B823" s="3" t="s">
        <v>102</v>
      </c>
      <c r="F823">
        <v>5</v>
      </c>
      <c r="G823" t="s">
        <v>8607</v>
      </c>
      <c r="H823">
        <v>32</v>
      </c>
      <c r="I823" t="s">
        <v>9301</v>
      </c>
      <c r="J823" t="str">
        <f t="shared" si="12"/>
        <v>13F-HR-5.32.C6</v>
      </c>
      <c r="K823" s="5" t="s">
        <v>8625</v>
      </c>
      <c r="L823" t="s">
        <v>229</v>
      </c>
      <c r="M823" t="s">
        <v>8626</v>
      </c>
      <c r="N823" t="s">
        <v>8627</v>
      </c>
      <c r="Q823" s="28" t="s">
        <v>8628</v>
      </c>
    </row>
    <row r="824" spans="1:17" x14ac:dyDescent="0.35">
      <c r="A824" t="s">
        <v>8520</v>
      </c>
      <c r="B824" s="3" t="s">
        <v>102</v>
      </c>
      <c r="F824">
        <v>5</v>
      </c>
      <c r="G824" t="s">
        <v>8607</v>
      </c>
      <c r="H824">
        <v>33</v>
      </c>
      <c r="I824" t="s">
        <v>9302</v>
      </c>
      <c r="J824" t="str">
        <f t="shared" si="12"/>
        <v>13F-HR-5.33.C7</v>
      </c>
      <c r="K824" s="5" t="s">
        <v>8629</v>
      </c>
      <c r="L824" t="s">
        <v>229</v>
      </c>
      <c r="M824" t="s">
        <v>8630</v>
      </c>
      <c r="N824" t="s">
        <v>8631</v>
      </c>
      <c r="Q824" s="28" t="s">
        <v>8685</v>
      </c>
    </row>
    <row r="825" spans="1:17" x14ac:dyDescent="0.35">
      <c r="A825" t="s">
        <v>8520</v>
      </c>
      <c r="B825" s="3" t="s">
        <v>102</v>
      </c>
      <c r="F825">
        <v>5</v>
      </c>
      <c r="G825" t="s">
        <v>8607</v>
      </c>
      <c r="H825">
        <v>34</v>
      </c>
      <c r="I825" t="s">
        <v>9303</v>
      </c>
      <c r="J825" t="str">
        <f t="shared" si="12"/>
        <v>13F-HR-5.34.C8</v>
      </c>
      <c r="K825" s="5" t="s">
        <v>8633</v>
      </c>
      <c r="L825" t="s">
        <v>4735</v>
      </c>
      <c r="M825" t="s">
        <v>8634</v>
      </c>
      <c r="N825" t="s">
        <v>8635</v>
      </c>
      <c r="Q825" s="28" t="s">
        <v>8632</v>
      </c>
    </row>
    <row r="826" spans="1:17" x14ac:dyDescent="0.35">
      <c r="A826" t="s">
        <v>8520</v>
      </c>
      <c r="B826" s="3" t="s">
        <v>102</v>
      </c>
      <c r="F826">
        <v>5</v>
      </c>
      <c r="G826" t="s">
        <v>8607</v>
      </c>
      <c r="H826">
        <v>35</v>
      </c>
      <c r="I826" t="s">
        <v>9304</v>
      </c>
      <c r="J826" t="str">
        <f t="shared" si="12"/>
        <v>13F-HR-5.35.C9</v>
      </c>
      <c r="K826" s="5" t="s">
        <v>8637</v>
      </c>
      <c r="L826" t="s">
        <v>229</v>
      </c>
      <c r="M826" t="s">
        <v>8638</v>
      </c>
      <c r="N826" t="s">
        <v>8639</v>
      </c>
      <c r="Q826" s="28" t="s">
        <v>8636</v>
      </c>
    </row>
    <row r="827" spans="1:17" x14ac:dyDescent="0.35">
      <c r="A827" t="s">
        <v>8520</v>
      </c>
      <c r="B827" s="3" t="s">
        <v>102</v>
      </c>
      <c r="F827">
        <v>5</v>
      </c>
      <c r="G827" t="s">
        <v>8607</v>
      </c>
      <c r="H827">
        <v>36</v>
      </c>
      <c r="I827" t="s">
        <v>9305</v>
      </c>
      <c r="J827" t="str">
        <f t="shared" si="12"/>
        <v>13F-HR-5.36.C10</v>
      </c>
      <c r="K827" s="5" t="s">
        <v>8640</v>
      </c>
      <c r="L827" t="s">
        <v>241</v>
      </c>
      <c r="M827" t="s">
        <v>8641</v>
      </c>
      <c r="N827" t="s">
        <v>8642</v>
      </c>
      <c r="Q827" s="28">
        <v>281180</v>
      </c>
    </row>
    <row r="828" spans="1:17" x14ac:dyDescent="0.35">
      <c r="A828" t="s">
        <v>8520</v>
      </c>
      <c r="B828" s="3" t="s">
        <v>102</v>
      </c>
      <c r="F828">
        <v>5</v>
      </c>
      <c r="G828" t="s">
        <v>8607</v>
      </c>
      <c r="H828">
        <v>37</v>
      </c>
      <c r="I828" t="s">
        <v>9306</v>
      </c>
      <c r="J828" t="str">
        <f t="shared" si="12"/>
        <v>13F-HR-5.37.C11</v>
      </c>
      <c r="K828" s="5" t="s">
        <v>8643</v>
      </c>
      <c r="L828" t="s">
        <v>241</v>
      </c>
      <c r="M828" t="s">
        <v>8644</v>
      </c>
      <c r="N828" t="s">
        <v>8645</v>
      </c>
      <c r="Q828" s="28">
        <v>0</v>
      </c>
    </row>
    <row r="829" spans="1:17" x14ac:dyDescent="0.35">
      <c r="A829" t="s">
        <v>8520</v>
      </c>
      <c r="B829" s="3" t="s">
        <v>102</v>
      </c>
      <c r="F829">
        <v>5</v>
      </c>
      <c r="G829" t="s">
        <v>8607</v>
      </c>
      <c r="H829">
        <v>38</v>
      </c>
      <c r="I829" t="s">
        <v>9307</v>
      </c>
      <c r="J829" t="str">
        <f t="shared" si="12"/>
        <v>13F-HR-5.38.C12</v>
      </c>
      <c r="K829" s="5" t="s">
        <v>8646</v>
      </c>
      <c r="L829" t="s">
        <v>241</v>
      </c>
      <c r="M829" t="s">
        <v>8647</v>
      </c>
      <c r="N829" t="s">
        <v>8648</v>
      </c>
      <c r="Q829" s="28">
        <v>1575</v>
      </c>
    </row>
    <row r="830" spans="1:17" x14ac:dyDescent="0.35">
      <c r="A830" t="s">
        <v>8520</v>
      </c>
      <c r="B830" s="3" t="s">
        <v>102</v>
      </c>
      <c r="F830">
        <v>5</v>
      </c>
      <c r="G830" t="s">
        <v>8607</v>
      </c>
      <c r="H830">
        <v>27</v>
      </c>
      <c r="I830" t="s">
        <v>9296</v>
      </c>
      <c r="J830" t="str">
        <f t="shared" si="12"/>
        <v>13F-HR-5.27.C1</v>
      </c>
      <c r="K830" s="5" t="s">
        <v>8608</v>
      </c>
      <c r="L830" t="s">
        <v>229</v>
      </c>
      <c r="M830" t="s">
        <v>8609</v>
      </c>
      <c r="N830" t="s">
        <v>8610</v>
      </c>
      <c r="Q830" s="28" t="s">
        <v>8762</v>
      </c>
    </row>
    <row r="831" spans="1:17" x14ac:dyDescent="0.35">
      <c r="A831" t="s">
        <v>8520</v>
      </c>
      <c r="B831" s="3" t="s">
        <v>102</v>
      </c>
      <c r="F831">
        <v>5</v>
      </c>
      <c r="G831" t="s">
        <v>8607</v>
      </c>
      <c r="H831">
        <v>28</v>
      </c>
      <c r="I831" t="s">
        <v>9297</v>
      </c>
      <c r="J831" t="str">
        <f t="shared" si="12"/>
        <v>13F-HR-5.28.C2</v>
      </c>
      <c r="K831" s="5" t="s">
        <v>8612</v>
      </c>
      <c r="L831" t="s">
        <v>229</v>
      </c>
      <c r="M831" t="s">
        <v>8613</v>
      </c>
      <c r="N831" t="s">
        <v>8614</v>
      </c>
      <c r="Q831" s="28" t="s">
        <v>8706</v>
      </c>
    </row>
    <row r="832" spans="1:17" x14ac:dyDescent="0.35">
      <c r="A832" t="s">
        <v>8520</v>
      </c>
      <c r="B832" s="3" t="s">
        <v>102</v>
      </c>
      <c r="F832">
        <v>5</v>
      </c>
      <c r="G832" t="s">
        <v>8607</v>
      </c>
      <c r="H832">
        <v>29</v>
      </c>
      <c r="I832" t="s">
        <v>9298</v>
      </c>
      <c r="J832" t="str">
        <f t="shared" si="12"/>
        <v>13F-HR-5.29.C3</v>
      </c>
      <c r="K832" s="5" t="s">
        <v>8616</v>
      </c>
      <c r="L832" t="s">
        <v>229</v>
      </c>
      <c r="M832" t="s">
        <v>7927</v>
      </c>
      <c r="N832" t="s">
        <v>8617</v>
      </c>
      <c r="Q832" s="28" t="s">
        <v>8763</v>
      </c>
    </row>
    <row r="833" spans="1:17" x14ac:dyDescent="0.35">
      <c r="A833" t="s">
        <v>8520</v>
      </c>
      <c r="B833" s="3" t="s">
        <v>102</v>
      </c>
      <c r="F833">
        <v>5</v>
      </c>
      <c r="G833" t="s">
        <v>8607</v>
      </c>
      <c r="H833">
        <v>30</v>
      </c>
      <c r="I833" t="s">
        <v>9299</v>
      </c>
      <c r="J833" t="str">
        <f t="shared" si="12"/>
        <v>13F-HR-5.30.C4</v>
      </c>
      <c r="K833" s="5" t="s">
        <v>8618</v>
      </c>
      <c r="L833" t="s">
        <v>8619</v>
      </c>
      <c r="M833" t="s">
        <v>8620</v>
      </c>
      <c r="N833" t="s">
        <v>8621</v>
      </c>
      <c r="Q833" s="28">
        <v>21035692</v>
      </c>
    </row>
    <row r="834" spans="1:17" x14ac:dyDescent="0.35">
      <c r="A834" t="s">
        <v>8520</v>
      </c>
      <c r="B834" s="3" t="s">
        <v>102</v>
      </c>
      <c r="F834">
        <v>5</v>
      </c>
      <c r="G834" t="s">
        <v>8607</v>
      </c>
      <c r="H834">
        <v>31</v>
      </c>
      <c r="I834" t="s">
        <v>9300</v>
      </c>
      <c r="J834" t="str">
        <f t="shared" si="12"/>
        <v>13F-HR-5.31.C5</v>
      </c>
      <c r="K834" s="5" t="s">
        <v>8622</v>
      </c>
      <c r="L834" t="s">
        <v>241</v>
      </c>
      <c r="M834" t="s">
        <v>8623</v>
      </c>
      <c r="N834" t="s">
        <v>8624</v>
      </c>
      <c r="Q834" s="28">
        <v>57080</v>
      </c>
    </row>
    <row r="835" spans="1:17" x14ac:dyDescent="0.35">
      <c r="A835" t="s">
        <v>8520</v>
      </c>
      <c r="B835" s="3" t="s">
        <v>102</v>
      </c>
      <c r="F835">
        <v>5</v>
      </c>
      <c r="G835" t="s">
        <v>8607</v>
      </c>
      <c r="H835">
        <v>32</v>
      </c>
      <c r="I835" t="s">
        <v>9301</v>
      </c>
      <c r="J835" t="str">
        <f t="shared" ref="J835:J898" si="13">_xlfn.CONCAT(A835,"-",F835,".",H835,".",I835)</f>
        <v>13F-HR-5.32.C6</v>
      </c>
      <c r="K835" s="5" t="s">
        <v>8625</v>
      </c>
      <c r="L835" t="s">
        <v>229</v>
      </c>
      <c r="M835" t="s">
        <v>8626</v>
      </c>
      <c r="N835" t="s">
        <v>8627</v>
      </c>
      <c r="Q835" s="28" t="s">
        <v>8628</v>
      </c>
    </row>
    <row r="836" spans="1:17" x14ac:dyDescent="0.35">
      <c r="A836" t="s">
        <v>8520</v>
      </c>
      <c r="B836" s="3" t="s">
        <v>102</v>
      </c>
      <c r="F836">
        <v>5</v>
      </c>
      <c r="G836" t="s">
        <v>8607</v>
      </c>
      <c r="H836">
        <v>33</v>
      </c>
      <c r="I836" t="s">
        <v>9302</v>
      </c>
      <c r="J836" t="str">
        <f t="shared" si="13"/>
        <v>13F-HR-5.33.C7</v>
      </c>
      <c r="K836" s="5" t="s">
        <v>8629</v>
      </c>
      <c r="L836" t="s">
        <v>229</v>
      </c>
      <c r="M836" t="s">
        <v>8630</v>
      </c>
      <c r="N836" t="s">
        <v>8631</v>
      </c>
      <c r="Q836" s="28" t="s">
        <v>8685</v>
      </c>
    </row>
    <row r="837" spans="1:17" x14ac:dyDescent="0.35">
      <c r="A837" t="s">
        <v>8520</v>
      </c>
      <c r="B837" s="3" t="s">
        <v>102</v>
      </c>
      <c r="F837">
        <v>5</v>
      </c>
      <c r="G837" t="s">
        <v>8607</v>
      </c>
      <c r="H837">
        <v>34</v>
      </c>
      <c r="I837" t="s">
        <v>9303</v>
      </c>
      <c r="J837" t="str">
        <f t="shared" si="13"/>
        <v>13F-HR-5.34.C8</v>
      </c>
      <c r="K837" s="5" t="s">
        <v>8633</v>
      </c>
      <c r="L837" t="s">
        <v>4735</v>
      </c>
      <c r="M837" t="s">
        <v>8634</v>
      </c>
      <c r="N837" t="s">
        <v>8635</v>
      </c>
      <c r="Q837" s="28" t="s">
        <v>8632</v>
      </c>
    </row>
    <row r="838" spans="1:17" x14ac:dyDescent="0.35">
      <c r="A838" t="s">
        <v>8520</v>
      </c>
      <c r="B838" s="3" t="s">
        <v>102</v>
      </c>
      <c r="F838">
        <v>5</v>
      </c>
      <c r="G838" t="s">
        <v>8607</v>
      </c>
      <c r="H838">
        <v>35</v>
      </c>
      <c r="I838" t="s">
        <v>9304</v>
      </c>
      <c r="J838" t="str">
        <f t="shared" si="13"/>
        <v>13F-HR-5.35.C9</v>
      </c>
      <c r="K838" s="5" t="s">
        <v>8637</v>
      </c>
      <c r="L838" t="s">
        <v>229</v>
      </c>
      <c r="M838" t="s">
        <v>8638</v>
      </c>
      <c r="N838" t="s">
        <v>8639</v>
      </c>
      <c r="Q838" s="28" t="s">
        <v>8636</v>
      </c>
    </row>
    <row r="839" spans="1:17" x14ac:dyDescent="0.35">
      <c r="A839" t="s">
        <v>8520</v>
      </c>
      <c r="B839" s="3" t="s">
        <v>102</v>
      </c>
      <c r="F839">
        <v>5</v>
      </c>
      <c r="G839" t="s">
        <v>8607</v>
      </c>
      <c r="H839">
        <v>36</v>
      </c>
      <c r="I839" t="s">
        <v>9305</v>
      </c>
      <c r="J839" t="str">
        <f t="shared" si="13"/>
        <v>13F-HR-5.36.C10</v>
      </c>
      <c r="K839" s="5" t="s">
        <v>8640</v>
      </c>
      <c r="L839" t="s">
        <v>241</v>
      </c>
      <c r="M839" t="s">
        <v>8641</v>
      </c>
      <c r="N839" t="s">
        <v>8642</v>
      </c>
      <c r="Q839" s="28">
        <v>57080</v>
      </c>
    </row>
    <row r="840" spans="1:17" x14ac:dyDescent="0.35">
      <c r="A840" t="s">
        <v>8520</v>
      </c>
      <c r="B840" s="3" t="s">
        <v>102</v>
      </c>
      <c r="F840">
        <v>5</v>
      </c>
      <c r="G840" t="s">
        <v>8607</v>
      </c>
      <c r="H840">
        <v>37</v>
      </c>
      <c r="I840" t="s">
        <v>9306</v>
      </c>
      <c r="J840" t="str">
        <f t="shared" si="13"/>
        <v>13F-HR-5.37.C11</v>
      </c>
      <c r="K840" s="5" t="s">
        <v>8643</v>
      </c>
      <c r="L840" t="s">
        <v>241</v>
      </c>
      <c r="M840" t="s">
        <v>8644</v>
      </c>
      <c r="N840" t="s">
        <v>8645</v>
      </c>
      <c r="Q840" s="28">
        <v>0</v>
      </c>
    </row>
    <row r="841" spans="1:17" x14ac:dyDescent="0.35">
      <c r="A841" t="s">
        <v>8520</v>
      </c>
      <c r="B841" s="3" t="s">
        <v>102</v>
      </c>
      <c r="F841">
        <v>5</v>
      </c>
      <c r="G841" t="s">
        <v>8607</v>
      </c>
      <c r="H841">
        <v>38</v>
      </c>
      <c r="I841" t="s">
        <v>9307</v>
      </c>
      <c r="J841" t="str">
        <f t="shared" si="13"/>
        <v>13F-HR-5.38.C12</v>
      </c>
      <c r="K841" s="5" t="s">
        <v>8646</v>
      </c>
      <c r="L841" t="s">
        <v>241</v>
      </c>
      <c r="M841" t="s">
        <v>8647</v>
      </c>
      <c r="N841" t="s">
        <v>8648</v>
      </c>
      <c r="Q841" s="28">
        <v>0</v>
      </c>
    </row>
    <row r="842" spans="1:17" x14ac:dyDescent="0.35">
      <c r="A842" t="s">
        <v>8520</v>
      </c>
      <c r="B842" s="3" t="s">
        <v>102</v>
      </c>
      <c r="F842">
        <v>5</v>
      </c>
      <c r="G842" t="s">
        <v>8607</v>
      </c>
      <c r="H842">
        <v>27</v>
      </c>
      <c r="I842" t="s">
        <v>9296</v>
      </c>
      <c r="J842" t="str">
        <f t="shared" si="13"/>
        <v>13F-HR-5.27.C1</v>
      </c>
      <c r="K842" s="5" t="s">
        <v>8608</v>
      </c>
      <c r="L842" t="s">
        <v>229</v>
      </c>
      <c r="M842" t="s">
        <v>8609</v>
      </c>
      <c r="N842" t="s">
        <v>8610</v>
      </c>
      <c r="Q842" s="28" t="s">
        <v>8764</v>
      </c>
    </row>
    <row r="843" spans="1:17" x14ac:dyDescent="0.35">
      <c r="A843" t="s">
        <v>8520</v>
      </c>
      <c r="B843" s="3" t="s">
        <v>102</v>
      </c>
      <c r="F843">
        <v>5</v>
      </c>
      <c r="G843" t="s">
        <v>8607</v>
      </c>
      <c r="H843">
        <v>28</v>
      </c>
      <c r="I843" t="s">
        <v>9297</v>
      </c>
      <c r="J843" t="str">
        <f t="shared" si="13"/>
        <v>13F-HR-5.28.C2</v>
      </c>
      <c r="K843" s="5" t="s">
        <v>8612</v>
      </c>
      <c r="L843" t="s">
        <v>229</v>
      </c>
      <c r="M843" t="s">
        <v>8613</v>
      </c>
      <c r="N843" t="s">
        <v>8614</v>
      </c>
      <c r="Q843" s="28" t="s">
        <v>8615</v>
      </c>
    </row>
    <row r="844" spans="1:17" x14ac:dyDescent="0.35">
      <c r="A844" t="s">
        <v>8520</v>
      </c>
      <c r="B844" s="3" t="s">
        <v>102</v>
      </c>
      <c r="F844">
        <v>5</v>
      </c>
      <c r="G844" t="s">
        <v>8607</v>
      </c>
      <c r="H844">
        <v>29</v>
      </c>
      <c r="I844" t="s">
        <v>9298</v>
      </c>
      <c r="J844" t="str">
        <f t="shared" si="13"/>
        <v>13F-HR-5.29.C3</v>
      </c>
      <c r="K844" s="5" t="s">
        <v>8616</v>
      </c>
      <c r="L844" t="s">
        <v>229</v>
      </c>
      <c r="M844" t="s">
        <v>7927</v>
      </c>
      <c r="N844" t="s">
        <v>8617</v>
      </c>
      <c r="Q844" s="28">
        <v>166764100</v>
      </c>
    </row>
    <row r="845" spans="1:17" x14ac:dyDescent="0.35">
      <c r="A845" t="s">
        <v>8520</v>
      </c>
      <c r="B845" s="3" t="s">
        <v>102</v>
      </c>
      <c r="F845">
        <v>5</v>
      </c>
      <c r="G845" t="s">
        <v>8607</v>
      </c>
      <c r="H845">
        <v>30</v>
      </c>
      <c r="I845" t="s">
        <v>9299</v>
      </c>
      <c r="J845" t="str">
        <f t="shared" si="13"/>
        <v>13F-HR-5.30.C4</v>
      </c>
      <c r="K845" s="5" t="s">
        <v>8618</v>
      </c>
      <c r="L845" t="s">
        <v>8619</v>
      </c>
      <c r="M845" t="s">
        <v>8620</v>
      </c>
      <c r="N845" t="s">
        <v>8621</v>
      </c>
      <c r="Q845" s="28">
        <v>10157849</v>
      </c>
    </row>
    <row r="846" spans="1:17" x14ac:dyDescent="0.35">
      <c r="A846" t="s">
        <v>8520</v>
      </c>
      <c r="B846" s="3" t="s">
        <v>102</v>
      </c>
      <c r="F846">
        <v>5</v>
      </c>
      <c r="G846" t="s">
        <v>8607</v>
      </c>
      <c r="H846">
        <v>31</v>
      </c>
      <c r="I846" t="s">
        <v>9300</v>
      </c>
      <c r="J846" t="str">
        <f t="shared" si="13"/>
        <v>13F-HR-5.31.C5</v>
      </c>
      <c r="K846" s="5" t="s">
        <v>8622</v>
      </c>
      <c r="L846" t="s">
        <v>241</v>
      </c>
      <c r="M846" t="s">
        <v>8623</v>
      </c>
      <c r="N846" t="s">
        <v>8624</v>
      </c>
      <c r="Q846" s="28">
        <v>60720</v>
      </c>
    </row>
    <row r="847" spans="1:17" x14ac:dyDescent="0.35">
      <c r="A847" t="s">
        <v>8520</v>
      </c>
      <c r="B847" s="3" t="s">
        <v>102</v>
      </c>
      <c r="F847">
        <v>5</v>
      </c>
      <c r="G847" t="s">
        <v>8607</v>
      </c>
      <c r="H847">
        <v>32</v>
      </c>
      <c r="I847" t="s">
        <v>9301</v>
      </c>
      <c r="J847" t="str">
        <f t="shared" si="13"/>
        <v>13F-HR-5.32.C6</v>
      </c>
      <c r="K847" s="5" t="s">
        <v>8625</v>
      </c>
      <c r="L847" t="s">
        <v>229</v>
      </c>
      <c r="M847" t="s">
        <v>8626</v>
      </c>
      <c r="N847" t="s">
        <v>8627</v>
      </c>
      <c r="Q847" s="28" t="s">
        <v>8628</v>
      </c>
    </row>
    <row r="848" spans="1:17" x14ac:dyDescent="0.35">
      <c r="A848" t="s">
        <v>8520</v>
      </c>
      <c r="B848" s="3" t="s">
        <v>102</v>
      </c>
      <c r="F848">
        <v>5</v>
      </c>
      <c r="G848" t="s">
        <v>8607</v>
      </c>
      <c r="H848">
        <v>33</v>
      </c>
      <c r="I848" t="s">
        <v>9302</v>
      </c>
      <c r="J848" t="str">
        <f t="shared" si="13"/>
        <v>13F-HR-5.33.C7</v>
      </c>
      <c r="K848" s="5" t="s">
        <v>8629</v>
      </c>
      <c r="L848" t="s">
        <v>229</v>
      </c>
      <c r="M848" t="s">
        <v>8630</v>
      </c>
      <c r="N848" t="s">
        <v>8631</v>
      </c>
      <c r="Q848" s="28" t="s">
        <v>8685</v>
      </c>
    </row>
    <row r="849" spans="1:17" x14ac:dyDescent="0.35">
      <c r="A849" t="s">
        <v>8520</v>
      </c>
      <c r="B849" s="3" t="s">
        <v>102</v>
      </c>
      <c r="F849">
        <v>5</v>
      </c>
      <c r="G849" t="s">
        <v>8607</v>
      </c>
      <c r="H849">
        <v>34</v>
      </c>
      <c r="I849" t="s">
        <v>9303</v>
      </c>
      <c r="J849" t="str">
        <f t="shared" si="13"/>
        <v>13F-HR-5.34.C8</v>
      </c>
      <c r="K849" s="5" t="s">
        <v>8633</v>
      </c>
      <c r="L849" t="s">
        <v>4735</v>
      </c>
      <c r="M849" t="s">
        <v>8634</v>
      </c>
      <c r="N849" t="s">
        <v>8635</v>
      </c>
      <c r="Q849" s="28" t="s">
        <v>8632</v>
      </c>
    </row>
    <row r="850" spans="1:17" x14ac:dyDescent="0.35">
      <c r="A850" t="s">
        <v>8520</v>
      </c>
      <c r="B850" s="3" t="s">
        <v>102</v>
      </c>
      <c r="F850">
        <v>5</v>
      </c>
      <c r="G850" t="s">
        <v>8607</v>
      </c>
      <c r="H850">
        <v>35</v>
      </c>
      <c r="I850" t="s">
        <v>9304</v>
      </c>
      <c r="J850" t="str">
        <f t="shared" si="13"/>
        <v>13F-HR-5.35.C9</v>
      </c>
      <c r="K850" s="5" t="s">
        <v>8637</v>
      </c>
      <c r="L850" t="s">
        <v>229</v>
      </c>
      <c r="M850" t="s">
        <v>8638</v>
      </c>
      <c r="N850" t="s">
        <v>8639</v>
      </c>
      <c r="Q850" s="28" t="s">
        <v>8636</v>
      </c>
    </row>
    <row r="851" spans="1:17" x14ac:dyDescent="0.35">
      <c r="A851" t="s">
        <v>8520</v>
      </c>
      <c r="B851" s="3" t="s">
        <v>102</v>
      </c>
      <c r="F851">
        <v>5</v>
      </c>
      <c r="G851" t="s">
        <v>8607</v>
      </c>
      <c r="H851">
        <v>36</v>
      </c>
      <c r="I851" t="s">
        <v>9305</v>
      </c>
      <c r="J851" t="str">
        <f t="shared" si="13"/>
        <v>13F-HR-5.36.C10</v>
      </c>
      <c r="K851" s="5" t="s">
        <v>8640</v>
      </c>
      <c r="L851" t="s">
        <v>241</v>
      </c>
      <c r="M851" t="s">
        <v>8641</v>
      </c>
      <c r="N851" t="s">
        <v>8642</v>
      </c>
      <c r="Q851" s="28">
        <v>34862</v>
      </c>
    </row>
    <row r="852" spans="1:17" x14ac:dyDescent="0.35">
      <c r="A852" t="s">
        <v>8520</v>
      </c>
      <c r="B852" s="3" t="s">
        <v>102</v>
      </c>
      <c r="F852">
        <v>5</v>
      </c>
      <c r="G852" t="s">
        <v>8607</v>
      </c>
      <c r="H852">
        <v>37</v>
      </c>
      <c r="I852" t="s">
        <v>9306</v>
      </c>
      <c r="J852" t="str">
        <f t="shared" si="13"/>
        <v>13F-HR-5.37.C11</v>
      </c>
      <c r="K852" s="5" t="s">
        <v>8643</v>
      </c>
      <c r="L852" t="s">
        <v>241</v>
      </c>
      <c r="M852" t="s">
        <v>8644</v>
      </c>
      <c r="N852" t="s">
        <v>8645</v>
      </c>
      <c r="Q852" s="28">
        <v>0</v>
      </c>
    </row>
    <row r="853" spans="1:17" x14ac:dyDescent="0.35">
      <c r="A853" t="s">
        <v>8520</v>
      </c>
      <c r="B853" s="3" t="s">
        <v>102</v>
      </c>
      <c r="F853">
        <v>5</v>
      </c>
      <c r="G853" t="s">
        <v>8607</v>
      </c>
      <c r="H853">
        <v>38</v>
      </c>
      <c r="I853" t="s">
        <v>9307</v>
      </c>
      <c r="J853" t="str">
        <f t="shared" si="13"/>
        <v>13F-HR-5.38.C12</v>
      </c>
      <c r="K853" s="5" t="s">
        <v>8646</v>
      </c>
      <c r="L853" t="s">
        <v>241</v>
      </c>
      <c r="M853" t="s">
        <v>8647</v>
      </c>
      <c r="N853" t="s">
        <v>8648</v>
      </c>
      <c r="Q853" s="28">
        <v>25858</v>
      </c>
    </row>
    <row r="854" spans="1:17" x14ac:dyDescent="0.35">
      <c r="A854" t="s">
        <v>8520</v>
      </c>
      <c r="B854" s="3" t="s">
        <v>102</v>
      </c>
      <c r="F854">
        <v>5</v>
      </c>
      <c r="G854" t="s">
        <v>8607</v>
      </c>
      <c r="H854">
        <v>27</v>
      </c>
      <c r="I854" t="s">
        <v>9296</v>
      </c>
      <c r="J854" t="str">
        <f t="shared" si="13"/>
        <v>13F-HR-5.27.C1</v>
      </c>
      <c r="K854" s="5" t="s">
        <v>8608</v>
      </c>
      <c r="L854" t="s">
        <v>229</v>
      </c>
      <c r="M854" t="s">
        <v>8609</v>
      </c>
      <c r="N854" t="s">
        <v>8610</v>
      </c>
      <c r="Q854" s="28" t="s">
        <v>8765</v>
      </c>
    </row>
    <row r="855" spans="1:17" x14ac:dyDescent="0.35">
      <c r="A855" t="s">
        <v>8520</v>
      </c>
      <c r="B855" s="3" t="s">
        <v>102</v>
      </c>
      <c r="F855">
        <v>5</v>
      </c>
      <c r="G855" t="s">
        <v>8607</v>
      </c>
      <c r="H855">
        <v>28</v>
      </c>
      <c r="I855" t="s">
        <v>9297</v>
      </c>
      <c r="J855" t="str">
        <f t="shared" si="13"/>
        <v>13F-HR-5.28.C2</v>
      </c>
      <c r="K855" s="5" t="s">
        <v>8612</v>
      </c>
      <c r="L855" t="s">
        <v>229</v>
      </c>
      <c r="M855" t="s">
        <v>8613</v>
      </c>
      <c r="N855" t="s">
        <v>8614</v>
      </c>
      <c r="Q855" s="28" t="s">
        <v>8615</v>
      </c>
    </row>
    <row r="856" spans="1:17" x14ac:dyDescent="0.35">
      <c r="A856" t="s">
        <v>8520</v>
      </c>
      <c r="B856" s="3" t="s">
        <v>102</v>
      </c>
      <c r="F856">
        <v>5</v>
      </c>
      <c r="G856" t="s">
        <v>8607</v>
      </c>
      <c r="H856">
        <v>29</v>
      </c>
      <c r="I856" t="s">
        <v>9298</v>
      </c>
      <c r="J856" t="str">
        <f t="shared" si="13"/>
        <v>13F-HR-5.29.C3</v>
      </c>
      <c r="K856" s="5" t="s">
        <v>8616</v>
      </c>
      <c r="L856" t="s">
        <v>229</v>
      </c>
      <c r="M856" t="s">
        <v>7927</v>
      </c>
      <c r="N856" t="s">
        <v>8617</v>
      </c>
      <c r="Q856" s="28">
        <v>169656105</v>
      </c>
    </row>
    <row r="857" spans="1:17" x14ac:dyDescent="0.35">
      <c r="A857" t="s">
        <v>8520</v>
      </c>
      <c r="B857" s="3" t="s">
        <v>102</v>
      </c>
      <c r="F857">
        <v>5</v>
      </c>
      <c r="G857" t="s">
        <v>8607</v>
      </c>
      <c r="H857">
        <v>30</v>
      </c>
      <c r="I857" t="s">
        <v>9299</v>
      </c>
      <c r="J857" t="str">
        <f t="shared" si="13"/>
        <v>13F-HR-5.30.C4</v>
      </c>
      <c r="K857" s="5" t="s">
        <v>8618</v>
      </c>
      <c r="L857" t="s">
        <v>8619</v>
      </c>
      <c r="M857" t="s">
        <v>8620</v>
      </c>
      <c r="N857" t="s">
        <v>8621</v>
      </c>
      <c r="Q857" s="28">
        <v>13444230</v>
      </c>
    </row>
    <row r="858" spans="1:17" x14ac:dyDescent="0.35">
      <c r="A858" t="s">
        <v>8520</v>
      </c>
      <c r="B858" s="3" t="s">
        <v>102</v>
      </c>
      <c r="F858">
        <v>5</v>
      </c>
      <c r="G858" t="s">
        <v>8607</v>
      </c>
      <c r="H858">
        <v>31</v>
      </c>
      <c r="I858" t="s">
        <v>9300</v>
      </c>
      <c r="J858" t="str">
        <f t="shared" si="13"/>
        <v>13F-HR-5.31.C5</v>
      </c>
      <c r="K858" s="5" t="s">
        <v>8622</v>
      </c>
      <c r="L858" t="s">
        <v>241</v>
      </c>
      <c r="M858" t="s">
        <v>8623</v>
      </c>
      <c r="N858" t="s">
        <v>8624</v>
      </c>
      <c r="Q858" s="28">
        <v>267760</v>
      </c>
    </row>
    <row r="859" spans="1:17" x14ac:dyDescent="0.35">
      <c r="A859" t="s">
        <v>8520</v>
      </c>
      <c r="B859" s="3" t="s">
        <v>102</v>
      </c>
      <c r="F859">
        <v>5</v>
      </c>
      <c r="G859" t="s">
        <v>8607</v>
      </c>
      <c r="H859">
        <v>32</v>
      </c>
      <c r="I859" t="s">
        <v>9301</v>
      </c>
      <c r="J859" t="str">
        <f t="shared" si="13"/>
        <v>13F-HR-5.32.C6</v>
      </c>
      <c r="K859" s="5" t="s">
        <v>8625</v>
      </c>
      <c r="L859" t="s">
        <v>229</v>
      </c>
      <c r="M859" t="s">
        <v>8626</v>
      </c>
      <c r="N859" t="s">
        <v>8627</v>
      </c>
      <c r="Q859" s="28" t="s">
        <v>8628</v>
      </c>
    </row>
    <row r="860" spans="1:17" x14ac:dyDescent="0.35">
      <c r="A860" t="s">
        <v>8520</v>
      </c>
      <c r="B860" s="3" t="s">
        <v>102</v>
      </c>
      <c r="F860">
        <v>5</v>
      </c>
      <c r="G860" t="s">
        <v>8607</v>
      </c>
      <c r="H860">
        <v>33</v>
      </c>
      <c r="I860" t="s">
        <v>9302</v>
      </c>
      <c r="J860" t="str">
        <f t="shared" si="13"/>
        <v>13F-HR-5.33.C7</v>
      </c>
      <c r="K860" s="5" t="s">
        <v>8629</v>
      </c>
      <c r="L860" t="s">
        <v>229</v>
      </c>
      <c r="M860" t="s">
        <v>8630</v>
      </c>
      <c r="N860" t="s">
        <v>8631</v>
      </c>
      <c r="Q860" s="28" t="s">
        <v>8685</v>
      </c>
    </row>
    <row r="861" spans="1:17" x14ac:dyDescent="0.35">
      <c r="A861" t="s">
        <v>8520</v>
      </c>
      <c r="B861" s="3" t="s">
        <v>102</v>
      </c>
      <c r="F861">
        <v>5</v>
      </c>
      <c r="G861" t="s">
        <v>8607</v>
      </c>
      <c r="H861">
        <v>34</v>
      </c>
      <c r="I861" t="s">
        <v>9303</v>
      </c>
      <c r="J861" t="str">
        <f t="shared" si="13"/>
        <v>13F-HR-5.34.C8</v>
      </c>
      <c r="K861" s="5" t="s">
        <v>8633</v>
      </c>
      <c r="L861" t="s">
        <v>4735</v>
      </c>
      <c r="M861" t="s">
        <v>8634</v>
      </c>
      <c r="N861" t="s">
        <v>8635</v>
      </c>
      <c r="Q861" s="28" t="s">
        <v>8632</v>
      </c>
    </row>
    <row r="862" spans="1:17" x14ac:dyDescent="0.35">
      <c r="A862" t="s">
        <v>8520</v>
      </c>
      <c r="B862" s="3" t="s">
        <v>102</v>
      </c>
      <c r="F862">
        <v>5</v>
      </c>
      <c r="G862" t="s">
        <v>8607</v>
      </c>
      <c r="H862">
        <v>35</v>
      </c>
      <c r="I862" t="s">
        <v>9304</v>
      </c>
      <c r="J862" t="str">
        <f t="shared" si="13"/>
        <v>13F-HR-5.35.C9</v>
      </c>
      <c r="K862" s="5" t="s">
        <v>8637</v>
      </c>
      <c r="L862" t="s">
        <v>229</v>
      </c>
      <c r="M862" t="s">
        <v>8638</v>
      </c>
      <c r="N862" t="s">
        <v>8639</v>
      </c>
      <c r="Q862" s="28" t="s">
        <v>8636</v>
      </c>
    </row>
    <row r="863" spans="1:17" x14ac:dyDescent="0.35">
      <c r="A863" t="s">
        <v>8520</v>
      </c>
      <c r="B863" s="3" t="s">
        <v>102</v>
      </c>
      <c r="F863">
        <v>5</v>
      </c>
      <c r="G863" t="s">
        <v>8607</v>
      </c>
      <c r="H863">
        <v>36</v>
      </c>
      <c r="I863" t="s">
        <v>9305</v>
      </c>
      <c r="J863" t="str">
        <f t="shared" si="13"/>
        <v>13F-HR-5.36.C10</v>
      </c>
      <c r="K863" s="5" t="s">
        <v>8640</v>
      </c>
      <c r="L863" t="s">
        <v>241</v>
      </c>
      <c r="M863" t="s">
        <v>8641</v>
      </c>
      <c r="N863" t="s">
        <v>8642</v>
      </c>
      <c r="Q863" s="28">
        <v>238409</v>
      </c>
    </row>
    <row r="864" spans="1:17" x14ac:dyDescent="0.35">
      <c r="A864" t="s">
        <v>8520</v>
      </c>
      <c r="B864" s="3" t="s">
        <v>102</v>
      </c>
      <c r="F864">
        <v>5</v>
      </c>
      <c r="G864" t="s">
        <v>8607</v>
      </c>
      <c r="H864">
        <v>37</v>
      </c>
      <c r="I864" t="s">
        <v>9306</v>
      </c>
      <c r="J864" t="str">
        <f t="shared" si="13"/>
        <v>13F-HR-5.37.C11</v>
      </c>
      <c r="K864" s="5" t="s">
        <v>8643</v>
      </c>
      <c r="L864" t="s">
        <v>241</v>
      </c>
      <c r="M864" t="s">
        <v>8644</v>
      </c>
      <c r="N864" t="s">
        <v>8645</v>
      </c>
      <c r="Q864" s="28">
        <v>0</v>
      </c>
    </row>
    <row r="865" spans="1:17" x14ac:dyDescent="0.35">
      <c r="A865" t="s">
        <v>8520</v>
      </c>
      <c r="B865" s="3" t="s">
        <v>102</v>
      </c>
      <c r="F865">
        <v>5</v>
      </c>
      <c r="G865" t="s">
        <v>8607</v>
      </c>
      <c r="H865">
        <v>38</v>
      </c>
      <c r="I865" t="s">
        <v>9307</v>
      </c>
      <c r="J865" t="str">
        <f t="shared" si="13"/>
        <v>13F-HR-5.38.C12</v>
      </c>
      <c r="K865" s="5" t="s">
        <v>8646</v>
      </c>
      <c r="L865" t="s">
        <v>241</v>
      </c>
      <c r="M865" t="s">
        <v>8647</v>
      </c>
      <c r="N865" t="s">
        <v>8648</v>
      </c>
      <c r="Q865" s="28">
        <v>29351</v>
      </c>
    </row>
    <row r="866" spans="1:17" x14ac:dyDescent="0.35">
      <c r="A866" t="s">
        <v>8520</v>
      </c>
      <c r="B866" s="3" t="s">
        <v>102</v>
      </c>
      <c r="F866">
        <v>5</v>
      </c>
      <c r="G866" t="s">
        <v>8607</v>
      </c>
      <c r="H866">
        <v>27</v>
      </c>
      <c r="I866" t="s">
        <v>9296</v>
      </c>
      <c r="J866" t="str">
        <f t="shared" si="13"/>
        <v>13F-HR-5.27.C1</v>
      </c>
      <c r="K866" s="5" t="s">
        <v>8608</v>
      </c>
      <c r="L866" t="s">
        <v>229</v>
      </c>
      <c r="M866" t="s">
        <v>8609</v>
      </c>
      <c r="N866" t="s">
        <v>8610</v>
      </c>
      <c r="Q866" s="28" t="s">
        <v>8766</v>
      </c>
    </row>
    <row r="867" spans="1:17" x14ac:dyDescent="0.35">
      <c r="A867" t="s">
        <v>8520</v>
      </c>
      <c r="B867" s="3" t="s">
        <v>102</v>
      </c>
      <c r="F867">
        <v>5</v>
      </c>
      <c r="G867" t="s">
        <v>8607</v>
      </c>
      <c r="H867">
        <v>28</v>
      </c>
      <c r="I867" t="s">
        <v>9297</v>
      </c>
      <c r="J867" t="str">
        <f t="shared" si="13"/>
        <v>13F-HR-5.28.C2</v>
      </c>
      <c r="K867" s="5" t="s">
        <v>8612</v>
      </c>
      <c r="L867" t="s">
        <v>229</v>
      </c>
      <c r="M867" t="s">
        <v>8613</v>
      </c>
      <c r="N867" t="s">
        <v>8614</v>
      </c>
      <c r="Q867" s="28" t="s">
        <v>8615</v>
      </c>
    </row>
    <row r="868" spans="1:17" x14ac:dyDescent="0.35">
      <c r="A868" t="s">
        <v>8520</v>
      </c>
      <c r="B868" s="3" t="s">
        <v>102</v>
      </c>
      <c r="F868">
        <v>5</v>
      </c>
      <c r="G868" t="s">
        <v>8607</v>
      </c>
      <c r="H868">
        <v>29</v>
      </c>
      <c r="I868" t="s">
        <v>9298</v>
      </c>
      <c r="J868" t="str">
        <f t="shared" si="13"/>
        <v>13F-HR-5.29.C3</v>
      </c>
      <c r="K868" s="5" t="s">
        <v>8616</v>
      </c>
      <c r="L868" t="s">
        <v>229</v>
      </c>
      <c r="M868" t="s">
        <v>7927</v>
      </c>
      <c r="N868" t="s">
        <v>8617</v>
      </c>
      <c r="Q868" s="28">
        <v>171340102</v>
      </c>
    </row>
    <row r="869" spans="1:17" x14ac:dyDescent="0.35">
      <c r="A869" t="s">
        <v>8520</v>
      </c>
      <c r="B869" s="3" t="s">
        <v>102</v>
      </c>
      <c r="F869">
        <v>5</v>
      </c>
      <c r="G869" t="s">
        <v>8607</v>
      </c>
      <c r="H869">
        <v>30</v>
      </c>
      <c r="I869" t="s">
        <v>9299</v>
      </c>
      <c r="J869" t="str">
        <f t="shared" si="13"/>
        <v>13F-HR-5.30.C4</v>
      </c>
      <c r="K869" s="5" t="s">
        <v>8618</v>
      </c>
      <c r="L869" t="s">
        <v>8619</v>
      </c>
      <c r="M869" t="s">
        <v>8620</v>
      </c>
      <c r="N869" t="s">
        <v>8621</v>
      </c>
      <c r="Q869" s="28">
        <v>23506637</v>
      </c>
    </row>
    <row r="870" spans="1:17" x14ac:dyDescent="0.35">
      <c r="A870" t="s">
        <v>8520</v>
      </c>
      <c r="B870" s="3" t="s">
        <v>102</v>
      </c>
      <c r="F870">
        <v>5</v>
      </c>
      <c r="G870" t="s">
        <v>8607</v>
      </c>
      <c r="H870">
        <v>31</v>
      </c>
      <c r="I870" t="s">
        <v>9300</v>
      </c>
      <c r="J870" t="str">
        <f t="shared" si="13"/>
        <v>13F-HR-5.31.C5</v>
      </c>
      <c r="K870" s="5" t="s">
        <v>8622</v>
      </c>
      <c r="L870" t="s">
        <v>241</v>
      </c>
      <c r="M870" t="s">
        <v>8623</v>
      </c>
      <c r="N870" t="s">
        <v>8624</v>
      </c>
      <c r="Q870" s="28">
        <v>213522</v>
      </c>
    </row>
    <row r="871" spans="1:17" x14ac:dyDescent="0.35">
      <c r="A871" t="s">
        <v>8520</v>
      </c>
      <c r="B871" s="3" t="s">
        <v>102</v>
      </c>
      <c r="F871">
        <v>5</v>
      </c>
      <c r="G871" t="s">
        <v>8607</v>
      </c>
      <c r="H871">
        <v>32</v>
      </c>
      <c r="I871" t="s">
        <v>9301</v>
      </c>
      <c r="J871" t="str">
        <f t="shared" si="13"/>
        <v>13F-HR-5.32.C6</v>
      </c>
      <c r="K871" s="5" t="s">
        <v>8625</v>
      </c>
      <c r="L871" t="s">
        <v>229</v>
      </c>
      <c r="M871" t="s">
        <v>8626</v>
      </c>
      <c r="N871" t="s">
        <v>8627</v>
      </c>
      <c r="Q871" s="28" t="s">
        <v>8628</v>
      </c>
    </row>
    <row r="872" spans="1:17" x14ac:dyDescent="0.35">
      <c r="A872" t="s">
        <v>8520</v>
      </c>
      <c r="B872" s="3" t="s">
        <v>102</v>
      </c>
      <c r="F872">
        <v>5</v>
      </c>
      <c r="G872" t="s">
        <v>8607</v>
      </c>
      <c r="H872">
        <v>33</v>
      </c>
      <c r="I872" t="s">
        <v>9302</v>
      </c>
      <c r="J872" t="str">
        <f t="shared" si="13"/>
        <v>13F-HR-5.33.C7</v>
      </c>
      <c r="K872" s="5" t="s">
        <v>8629</v>
      </c>
      <c r="L872" t="s">
        <v>229</v>
      </c>
      <c r="M872" t="s">
        <v>8630</v>
      </c>
      <c r="N872" t="s">
        <v>8631</v>
      </c>
      <c r="Q872" s="28" t="s">
        <v>8685</v>
      </c>
    </row>
    <row r="873" spans="1:17" x14ac:dyDescent="0.35">
      <c r="A873" t="s">
        <v>8520</v>
      </c>
      <c r="B873" s="3" t="s">
        <v>102</v>
      </c>
      <c r="F873">
        <v>5</v>
      </c>
      <c r="G873" t="s">
        <v>8607</v>
      </c>
      <c r="H873">
        <v>34</v>
      </c>
      <c r="I873" t="s">
        <v>9303</v>
      </c>
      <c r="J873" t="str">
        <f t="shared" si="13"/>
        <v>13F-HR-5.34.C8</v>
      </c>
      <c r="K873" s="5" t="s">
        <v>8633</v>
      </c>
      <c r="L873" t="s">
        <v>4735</v>
      </c>
      <c r="M873" t="s">
        <v>8634</v>
      </c>
      <c r="N873" t="s">
        <v>8635</v>
      </c>
      <c r="Q873" s="28" t="s">
        <v>8632</v>
      </c>
    </row>
    <row r="874" spans="1:17" x14ac:dyDescent="0.35">
      <c r="A874" t="s">
        <v>8520</v>
      </c>
      <c r="B874" s="3" t="s">
        <v>102</v>
      </c>
      <c r="F874">
        <v>5</v>
      </c>
      <c r="G874" t="s">
        <v>8607</v>
      </c>
      <c r="H874">
        <v>35</v>
      </c>
      <c r="I874" t="s">
        <v>9304</v>
      </c>
      <c r="J874" t="str">
        <f t="shared" si="13"/>
        <v>13F-HR-5.35.C9</v>
      </c>
      <c r="K874" s="5" t="s">
        <v>8637</v>
      </c>
      <c r="L874" t="s">
        <v>229</v>
      </c>
      <c r="M874" t="s">
        <v>8638</v>
      </c>
      <c r="N874" t="s">
        <v>8639</v>
      </c>
      <c r="Q874" s="28" t="s">
        <v>8636</v>
      </c>
    </row>
    <row r="875" spans="1:17" x14ac:dyDescent="0.35">
      <c r="A875" t="s">
        <v>8520</v>
      </c>
      <c r="B875" s="3" t="s">
        <v>102</v>
      </c>
      <c r="F875">
        <v>5</v>
      </c>
      <c r="G875" t="s">
        <v>8607</v>
      </c>
      <c r="H875">
        <v>36</v>
      </c>
      <c r="I875" t="s">
        <v>9305</v>
      </c>
      <c r="J875" t="str">
        <f t="shared" si="13"/>
        <v>13F-HR-5.36.C10</v>
      </c>
      <c r="K875" s="5" t="s">
        <v>8640</v>
      </c>
      <c r="L875" t="s">
        <v>241</v>
      </c>
      <c r="M875" t="s">
        <v>8641</v>
      </c>
      <c r="N875" t="s">
        <v>8642</v>
      </c>
      <c r="Q875" s="28">
        <v>169369</v>
      </c>
    </row>
    <row r="876" spans="1:17" x14ac:dyDescent="0.35">
      <c r="A876" t="s">
        <v>8520</v>
      </c>
      <c r="B876" s="3" t="s">
        <v>102</v>
      </c>
      <c r="F876">
        <v>5</v>
      </c>
      <c r="G876" t="s">
        <v>8607</v>
      </c>
      <c r="H876">
        <v>37</v>
      </c>
      <c r="I876" t="s">
        <v>9306</v>
      </c>
      <c r="J876" t="str">
        <f t="shared" si="13"/>
        <v>13F-HR-5.37.C11</v>
      </c>
      <c r="K876" s="5" t="s">
        <v>8643</v>
      </c>
      <c r="L876" t="s">
        <v>241</v>
      </c>
      <c r="M876" t="s">
        <v>8644</v>
      </c>
      <c r="N876" t="s">
        <v>8645</v>
      </c>
      <c r="Q876" s="28">
        <v>0</v>
      </c>
    </row>
    <row r="877" spans="1:17" x14ac:dyDescent="0.35">
      <c r="A877" t="s">
        <v>8520</v>
      </c>
      <c r="B877" s="3" t="s">
        <v>102</v>
      </c>
      <c r="F877">
        <v>5</v>
      </c>
      <c r="G877" t="s">
        <v>8607</v>
      </c>
      <c r="H877">
        <v>38</v>
      </c>
      <c r="I877" t="s">
        <v>9307</v>
      </c>
      <c r="J877" t="str">
        <f t="shared" si="13"/>
        <v>13F-HR-5.38.C12</v>
      </c>
      <c r="K877" s="5" t="s">
        <v>8646</v>
      </c>
      <c r="L877" t="s">
        <v>241</v>
      </c>
      <c r="M877" t="s">
        <v>8647</v>
      </c>
      <c r="N877" t="s">
        <v>8648</v>
      </c>
      <c r="Q877" s="28">
        <v>44153</v>
      </c>
    </row>
    <row r="878" spans="1:17" x14ac:dyDescent="0.35">
      <c r="A878" t="s">
        <v>8520</v>
      </c>
      <c r="B878" s="3" t="s">
        <v>102</v>
      </c>
      <c r="F878">
        <v>5</v>
      </c>
      <c r="G878" t="s">
        <v>8607</v>
      </c>
      <c r="H878">
        <v>27</v>
      </c>
      <c r="I878" t="s">
        <v>9296</v>
      </c>
      <c r="J878" t="str">
        <f t="shared" si="13"/>
        <v>13F-HR-5.27.C1</v>
      </c>
      <c r="K878" s="5" t="s">
        <v>8608</v>
      </c>
      <c r="L878" t="s">
        <v>229</v>
      </c>
      <c r="M878" t="s">
        <v>8609</v>
      </c>
      <c r="N878" t="s">
        <v>8610</v>
      </c>
      <c r="Q878" s="28" t="s">
        <v>8767</v>
      </c>
    </row>
    <row r="879" spans="1:17" x14ac:dyDescent="0.35">
      <c r="A879" t="s">
        <v>8520</v>
      </c>
      <c r="B879" s="3" t="s">
        <v>102</v>
      </c>
      <c r="F879">
        <v>5</v>
      </c>
      <c r="G879" t="s">
        <v>8607</v>
      </c>
      <c r="H879">
        <v>28</v>
      </c>
      <c r="I879" t="s">
        <v>9297</v>
      </c>
      <c r="J879" t="str">
        <f t="shared" si="13"/>
        <v>13F-HR-5.28.C2</v>
      </c>
      <c r="K879" s="5" t="s">
        <v>8612</v>
      </c>
      <c r="L879" t="s">
        <v>229</v>
      </c>
      <c r="M879" t="s">
        <v>8613</v>
      </c>
      <c r="N879" t="s">
        <v>8614</v>
      </c>
      <c r="Q879" s="28" t="s">
        <v>8768</v>
      </c>
    </row>
    <row r="880" spans="1:17" x14ac:dyDescent="0.35">
      <c r="A880" t="s">
        <v>8520</v>
      </c>
      <c r="B880" s="3" t="s">
        <v>102</v>
      </c>
      <c r="F880">
        <v>5</v>
      </c>
      <c r="G880" t="s">
        <v>8607</v>
      </c>
      <c r="H880">
        <v>29</v>
      </c>
      <c r="I880" t="s">
        <v>9298</v>
      </c>
      <c r="J880" t="str">
        <f t="shared" si="13"/>
        <v>13F-HR-5.29.C3</v>
      </c>
      <c r="K880" s="5" t="s">
        <v>8616</v>
      </c>
      <c r="L880" t="s">
        <v>229</v>
      </c>
      <c r="M880" t="s">
        <v>7927</v>
      </c>
      <c r="N880" t="s">
        <v>8617</v>
      </c>
      <c r="Q880" s="28">
        <v>172967424</v>
      </c>
    </row>
    <row r="881" spans="1:17" x14ac:dyDescent="0.35">
      <c r="A881" t="s">
        <v>8520</v>
      </c>
      <c r="B881" s="3" t="s">
        <v>102</v>
      </c>
      <c r="F881">
        <v>5</v>
      </c>
      <c r="G881" t="s">
        <v>8607</v>
      </c>
      <c r="H881">
        <v>30</v>
      </c>
      <c r="I881" t="s">
        <v>9299</v>
      </c>
      <c r="J881" t="str">
        <f t="shared" si="13"/>
        <v>13F-HR-5.30.C4</v>
      </c>
      <c r="K881" s="5" t="s">
        <v>8618</v>
      </c>
      <c r="L881" t="s">
        <v>8619</v>
      </c>
      <c r="M881" t="s">
        <v>8620</v>
      </c>
      <c r="N881" t="s">
        <v>8621</v>
      </c>
      <c r="Q881" s="28">
        <v>16288443</v>
      </c>
    </row>
    <row r="882" spans="1:17" x14ac:dyDescent="0.35">
      <c r="A882" t="s">
        <v>8520</v>
      </c>
      <c r="B882" s="3" t="s">
        <v>102</v>
      </c>
      <c r="F882">
        <v>5</v>
      </c>
      <c r="G882" t="s">
        <v>8607</v>
      </c>
      <c r="H882">
        <v>31</v>
      </c>
      <c r="I882" t="s">
        <v>9300</v>
      </c>
      <c r="J882" t="str">
        <f t="shared" si="13"/>
        <v>13F-HR-5.31.C5</v>
      </c>
      <c r="K882" s="5" t="s">
        <v>8622</v>
      </c>
      <c r="L882" t="s">
        <v>241</v>
      </c>
      <c r="M882" t="s">
        <v>8623</v>
      </c>
      <c r="N882" t="s">
        <v>8624</v>
      </c>
      <c r="Q882" s="28">
        <v>229447</v>
      </c>
    </row>
    <row r="883" spans="1:17" x14ac:dyDescent="0.35">
      <c r="A883" t="s">
        <v>8520</v>
      </c>
      <c r="B883" s="3" t="s">
        <v>102</v>
      </c>
      <c r="F883">
        <v>5</v>
      </c>
      <c r="G883" t="s">
        <v>8607</v>
      </c>
      <c r="H883">
        <v>32</v>
      </c>
      <c r="I883" t="s">
        <v>9301</v>
      </c>
      <c r="J883" t="str">
        <f t="shared" si="13"/>
        <v>13F-HR-5.32.C6</v>
      </c>
      <c r="K883" s="5" t="s">
        <v>8625</v>
      </c>
      <c r="L883" t="s">
        <v>229</v>
      </c>
      <c r="M883" t="s">
        <v>8626</v>
      </c>
      <c r="N883" t="s">
        <v>8627</v>
      </c>
      <c r="Q883" s="28" t="s">
        <v>8628</v>
      </c>
    </row>
    <row r="884" spans="1:17" x14ac:dyDescent="0.35">
      <c r="A884" t="s">
        <v>8520</v>
      </c>
      <c r="B884" s="3" t="s">
        <v>102</v>
      </c>
      <c r="F884">
        <v>5</v>
      </c>
      <c r="G884" t="s">
        <v>8607</v>
      </c>
      <c r="H884">
        <v>33</v>
      </c>
      <c r="I884" t="s">
        <v>9302</v>
      </c>
      <c r="J884" t="str">
        <f t="shared" si="13"/>
        <v>13F-HR-5.33.C7</v>
      </c>
      <c r="K884" s="5" t="s">
        <v>8629</v>
      </c>
      <c r="L884" t="s">
        <v>229</v>
      </c>
      <c r="M884" t="s">
        <v>8630</v>
      </c>
      <c r="N884" t="s">
        <v>8631</v>
      </c>
      <c r="Q884" s="28" t="s">
        <v>8685</v>
      </c>
    </row>
    <row r="885" spans="1:17" x14ac:dyDescent="0.35">
      <c r="A885" t="s">
        <v>8520</v>
      </c>
      <c r="B885" s="3" t="s">
        <v>102</v>
      </c>
      <c r="F885">
        <v>5</v>
      </c>
      <c r="G885" t="s">
        <v>8607</v>
      </c>
      <c r="H885">
        <v>34</v>
      </c>
      <c r="I885" t="s">
        <v>9303</v>
      </c>
      <c r="J885" t="str">
        <f t="shared" si="13"/>
        <v>13F-HR-5.34.C8</v>
      </c>
      <c r="K885" s="5" t="s">
        <v>8633</v>
      </c>
      <c r="L885" t="s">
        <v>4735</v>
      </c>
      <c r="M885" t="s">
        <v>8634</v>
      </c>
      <c r="N885" t="s">
        <v>8635</v>
      </c>
      <c r="Q885" s="28" t="s">
        <v>8632</v>
      </c>
    </row>
    <row r="886" spans="1:17" x14ac:dyDescent="0.35">
      <c r="A886" t="s">
        <v>8520</v>
      </c>
      <c r="B886" s="3" t="s">
        <v>102</v>
      </c>
      <c r="F886">
        <v>5</v>
      </c>
      <c r="G886" t="s">
        <v>8607</v>
      </c>
      <c r="H886">
        <v>35</v>
      </c>
      <c r="I886" t="s">
        <v>9304</v>
      </c>
      <c r="J886" t="str">
        <f t="shared" si="13"/>
        <v>13F-HR-5.35.C9</v>
      </c>
      <c r="K886" s="5" t="s">
        <v>8637</v>
      </c>
      <c r="L886" t="s">
        <v>229</v>
      </c>
      <c r="M886" t="s">
        <v>8638</v>
      </c>
      <c r="N886" t="s">
        <v>8639</v>
      </c>
      <c r="Q886" s="28" t="s">
        <v>8636</v>
      </c>
    </row>
    <row r="887" spans="1:17" x14ac:dyDescent="0.35">
      <c r="A887" t="s">
        <v>8520</v>
      </c>
      <c r="B887" s="3" t="s">
        <v>102</v>
      </c>
      <c r="F887">
        <v>5</v>
      </c>
      <c r="G887" t="s">
        <v>8607</v>
      </c>
      <c r="H887">
        <v>36</v>
      </c>
      <c r="I887" t="s">
        <v>9305</v>
      </c>
      <c r="J887" t="str">
        <f t="shared" si="13"/>
        <v>13F-HR-5.36.C10</v>
      </c>
      <c r="K887" s="5" t="s">
        <v>8640</v>
      </c>
      <c r="L887" t="s">
        <v>241</v>
      </c>
      <c r="M887" t="s">
        <v>8641</v>
      </c>
      <c r="N887" t="s">
        <v>8642</v>
      </c>
      <c r="Q887" s="28">
        <v>168597</v>
      </c>
    </row>
    <row r="888" spans="1:17" x14ac:dyDescent="0.35">
      <c r="A888" t="s">
        <v>8520</v>
      </c>
      <c r="B888" s="3" t="s">
        <v>102</v>
      </c>
      <c r="F888">
        <v>5</v>
      </c>
      <c r="G888" t="s">
        <v>8607</v>
      </c>
      <c r="H888">
        <v>37</v>
      </c>
      <c r="I888" t="s">
        <v>9306</v>
      </c>
      <c r="J888" t="str">
        <f t="shared" si="13"/>
        <v>13F-HR-5.37.C11</v>
      </c>
      <c r="K888" s="5" t="s">
        <v>8643</v>
      </c>
      <c r="L888" t="s">
        <v>241</v>
      </c>
      <c r="M888" t="s">
        <v>8644</v>
      </c>
      <c r="N888" t="s">
        <v>8645</v>
      </c>
      <c r="Q888" s="28">
        <v>0</v>
      </c>
    </row>
    <row r="889" spans="1:17" x14ac:dyDescent="0.35">
      <c r="A889" t="s">
        <v>8520</v>
      </c>
      <c r="B889" s="3" t="s">
        <v>102</v>
      </c>
      <c r="F889">
        <v>5</v>
      </c>
      <c r="G889" t="s">
        <v>8607</v>
      </c>
      <c r="H889">
        <v>38</v>
      </c>
      <c r="I889" t="s">
        <v>9307</v>
      </c>
      <c r="J889" t="str">
        <f t="shared" si="13"/>
        <v>13F-HR-5.38.C12</v>
      </c>
      <c r="K889" s="5" t="s">
        <v>8646</v>
      </c>
      <c r="L889" t="s">
        <v>241</v>
      </c>
      <c r="M889" t="s">
        <v>8647</v>
      </c>
      <c r="N889" t="s">
        <v>8648</v>
      </c>
      <c r="Q889" s="28">
        <v>60850</v>
      </c>
    </row>
    <row r="890" spans="1:17" x14ac:dyDescent="0.35">
      <c r="A890" t="s">
        <v>8520</v>
      </c>
      <c r="B890" s="3" t="s">
        <v>102</v>
      </c>
      <c r="F890">
        <v>5</v>
      </c>
      <c r="G890" t="s">
        <v>8607</v>
      </c>
      <c r="H890">
        <v>27</v>
      </c>
      <c r="I890" t="s">
        <v>9296</v>
      </c>
      <c r="J890" t="str">
        <f t="shared" si="13"/>
        <v>13F-HR-5.27.C1</v>
      </c>
      <c r="K890" s="5" t="s">
        <v>8608</v>
      </c>
      <c r="L890" t="s">
        <v>229</v>
      </c>
      <c r="M890" t="s">
        <v>8609</v>
      </c>
      <c r="N890" t="s">
        <v>8610</v>
      </c>
      <c r="Q890" s="28" t="s">
        <v>8769</v>
      </c>
    </row>
    <row r="891" spans="1:17" x14ac:dyDescent="0.35">
      <c r="A891" t="s">
        <v>8520</v>
      </c>
      <c r="B891" s="3" t="s">
        <v>102</v>
      </c>
      <c r="F891">
        <v>5</v>
      </c>
      <c r="G891" t="s">
        <v>8607</v>
      </c>
      <c r="H891">
        <v>28</v>
      </c>
      <c r="I891" t="s">
        <v>9297</v>
      </c>
      <c r="J891" t="str">
        <f t="shared" si="13"/>
        <v>13F-HR-5.28.C2</v>
      </c>
      <c r="K891" s="5" t="s">
        <v>8612</v>
      </c>
      <c r="L891" t="s">
        <v>229</v>
      </c>
      <c r="M891" t="s">
        <v>8613</v>
      </c>
      <c r="N891" t="s">
        <v>8614</v>
      </c>
      <c r="Q891" s="28" t="s">
        <v>8615</v>
      </c>
    </row>
    <row r="892" spans="1:17" x14ac:dyDescent="0.35">
      <c r="A892" t="s">
        <v>8520</v>
      </c>
      <c r="B892" s="3" t="s">
        <v>102</v>
      </c>
      <c r="F892">
        <v>5</v>
      </c>
      <c r="G892" t="s">
        <v>8607</v>
      </c>
      <c r="H892">
        <v>29</v>
      </c>
      <c r="I892" t="s">
        <v>9298</v>
      </c>
      <c r="J892" t="str">
        <f t="shared" si="13"/>
        <v>13F-HR-5.29.C3</v>
      </c>
      <c r="K892" s="5" t="s">
        <v>8616</v>
      </c>
      <c r="L892" t="s">
        <v>229</v>
      </c>
      <c r="M892" t="s">
        <v>7927</v>
      </c>
      <c r="N892" t="s">
        <v>8617</v>
      </c>
      <c r="Q892" s="28">
        <v>174610105</v>
      </c>
    </row>
    <row r="893" spans="1:17" x14ac:dyDescent="0.35">
      <c r="A893" t="s">
        <v>8520</v>
      </c>
      <c r="B893" s="3" t="s">
        <v>102</v>
      </c>
      <c r="F893">
        <v>5</v>
      </c>
      <c r="G893" t="s">
        <v>8607</v>
      </c>
      <c r="H893">
        <v>30</v>
      </c>
      <c r="I893" t="s">
        <v>9299</v>
      </c>
      <c r="J893" t="str">
        <f t="shared" si="13"/>
        <v>13F-HR-5.30.C4</v>
      </c>
      <c r="K893" s="5" t="s">
        <v>8618</v>
      </c>
      <c r="L893" t="s">
        <v>8619</v>
      </c>
      <c r="M893" t="s">
        <v>8620</v>
      </c>
      <c r="N893" t="s">
        <v>8621</v>
      </c>
      <c r="Q893" s="28">
        <v>12927797</v>
      </c>
    </row>
    <row r="894" spans="1:17" x14ac:dyDescent="0.35">
      <c r="A894" t="s">
        <v>8520</v>
      </c>
      <c r="B894" s="3" t="s">
        <v>102</v>
      </c>
      <c r="F894">
        <v>5</v>
      </c>
      <c r="G894" t="s">
        <v>8607</v>
      </c>
      <c r="H894">
        <v>31</v>
      </c>
      <c r="I894" t="s">
        <v>9300</v>
      </c>
      <c r="J894" t="str">
        <f t="shared" si="13"/>
        <v>13F-HR-5.31.C5</v>
      </c>
      <c r="K894" s="5" t="s">
        <v>8622</v>
      </c>
      <c r="L894" t="s">
        <v>241</v>
      </c>
      <c r="M894" t="s">
        <v>8623</v>
      </c>
      <c r="N894" t="s">
        <v>8624</v>
      </c>
      <c r="Q894" s="28">
        <v>315543</v>
      </c>
    </row>
    <row r="895" spans="1:17" x14ac:dyDescent="0.35">
      <c r="A895" t="s">
        <v>8520</v>
      </c>
      <c r="B895" s="3" t="s">
        <v>102</v>
      </c>
      <c r="F895">
        <v>5</v>
      </c>
      <c r="G895" t="s">
        <v>8607</v>
      </c>
      <c r="H895">
        <v>32</v>
      </c>
      <c r="I895" t="s">
        <v>9301</v>
      </c>
      <c r="J895" t="str">
        <f t="shared" si="13"/>
        <v>13F-HR-5.32.C6</v>
      </c>
      <c r="K895" s="5" t="s">
        <v>8625</v>
      </c>
      <c r="L895" t="s">
        <v>229</v>
      </c>
      <c r="M895" t="s">
        <v>8626</v>
      </c>
      <c r="N895" t="s">
        <v>8627</v>
      </c>
      <c r="Q895" s="28" t="s">
        <v>8628</v>
      </c>
    </row>
    <row r="896" spans="1:17" x14ac:dyDescent="0.35">
      <c r="A896" t="s">
        <v>8520</v>
      </c>
      <c r="B896" s="3" t="s">
        <v>102</v>
      </c>
      <c r="F896">
        <v>5</v>
      </c>
      <c r="G896" t="s">
        <v>8607</v>
      </c>
      <c r="H896">
        <v>33</v>
      </c>
      <c r="I896" t="s">
        <v>9302</v>
      </c>
      <c r="J896" t="str">
        <f t="shared" si="13"/>
        <v>13F-HR-5.33.C7</v>
      </c>
      <c r="K896" s="5" t="s">
        <v>8629</v>
      </c>
      <c r="L896" t="s">
        <v>229</v>
      </c>
      <c r="M896" t="s">
        <v>8630</v>
      </c>
      <c r="N896" t="s">
        <v>8631</v>
      </c>
      <c r="Q896" s="28" t="s">
        <v>8685</v>
      </c>
    </row>
    <row r="897" spans="1:17" x14ac:dyDescent="0.35">
      <c r="A897" t="s">
        <v>8520</v>
      </c>
      <c r="B897" s="3" t="s">
        <v>102</v>
      </c>
      <c r="F897">
        <v>5</v>
      </c>
      <c r="G897" t="s">
        <v>8607</v>
      </c>
      <c r="H897">
        <v>34</v>
      </c>
      <c r="I897" t="s">
        <v>9303</v>
      </c>
      <c r="J897" t="str">
        <f t="shared" si="13"/>
        <v>13F-HR-5.34.C8</v>
      </c>
      <c r="K897" s="5" t="s">
        <v>8633</v>
      </c>
      <c r="L897" t="s">
        <v>4735</v>
      </c>
      <c r="M897" t="s">
        <v>8634</v>
      </c>
      <c r="N897" t="s">
        <v>8635</v>
      </c>
      <c r="Q897" s="28" t="s">
        <v>8632</v>
      </c>
    </row>
    <row r="898" spans="1:17" x14ac:dyDescent="0.35">
      <c r="A898" t="s">
        <v>8520</v>
      </c>
      <c r="B898" s="3" t="s">
        <v>102</v>
      </c>
      <c r="F898">
        <v>5</v>
      </c>
      <c r="G898" t="s">
        <v>8607</v>
      </c>
      <c r="H898">
        <v>35</v>
      </c>
      <c r="I898" t="s">
        <v>9304</v>
      </c>
      <c r="J898" t="str">
        <f t="shared" si="13"/>
        <v>13F-HR-5.35.C9</v>
      </c>
      <c r="K898" s="5" t="s">
        <v>8637</v>
      </c>
      <c r="L898" t="s">
        <v>229</v>
      </c>
      <c r="M898" t="s">
        <v>8638</v>
      </c>
      <c r="N898" t="s">
        <v>8639</v>
      </c>
      <c r="Q898" s="28" t="s">
        <v>8636</v>
      </c>
    </row>
    <row r="899" spans="1:17" x14ac:dyDescent="0.35">
      <c r="A899" t="s">
        <v>8520</v>
      </c>
      <c r="B899" s="3" t="s">
        <v>102</v>
      </c>
      <c r="F899">
        <v>5</v>
      </c>
      <c r="G899" t="s">
        <v>8607</v>
      </c>
      <c r="H899">
        <v>36</v>
      </c>
      <c r="I899" t="s">
        <v>9305</v>
      </c>
      <c r="J899" t="str">
        <f t="shared" ref="J899:J962" si="14">_xlfn.CONCAT(A899,"-",F899,".",H899,".",I899)</f>
        <v>13F-HR-5.36.C10</v>
      </c>
      <c r="K899" s="5" t="s">
        <v>8640</v>
      </c>
      <c r="L899" t="s">
        <v>241</v>
      </c>
      <c r="M899" t="s">
        <v>8641</v>
      </c>
      <c r="N899" t="s">
        <v>8642</v>
      </c>
      <c r="Q899" s="28">
        <v>0</v>
      </c>
    </row>
    <row r="900" spans="1:17" x14ac:dyDescent="0.35">
      <c r="A900" t="s">
        <v>8520</v>
      </c>
      <c r="B900" s="3" t="s">
        <v>102</v>
      </c>
      <c r="F900">
        <v>5</v>
      </c>
      <c r="G900" t="s">
        <v>8607</v>
      </c>
      <c r="H900">
        <v>37</v>
      </c>
      <c r="I900" t="s">
        <v>9306</v>
      </c>
      <c r="J900" t="str">
        <f t="shared" si="14"/>
        <v>13F-HR-5.37.C11</v>
      </c>
      <c r="K900" s="5" t="s">
        <v>8643</v>
      </c>
      <c r="L900" t="s">
        <v>241</v>
      </c>
      <c r="M900" t="s">
        <v>8644</v>
      </c>
      <c r="N900" t="s">
        <v>8645</v>
      </c>
      <c r="Q900" s="28">
        <v>0</v>
      </c>
    </row>
    <row r="901" spans="1:17" x14ac:dyDescent="0.35">
      <c r="A901" t="s">
        <v>8520</v>
      </c>
      <c r="B901" s="3" t="s">
        <v>102</v>
      </c>
      <c r="F901">
        <v>5</v>
      </c>
      <c r="G901" t="s">
        <v>8607</v>
      </c>
      <c r="H901">
        <v>38</v>
      </c>
      <c r="I901" t="s">
        <v>9307</v>
      </c>
      <c r="J901" t="str">
        <f t="shared" si="14"/>
        <v>13F-HR-5.38.C12</v>
      </c>
      <c r="K901" s="5" t="s">
        <v>8646</v>
      </c>
      <c r="L901" t="s">
        <v>241</v>
      </c>
      <c r="M901" t="s">
        <v>8647</v>
      </c>
      <c r="N901" t="s">
        <v>8648</v>
      </c>
      <c r="Q901" s="28">
        <v>315543</v>
      </c>
    </row>
    <row r="902" spans="1:17" x14ac:dyDescent="0.35">
      <c r="A902" t="s">
        <v>8520</v>
      </c>
      <c r="B902" s="3" t="s">
        <v>102</v>
      </c>
      <c r="F902">
        <v>5</v>
      </c>
      <c r="G902" t="s">
        <v>8607</v>
      </c>
      <c r="H902">
        <v>27</v>
      </c>
      <c r="I902" t="s">
        <v>9296</v>
      </c>
      <c r="J902" t="str">
        <f t="shared" si="14"/>
        <v>13F-HR-5.27.C1</v>
      </c>
      <c r="K902" s="5" t="s">
        <v>8608</v>
      </c>
      <c r="L902" t="s">
        <v>229</v>
      </c>
      <c r="M902" t="s">
        <v>8609</v>
      </c>
      <c r="N902" t="s">
        <v>8610</v>
      </c>
      <c r="Q902" s="28" t="s">
        <v>8770</v>
      </c>
    </row>
    <row r="903" spans="1:17" x14ac:dyDescent="0.35">
      <c r="A903" t="s">
        <v>8520</v>
      </c>
      <c r="B903" s="3" t="s">
        <v>102</v>
      </c>
      <c r="F903">
        <v>5</v>
      </c>
      <c r="G903" t="s">
        <v>8607</v>
      </c>
      <c r="H903">
        <v>28</v>
      </c>
      <c r="I903" t="s">
        <v>9297</v>
      </c>
      <c r="J903" t="str">
        <f t="shared" si="14"/>
        <v>13F-HR-5.28.C2</v>
      </c>
      <c r="K903" s="5" t="s">
        <v>8612</v>
      </c>
      <c r="L903" t="s">
        <v>229</v>
      </c>
      <c r="M903" t="s">
        <v>8613</v>
      </c>
      <c r="N903" t="s">
        <v>8614</v>
      </c>
      <c r="Q903" s="28" t="s">
        <v>8771</v>
      </c>
    </row>
    <row r="904" spans="1:17" x14ac:dyDescent="0.35">
      <c r="A904" t="s">
        <v>8520</v>
      </c>
      <c r="B904" s="3" t="s">
        <v>102</v>
      </c>
      <c r="F904">
        <v>5</v>
      </c>
      <c r="G904" t="s">
        <v>8607</v>
      </c>
      <c r="H904">
        <v>29</v>
      </c>
      <c r="I904" t="s">
        <v>9298</v>
      </c>
      <c r="J904" t="str">
        <f t="shared" si="14"/>
        <v>13F-HR-5.29.C3</v>
      </c>
      <c r="K904" s="5" t="s">
        <v>8616</v>
      </c>
      <c r="L904" t="s">
        <v>229</v>
      </c>
      <c r="M904" t="s">
        <v>7927</v>
      </c>
      <c r="N904" t="s">
        <v>8617</v>
      </c>
      <c r="Q904" s="28" t="s">
        <v>8772</v>
      </c>
    </row>
    <row r="905" spans="1:17" x14ac:dyDescent="0.35">
      <c r="A905" t="s">
        <v>8520</v>
      </c>
      <c r="B905" s="3" t="s">
        <v>102</v>
      </c>
      <c r="F905">
        <v>5</v>
      </c>
      <c r="G905" t="s">
        <v>8607</v>
      </c>
      <c r="H905">
        <v>30</v>
      </c>
      <c r="I905" t="s">
        <v>9299</v>
      </c>
      <c r="J905" t="str">
        <f t="shared" si="14"/>
        <v>13F-HR-5.30.C4</v>
      </c>
      <c r="K905" s="5" t="s">
        <v>8618</v>
      </c>
      <c r="L905" t="s">
        <v>8619</v>
      </c>
      <c r="M905" t="s">
        <v>8620</v>
      </c>
      <c r="N905" t="s">
        <v>8621</v>
      </c>
      <c r="Q905" s="28">
        <v>11931955</v>
      </c>
    </row>
    <row r="906" spans="1:17" x14ac:dyDescent="0.35">
      <c r="A906" t="s">
        <v>8520</v>
      </c>
      <c r="B906" s="3" t="s">
        <v>102</v>
      </c>
      <c r="F906">
        <v>5</v>
      </c>
      <c r="G906" t="s">
        <v>8607</v>
      </c>
      <c r="H906">
        <v>31</v>
      </c>
      <c r="I906" t="s">
        <v>9300</v>
      </c>
      <c r="J906" t="str">
        <f t="shared" si="14"/>
        <v>13F-HR-5.31.C5</v>
      </c>
      <c r="K906" s="5" t="s">
        <v>8622</v>
      </c>
      <c r="L906" t="s">
        <v>241</v>
      </c>
      <c r="M906" t="s">
        <v>8623</v>
      </c>
      <c r="N906" t="s">
        <v>8624</v>
      </c>
      <c r="Q906" s="28">
        <v>105883</v>
      </c>
    </row>
    <row r="907" spans="1:17" x14ac:dyDescent="0.35">
      <c r="A907" t="s">
        <v>8520</v>
      </c>
      <c r="B907" s="3" t="s">
        <v>102</v>
      </c>
      <c r="F907">
        <v>5</v>
      </c>
      <c r="G907" t="s">
        <v>8607</v>
      </c>
      <c r="H907">
        <v>32</v>
      </c>
      <c r="I907" t="s">
        <v>9301</v>
      </c>
      <c r="J907" t="str">
        <f t="shared" si="14"/>
        <v>13F-HR-5.32.C6</v>
      </c>
      <c r="K907" s="5" t="s">
        <v>8625</v>
      </c>
      <c r="L907" t="s">
        <v>229</v>
      </c>
      <c r="M907" t="s">
        <v>8626</v>
      </c>
      <c r="N907" t="s">
        <v>8627</v>
      </c>
      <c r="Q907" s="28" t="s">
        <v>8628</v>
      </c>
    </row>
    <row r="908" spans="1:17" x14ac:dyDescent="0.35">
      <c r="A908" t="s">
        <v>8520</v>
      </c>
      <c r="B908" s="3" t="s">
        <v>102</v>
      </c>
      <c r="F908">
        <v>5</v>
      </c>
      <c r="G908" t="s">
        <v>8607</v>
      </c>
      <c r="H908">
        <v>33</v>
      </c>
      <c r="I908" t="s">
        <v>9302</v>
      </c>
      <c r="J908" t="str">
        <f t="shared" si="14"/>
        <v>13F-HR-5.33.C7</v>
      </c>
      <c r="K908" s="5" t="s">
        <v>8629</v>
      </c>
      <c r="L908" t="s">
        <v>229</v>
      </c>
      <c r="M908" t="s">
        <v>8630</v>
      </c>
      <c r="N908" t="s">
        <v>8631</v>
      </c>
      <c r="Q908" s="28" t="s">
        <v>8685</v>
      </c>
    </row>
    <row r="909" spans="1:17" x14ac:dyDescent="0.35">
      <c r="A909" t="s">
        <v>8520</v>
      </c>
      <c r="B909" s="3" t="s">
        <v>102</v>
      </c>
      <c r="F909">
        <v>5</v>
      </c>
      <c r="G909" t="s">
        <v>8607</v>
      </c>
      <c r="H909">
        <v>34</v>
      </c>
      <c r="I909" t="s">
        <v>9303</v>
      </c>
      <c r="J909" t="str">
        <f t="shared" si="14"/>
        <v>13F-HR-5.34.C8</v>
      </c>
      <c r="K909" s="5" t="s">
        <v>8633</v>
      </c>
      <c r="L909" t="s">
        <v>4735</v>
      </c>
      <c r="M909" t="s">
        <v>8634</v>
      </c>
      <c r="N909" t="s">
        <v>8635</v>
      </c>
      <c r="Q909" s="28" t="s">
        <v>8632</v>
      </c>
    </row>
    <row r="910" spans="1:17" x14ac:dyDescent="0.35">
      <c r="A910" t="s">
        <v>8520</v>
      </c>
      <c r="B910" s="3" t="s">
        <v>102</v>
      </c>
      <c r="F910">
        <v>5</v>
      </c>
      <c r="G910" t="s">
        <v>8607</v>
      </c>
      <c r="H910">
        <v>35</v>
      </c>
      <c r="I910" t="s">
        <v>9304</v>
      </c>
      <c r="J910" t="str">
        <f t="shared" si="14"/>
        <v>13F-HR-5.35.C9</v>
      </c>
      <c r="K910" s="5" t="s">
        <v>8637</v>
      </c>
      <c r="L910" t="s">
        <v>229</v>
      </c>
      <c r="M910" t="s">
        <v>8638</v>
      </c>
      <c r="N910" t="s">
        <v>8639</v>
      </c>
      <c r="Q910" s="28" t="s">
        <v>8636</v>
      </c>
    </row>
    <row r="911" spans="1:17" x14ac:dyDescent="0.35">
      <c r="A911" t="s">
        <v>8520</v>
      </c>
      <c r="B911" s="3" t="s">
        <v>102</v>
      </c>
      <c r="F911">
        <v>5</v>
      </c>
      <c r="G911" t="s">
        <v>8607</v>
      </c>
      <c r="H911">
        <v>36</v>
      </c>
      <c r="I911" t="s">
        <v>9305</v>
      </c>
      <c r="J911" t="str">
        <f t="shared" si="14"/>
        <v>13F-HR-5.36.C10</v>
      </c>
      <c r="K911" s="5" t="s">
        <v>8640</v>
      </c>
      <c r="L911" t="s">
        <v>241</v>
      </c>
      <c r="M911" t="s">
        <v>8641</v>
      </c>
      <c r="N911" t="s">
        <v>8642</v>
      </c>
      <c r="Q911" s="28">
        <v>102962</v>
      </c>
    </row>
    <row r="912" spans="1:17" x14ac:dyDescent="0.35">
      <c r="A912" t="s">
        <v>8520</v>
      </c>
      <c r="B912" s="3" t="s">
        <v>102</v>
      </c>
      <c r="F912">
        <v>5</v>
      </c>
      <c r="G912" t="s">
        <v>8607</v>
      </c>
      <c r="H912">
        <v>37</v>
      </c>
      <c r="I912" t="s">
        <v>9306</v>
      </c>
      <c r="J912" t="str">
        <f t="shared" si="14"/>
        <v>13F-HR-5.37.C11</v>
      </c>
      <c r="K912" s="5" t="s">
        <v>8643</v>
      </c>
      <c r="L912" t="s">
        <v>241</v>
      </c>
      <c r="M912" t="s">
        <v>8644</v>
      </c>
      <c r="N912" t="s">
        <v>8645</v>
      </c>
      <c r="Q912" s="28">
        <v>0</v>
      </c>
    </row>
    <row r="913" spans="1:17" x14ac:dyDescent="0.35">
      <c r="A913" t="s">
        <v>8520</v>
      </c>
      <c r="B913" s="3" t="s">
        <v>102</v>
      </c>
      <c r="F913">
        <v>5</v>
      </c>
      <c r="G913" t="s">
        <v>8607</v>
      </c>
      <c r="H913">
        <v>38</v>
      </c>
      <c r="I913" t="s">
        <v>9307</v>
      </c>
      <c r="J913" t="str">
        <f t="shared" si="14"/>
        <v>13F-HR-5.38.C12</v>
      </c>
      <c r="K913" s="5" t="s">
        <v>8646</v>
      </c>
      <c r="L913" t="s">
        <v>241</v>
      </c>
      <c r="M913" t="s">
        <v>8647</v>
      </c>
      <c r="N913" t="s">
        <v>8648</v>
      </c>
      <c r="Q913" s="28">
        <v>2921</v>
      </c>
    </row>
    <row r="914" spans="1:17" x14ac:dyDescent="0.35">
      <c r="A914" t="s">
        <v>8520</v>
      </c>
      <c r="B914" s="3" t="s">
        <v>102</v>
      </c>
      <c r="F914">
        <v>5</v>
      </c>
      <c r="G914" t="s">
        <v>8607</v>
      </c>
      <c r="H914">
        <v>27</v>
      </c>
      <c r="I914" t="s">
        <v>9296</v>
      </c>
      <c r="J914" t="str">
        <f t="shared" si="14"/>
        <v>13F-HR-5.27.C1</v>
      </c>
      <c r="K914" s="5" t="s">
        <v>8608</v>
      </c>
      <c r="L914" t="s">
        <v>229</v>
      </c>
      <c r="M914" t="s">
        <v>8609</v>
      </c>
      <c r="N914" t="s">
        <v>8610</v>
      </c>
      <c r="Q914" s="28" t="s">
        <v>8773</v>
      </c>
    </row>
    <row r="915" spans="1:17" x14ac:dyDescent="0.35">
      <c r="A915" t="s">
        <v>8520</v>
      </c>
      <c r="B915" s="3" t="s">
        <v>102</v>
      </c>
      <c r="F915">
        <v>5</v>
      </c>
      <c r="G915" t="s">
        <v>8607</v>
      </c>
      <c r="H915">
        <v>28</v>
      </c>
      <c r="I915" t="s">
        <v>9297</v>
      </c>
      <c r="J915" t="str">
        <f t="shared" si="14"/>
        <v>13F-HR-5.28.C2</v>
      </c>
      <c r="K915" s="5" t="s">
        <v>8612</v>
      </c>
      <c r="L915" t="s">
        <v>229</v>
      </c>
      <c r="M915" t="s">
        <v>8613</v>
      </c>
      <c r="N915" t="s">
        <v>8614</v>
      </c>
      <c r="Q915" s="28" t="s">
        <v>8615</v>
      </c>
    </row>
    <row r="916" spans="1:17" x14ac:dyDescent="0.35">
      <c r="A916" t="s">
        <v>8520</v>
      </c>
      <c r="B916" s="3" t="s">
        <v>102</v>
      </c>
      <c r="F916">
        <v>5</v>
      </c>
      <c r="G916" t="s">
        <v>8607</v>
      </c>
      <c r="H916">
        <v>29</v>
      </c>
      <c r="I916" t="s">
        <v>9298</v>
      </c>
      <c r="J916" t="str">
        <f t="shared" si="14"/>
        <v>13F-HR-5.29.C3</v>
      </c>
      <c r="K916" s="5" t="s">
        <v>8616</v>
      </c>
      <c r="L916" t="s">
        <v>229</v>
      </c>
      <c r="M916" t="s">
        <v>7927</v>
      </c>
      <c r="N916" t="s">
        <v>8617</v>
      </c>
      <c r="Q916" s="28">
        <v>191216100</v>
      </c>
    </row>
    <row r="917" spans="1:17" x14ac:dyDescent="0.35">
      <c r="A917" t="s">
        <v>8520</v>
      </c>
      <c r="B917" s="3" t="s">
        <v>102</v>
      </c>
      <c r="F917">
        <v>5</v>
      </c>
      <c r="G917" t="s">
        <v>8607</v>
      </c>
      <c r="H917">
        <v>30</v>
      </c>
      <c r="I917" t="s">
        <v>9299</v>
      </c>
      <c r="J917" t="str">
        <f t="shared" si="14"/>
        <v>13F-HR-5.30.C4</v>
      </c>
      <c r="K917" s="5" t="s">
        <v>8618</v>
      </c>
      <c r="L917" t="s">
        <v>8619</v>
      </c>
      <c r="M917" t="s">
        <v>8620</v>
      </c>
      <c r="N917" t="s">
        <v>8621</v>
      </c>
      <c r="Q917" s="28">
        <v>18979801</v>
      </c>
    </row>
    <row r="918" spans="1:17" x14ac:dyDescent="0.35">
      <c r="A918" t="s">
        <v>8520</v>
      </c>
      <c r="B918" s="3" t="s">
        <v>102</v>
      </c>
      <c r="F918">
        <v>5</v>
      </c>
      <c r="G918" t="s">
        <v>8607</v>
      </c>
      <c r="H918">
        <v>31</v>
      </c>
      <c r="I918" t="s">
        <v>9300</v>
      </c>
      <c r="J918" t="str">
        <f t="shared" si="14"/>
        <v>13F-HR-5.31.C5</v>
      </c>
      <c r="K918" s="5" t="s">
        <v>8622</v>
      </c>
      <c r="L918" t="s">
        <v>241</v>
      </c>
      <c r="M918" t="s">
        <v>8623</v>
      </c>
      <c r="N918" t="s">
        <v>8624</v>
      </c>
      <c r="Q918" s="28">
        <v>265007</v>
      </c>
    </row>
    <row r="919" spans="1:17" x14ac:dyDescent="0.35">
      <c r="A919" t="s">
        <v>8520</v>
      </c>
      <c r="B919" s="3" t="s">
        <v>102</v>
      </c>
      <c r="F919">
        <v>5</v>
      </c>
      <c r="G919" t="s">
        <v>8607</v>
      </c>
      <c r="H919">
        <v>32</v>
      </c>
      <c r="I919" t="s">
        <v>9301</v>
      </c>
      <c r="J919" t="str">
        <f t="shared" si="14"/>
        <v>13F-HR-5.32.C6</v>
      </c>
      <c r="K919" s="5" t="s">
        <v>8625</v>
      </c>
      <c r="L919" t="s">
        <v>229</v>
      </c>
      <c r="M919" t="s">
        <v>8626</v>
      </c>
      <c r="N919" t="s">
        <v>8627</v>
      </c>
      <c r="Q919" s="28" t="s">
        <v>8628</v>
      </c>
    </row>
    <row r="920" spans="1:17" x14ac:dyDescent="0.35">
      <c r="A920" t="s">
        <v>8520</v>
      </c>
      <c r="B920" s="3" t="s">
        <v>102</v>
      </c>
      <c r="F920">
        <v>5</v>
      </c>
      <c r="G920" t="s">
        <v>8607</v>
      </c>
      <c r="H920">
        <v>33</v>
      </c>
      <c r="I920" t="s">
        <v>9302</v>
      </c>
      <c r="J920" t="str">
        <f t="shared" si="14"/>
        <v>13F-HR-5.33.C7</v>
      </c>
      <c r="K920" s="5" t="s">
        <v>8629</v>
      </c>
      <c r="L920" t="s">
        <v>229</v>
      </c>
      <c r="M920" t="s">
        <v>8630</v>
      </c>
      <c r="N920" t="s">
        <v>8631</v>
      </c>
      <c r="Q920" s="28" t="s">
        <v>8685</v>
      </c>
    </row>
    <row r="921" spans="1:17" x14ac:dyDescent="0.35">
      <c r="A921" t="s">
        <v>8520</v>
      </c>
      <c r="B921" s="3" t="s">
        <v>102</v>
      </c>
      <c r="F921">
        <v>5</v>
      </c>
      <c r="G921" t="s">
        <v>8607</v>
      </c>
      <c r="H921">
        <v>34</v>
      </c>
      <c r="I921" t="s">
        <v>9303</v>
      </c>
      <c r="J921" t="str">
        <f t="shared" si="14"/>
        <v>13F-HR-5.34.C8</v>
      </c>
      <c r="K921" s="5" t="s">
        <v>8633</v>
      </c>
      <c r="L921" t="s">
        <v>4735</v>
      </c>
      <c r="M921" t="s">
        <v>8634</v>
      </c>
      <c r="N921" t="s">
        <v>8635</v>
      </c>
      <c r="Q921" s="28" t="s">
        <v>8632</v>
      </c>
    </row>
    <row r="922" spans="1:17" x14ac:dyDescent="0.35">
      <c r="A922" t="s">
        <v>8520</v>
      </c>
      <c r="B922" s="3" t="s">
        <v>102</v>
      </c>
      <c r="F922">
        <v>5</v>
      </c>
      <c r="G922" t="s">
        <v>8607</v>
      </c>
      <c r="H922">
        <v>35</v>
      </c>
      <c r="I922" t="s">
        <v>9304</v>
      </c>
      <c r="J922" t="str">
        <f t="shared" si="14"/>
        <v>13F-HR-5.35.C9</v>
      </c>
      <c r="K922" s="5" t="s">
        <v>8637</v>
      </c>
      <c r="L922" t="s">
        <v>229</v>
      </c>
      <c r="M922" t="s">
        <v>8638</v>
      </c>
      <c r="N922" t="s">
        <v>8639</v>
      </c>
      <c r="Q922" s="28" t="s">
        <v>8636</v>
      </c>
    </row>
    <row r="923" spans="1:17" x14ac:dyDescent="0.35">
      <c r="A923" t="s">
        <v>8520</v>
      </c>
      <c r="B923" s="3" t="s">
        <v>102</v>
      </c>
      <c r="F923">
        <v>5</v>
      </c>
      <c r="G923" t="s">
        <v>8607</v>
      </c>
      <c r="H923">
        <v>36</v>
      </c>
      <c r="I923" t="s">
        <v>9305</v>
      </c>
      <c r="J923" t="str">
        <f t="shared" si="14"/>
        <v>13F-HR-5.36.C10</v>
      </c>
      <c r="K923" s="5" t="s">
        <v>8640</v>
      </c>
      <c r="L923" t="s">
        <v>241</v>
      </c>
      <c r="M923" t="s">
        <v>8641</v>
      </c>
      <c r="N923" t="s">
        <v>8642</v>
      </c>
      <c r="Q923" s="28">
        <v>98089</v>
      </c>
    </row>
    <row r="924" spans="1:17" x14ac:dyDescent="0.35">
      <c r="A924" t="s">
        <v>8520</v>
      </c>
      <c r="B924" s="3" t="s">
        <v>102</v>
      </c>
      <c r="F924">
        <v>5</v>
      </c>
      <c r="G924" t="s">
        <v>8607</v>
      </c>
      <c r="H924">
        <v>37</v>
      </c>
      <c r="I924" t="s">
        <v>9306</v>
      </c>
      <c r="J924" t="str">
        <f t="shared" si="14"/>
        <v>13F-HR-5.37.C11</v>
      </c>
      <c r="K924" s="5" t="s">
        <v>8643</v>
      </c>
      <c r="L924" t="s">
        <v>241</v>
      </c>
      <c r="M924" t="s">
        <v>8644</v>
      </c>
      <c r="N924" t="s">
        <v>8645</v>
      </c>
      <c r="Q924" s="28">
        <v>0</v>
      </c>
    </row>
    <row r="925" spans="1:17" x14ac:dyDescent="0.35">
      <c r="A925" t="s">
        <v>8520</v>
      </c>
      <c r="B925" s="3" t="s">
        <v>102</v>
      </c>
      <c r="F925">
        <v>5</v>
      </c>
      <c r="G925" t="s">
        <v>8607</v>
      </c>
      <c r="H925">
        <v>38</v>
      </c>
      <c r="I925" t="s">
        <v>9307</v>
      </c>
      <c r="J925" t="str">
        <f t="shared" si="14"/>
        <v>13F-HR-5.38.C12</v>
      </c>
      <c r="K925" s="5" t="s">
        <v>8646</v>
      </c>
      <c r="L925" t="s">
        <v>241</v>
      </c>
      <c r="M925" t="s">
        <v>8647</v>
      </c>
      <c r="N925" t="s">
        <v>8648</v>
      </c>
      <c r="Q925" s="28">
        <v>166918</v>
      </c>
    </row>
    <row r="926" spans="1:17" x14ac:dyDescent="0.35">
      <c r="A926" t="s">
        <v>8520</v>
      </c>
      <c r="B926" s="3" t="s">
        <v>102</v>
      </c>
      <c r="F926">
        <v>5</v>
      </c>
      <c r="G926" t="s">
        <v>8607</v>
      </c>
      <c r="H926">
        <v>27</v>
      </c>
      <c r="I926" t="s">
        <v>9296</v>
      </c>
      <c r="J926" t="str">
        <f t="shared" si="14"/>
        <v>13F-HR-5.27.C1</v>
      </c>
      <c r="K926" s="5" t="s">
        <v>8608</v>
      </c>
      <c r="L926" t="s">
        <v>229</v>
      </c>
      <c r="M926" t="s">
        <v>8609</v>
      </c>
      <c r="N926" t="s">
        <v>8610</v>
      </c>
      <c r="Q926" s="28" t="s">
        <v>8774</v>
      </c>
    </row>
    <row r="927" spans="1:17" x14ac:dyDescent="0.35">
      <c r="A927" t="s">
        <v>8520</v>
      </c>
      <c r="B927" s="3" t="s">
        <v>102</v>
      </c>
      <c r="F927">
        <v>5</v>
      </c>
      <c r="G927" t="s">
        <v>8607</v>
      </c>
      <c r="H927">
        <v>28</v>
      </c>
      <c r="I927" t="s">
        <v>9297</v>
      </c>
      <c r="J927" t="str">
        <f t="shared" si="14"/>
        <v>13F-HR-5.28.C2</v>
      </c>
      <c r="K927" s="5" t="s">
        <v>8612</v>
      </c>
      <c r="L927" t="s">
        <v>229</v>
      </c>
      <c r="M927" t="s">
        <v>8613</v>
      </c>
      <c r="N927" t="s">
        <v>8614</v>
      </c>
      <c r="Q927" s="28" t="s">
        <v>8706</v>
      </c>
    </row>
    <row r="928" spans="1:17" x14ac:dyDescent="0.35">
      <c r="A928" t="s">
        <v>8520</v>
      </c>
      <c r="B928" s="3" t="s">
        <v>102</v>
      </c>
      <c r="F928">
        <v>5</v>
      </c>
      <c r="G928" t="s">
        <v>8607</v>
      </c>
      <c r="H928">
        <v>29</v>
      </c>
      <c r="I928" t="s">
        <v>9298</v>
      </c>
      <c r="J928" t="str">
        <f t="shared" si="14"/>
        <v>13F-HR-5.29.C3</v>
      </c>
      <c r="K928" s="5" t="s">
        <v>8616</v>
      </c>
      <c r="L928" t="s">
        <v>229</v>
      </c>
      <c r="M928" t="s">
        <v>7927</v>
      </c>
      <c r="N928" t="s">
        <v>8617</v>
      </c>
      <c r="Q928" s="28" t="s">
        <v>8775</v>
      </c>
    </row>
    <row r="929" spans="1:17" x14ac:dyDescent="0.35">
      <c r="A929" t="s">
        <v>8520</v>
      </c>
      <c r="B929" s="3" t="s">
        <v>102</v>
      </c>
      <c r="F929">
        <v>5</v>
      </c>
      <c r="G929" t="s">
        <v>8607</v>
      </c>
      <c r="H929">
        <v>30</v>
      </c>
      <c r="I929" t="s">
        <v>9299</v>
      </c>
      <c r="J929" t="str">
        <f t="shared" si="14"/>
        <v>13F-HR-5.30.C4</v>
      </c>
      <c r="K929" s="5" t="s">
        <v>8618</v>
      </c>
      <c r="L929" t="s">
        <v>8619</v>
      </c>
      <c r="M929" t="s">
        <v>8620</v>
      </c>
      <c r="N929" t="s">
        <v>8621</v>
      </c>
      <c r="Q929" s="28">
        <v>35802779</v>
      </c>
    </row>
    <row r="930" spans="1:17" x14ac:dyDescent="0.35">
      <c r="A930" t="s">
        <v>8520</v>
      </c>
      <c r="B930" s="3" t="s">
        <v>102</v>
      </c>
      <c r="F930">
        <v>5</v>
      </c>
      <c r="G930" t="s">
        <v>8607</v>
      </c>
      <c r="H930">
        <v>31</v>
      </c>
      <c r="I930" t="s">
        <v>9300</v>
      </c>
      <c r="J930" t="str">
        <f t="shared" si="14"/>
        <v>13F-HR-5.31.C5</v>
      </c>
      <c r="K930" s="5" t="s">
        <v>8622</v>
      </c>
      <c r="L930" t="s">
        <v>241</v>
      </c>
      <c r="M930" t="s">
        <v>8623</v>
      </c>
      <c r="N930" t="s">
        <v>8624</v>
      </c>
      <c r="Q930" s="28">
        <v>970265</v>
      </c>
    </row>
    <row r="931" spans="1:17" x14ac:dyDescent="0.35">
      <c r="A931" t="s">
        <v>8520</v>
      </c>
      <c r="B931" s="3" t="s">
        <v>102</v>
      </c>
      <c r="F931">
        <v>5</v>
      </c>
      <c r="G931" t="s">
        <v>8607</v>
      </c>
      <c r="H931">
        <v>32</v>
      </c>
      <c r="I931" t="s">
        <v>9301</v>
      </c>
      <c r="J931" t="str">
        <f t="shared" si="14"/>
        <v>13F-HR-5.32.C6</v>
      </c>
      <c r="K931" s="5" t="s">
        <v>8625</v>
      </c>
      <c r="L931" t="s">
        <v>229</v>
      </c>
      <c r="M931" t="s">
        <v>8626</v>
      </c>
      <c r="N931" t="s">
        <v>8627</v>
      </c>
      <c r="Q931" s="28" t="s">
        <v>8628</v>
      </c>
    </row>
    <row r="932" spans="1:17" x14ac:dyDescent="0.35">
      <c r="A932" t="s">
        <v>8520</v>
      </c>
      <c r="B932" s="3" t="s">
        <v>102</v>
      </c>
      <c r="F932">
        <v>5</v>
      </c>
      <c r="G932" t="s">
        <v>8607</v>
      </c>
      <c r="H932">
        <v>33</v>
      </c>
      <c r="I932" t="s">
        <v>9302</v>
      </c>
      <c r="J932" t="str">
        <f t="shared" si="14"/>
        <v>13F-HR-5.33.C7</v>
      </c>
      <c r="K932" s="5" t="s">
        <v>8629</v>
      </c>
      <c r="L932" t="s">
        <v>229</v>
      </c>
      <c r="M932" t="s">
        <v>8630</v>
      </c>
      <c r="N932" t="s">
        <v>8631</v>
      </c>
      <c r="Q932" s="28" t="s">
        <v>8685</v>
      </c>
    </row>
    <row r="933" spans="1:17" x14ac:dyDescent="0.35">
      <c r="A933" t="s">
        <v>8520</v>
      </c>
      <c r="B933" s="3" t="s">
        <v>102</v>
      </c>
      <c r="F933">
        <v>5</v>
      </c>
      <c r="G933" t="s">
        <v>8607</v>
      </c>
      <c r="H933">
        <v>34</v>
      </c>
      <c r="I933" t="s">
        <v>9303</v>
      </c>
      <c r="J933" t="str">
        <f t="shared" si="14"/>
        <v>13F-HR-5.34.C8</v>
      </c>
      <c r="K933" s="5" t="s">
        <v>8633</v>
      </c>
      <c r="L933" t="s">
        <v>4735</v>
      </c>
      <c r="M933" t="s">
        <v>8634</v>
      </c>
      <c r="N933" t="s">
        <v>8635</v>
      </c>
      <c r="Q933" s="28" t="s">
        <v>8632</v>
      </c>
    </row>
    <row r="934" spans="1:17" x14ac:dyDescent="0.35">
      <c r="A934" t="s">
        <v>8520</v>
      </c>
      <c r="B934" s="3" t="s">
        <v>102</v>
      </c>
      <c r="F934">
        <v>5</v>
      </c>
      <c r="G934" t="s">
        <v>8607</v>
      </c>
      <c r="H934">
        <v>35</v>
      </c>
      <c r="I934" t="s">
        <v>9304</v>
      </c>
      <c r="J934" t="str">
        <f t="shared" si="14"/>
        <v>13F-HR-5.35.C9</v>
      </c>
      <c r="K934" s="5" t="s">
        <v>8637</v>
      </c>
      <c r="L934" t="s">
        <v>229</v>
      </c>
      <c r="M934" t="s">
        <v>8638</v>
      </c>
      <c r="N934" t="s">
        <v>8639</v>
      </c>
      <c r="Q934" s="28" t="s">
        <v>8636</v>
      </c>
    </row>
    <row r="935" spans="1:17" x14ac:dyDescent="0.35">
      <c r="A935" t="s">
        <v>8520</v>
      </c>
      <c r="B935" s="3" t="s">
        <v>102</v>
      </c>
      <c r="F935">
        <v>5</v>
      </c>
      <c r="G935" t="s">
        <v>8607</v>
      </c>
      <c r="H935">
        <v>36</v>
      </c>
      <c r="I935" t="s">
        <v>9305</v>
      </c>
      <c r="J935" t="str">
        <f t="shared" si="14"/>
        <v>13F-HR-5.36.C10</v>
      </c>
      <c r="K935" s="5" t="s">
        <v>8640</v>
      </c>
      <c r="L935" t="s">
        <v>241</v>
      </c>
      <c r="M935" t="s">
        <v>8641</v>
      </c>
      <c r="N935" t="s">
        <v>8642</v>
      </c>
      <c r="Q935" s="28">
        <v>140361</v>
      </c>
    </row>
    <row r="936" spans="1:17" x14ac:dyDescent="0.35">
      <c r="A936" t="s">
        <v>8520</v>
      </c>
      <c r="B936" s="3" t="s">
        <v>102</v>
      </c>
      <c r="F936">
        <v>5</v>
      </c>
      <c r="G936" t="s">
        <v>8607</v>
      </c>
      <c r="H936">
        <v>37</v>
      </c>
      <c r="I936" t="s">
        <v>9306</v>
      </c>
      <c r="J936" t="str">
        <f t="shared" si="14"/>
        <v>13F-HR-5.37.C11</v>
      </c>
      <c r="K936" s="5" t="s">
        <v>8643</v>
      </c>
      <c r="L936" t="s">
        <v>241</v>
      </c>
      <c r="M936" t="s">
        <v>8644</v>
      </c>
      <c r="N936" t="s">
        <v>8645</v>
      </c>
      <c r="Q936" s="28">
        <v>0</v>
      </c>
    </row>
    <row r="937" spans="1:17" x14ac:dyDescent="0.35">
      <c r="A937" t="s">
        <v>8520</v>
      </c>
      <c r="B937" s="3" t="s">
        <v>102</v>
      </c>
      <c r="F937">
        <v>5</v>
      </c>
      <c r="G937" t="s">
        <v>8607</v>
      </c>
      <c r="H937">
        <v>38</v>
      </c>
      <c r="I937" t="s">
        <v>9307</v>
      </c>
      <c r="J937" t="str">
        <f t="shared" si="14"/>
        <v>13F-HR-5.38.C12</v>
      </c>
      <c r="K937" s="5" t="s">
        <v>8646</v>
      </c>
      <c r="L937" t="s">
        <v>241</v>
      </c>
      <c r="M937" t="s">
        <v>8647</v>
      </c>
      <c r="N937" t="s">
        <v>8648</v>
      </c>
      <c r="Q937" s="28">
        <v>829904</v>
      </c>
    </row>
    <row r="938" spans="1:17" x14ac:dyDescent="0.35">
      <c r="A938" t="s">
        <v>8520</v>
      </c>
      <c r="B938" s="3" t="s">
        <v>102</v>
      </c>
      <c r="F938">
        <v>5</v>
      </c>
      <c r="G938" t="s">
        <v>8607</v>
      </c>
      <c r="H938">
        <v>27</v>
      </c>
      <c r="I938" t="s">
        <v>9296</v>
      </c>
      <c r="J938" t="str">
        <f t="shared" si="14"/>
        <v>13F-HR-5.27.C1</v>
      </c>
      <c r="K938" s="5" t="s">
        <v>8608</v>
      </c>
      <c r="L938" t="s">
        <v>229</v>
      </c>
      <c r="M938" t="s">
        <v>8609</v>
      </c>
      <c r="N938" t="s">
        <v>8610</v>
      </c>
      <c r="Q938" s="28" t="s">
        <v>8776</v>
      </c>
    </row>
    <row r="939" spans="1:17" x14ac:dyDescent="0.35">
      <c r="A939" t="s">
        <v>8520</v>
      </c>
      <c r="B939" s="3" t="s">
        <v>102</v>
      </c>
      <c r="F939">
        <v>5</v>
      </c>
      <c r="G939" t="s">
        <v>8607</v>
      </c>
      <c r="H939">
        <v>28</v>
      </c>
      <c r="I939" t="s">
        <v>9297</v>
      </c>
      <c r="J939" t="str">
        <f t="shared" si="14"/>
        <v>13F-HR-5.28.C2</v>
      </c>
      <c r="K939" s="5" t="s">
        <v>8612</v>
      </c>
      <c r="L939" t="s">
        <v>229</v>
      </c>
      <c r="M939" t="s">
        <v>8613</v>
      </c>
      <c r="N939" t="s">
        <v>8614</v>
      </c>
      <c r="Q939" s="28" t="s">
        <v>8615</v>
      </c>
    </row>
    <row r="940" spans="1:17" x14ac:dyDescent="0.35">
      <c r="A940" t="s">
        <v>8520</v>
      </c>
      <c r="B940" s="3" t="s">
        <v>102</v>
      </c>
      <c r="F940">
        <v>5</v>
      </c>
      <c r="G940" t="s">
        <v>8607</v>
      </c>
      <c r="H940">
        <v>29</v>
      </c>
      <c r="I940" t="s">
        <v>9298</v>
      </c>
      <c r="J940" t="str">
        <f t="shared" si="14"/>
        <v>13F-HR-5.29.C3</v>
      </c>
      <c r="K940" s="5" t="s">
        <v>8616</v>
      </c>
      <c r="L940" t="s">
        <v>229</v>
      </c>
      <c r="M940" t="s">
        <v>7927</v>
      </c>
      <c r="N940" t="s">
        <v>8617</v>
      </c>
      <c r="Q940" s="28" t="s">
        <v>8777</v>
      </c>
    </row>
    <row r="941" spans="1:17" x14ac:dyDescent="0.35">
      <c r="A941" t="s">
        <v>8520</v>
      </c>
      <c r="B941" s="3" t="s">
        <v>102</v>
      </c>
      <c r="F941">
        <v>5</v>
      </c>
      <c r="G941" t="s">
        <v>8607</v>
      </c>
      <c r="H941">
        <v>30</v>
      </c>
      <c r="I941" t="s">
        <v>9299</v>
      </c>
      <c r="J941" t="str">
        <f t="shared" si="14"/>
        <v>13F-HR-5.30.C4</v>
      </c>
      <c r="K941" s="5" t="s">
        <v>8618</v>
      </c>
      <c r="L941" t="s">
        <v>8619</v>
      </c>
      <c r="M941" t="s">
        <v>8620</v>
      </c>
      <c r="N941" t="s">
        <v>8621</v>
      </c>
      <c r="Q941" s="28">
        <v>43866119</v>
      </c>
    </row>
    <row r="942" spans="1:17" x14ac:dyDescent="0.35">
      <c r="A942" t="s">
        <v>8520</v>
      </c>
      <c r="B942" s="3" t="s">
        <v>102</v>
      </c>
      <c r="F942">
        <v>5</v>
      </c>
      <c r="G942" t="s">
        <v>8607</v>
      </c>
      <c r="H942">
        <v>31</v>
      </c>
      <c r="I942" t="s">
        <v>9300</v>
      </c>
      <c r="J942" t="str">
        <f t="shared" si="14"/>
        <v>13F-HR-5.31.C5</v>
      </c>
      <c r="K942" s="5" t="s">
        <v>8622</v>
      </c>
      <c r="L942" t="s">
        <v>241</v>
      </c>
      <c r="M942" t="s">
        <v>8623</v>
      </c>
      <c r="N942" t="s">
        <v>8624</v>
      </c>
      <c r="Q942" s="28">
        <v>417693</v>
      </c>
    </row>
    <row r="943" spans="1:17" x14ac:dyDescent="0.35">
      <c r="A943" t="s">
        <v>8520</v>
      </c>
      <c r="B943" s="3" t="s">
        <v>102</v>
      </c>
      <c r="F943">
        <v>5</v>
      </c>
      <c r="G943" t="s">
        <v>8607</v>
      </c>
      <c r="H943">
        <v>32</v>
      </c>
      <c r="I943" t="s">
        <v>9301</v>
      </c>
      <c r="J943" t="str">
        <f t="shared" si="14"/>
        <v>13F-HR-5.32.C6</v>
      </c>
      <c r="K943" s="5" t="s">
        <v>8625</v>
      </c>
      <c r="L943" t="s">
        <v>229</v>
      </c>
      <c r="M943" t="s">
        <v>8626</v>
      </c>
      <c r="N943" t="s">
        <v>8627</v>
      </c>
      <c r="Q943" s="28" t="s">
        <v>8628</v>
      </c>
    </row>
    <row r="944" spans="1:17" x14ac:dyDescent="0.35">
      <c r="A944" t="s">
        <v>8520</v>
      </c>
      <c r="B944" s="3" t="s">
        <v>102</v>
      </c>
      <c r="F944">
        <v>5</v>
      </c>
      <c r="G944" t="s">
        <v>8607</v>
      </c>
      <c r="H944">
        <v>33</v>
      </c>
      <c r="I944" t="s">
        <v>9302</v>
      </c>
      <c r="J944" t="str">
        <f t="shared" si="14"/>
        <v>13F-HR-5.33.C7</v>
      </c>
      <c r="K944" s="5" t="s">
        <v>8629</v>
      </c>
      <c r="L944" t="s">
        <v>229</v>
      </c>
      <c r="M944" t="s">
        <v>8630</v>
      </c>
      <c r="N944" t="s">
        <v>8631</v>
      </c>
      <c r="Q944" s="28" t="s">
        <v>8685</v>
      </c>
    </row>
    <row r="945" spans="1:17" x14ac:dyDescent="0.35">
      <c r="A945" t="s">
        <v>8520</v>
      </c>
      <c r="B945" s="3" t="s">
        <v>102</v>
      </c>
      <c r="F945">
        <v>5</v>
      </c>
      <c r="G945" t="s">
        <v>8607</v>
      </c>
      <c r="H945">
        <v>34</v>
      </c>
      <c r="I945" t="s">
        <v>9303</v>
      </c>
      <c r="J945" t="str">
        <f t="shared" si="14"/>
        <v>13F-HR-5.34.C8</v>
      </c>
      <c r="K945" s="5" t="s">
        <v>8633</v>
      </c>
      <c r="L945" t="s">
        <v>4735</v>
      </c>
      <c r="M945" t="s">
        <v>8634</v>
      </c>
      <c r="N945" t="s">
        <v>8635</v>
      </c>
      <c r="Q945" s="28" t="s">
        <v>8632</v>
      </c>
    </row>
    <row r="946" spans="1:17" x14ac:dyDescent="0.35">
      <c r="A946" t="s">
        <v>8520</v>
      </c>
      <c r="B946" s="3" t="s">
        <v>102</v>
      </c>
      <c r="F946">
        <v>5</v>
      </c>
      <c r="G946" t="s">
        <v>8607</v>
      </c>
      <c r="H946">
        <v>35</v>
      </c>
      <c r="I946" t="s">
        <v>9304</v>
      </c>
      <c r="J946" t="str">
        <f t="shared" si="14"/>
        <v>13F-HR-5.35.C9</v>
      </c>
      <c r="K946" s="5" t="s">
        <v>8637</v>
      </c>
      <c r="L946" t="s">
        <v>229</v>
      </c>
      <c r="M946" t="s">
        <v>8638</v>
      </c>
      <c r="N946" t="s">
        <v>8639</v>
      </c>
      <c r="Q946" s="28" t="s">
        <v>8636</v>
      </c>
    </row>
    <row r="947" spans="1:17" x14ac:dyDescent="0.35">
      <c r="A947" t="s">
        <v>8520</v>
      </c>
      <c r="B947" s="3" t="s">
        <v>102</v>
      </c>
      <c r="F947">
        <v>5</v>
      </c>
      <c r="G947" t="s">
        <v>8607</v>
      </c>
      <c r="H947">
        <v>36</v>
      </c>
      <c r="I947" t="s">
        <v>9305</v>
      </c>
      <c r="J947" t="str">
        <f t="shared" si="14"/>
        <v>13F-HR-5.36.C10</v>
      </c>
      <c r="K947" s="5" t="s">
        <v>8640</v>
      </c>
      <c r="L947" t="s">
        <v>241</v>
      </c>
      <c r="M947" t="s">
        <v>8641</v>
      </c>
      <c r="N947" t="s">
        <v>8642</v>
      </c>
      <c r="Q947" s="28">
        <v>282781</v>
      </c>
    </row>
    <row r="948" spans="1:17" x14ac:dyDescent="0.35">
      <c r="A948" t="s">
        <v>8520</v>
      </c>
      <c r="B948" s="3" t="s">
        <v>102</v>
      </c>
      <c r="F948">
        <v>5</v>
      </c>
      <c r="G948" t="s">
        <v>8607</v>
      </c>
      <c r="H948">
        <v>37</v>
      </c>
      <c r="I948" t="s">
        <v>9306</v>
      </c>
      <c r="J948" t="str">
        <f t="shared" si="14"/>
        <v>13F-HR-5.37.C11</v>
      </c>
      <c r="K948" s="5" t="s">
        <v>8643</v>
      </c>
      <c r="L948" t="s">
        <v>241</v>
      </c>
      <c r="M948" t="s">
        <v>8644</v>
      </c>
      <c r="N948" t="s">
        <v>8645</v>
      </c>
      <c r="Q948" s="28">
        <v>0</v>
      </c>
    </row>
    <row r="949" spans="1:17" x14ac:dyDescent="0.35">
      <c r="A949" t="s">
        <v>8520</v>
      </c>
      <c r="B949" s="3" t="s">
        <v>102</v>
      </c>
      <c r="F949">
        <v>5</v>
      </c>
      <c r="G949" t="s">
        <v>8607</v>
      </c>
      <c r="H949">
        <v>38</v>
      </c>
      <c r="I949" t="s">
        <v>9307</v>
      </c>
      <c r="J949" t="str">
        <f t="shared" si="14"/>
        <v>13F-HR-5.38.C12</v>
      </c>
      <c r="K949" s="5" t="s">
        <v>8646</v>
      </c>
      <c r="L949" t="s">
        <v>241</v>
      </c>
      <c r="M949" t="s">
        <v>8647</v>
      </c>
      <c r="N949" t="s">
        <v>8648</v>
      </c>
      <c r="Q949" s="28">
        <v>134912</v>
      </c>
    </row>
    <row r="950" spans="1:17" x14ac:dyDescent="0.35">
      <c r="A950" t="s">
        <v>8520</v>
      </c>
      <c r="B950" s="3" t="s">
        <v>102</v>
      </c>
      <c r="F950">
        <v>5</v>
      </c>
      <c r="G950" t="s">
        <v>8607</v>
      </c>
      <c r="H950">
        <v>27</v>
      </c>
      <c r="I950" t="s">
        <v>9296</v>
      </c>
      <c r="J950" t="str">
        <f t="shared" si="14"/>
        <v>13F-HR-5.27.C1</v>
      </c>
      <c r="K950" s="5" t="s">
        <v>8608</v>
      </c>
      <c r="L950" t="s">
        <v>229</v>
      </c>
      <c r="M950" t="s">
        <v>8609</v>
      </c>
      <c r="N950" t="s">
        <v>8610</v>
      </c>
      <c r="Q950" s="28" t="s">
        <v>8778</v>
      </c>
    </row>
    <row r="951" spans="1:17" x14ac:dyDescent="0.35">
      <c r="A951" t="s">
        <v>8520</v>
      </c>
      <c r="B951" s="3" t="s">
        <v>102</v>
      </c>
      <c r="F951">
        <v>5</v>
      </c>
      <c r="G951" t="s">
        <v>8607</v>
      </c>
      <c r="H951">
        <v>28</v>
      </c>
      <c r="I951" t="s">
        <v>9297</v>
      </c>
      <c r="J951" t="str">
        <f t="shared" si="14"/>
        <v>13F-HR-5.28.C2</v>
      </c>
      <c r="K951" s="5" t="s">
        <v>8612</v>
      </c>
      <c r="L951" t="s">
        <v>229</v>
      </c>
      <c r="M951" t="s">
        <v>8613</v>
      </c>
      <c r="N951" t="s">
        <v>8614</v>
      </c>
      <c r="Q951" s="28" t="s">
        <v>8706</v>
      </c>
    </row>
    <row r="952" spans="1:17" x14ac:dyDescent="0.35">
      <c r="A952" t="s">
        <v>8520</v>
      </c>
      <c r="B952" s="3" t="s">
        <v>102</v>
      </c>
      <c r="F952">
        <v>5</v>
      </c>
      <c r="G952" t="s">
        <v>8607</v>
      </c>
      <c r="H952">
        <v>29</v>
      </c>
      <c r="I952" t="s">
        <v>9298</v>
      </c>
      <c r="J952" t="str">
        <f t="shared" si="14"/>
        <v>13F-HR-5.29.C3</v>
      </c>
      <c r="K952" s="5" t="s">
        <v>8616</v>
      </c>
      <c r="L952" t="s">
        <v>229</v>
      </c>
      <c r="M952" t="s">
        <v>7927</v>
      </c>
      <c r="N952" t="s">
        <v>8617</v>
      </c>
      <c r="Q952" s="28" t="s">
        <v>8779</v>
      </c>
    </row>
    <row r="953" spans="1:17" x14ac:dyDescent="0.35">
      <c r="A953" t="s">
        <v>8520</v>
      </c>
      <c r="B953" s="3" t="s">
        <v>102</v>
      </c>
      <c r="F953">
        <v>5</v>
      </c>
      <c r="G953" t="s">
        <v>8607</v>
      </c>
      <c r="H953">
        <v>30</v>
      </c>
      <c r="I953" t="s">
        <v>9299</v>
      </c>
      <c r="J953" t="str">
        <f t="shared" si="14"/>
        <v>13F-HR-5.30.C4</v>
      </c>
      <c r="K953" s="5" t="s">
        <v>8618</v>
      </c>
      <c r="L953" t="s">
        <v>8619</v>
      </c>
      <c r="M953" t="s">
        <v>8620</v>
      </c>
      <c r="N953" t="s">
        <v>8621</v>
      </c>
      <c r="Q953" s="28">
        <v>15080022</v>
      </c>
    </row>
    <row r="954" spans="1:17" x14ac:dyDescent="0.35">
      <c r="A954" t="s">
        <v>8520</v>
      </c>
      <c r="B954" s="3" t="s">
        <v>102</v>
      </c>
      <c r="F954">
        <v>5</v>
      </c>
      <c r="G954" t="s">
        <v>8607</v>
      </c>
      <c r="H954">
        <v>31</v>
      </c>
      <c r="I954" t="s">
        <v>9300</v>
      </c>
      <c r="J954" t="str">
        <f t="shared" si="14"/>
        <v>13F-HR-5.31.C5</v>
      </c>
      <c r="K954" s="5" t="s">
        <v>8622</v>
      </c>
      <c r="L954" t="s">
        <v>241</v>
      </c>
      <c r="M954" t="s">
        <v>8623</v>
      </c>
      <c r="N954" t="s">
        <v>8624</v>
      </c>
      <c r="Q954" s="28">
        <v>82171</v>
      </c>
    </row>
    <row r="955" spans="1:17" x14ac:dyDescent="0.35">
      <c r="A955" t="s">
        <v>8520</v>
      </c>
      <c r="B955" s="3" t="s">
        <v>102</v>
      </c>
      <c r="F955">
        <v>5</v>
      </c>
      <c r="G955" t="s">
        <v>8607</v>
      </c>
      <c r="H955">
        <v>32</v>
      </c>
      <c r="I955" t="s">
        <v>9301</v>
      </c>
      <c r="J955" t="str">
        <f t="shared" si="14"/>
        <v>13F-HR-5.32.C6</v>
      </c>
      <c r="K955" s="5" t="s">
        <v>8625</v>
      </c>
      <c r="L955" t="s">
        <v>229</v>
      </c>
      <c r="M955" t="s">
        <v>8626</v>
      </c>
      <c r="N955" t="s">
        <v>8627</v>
      </c>
      <c r="Q955" s="28" t="s">
        <v>8628</v>
      </c>
    </row>
    <row r="956" spans="1:17" x14ac:dyDescent="0.35">
      <c r="A956" t="s">
        <v>8520</v>
      </c>
      <c r="B956" s="3" t="s">
        <v>102</v>
      </c>
      <c r="F956">
        <v>5</v>
      </c>
      <c r="G956" t="s">
        <v>8607</v>
      </c>
      <c r="H956">
        <v>33</v>
      </c>
      <c r="I956" t="s">
        <v>9302</v>
      </c>
      <c r="J956" t="str">
        <f t="shared" si="14"/>
        <v>13F-HR-5.33.C7</v>
      </c>
      <c r="K956" s="5" t="s">
        <v>8629</v>
      </c>
      <c r="L956" t="s">
        <v>229</v>
      </c>
      <c r="M956" t="s">
        <v>8630</v>
      </c>
      <c r="N956" t="s">
        <v>8631</v>
      </c>
      <c r="Q956" s="28" t="s">
        <v>8685</v>
      </c>
    </row>
    <row r="957" spans="1:17" x14ac:dyDescent="0.35">
      <c r="A957" t="s">
        <v>8520</v>
      </c>
      <c r="B957" s="3" t="s">
        <v>102</v>
      </c>
      <c r="F957">
        <v>5</v>
      </c>
      <c r="G957" t="s">
        <v>8607</v>
      </c>
      <c r="H957">
        <v>34</v>
      </c>
      <c r="I957" t="s">
        <v>9303</v>
      </c>
      <c r="J957" t="str">
        <f t="shared" si="14"/>
        <v>13F-HR-5.34.C8</v>
      </c>
      <c r="K957" s="5" t="s">
        <v>8633</v>
      </c>
      <c r="L957" t="s">
        <v>4735</v>
      </c>
      <c r="M957" t="s">
        <v>8634</v>
      </c>
      <c r="N957" t="s">
        <v>8635</v>
      </c>
      <c r="Q957" s="28" t="s">
        <v>8632</v>
      </c>
    </row>
    <row r="958" spans="1:17" x14ac:dyDescent="0.35">
      <c r="A958" t="s">
        <v>8520</v>
      </c>
      <c r="B958" s="3" t="s">
        <v>102</v>
      </c>
      <c r="F958">
        <v>5</v>
      </c>
      <c r="G958" t="s">
        <v>8607</v>
      </c>
      <c r="H958">
        <v>35</v>
      </c>
      <c r="I958" t="s">
        <v>9304</v>
      </c>
      <c r="J958" t="str">
        <f t="shared" si="14"/>
        <v>13F-HR-5.35.C9</v>
      </c>
      <c r="K958" s="5" t="s">
        <v>8637</v>
      </c>
      <c r="L958" t="s">
        <v>229</v>
      </c>
      <c r="M958" t="s">
        <v>8638</v>
      </c>
      <c r="N958" t="s">
        <v>8639</v>
      </c>
      <c r="Q958" s="28" t="s">
        <v>8636</v>
      </c>
    </row>
    <row r="959" spans="1:17" x14ac:dyDescent="0.35">
      <c r="A959" t="s">
        <v>8520</v>
      </c>
      <c r="B959" s="3" t="s">
        <v>102</v>
      </c>
      <c r="F959">
        <v>5</v>
      </c>
      <c r="G959" t="s">
        <v>8607</v>
      </c>
      <c r="H959">
        <v>36</v>
      </c>
      <c r="I959" t="s">
        <v>9305</v>
      </c>
      <c r="J959" t="str">
        <f t="shared" si="14"/>
        <v>13F-HR-5.36.C10</v>
      </c>
      <c r="K959" s="5" t="s">
        <v>8640</v>
      </c>
      <c r="L959" t="s">
        <v>241</v>
      </c>
      <c r="M959" t="s">
        <v>8641</v>
      </c>
      <c r="N959" t="s">
        <v>8642</v>
      </c>
      <c r="Q959" s="28">
        <v>0</v>
      </c>
    </row>
    <row r="960" spans="1:17" x14ac:dyDescent="0.35">
      <c r="A960" t="s">
        <v>8520</v>
      </c>
      <c r="B960" s="3" t="s">
        <v>102</v>
      </c>
      <c r="F960">
        <v>5</v>
      </c>
      <c r="G960" t="s">
        <v>8607</v>
      </c>
      <c r="H960">
        <v>37</v>
      </c>
      <c r="I960" t="s">
        <v>9306</v>
      </c>
      <c r="J960" t="str">
        <f t="shared" si="14"/>
        <v>13F-HR-5.37.C11</v>
      </c>
      <c r="K960" s="5" t="s">
        <v>8643</v>
      </c>
      <c r="L960" t="s">
        <v>241</v>
      </c>
      <c r="M960" t="s">
        <v>8644</v>
      </c>
      <c r="N960" t="s">
        <v>8645</v>
      </c>
      <c r="Q960" s="28">
        <v>0</v>
      </c>
    </row>
    <row r="961" spans="1:17" x14ac:dyDescent="0.35">
      <c r="A961" t="s">
        <v>8520</v>
      </c>
      <c r="B961" s="3" t="s">
        <v>102</v>
      </c>
      <c r="F961">
        <v>5</v>
      </c>
      <c r="G961" t="s">
        <v>8607</v>
      </c>
      <c r="H961">
        <v>38</v>
      </c>
      <c r="I961" t="s">
        <v>9307</v>
      </c>
      <c r="J961" t="str">
        <f t="shared" si="14"/>
        <v>13F-HR-5.38.C12</v>
      </c>
      <c r="K961" s="5" t="s">
        <v>8646</v>
      </c>
      <c r="L961" t="s">
        <v>241</v>
      </c>
      <c r="M961" t="s">
        <v>8647</v>
      </c>
      <c r="N961" t="s">
        <v>8648</v>
      </c>
      <c r="Q961" s="28">
        <v>82171</v>
      </c>
    </row>
    <row r="962" spans="1:17" x14ac:dyDescent="0.35">
      <c r="A962" t="s">
        <v>8520</v>
      </c>
      <c r="B962" s="3" t="s">
        <v>102</v>
      </c>
      <c r="F962">
        <v>5</v>
      </c>
      <c r="G962" t="s">
        <v>8607</v>
      </c>
      <c r="H962">
        <v>27</v>
      </c>
      <c r="I962" t="s">
        <v>9296</v>
      </c>
      <c r="J962" t="str">
        <f t="shared" si="14"/>
        <v>13F-HR-5.27.C1</v>
      </c>
      <c r="K962" s="5" t="s">
        <v>8608</v>
      </c>
      <c r="L962" t="s">
        <v>229</v>
      </c>
      <c r="M962" t="s">
        <v>8609</v>
      </c>
      <c r="N962" t="s">
        <v>8610</v>
      </c>
      <c r="Q962" s="28" t="s">
        <v>8780</v>
      </c>
    </row>
    <row r="963" spans="1:17" x14ac:dyDescent="0.35">
      <c r="A963" t="s">
        <v>8520</v>
      </c>
      <c r="B963" s="3" t="s">
        <v>102</v>
      </c>
      <c r="F963">
        <v>5</v>
      </c>
      <c r="G963" t="s">
        <v>8607</v>
      </c>
      <c r="H963">
        <v>28</v>
      </c>
      <c r="I963" t="s">
        <v>9297</v>
      </c>
      <c r="J963" t="str">
        <f t="shared" ref="J963:J1026" si="15">_xlfn.CONCAT(A963,"-",F963,".",H963,".",I963)</f>
        <v>13F-HR-5.28.C2</v>
      </c>
      <c r="K963" s="5" t="s">
        <v>8612</v>
      </c>
      <c r="L963" t="s">
        <v>229</v>
      </c>
      <c r="M963" t="s">
        <v>8613</v>
      </c>
      <c r="N963" t="s">
        <v>8614</v>
      </c>
      <c r="Q963" s="28" t="s">
        <v>8615</v>
      </c>
    </row>
    <row r="964" spans="1:17" x14ac:dyDescent="0.35">
      <c r="A964" t="s">
        <v>8520</v>
      </c>
      <c r="B964" s="3" t="s">
        <v>102</v>
      </c>
      <c r="F964">
        <v>5</v>
      </c>
      <c r="G964" t="s">
        <v>8607</v>
      </c>
      <c r="H964">
        <v>29</v>
      </c>
      <c r="I964" t="s">
        <v>9298</v>
      </c>
      <c r="J964" t="str">
        <f t="shared" si="15"/>
        <v>13F-HR-5.29.C3</v>
      </c>
      <c r="K964" s="5" t="s">
        <v>8616</v>
      </c>
      <c r="L964" t="s">
        <v>229</v>
      </c>
      <c r="M964" t="s">
        <v>7927</v>
      </c>
      <c r="N964" t="s">
        <v>8617</v>
      </c>
      <c r="Q964" s="28" t="s">
        <v>8781</v>
      </c>
    </row>
    <row r="965" spans="1:17" x14ac:dyDescent="0.35">
      <c r="A965" t="s">
        <v>8520</v>
      </c>
      <c r="B965" s="3" t="s">
        <v>102</v>
      </c>
      <c r="F965">
        <v>5</v>
      </c>
      <c r="G965" t="s">
        <v>8607</v>
      </c>
      <c r="H965">
        <v>30</v>
      </c>
      <c r="I965" t="s">
        <v>9299</v>
      </c>
      <c r="J965" t="str">
        <f t="shared" si="15"/>
        <v>13F-HR-5.30.C4</v>
      </c>
      <c r="K965" s="5" t="s">
        <v>8618</v>
      </c>
      <c r="L965" t="s">
        <v>8619</v>
      </c>
      <c r="M965" t="s">
        <v>8620</v>
      </c>
      <c r="N965" t="s">
        <v>8621</v>
      </c>
      <c r="Q965" s="28">
        <v>53249072</v>
      </c>
    </row>
    <row r="966" spans="1:17" x14ac:dyDescent="0.35">
      <c r="A966" t="s">
        <v>8520</v>
      </c>
      <c r="B966" s="3" t="s">
        <v>102</v>
      </c>
      <c r="F966">
        <v>5</v>
      </c>
      <c r="G966" t="s">
        <v>8607</v>
      </c>
      <c r="H966">
        <v>31</v>
      </c>
      <c r="I966" t="s">
        <v>9300</v>
      </c>
      <c r="J966" t="str">
        <f t="shared" si="15"/>
        <v>13F-HR-5.31.C5</v>
      </c>
      <c r="K966" s="5" t="s">
        <v>8622</v>
      </c>
      <c r="L966" t="s">
        <v>241</v>
      </c>
      <c r="M966" t="s">
        <v>8623</v>
      </c>
      <c r="N966" t="s">
        <v>8624</v>
      </c>
      <c r="Q966" s="28">
        <v>264093</v>
      </c>
    </row>
    <row r="967" spans="1:17" x14ac:dyDescent="0.35">
      <c r="A967" t="s">
        <v>8520</v>
      </c>
      <c r="B967" s="3" t="s">
        <v>102</v>
      </c>
      <c r="F967">
        <v>5</v>
      </c>
      <c r="G967" t="s">
        <v>8607</v>
      </c>
      <c r="H967">
        <v>32</v>
      </c>
      <c r="I967" t="s">
        <v>9301</v>
      </c>
      <c r="J967" t="str">
        <f t="shared" si="15"/>
        <v>13F-HR-5.32.C6</v>
      </c>
      <c r="K967" s="5" t="s">
        <v>8625</v>
      </c>
      <c r="L967" t="s">
        <v>229</v>
      </c>
      <c r="M967" t="s">
        <v>8626</v>
      </c>
      <c r="N967" t="s">
        <v>8627</v>
      </c>
      <c r="Q967" s="28" t="s">
        <v>8628</v>
      </c>
    </row>
    <row r="968" spans="1:17" x14ac:dyDescent="0.35">
      <c r="A968" t="s">
        <v>8520</v>
      </c>
      <c r="B968" s="3" t="s">
        <v>102</v>
      </c>
      <c r="F968">
        <v>5</v>
      </c>
      <c r="G968" t="s">
        <v>8607</v>
      </c>
      <c r="H968">
        <v>33</v>
      </c>
      <c r="I968" t="s">
        <v>9302</v>
      </c>
      <c r="J968" t="str">
        <f t="shared" si="15"/>
        <v>13F-HR-5.33.C7</v>
      </c>
      <c r="K968" s="5" t="s">
        <v>8629</v>
      </c>
      <c r="L968" t="s">
        <v>229</v>
      </c>
      <c r="M968" t="s">
        <v>8630</v>
      </c>
      <c r="N968" t="s">
        <v>8631</v>
      </c>
      <c r="Q968" s="28" t="s">
        <v>8685</v>
      </c>
    </row>
    <row r="969" spans="1:17" x14ac:dyDescent="0.35">
      <c r="A969" t="s">
        <v>8520</v>
      </c>
      <c r="B969" s="3" t="s">
        <v>102</v>
      </c>
      <c r="F969">
        <v>5</v>
      </c>
      <c r="G969" t="s">
        <v>8607</v>
      </c>
      <c r="H969">
        <v>34</v>
      </c>
      <c r="I969" t="s">
        <v>9303</v>
      </c>
      <c r="J969" t="str">
        <f t="shared" si="15"/>
        <v>13F-HR-5.34.C8</v>
      </c>
      <c r="K969" s="5" t="s">
        <v>8633</v>
      </c>
      <c r="L969" t="s">
        <v>4735</v>
      </c>
      <c r="M969" t="s">
        <v>8634</v>
      </c>
      <c r="N969" t="s">
        <v>8635</v>
      </c>
      <c r="Q969" s="28" t="s">
        <v>8632</v>
      </c>
    </row>
    <row r="970" spans="1:17" x14ac:dyDescent="0.35">
      <c r="A970" t="s">
        <v>8520</v>
      </c>
      <c r="B970" s="3" t="s">
        <v>102</v>
      </c>
      <c r="F970">
        <v>5</v>
      </c>
      <c r="G970" t="s">
        <v>8607</v>
      </c>
      <c r="H970">
        <v>35</v>
      </c>
      <c r="I970" t="s">
        <v>9304</v>
      </c>
      <c r="J970" t="str">
        <f t="shared" si="15"/>
        <v>13F-HR-5.35.C9</v>
      </c>
      <c r="K970" s="5" t="s">
        <v>8637</v>
      </c>
      <c r="L970" t="s">
        <v>229</v>
      </c>
      <c r="M970" t="s">
        <v>8638</v>
      </c>
      <c r="N970" t="s">
        <v>8639</v>
      </c>
      <c r="Q970" s="28" t="s">
        <v>8636</v>
      </c>
    </row>
    <row r="971" spans="1:17" x14ac:dyDescent="0.35">
      <c r="A971" t="s">
        <v>8520</v>
      </c>
      <c r="B971" s="3" t="s">
        <v>102</v>
      </c>
      <c r="F971">
        <v>5</v>
      </c>
      <c r="G971" t="s">
        <v>8607</v>
      </c>
      <c r="H971">
        <v>36</v>
      </c>
      <c r="I971" t="s">
        <v>9305</v>
      </c>
      <c r="J971" t="str">
        <f t="shared" si="15"/>
        <v>13F-HR-5.36.C10</v>
      </c>
      <c r="K971" s="5" t="s">
        <v>8640</v>
      </c>
      <c r="L971" t="s">
        <v>241</v>
      </c>
      <c r="M971" t="s">
        <v>8641</v>
      </c>
      <c r="N971" t="s">
        <v>8642</v>
      </c>
      <c r="Q971" s="28">
        <v>169988</v>
      </c>
    </row>
    <row r="972" spans="1:17" x14ac:dyDescent="0.35">
      <c r="A972" t="s">
        <v>8520</v>
      </c>
      <c r="B972" s="3" t="s">
        <v>102</v>
      </c>
      <c r="F972">
        <v>5</v>
      </c>
      <c r="G972" t="s">
        <v>8607</v>
      </c>
      <c r="H972">
        <v>37</v>
      </c>
      <c r="I972" t="s">
        <v>9306</v>
      </c>
      <c r="J972" t="str">
        <f t="shared" si="15"/>
        <v>13F-HR-5.37.C11</v>
      </c>
      <c r="K972" s="5" t="s">
        <v>8643</v>
      </c>
      <c r="L972" t="s">
        <v>241</v>
      </c>
      <c r="M972" t="s">
        <v>8644</v>
      </c>
      <c r="N972" t="s">
        <v>8645</v>
      </c>
      <c r="Q972" s="28">
        <v>0</v>
      </c>
    </row>
    <row r="973" spans="1:17" x14ac:dyDescent="0.35">
      <c r="A973" t="s">
        <v>8520</v>
      </c>
      <c r="B973" s="3" t="s">
        <v>102</v>
      </c>
      <c r="F973">
        <v>5</v>
      </c>
      <c r="G973" t="s">
        <v>8607</v>
      </c>
      <c r="H973">
        <v>38</v>
      </c>
      <c r="I973" t="s">
        <v>9307</v>
      </c>
      <c r="J973" t="str">
        <f t="shared" si="15"/>
        <v>13F-HR-5.38.C12</v>
      </c>
      <c r="K973" s="5" t="s">
        <v>8646</v>
      </c>
      <c r="L973" t="s">
        <v>241</v>
      </c>
      <c r="M973" t="s">
        <v>8647</v>
      </c>
      <c r="N973" t="s">
        <v>8648</v>
      </c>
      <c r="Q973" s="28">
        <v>94105</v>
      </c>
    </row>
    <row r="974" spans="1:17" x14ac:dyDescent="0.35">
      <c r="A974" t="s">
        <v>8520</v>
      </c>
      <c r="B974" s="3" t="s">
        <v>102</v>
      </c>
      <c r="F974">
        <v>5</v>
      </c>
      <c r="G974" t="s">
        <v>8607</v>
      </c>
      <c r="H974">
        <v>27</v>
      </c>
      <c r="I974" t="s">
        <v>9296</v>
      </c>
      <c r="J974" t="str">
        <f t="shared" si="15"/>
        <v>13F-HR-5.27.C1</v>
      </c>
      <c r="K974" s="5" t="s">
        <v>8608</v>
      </c>
      <c r="L974" t="s">
        <v>229</v>
      </c>
      <c r="M974" t="s">
        <v>8609</v>
      </c>
      <c r="N974" t="s">
        <v>8610</v>
      </c>
      <c r="Q974" s="28" t="s">
        <v>8782</v>
      </c>
    </row>
    <row r="975" spans="1:17" x14ac:dyDescent="0.35">
      <c r="A975" t="s">
        <v>8520</v>
      </c>
      <c r="B975" s="3" t="s">
        <v>102</v>
      </c>
      <c r="F975">
        <v>5</v>
      </c>
      <c r="G975" t="s">
        <v>8607</v>
      </c>
      <c r="H975">
        <v>28</v>
      </c>
      <c r="I975" t="s">
        <v>9297</v>
      </c>
      <c r="J975" t="str">
        <f t="shared" si="15"/>
        <v>13F-HR-5.28.C2</v>
      </c>
      <c r="K975" s="5" t="s">
        <v>8612</v>
      </c>
      <c r="L975" t="s">
        <v>229</v>
      </c>
      <c r="M975" t="s">
        <v>8613</v>
      </c>
      <c r="N975" t="s">
        <v>8614</v>
      </c>
      <c r="Q975" s="28" t="s">
        <v>8615</v>
      </c>
    </row>
    <row r="976" spans="1:17" x14ac:dyDescent="0.35">
      <c r="A976" t="s">
        <v>8520</v>
      </c>
      <c r="B976" s="3" t="s">
        <v>102</v>
      </c>
      <c r="F976">
        <v>5</v>
      </c>
      <c r="G976" t="s">
        <v>8607</v>
      </c>
      <c r="H976">
        <v>29</v>
      </c>
      <c r="I976" t="s">
        <v>9298</v>
      </c>
      <c r="J976" t="str">
        <f t="shared" si="15"/>
        <v>13F-HR-5.29.C3</v>
      </c>
      <c r="K976" s="5" t="s">
        <v>8616</v>
      </c>
      <c r="L976" t="s">
        <v>229</v>
      </c>
      <c r="M976" t="s">
        <v>7927</v>
      </c>
      <c r="N976" t="s">
        <v>8617</v>
      </c>
      <c r="Q976" s="28">
        <v>216648501</v>
      </c>
    </row>
    <row r="977" spans="1:17" x14ac:dyDescent="0.35">
      <c r="A977" t="s">
        <v>8520</v>
      </c>
      <c r="B977" s="3" t="s">
        <v>102</v>
      </c>
      <c r="F977">
        <v>5</v>
      </c>
      <c r="G977" t="s">
        <v>8607</v>
      </c>
      <c r="H977">
        <v>30</v>
      </c>
      <c r="I977" t="s">
        <v>9299</v>
      </c>
      <c r="J977" t="str">
        <f t="shared" si="15"/>
        <v>13F-HR-5.30.C4</v>
      </c>
      <c r="K977" s="5" t="s">
        <v>8618</v>
      </c>
      <c r="L977" t="s">
        <v>8619</v>
      </c>
      <c r="M977" t="s">
        <v>8620</v>
      </c>
      <c r="N977" t="s">
        <v>8621</v>
      </c>
      <c r="Q977" s="28">
        <v>3923287</v>
      </c>
    </row>
    <row r="978" spans="1:17" x14ac:dyDescent="0.35">
      <c r="A978" t="s">
        <v>8520</v>
      </c>
      <c r="B978" s="3" t="s">
        <v>102</v>
      </c>
      <c r="F978">
        <v>5</v>
      </c>
      <c r="G978" t="s">
        <v>8607</v>
      </c>
      <c r="H978">
        <v>31</v>
      </c>
      <c r="I978" t="s">
        <v>9300</v>
      </c>
      <c r="J978" t="str">
        <f t="shared" si="15"/>
        <v>13F-HR-5.31.C5</v>
      </c>
      <c r="K978" s="5" t="s">
        <v>8622</v>
      </c>
      <c r="L978" t="s">
        <v>241</v>
      </c>
      <c r="M978" t="s">
        <v>8623</v>
      </c>
      <c r="N978" t="s">
        <v>8624</v>
      </c>
      <c r="Q978" s="28">
        <v>46512</v>
      </c>
    </row>
    <row r="979" spans="1:17" x14ac:dyDescent="0.35">
      <c r="A979" t="s">
        <v>8520</v>
      </c>
      <c r="B979" s="3" t="s">
        <v>102</v>
      </c>
      <c r="F979">
        <v>5</v>
      </c>
      <c r="G979" t="s">
        <v>8607</v>
      </c>
      <c r="H979">
        <v>32</v>
      </c>
      <c r="I979" t="s">
        <v>9301</v>
      </c>
      <c r="J979" t="str">
        <f t="shared" si="15"/>
        <v>13F-HR-5.32.C6</v>
      </c>
      <c r="K979" s="5" t="s">
        <v>8625</v>
      </c>
      <c r="L979" t="s">
        <v>229</v>
      </c>
      <c r="M979" t="s">
        <v>8626</v>
      </c>
      <c r="N979" t="s">
        <v>8627</v>
      </c>
      <c r="Q979" s="28" t="s">
        <v>8628</v>
      </c>
    </row>
    <row r="980" spans="1:17" x14ac:dyDescent="0.35">
      <c r="A980" t="s">
        <v>8520</v>
      </c>
      <c r="B980" s="3" t="s">
        <v>102</v>
      </c>
      <c r="F980">
        <v>5</v>
      </c>
      <c r="G980" t="s">
        <v>8607</v>
      </c>
      <c r="H980">
        <v>33</v>
      </c>
      <c r="I980" t="s">
        <v>9302</v>
      </c>
      <c r="J980" t="str">
        <f t="shared" si="15"/>
        <v>13F-HR-5.33.C7</v>
      </c>
      <c r="K980" s="5" t="s">
        <v>8629</v>
      </c>
      <c r="L980" t="s">
        <v>229</v>
      </c>
      <c r="M980" t="s">
        <v>8630</v>
      </c>
      <c r="N980" t="s">
        <v>8631</v>
      </c>
      <c r="Q980" s="28" t="s">
        <v>8685</v>
      </c>
    </row>
    <row r="981" spans="1:17" x14ac:dyDescent="0.35">
      <c r="A981" t="s">
        <v>8520</v>
      </c>
      <c r="B981" s="3" t="s">
        <v>102</v>
      </c>
      <c r="F981">
        <v>5</v>
      </c>
      <c r="G981" t="s">
        <v>8607</v>
      </c>
      <c r="H981">
        <v>34</v>
      </c>
      <c r="I981" t="s">
        <v>9303</v>
      </c>
      <c r="J981" t="str">
        <f t="shared" si="15"/>
        <v>13F-HR-5.34.C8</v>
      </c>
      <c r="K981" s="5" t="s">
        <v>8633</v>
      </c>
      <c r="L981" t="s">
        <v>4735</v>
      </c>
      <c r="M981" t="s">
        <v>8634</v>
      </c>
      <c r="N981" t="s">
        <v>8635</v>
      </c>
      <c r="Q981" s="28" t="s">
        <v>8632</v>
      </c>
    </row>
    <row r="982" spans="1:17" x14ac:dyDescent="0.35">
      <c r="A982" t="s">
        <v>8520</v>
      </c>
      <c r="B982" s="3" t="s">
        <v>102</v>
      </c>
      <c r="F982">
        <v>5</v>
      </c>
      <c r="G982" t="s">
        <v>8607</v>
      </c>
      <c r="H982">
        <v>35</v>
      </c>
      <c r="I982" t="s">
        <v>9304</v>
      </c>
      <c r="J982" t="str">
        <f t="shared" si="15"/>
        <v>13F-HR-5.35.C9</v>
      </c>
      <c r="K982" s="5" t="s">
        <v>8637</v>
      </c>
      <c r="L982" t="s">
        <v>229</v>
      </c>
      <c r="M982" t="s">
        <v>8638</v>
      </c>
      <c r="N982" t="s">
        <v>8639</v>
      </c>
      <c r="Q982" s="28" t="s">
        <v>8636</v>
      </c>
    </row>
    <row r="983" spans="1:17" x14ac:dyDescent="0.35">
      <c r="A983" t="s">
        <v>8520</v>
      </c>
      <c r="B983" s="3" t="s">
        <v>102</v>
      </c>
      <c r="F983">
        <v>5</v>
      </c>
      <c r="G983" t="s">
        <v>8607</v>
      </c>
      <c r="H983">
        <v>36</v>
      </c>
      <c r="I983" t="s">
        <v>9305</v>
      </c>
      <c r="J983" t="str">
        <f t="shared" si="15"/>
        <v>13F-HR-5.36.C10</v>
      </c>
      <c r="K983" s="5" t="s">
        <v>8640</v>
      </c>
      <c r="L983" t="s">
        <v>241</v>
      </c>
      <c r="M983" t="s">
        <v>8641</v>
      </c>
      <c r="N983" t="s">
        <v>8642</v>
      </c>
      <c r="Q983" s="28">
        <v>26133</v>
      </c>
    </row>
    <row r="984" spans="1:17" x14ac:dyDescent="0.35">
      <c r="A984" t="s">
        <v>8520</v>
      </c>
      <c r="B984" s="3" t="s">
        <v>102</v>
      </c>
      <c r="F984">
        <v>5</v>
      </c>
      <c r="G984" t="s">
        <v>8607</v>
      </c>
      <c r="H984">
        <v>37</v>
      </c>
      <c r="I984" t="s">
        <v>9306</v>
      </c>
      <c r="J984" t="str">
        <f t="shared" si="15"/>
        <v>13F-HR-5.37.C11</v>
      </c>
      <c r="K984" s="5" t="s">
        <v>8643</v>
      </c>
      <c r="L984" t="s">
        <v>241</v>
      </c>
      <c r="M984" t="s">
        <v>8644</v>
      </c>
      <c r="N984" t="s">
        <v>8645</v>
      </c>
      <c r="Q984" s="28">
        <v>0</v>
      </c>
    </row>
    <row r="985" spans="1:17" x14ac:dyDescent="0.35">
      <c r="A985" t="s">
        <v>8520</v>
      </c>
      <c r="B985" s="3" t="s">
        <v>102</v>
      </c>
      <c r="F985">
        <v>5</v>
      </c>
      <c r="G985" t="s">
        <v>8607</v>
      </c>
      <c r="H985">
        <v>38</v>
      </c>
      <c r="I985" t="s">
        <v>9307</v>
      </c>
      <c r="J985" t="str">
        <f t="shared" si="15"/>
        <v>13F-HR-5.38.C12</v>
      </c>
      <c r="K985" s="5" t="s">
        <v>8646</v>
      </c>
      <c r="L985" t="s">
        <v>241</v>
      </c>
      <c r="M985" t="s">
        <v>8647</v>
      </c>
      <c r="N985" t="s">
        <v>8648</v>
      </c>
      <c r="Q985" s="28">
        <v>20379</v>
      </c>
    </row>
    <row r="986" spans="1:17" x14ac:dyDescent="0.35">
      <c r="A986" t="s">
        <v>8520</v>
      </c>
      <c r="B986" s="3" t="s">
        <v>102</v>
      </c>
      <c r="F986">
        <v>5</v>
      </c>
      <c r="G986" t="s">
        <v>8607</v>
      </c>
      <c r="H986">
        <v>27</v>
      </c>
      <c r="I986" t="s">
        <v>9296</v>
      </c>
      <c r="J986" t="str">
        <f t="shared" si="15"/>
        <v>13F-HR-5.27.C1</v>
      </c>
      <c r="K986" s="5" t="s">
        <v>8608</v>
      </c>
      <c r="L986" t="s">
        <v>229</v>
      </c>
      <c r="M986" t="s">
        <v>8609</v>
      </c>
      <c r="N986" t="s">
        <v>8610</v>
      </c>
      <c r="Q986" s="28" t="s">
        <v>8783</v>
      </c>
    </row>
    <row r="987" spans="1:17" x14ac:dyDescent="0.35">
      <c r="A987" t="s">
        <v>8520</v>
      </c>
      <c r="B987" s="3" t="s">
        <v>102</v>
      </c>
      <c r="F987">
        <v>5</v>
      </c>
      <c r="G987" t="s">
        <v>8607</v>
      </c>
      <c r="H987">
        <v>28</v>
      </c>
      <c r="I987" t="s">
        <v>9297</v>
      </c>
      <c r="J987" t="str">
        <f t="shared" si="15"/>
        <v>13F-HR-5.28.C2</v>
      </c>
      <c r="K987" s="5" t="s">
        <v>8612</v>
      </c>
      <c r="L987" t="s">
        <v>229</v>
      </c>
      <c r="M987" t="s">
        <v>8613</v>
      </c>
      <c r="N987" t="s">
        <v>8614</v>
      </c>
      <c r="Q987" s="28" t="s">
        <v>8615</v>
      </c>
    </row>
    <row r="988" spans="1:17" x14ac:dyDescent="0.35">
      <c r="A988" t="s">
        <v>8520</v>
      </c>
      <c r="B988" s="3" t="s">
        <v>102</v>
      </c>
      <c r="F988">
        <v>5</v>
      </c>
      <c r="G988" t="s">
        <v>8607</v>
      </c>
      <c r="H988">
        <v>29</v>
      </c>
      <c r="I988" t="s">
        <v>9298</v>
      </c>
      <c r="J988" t="str">
        <f t="shared" si="15"/>
        <v>13F-HR-5.29.C3</v>
      </c>
      <c r="K988" s="5" t="s">
        <v>8616</v>
      </c>
      <c r="L988" t="s">
        <v>229</v>
      </c>
      <c r="M988" t="s">
        <v>7927</v>
      </c>
      <c r="N988" t="s">
        <v>8617</v>
      </c>
      <c r="Q988" s="28">
        <v>217204106</v>
      </c>
    </row>
    <row r="989" spans="1:17" x14ac:dyDescent="0.35">
      <c r="A989" t="s">
        <v>8520</v>
      </c>
      <c r="B989" s="3" t="s">
        <v>102</v>
      </c>
      <c r="F989">
        <v>5</v>
      </c>
      <c r="G989" t="s">
        <v>8607</v>
      </c>
      <c r="H989">
        <v>30</v>
      </c>
      <c r="I989" t="s">
        <v>9299</v>
      </c>
      <c r="J989" t="str">
        <f t="shared" si="15"/>
        <v>13F-HR-5.30.C4</v>
      </c>
      <c r="K989" s="5" t="s">
        <v>8618</v>
      </c>
      <c r="L989" t="s">
        <v>8619</v>
      </c>
      <c r="M989" t="s">
        <v>8620</v>
      </c>
      <c r="N989" t="s">
        <v>8621</v>
      </c>
      <c r="Q989" s="28">
        <v>12679669</v>
      </c>
    </row>
    <row r="990" spans="1:17" x14ac:dyDescent="0.35">
      <c r="A990" t="s">
        <v>8520</v>
      </c>
      <c r="B990" s="3" t="s">
        <v>102</v>
      </c>
      <c r="F990">
        <v>5</v>
      </c>
      <c r="G990" t="s">
        <v>8607</v>
      </c>
      <c r="H990">
        <v>31</v>
      </c>
      <c r="I990" t="s">
        <v>9300</v>
      </c>
      <c r="J990" t="str">
        <f t="shared" si="15"/>
        <v>13F-HR-5.31.C5</v>
      </c>
      <c r="K990" s="5" t="s">
        <v>8622</v>
      </c>
      <c r="L990" t="s">
        <v>241</v>
      </c>
      <c r="M990" t="s">
        <v>8623</v>
      </c>
      <c r="N990" t="s">
        <v>8624</v>
      </c>
      <c r="Q990" s="28">
        <v>224062</v>
      </c>
    </row>
    <row r="991" spans="1:17" x14ac:dyDescent="0.35">
      <c r="A991" t="s">
        <v>8520</v>
      </c>
      <c r="B991" s="3" t="s">
        <v>102</v>
      </c>
      <c r="F991">
        <v>5</v>
      </c>
      <c r="G991" t="s">
        <v>8607</v>
      </c>
      <c r="H991">
        <v>32</v>
      </c>
      <c r="I991" t="s">
        <v>9301</v>
      </c>
      <c r="J991" t="str">
        <f t="shared" si="15"/>
        <v>13F-HR-5.32.C6</v>
      </c>
      <c r="K991" s="5" t="s">
        <v>8625</v>
      </c>
      <c r="L991" t="s">
        <v>229</v>
      </c>
      <c r="M991" t="s">
        <v>8626</v>
      </c>
      <c r="N991" t="s">
        <v>8627</v>
      </c>
      <c r="Q991" s="28" t="s">
        <v>8628</v>
      </c>
    </row>
    <row r="992" spans="1:17" x14ac:dyDescent="0.35">
      <c r="A992" t="s">
        <v>8520</v>
      </c>
      <c r="B992" s="3" t="s">
        <v>102</v>
      </c>
      <c r="F992">
        <v>5</v>
      </c>
      <c r="G992" t="s">
        <v>8607</v>
      </c>
      <c r="H992">
        <v>33</v>
      </c>
      <c r="I992" t="s">
        <v>9302</v>
      </c>
      <c r="J992" t="str">
        <f t="shared" si="15"/>
        <v>13F-HR-5.33.C7</v>
      </c>
      <c r="K992" s="5" t="s">
        <v>8629</v>
      </c>
      <c r="L992" t="s">
        <v>229</v>
      </c>
      <c r="M992" t="s">
        <v>8630</v>
      </c>
      <c r="N992" t="s">
        <v>8631</v>
      </c>
      <c r="Q992" s="28" t="s">
        <v>8685</v>
      </c>
    </row>
    <row r="993" spans="1:17" x14ac:dyDescent="0.35">
      <c r="A993" t="s">
        <v>8520</v>
      </c>
      <c r="B993" s="3" t="s">
        <v>102</v>
      </c>
      <c r="F993">
        <v>5</v>
      </c>
      <c r="G993" t="s">
        <v>8607</v>
      </c>
      <c r="H993">
        <v>34</v>
      </c>
      <c r="I993" t="s">
        <v>9303</v>
      </c>
      <c r="J993" t="str">
        <f t="shared" si="15"/>
        <v>13F-HR-5.34.C8</v>
      </c>
      <c r="K993" s="5" t="s">
        <v>8633</v>
      </c>
      <c r="L993" t="s">
        <v>4735</v>
      </c>
      <c r="M993" t="s">
        <v>8634</v>
      </c>
      <c r="N993" t="s">
        <v>8635</v>
      </c>
      <c r="Q993" s="28" t="s">
        <v>8632</v>
      </c>
    </row>
    <row r="994" spans="1:17" x14ac:dyDescent="0.35">
      <c r="A994" t="s">
        <v>8520</v>
      </c>
      <c r="B994" s="3" t="s">
        <v>102</v>
      </c>
      <c r="F994">
        <v>5</v>
      </c>
      <c r="G994" t="s">
        <v>8607</v>
      </c>
      <c r="H994">
        <v>35</v>
      </c>
      <c r="I994" t="s">
        <v>9304</v>
      </c>
      <c r="J994" t="str">
        <f t="shared" si="15"/>
        <v>13F-HR-5.35.C9</v>
      </c>
      <c r="K994" s="5" t="s">
        <v>8637</v>
      </c>
      <c r="L994" t="s">
        <v>229</v>
      </c>
      <c r="M994" t="s">
        <v>8638</v>
      </c>
      <c r="N994" t="s">
        <v>8639</v>
      </c>
      <c r="Q994" s="28" t="s">
        <v>8636</v>
      </c>
    </row>
    <row r="995" spans="1:17" x14ac:dyDescent="0.35">
      <c r="A995" t="s">
        <v>8520</v>
      </c>
      <c r="B995" s="3" t="s">
        <v>102</v>
      </c>
      <c r="F995">
        <v>5</v>
      </c>
      <c r="G995" t="s">
        <v>8607</v>
      </c>
      <c r="H995">
        <v>36</v>
      </c>
      <c r="I995" t="s">
        <v>9305</v>
      </c>
      <c r="J995" t="str">
        <f t="shared" si="15"/>
        <v>13F-HR-5.36.C10</v>
      </c>
      <c r="K995" s="5" t="s">
        <v>8640</v>
      </c>
      <c r="L995" t="s">
        <v>241</v>
      </c>
      <c r="M995" t="s">
        <v>8641</v>
      </c>
      <c r="N995" t="s">
        <v>8642</v>
      </c>
      <c r="Q995" s="28">
        <v>217369</v>
      </c>
    </row>
    <row r="996" spans="1:17" x14ac:dyDescent="0.35">
      <c r="A996" t="s">
        <v>8520</v>
      </c>
      <c r="B996" s="3" t="s">
        <v>102</v>
      </c>
      <c r="F996">
        <v>5</v>
      </c>
      <c r="G996" t="s">
        <v>8607</v>
      </c>
      <c r="H996">
        <v>37</v>
      </c>
      <c r="I996" t="s">
        <v>9306</v>
      </c>
      <c r="J996" t="str">
        <f t="shared" si="15"/>
        <v>13F-HR-5.37.C11</v>
      </c>
      <c r="K996" s="5" t="s">
        <v>8643</v>
      </c>
      <c r="L996" t="s">
        <v>241</v>
      </c>
      <c r="M996" t="s">
        <v>8644</v>
      </c>
      <c r="N996" t="s">
        <v>8645</v>
      </c>
      <c r="Q996" s="28">
        <v>0</v>
      </c>
    </row>
    <row r="997" spans="1:17" x14ac:dyDescent="0.35">
      <c r="A997" t="s">
        <v>8520</v>
      </c>
      <c r="B997" s="3" t="s">
        <v>102</v>
      </c>
      <c r="F997">
        <v>5</v>
      </c>
      <c r="G997" t="s">
        <v>8607</v>
      </c>
      <c r="H997">
        <v>38</v>
      </c>
      <c r="I997" t="s">
        <v>9307</v>
      </c>
      <c r="J997" t="str">
        <f t="shared" si="15"/>
        <v>13F-HR-5.38.C12</v>
      </c>
      <c r="K997" s="5" t="s">
        <v>8646</v>
      </c>
      <c r="L997" t="s">
        <v>241</v>
      </c>
      <c r="M997" t="s">
        <v>8647</v>
      </c>
      <c r="N997" t="s">
        <v>8648</v>
      </c>
      <c r="Q997" s="28">
        <v>6693</v>
      </c>
    </row>
    <row r="998" spans="1:17" x14ac:dyDescent="0.35">
      <c r="A998" t="s">
        <v>8520</v>
      </c>
      <c r="B998" s="3" t="s">
        <v>102</v>
      </c>
      <c r="F998">
        <v>5</v>
      </c>
      <c r="G998" t="s">
        <v>8607</v>
      </c>
      <c r="H998">
        <v>27</v>
      </c>
      <c r="I998" t="s">
        <v>9296</v>
      </c>
      <c r="J998" t="str">
        <f t="shared" si="15"/>
        <v>13F-HR-5.27.C1</v>
      </c>
      <c r="K998" s="5" t="s">
        <v>8608</v>
      </c>
      <c r="L998" t="s">
        <v>229</v>
      </c>
      <c r="M998" t="s">
        <v>8609</v>
      </c>
      <c r="N998" t="s">
        <v>8610</v>
      </c>
      <c r="Q998" s="28" t="s">
        <v>8784</v>
      </c>
    </row>
    <row r="999" spans="1:17" x14ac:dyDescent="0.35">
      <c r="A999" t="s">
        <v>8520</v>
      </c>
      <c r="B999" s="3" t="s">
        <v>102</v>
      </c>
      <c r="F999">
        <v>5</v>
      </c>
      <c r="G999" t="s">
        <v>8607</v>
      </c>
      <c r="H999">
        <v>28</v>
      </c>
      <c r="I999" t="s">
        <v>9297</v>
      </c>
      <c r="J999" t="str">
        <f t="shared" si="15"/>
        <v>13F-HR-5.28.C2</v>
      </c>
      <c r="K999" s="5" t="s">
        <v>8612</v>
      </c>
      <c r="L999" t="s">
        <v>229</v>
      </c>
      <c r="M999" t="s">
        <v>8613</v>
      </c>
      <c r="N999" t="s">
        <v>8614</v>
      </c>
      <c r="Q999" s="28" t="s">
        <v>8615</v>
      </c>
    </row>
    <row r="1000" spans="1:17" x14ac:dyDescent="0.35">
      <c r="A1000" t="s">
        <v>8520</v>
      </c>
      <c r="B1000" s="3" t="s">
        <v>102</v>
      </c>
      <c r="F1000">
        <v>5</v>
      </c>
      <c r="G1000" t="s">
        <v>8607</v>
      </c>
      <c r="H1000">
        <v>29</v>
      </c>
      <c r="I1000" t="s">
        <v>9298</v>
      </c>
      <c r="J1000" t="str">
        <f t="shared" si="15"/>
        <v>13F-HR-5.29.C3</v>
      </c>
      <c r="K1000" s="5" t="s">
        <v>8616</v>
      </c>
      <c r="L1000" t="s">
        <v>229</v>
      </c>
      <c r="M1000" t="s">
        <v>7927</v>
      </c>
      <c r="N1000" t="s">
        <v>8617</v>
      </c>
      <c r="Q1000" s="28" t="s">
        <v>8785</v>
      </c>
    </row>
    <row r="1001" spans="1:17" x14ac:dyDescent="0.35">
      <c r="A1001" t="s">
        <v>8520</v>
      </c>
      <c r="B1001" s="3" t="s">
        <v>102</v>
      </c>
      <c r="F1001">
        <v>5</v>
      </c>
      <c r="G1001" t="s">
        <v>8607</v>
      </c>
      <c r="H1001">
        <v>30</v>
      </c>
      <c r="I1001" t="s">
        <v>9299</v>
      </c>
      <c r="J1001" t="str">
        <f t="shared" si="15"/>
        <v>13F-HR-5.30.C4</v>
      </c>
      <c r="K1001" s="5" t="s">
        <v>8618</v>
      </c>
      <c r="L1001" t="s">
        <v>8619</v>
      </c>
      <c r="M1001" t="s">
        <v>8620</v>
      </c>
      <c r="N1001" t="s">
        <v>8621</v>
      </c>
      <c r="Q1001" s="28">
        <v>43082507</v>
      </c>
    </row>
    <row r="1002" spans="1:17" x14ac:dyDescent="0.35">
      <c r="A1002" t="s">
        <v>8520</v>
      </c>
      <c r="B1002" s="3" t="s">
        <v>102</v>
      </c>
      <c r="F1002">
        <v>5</v>
      </c>
      <c r="G1002" t="s">
        <v>8607</v>
      </c>
      <c r="H1002">
        <v>31</v>
      </c>
      <c r="I1002" t="s">
        <v>9300</v>
      </c>
      <c r="J1002" t="str">
        <f t="shared" si="15"/>
        <v>13F-HR-5.31.C5</v>
      </c>
      <c r="K1002" s="5" t="s">
        <v>8622</v>
      </c>
      <c r="L1002" t="s">
        <v>241</v>
      </c>
      <c r="M1002" t="s">
        <v>8623</v>
      </c>
      <c r="N1002" t="s">
        <v>8624</v>
      </c>
      <c r="Q1002" s="28">
        <v>684610</v>
      </c>
    </row>
    <row r="1003" spans="1:17" x14ac:dyDescent="0.35">
      <c r="A1003" t="s">
        <v>8520</v>
      </c>
      <c r="B1003" s="3" t="s">
        <v>102</v>
      </c>
      <c r="F1003">
        <v>5</v>
      </c>
      <c r="G1003" t="s">
        <v>8607</v>
      </c>
      <c r="H1003">
        <v>32</v>
      </c>
      <c r="I1003" t="s">
        <v>9301</v>
      </c>
      <c r="J1003" t="str">
        <f t="shared" si="15"/>
        <v>13F-HR-5.32.C6</v>
      </c>
      <c r="K1003" s="5" t="s">
        <v>8625</v>
      </c>
      <c r="L1003" t="s">
        <v>229</v>
      </c>
      <c r="M1003" t="s">
        <v>8626</v>
      </c>
      <c r="N1003" t="s">
        <v>8627</v>
      </c>
      <c r="Q1003" s="28" t="s">
        <v>8628</v>
      </c>
    </row>
    <row r="1004" spans="1:17" x14ac:dyDescent="0.35">
      <c r="A1004" t="s">
        <v>8520</v>
      </c>
      <c r="B1004" s="3" t="s">
        <v>102</v>
      </c>
      <c r="F1004">
        <v>5</v>
      </c>
      <c r="G1004" t="s">
        <v>8607</v>
      </c>
      <c r="H1004">
        <v>33</v>
      </c>
      <c r="I1004" t="s">
        <v>9302</v>
      </c>
      <c r="J1004" t="str">
        <f t="shared" si="15"/>
        <v>13F-HR-5.33.C7</v>
      </c>
      <c r="K1004" s="5" t="s">
        <v>8629</v>
      </c>
      <c r="L1004" t="s">
        <v>229</v>
      </c>
      <c r="M1004" t="s">
        <v>8630</v>
      </c>
      <c r="N1004" t="s">
        <v>8631</v>
      </c>
      <c r="Q1004" s="28" t="s">
        <v>8685</v>
      </c>
    </row>
    <row r="1005" spans="1:17" x14ac:dyDescent="0.35">
      <c r="A1005" t="s">
        <v>8520</v>
      </c>
      <c r="B1005" s="3" t="s">
        <v>102</v>
      </c>
      <c r="F1005">
        <v>5</v>
      </c>
      <c r="G1005" t="s">
        <v>8607</v>
      </c>
      <c r="H1005">
        <v>34</v>
      </c>
      <c r="I1005" t="s">
        <v>9303</v>
      </c>
      <c r="J1005" t="str">
        <f t="shared" si="15"/>
        <v>13F-HR-5.34.C8</v>
      </c>
      <c r="K1005" s="5" t="s">
        <v>8633</v>
      </c>
      <c r="L1005" t="s">
        <v>4735</v>
      </c>
      <c r="M1005" t="s">
        <v>8634</v>
      </c>
      <c r="N1005" t="s">
        <v>8635</v>
      </c>
      <c r="Q1005" s="28" t="s">
        <v>8632</v>
      </c>
    </row>
    <row r="1006" spans="1:17" x14ac:dyDescent="0.35">
      <c r="A1006" t="s">
        <v>8651</v>
      </c>
      <c r="B1006" s="3" t="s">
        <v>102</v>
      </c>
      <c r="F1006">
        <v>5</v>
      </c>
      <c r="G1006" t="s">
        <v>8607</v>
      </c>
      <c r="H1006">
        <v>35</v>
      </c>
      <c r="I1006" t="s">
        <v>9304</v>
      </c>
      <c r="J1006" t="str">
        <f t="shared" si="15"/>
        <v>135-HR-5.35.C9</v>
      </c>
      <c r="K1006" s="5" t="s">
        <v>8637</v>
      </c>
      <c r="L1006" t="s">
        <v>229</v>
      </c>
      <c r="M1006" t="s">
        <v>8638</v>
      </c>
      <c r="N1006" t="s">
        <v>8639</v>
      </c>
      <c r="Q1006" s="28" t="s">
        <v>8636</v>
      </c>
    </row>
    <row r="1007" spans="1:17" x14ac:dyDescent="0.35">
      <c r="A1007" t="s">
        <v>8520</v>
      </c>
      <c r="B1007" s="3" t="s">
        <v>102</v>
      </c>
      <c r="F1007">
        <v>5</v>
      </c>
      <c r="G1007" t="s">
        <v>8607</v>
      </c>
      <c r="H1007">
        <v>36</v>
      </c>
      <c r="I1007" t="s">
        <v>9305</v>
      </c>
      <c r="J1007" t="str">
        <f t="shared" si="15"/>
        <v>13F-HR-5.36.C10</v>
      </c>
      <c r="K1007" s="5" t="s">
        <v>8640</v>
      </c>
      <c r="L1007" t="s">
        <v>241</v>
      </c>
      <c r="M1007" t="s">
        <v>8641</v>
      </c>
      <c r="N1007" t="s">
        <v>8642</v>
      </c>
      <c r="Q1007" s="28">
        <v>459741</v>
      </c>
    </row>
    <row r="1008" spans="1:17" x14ac:dyDescent="0.35">
      <c r="A1008" t="s">
        <v>8520</v>
      </c>
      <c r="B1008" s="3" t="s">
        <v>102</v>
      </c>
      <c r="F1008">
        <v>5</v>
      </c>
      <c r="G1008" t="s">
        <v>8607</v>
      </c>
      <c r="H1008">
        <v>37</v>
      </c>
      <c r="I1008" t="s">
        <v>9306</v>
      </c>
      <c r="J1008" t="str">
        <f t="shared" si="15"/>
        <v>13F-HR-5.37.C11</v>
      </c>
      <c r="K1008" s="5" t="s">
        <v>8643</v>
      </c>
      <c r="L1008" t="s">
        <v>241</v>
      </c>
      <c r="M1008" t="s">
        <v>8644</v>
      </c>
      <c r="N1008" t="s">
        <v>8645</v>
      </c>
      <c r="Q1008" s="28">
        <v>0</v>
      </c>
    </row>
    <row r="1009" spans="1:17" x14ac:dyDescent="0.35">
      <c r="A1009" t="s">
        <v>8520</v>
      </c>
      <c r="B1009" s="3" t="s">
        <v>102</v>
      </c>
      <c r="F1009">
        <v>5</v>
      </c>
      <c r="G1009" t="s">
        <v>8607</v>
      </c>
      <c r="H1009">
        <v>38</v>
      </c>
      <c r="I1009" t="s">
        <v>9307</v>
      </c>
      <c r="J1009" t="str">
        <f t="shared" si="15"/>
        <v>13F-HR-5.38.C12</v>
      </c>
      <c r="K1009" s="5" t="s">
        <v>8646</v>
      </c>
      <c r="L1009" t="s">
        <v>241</v>
      </c>
      <c r="M1009" t="s">
        <v>8647</v>
      </c>
      <c r="N1009" t="s">
        <v>8648</v>
      </c>
      <c r="Q1009" s="28">
        <v>224869</v>
      </c>
    </row>
    <row r="1010" spans="1:17" x14ac:dyDescent="0.35">
      <c r="A1010" t="s">
        <v>8520</v>
      </c>
      <c r="B1010" s="3" t="s">
        <v>102</v>
      </c>
      <c r="F1010">
        <v>5</v>
      </c>
      <c r="G1010" t="s">
        <v>8607</v>
      </c>
      <c r="H1010">
        <v>27</v>
      </c>
      <c r="I1010" t="s">
        <v>9296</v>
      </c>
      <c r="J1010" t="str">
        <f t="shared" si="15"/>
        <v>13F-HR-5.27.C1</v>
      </c>
      <c r="K1010" s="5" t="s">
        <v>8608</v>
      </c>
      <c r="L1010" t="s">
        <v>229</v>
      </c>
      <c r="M1010" t="s">
        <v>8609</v>
      </c>
      <c r="N1010" t="s">
        <v>8610</v>
      </c>
      <c r="Q1010" s="28" t="s">
        <v>8786</v>
      </c>
    </row>
    <row r="1011" spans="1:17" x14ac:dyDescent="0.35">
      <c r="A1011" t="s">
        <v>8520</v>
      </c>
      <c r="B1011" s="3" t="s">
        <v>102</v>
      </c>
      <c r="F1011">
        <v>5</v>
      </c>
      <c r="G1011" t="s">
        <v>8607</v>
      </c>
      <c r="H1011">
        <v>28</v>
      </c>
      <c r="I1011" t="s">
        <v>9297</v>
      </c>
      <c r="J1011" t="str">
        <f t="shared" si="15"/>
        <v>13F-HR-5.28.C2</v>
      </c>
      <c r="K1011" s="5" t="s">
        <v>8612</v>
      </c>
      <c r="L1011" t="s">
        <v>229</v>
      </c>
      <c r="M1011" t="s">
        <v>8613</v>
      </c>
      <c r="N1011" t="s">
        <v>8614</v>
      </c>
      <c r="Q1011" s="28" t="s">
        <v>8615</v>
      </c>
    </row>
    <row r="1012" spans="1:17" x14ac:dyDescent="0.35">
      <c r="A1012" t="s">
        <v>8520</v>
      </c>
      <c r="B1012" s="3" t="s">
        <v>102</v>
      </c>
      <c r="F1012">
        <v>5</v>
      </c>
      <c r="G1012" t="s">
        <v>8607</v>
      </c>
      <c r="H1012">
        <v>29</v>
      </c>
      <c r="I1012" t="s">
        <v>9298</v>
      </c>
      <c r="J1012" t="str">
        <f t="shared" si="15"/>
        <v>13F-HR-5.29.C3</v>
      </c>
      <c r="K1012" s="5" t="s">
        <v>8616</v>
      </c>
      <c r="L1012" t="s">
        <v>229</v>
      </c>
      <c r="M1012" t="s">
        <v>7927</v>
      </c>
      <c r="N1012" t="s">
        <v>8617</v>
      </c>
      <c r="Q1012" s="28" t="s">
        <v>8787</v>
      </c>
    </row>
    <row r="1013" spans="1:17" x14ac:dyDescent="0.35">
      <c r="A1013" t="s">
        <v>8520</v>
      </c>
      <c r="B1013" s="3" t="s">
        <v>102</v>
      </c>
      <c r="F1013">
        <v>5</v>
      </c>
      <c r="G1013" t="s">
        <v>8607</v>
      </c>
      <c r="H1013">
        <v>30</v>
      </c>
      <c r="I1013" t="s">
        <v>9299</v>
      </c>
      <c r="J1013" t="str">
        <f t="shared" si="15"/>
        <v>13F-HR-5.30.C4</v>
      </c>
      <c r="K1013" s="5" t="s">
        <v>8618</v>
      </c>
      <c r="L1013" t="s">
        <v>8619</v>
      </c>
      <c r="M1013" t="s">
        <v>8620</v>
      </c>
      <c r="N1013" t="s">
        <v>8621</v>
      </c>
      <c r="Q1013" s="28">
        <v>46805706</v>
      </c>
    </row>
    <row r="1014" spans="1:17" x14ac:dyDescent="0.35">
      <c r="A1014" t="s">
        <v>8520</v>
      </c>
      <c r="B1014" s="3" t="s">
        <v>102</v>
      </c>
      <c r="F1014">
        <v>5</v>
      </c>
      <c r="G1014" t="s">
        <v>8607</v>
      </c>
      <c r="H1014">
        <v>31</v>
      </c>
      <c r="I1014" t="s">
        <v>9300</v>
      </c>
      <c r="J1014" t="str">
        <f t="shared" si="15"/>
        <v>13F-HR-5.31.C5</v>
      </c>
      <c r="K1014" s="5" t="s">
        <v>8622</v>
      </c>
      <c r="L1014" t="s">
        <v>241</v>
      </c>
      <c r="M1014" t="s">
        <v>8623</v>
      </c>
      <c r="N1014" t="s">
        <v>8624</v>
      </c>
      <c r="Q1014" s="28">
        <v>49489</v>
      </c>
    </row>
    <row r="1015" spans="1:17" x14ac:dyDescent="0.35">
      <c r="A1015" t="s">
        <v>8520</v>
      </c>
      <c r="B1015" s="3" t="s">
        <v>102</v>
      </c>
      <c r="F1015">
        <v>5</v>
      </c>
      <c r="G1015" t="s">
        <v>8607</v>
      </c>
      <c r="H1015">
        <v>32</v>
      </c>
      <c r="I1015" t="s">
        <v>9301</v>
      </c>
      <c r="J1015" t="str">
        <f t="shared" si="15"/>
        <v>13F-HR-5.32.C6</v>
      </c>
      <c r="K1015" s="5" t="s">
        <v>8625</v>
      </c>
      <c r="L1015" t="s">
        <v>229</v>
      </c>
      <c r="M1015" t="s">
        <v>8626</v>
      </c>
      <c r="N1015" t="s">
        <v>8627</v>
      </c>
      <c r="Q1015" s="28" t="s">
        <v>8628</v>
      </c>
    </row>
    <row r="1016" spans="1:17" x14ac:dyDescent="0.35">
      <c r="A1016" t="s">
        <v>8520</v>
      </c>
      <c r="B1016" s="3" t="s">
        <v>102</v>
      </c>
      <c r="F1016">
        <v>5</v>
      </c>
      <c r="G1016" t="s">
        <v>8607</v>
      </c>
      <c r="H1016">
        <v>33</v>
      </c>
      <c r="I1016" t="s">
        <v>9302</v>
      </c>
      <c r="J1016" t="str">
        <f t="shared" si="15"/>
        <v>13F-HR-5.33.C7</v>
      </c>
      <c r="K1016" s="5" t="s">
        <v>8629</v>
      </c>
      <c r="L1016" t="s">
        <v>229</v>
      </c>
      <c r="M1016" t="s">
        <v>8630</v>
      </c>
      <c r="N1016" t="s">
        <v>8631</v>
      </c>
      <c r="Q1016" s="28" t="s">
        <v>8685</v>
      </c>
    </row>
    <row r="1017" spans="1:17" x14ac:dyDescent="0.35">
      <c r="A1017" t="s">
        <v>8520</v>
      </c>
      <c r="B1017" s="3" t="s">
        <v>102</v>
      </c>
      <c r="F1017">
        <v>5</v>
      </c>
      <c r="G1017" t="s">
        <v>8607</v>
      </c>
      <c r="H1017">
        <v>34</v>
      </c>
      <c r="I1017" t="s">
        <v>9303</v>
      </c>
      <c r="J1017" t="str">
        <f t="shared" si="15"/>
        <v>13F-HR-5.34.C8</v>
      </c>
      <c r="K1017" s="5" t="s">
        <v>8633</v>
      </c>
      <c r="L1017" t="s">
        <v>4735</v>
      </c>
      <c r="M1017" t="s">
        <v>8634</v>
      </c>
      <c r="N1017" t="s">
        <v>8635</v>
      </c>
      <c r="Q1017" s="28" t="s">
        <v>8632</v>
      </c>
    </row>
    <row r="1018" spans="1:17" x14ac:dyDescent="0.35">
      <c r="A1018" t="s">
        <v>8651</v>
      </c>
      <c r="B1018" s="3" t="s">
        <v>102</v>
      </c>
      <c r="F1018">
        <v>5</v>
      </c>
      <c r="G1018" t="s">
        <v>8607</v>
      </c>
      <c r="H1018">
        <v>35</v>
      </c>
      <c r="I1018" t="s">
        <v>9304</v>
      </c>
      <c r="J1018" t="str">
        <f t="shared" si="15"/>
        <v>135-HR-5.35.C9</v>
      </c>
      <c r="K1018" s="5" t="s">
        <v>8637</v>
      </c>
      <c r="L1018" t="s">
        <v>229</v>
      </c>
      <c r="M1018" t="s">
        <v>8638</v>
      </c>
      <c r="N1018" t="s">
        <v>8639</v>
      </c>
      <c r="Q1018" s="28" t="s">
        <v>8636</v>
      </c>
    </row>
    <row r="1019" spans="1:17" x14ac:dyDescent="0.35">
      <c r="A1019" t="s">
        <v>8520</v>
      </c>
      <c r="B1019" s="3" t="s">
        <v>102</v>
      </c>
      <c r="F1019">
        <v>5</v>
      </c>
      <c r="G1019" t="s">
        <v>8607</v>
      </c>
      <c r="H1019">
        <v>36</v>
      </c>
      <c r="I1019" t="s">
        <v>9305</v>
      </c>
      <c r="J1019" t="str">
        <f t="shared" si="15"/>
        <v>13F-HR-5.36.C10</v>
      </c>
      <c r="K1019" s="5" t="s">
        <v>8640</v>
      </c>
      <c r="L1019" t="s">
        <v>241</v>
      </c>
      <c r="M1019" t="s">
        <v>8641</v>
      </c>
      <c r="N1019" t="s">
        <v>8642</v>
      </c>
      <c r="Q1019" s="28">
        <v>40410</v>
      </c>
    </row>
    <row r="1020" spans="1:17" x14ac:dyDescent="0.35">
      <c r="A1020" t="s">
        <v>8520</v>
      </c>
      <c r="B1020" s="3" t="s">
        <v>102</v>
      </c>
      <c r="F1020">
        <v>5</v>
      </c>
      <c r="G1020" t="s">
        <v>8607</v>
      </c>
      <c r="H1020">
        <v>37</v>
      </c>
      <c r="I1020" t="s">
        <v>9306</v>
      </c>
      <c r="J1020" t="str">
        <f t="shared" si="15"/>
        <v>13F-HR-5.37.C11</v>
      </c>
      <c r="K1020" s="5" t="s">
        <v>8643</v>
      </c>
      <c r="L1020" t="s">
        <v>241</v>
      </c>
      <c r="M1020" t="s">
        <v>8644</v>
      </c>
      <c r="N1020" t="s">
        <v>8645</v>
      </c>
      <c r="Q1020" s="28">
        <v>0</v>
      </c>
    </row>
    <row r="1021" spans="1:17" x14ac:dyDescent="0.35">
      <c r="A1021" t="s">
        <v>8520</v>
      </c>
      <c r="B1021" s="3" t="s">
        <v>102</v>
      </c>
      <c r="F1021">
        <v>5</v>
      </c>
      <c r="G1021" t="s">
        <v>8607</v>
      </c>
      <c r="H1021">
        <v>38</v>
      </c>
      <c r="I1021" t="s">
        <v>9307</v>
      </c>
      <c r="J1021" t="str">
        <f t="shared" si="15"/>
        <v>13F-HR-5.38.C12</v>
      </c>
      <c r="K1021" s="5" t="s">
        <v>8646</v>
      </c>
      <c r="L1021" t="s">
        <v>241</v>
      </c>
      <c r="M1021" t="s">
        <v>8647</v>
      </c>
      <c r="N1021" t="s">
        <v>8648</v>
      </c>
      <c r="Q1021" s="28">
        <v>9079</v>
      </c>
    </row>
    <row r="1022" spans="1:17" x14ac:dyDescent="0.35">
      <c r="A1022" t="s">
        <v>8520</v>
      </c>
      <c r="B1022" s="3" t="s">
        <v>102</v>
      </c>
      <c r="F1022">
        <v>5</v>
      </c>
      <c r="G1022" t="s">
        <v>8607</v>
      </c>
      <c r="H1022">
        <v>27</v>
      </c>
      <c r="I1022" t="s">
        <v>9296</v>
      </c>
      <c r="J1022" t="str">
        <f t="shared" si="15"/>
        <v>13F-HR-5.27.C1</v>
      </c>
      <c r="K1022" s="5" t="s">
        <v>8608</v>
      </c>
      <c r="L1022" t="s">
        <v>229</v>
      </c>
      <c r="M1022" t="s">
        <v>8609</v>
      </c>
      <c r="N1022" t="s">
        <v>8610</v>
      </c>
      <c r="Q1022" s="28" t="s">
        <v>8788</v>
      </c>
    </row>
    <row r="1023" spans="1:17" x14ac:dyDescent="0.35">
      <c r="A1023" t="s">
        <v>8520</v>
      </c>
      <c r="B1023" s="3" t="s">
        <v>102</v>
      </c>
      <c r="F1023">
        <v>5</v>
      </c>
      <c r="G1023" t="s">
        <v>8607</v>
      </c>
      <c r="H1023">
        <v>28</v>
      </c>
      <c r="I1023" t="s">
        <v>9297</v>
      </c>
      <c r="J1023" t="str">
        <f t="shared" si="15"/>
        <v>13F-HR-5.28.C2</v>
      </c>
      <c r="K1023" s="5" t="s">
        <v>8612</v>
      </c>
      <c r="L1023" t="s">
        <v>229</v>
      </c>
      <c r="M1023" t="s">
        <v>8613</v>
      </c>
      <c r="N1023" t="s">
        <v>8614</v>
      </c>
      <c r="Q1023" s="28" t="s">
        <v>8615</v>
      </c>
    </row>
    <row r="1024" spans="1:17" x14ac:dyDescent="0.35">
      <c r="A1024" t="s">
        <v>8520</v>
      </c>
      <c r="B1024" s="3" t="s">
        <v>102</v>
      </c>
      <c r="F1024">
        <v>5</v>
      </c>
      <c r="G1024" t="s">
        <v>8607</v>
      </c>
      <c r="H1024">
        <v>29</v>
      </c>
      <c r="I1024" t="s">
        <v>9298</v>
      </c>
      <c r="J1024" t="str">
        <f t="shared" si="15"/>
        <v>13F-HR-5.29.C3</v>
      </c>
      <c r="K1024" s="5" t="s">
        <v>8616</v>
      </c>
      <c r="L1024" t="s">
        <v>229</v>
      </c>
      <c r="M1024" t="s">
        <v>7927</v>
      </c>
      <c r="N1024" t="s">
        <v>8617</v>
      </c>
      <c r="Q1024" s="28" t="s">
        <v>8789</v>
      </c>
    </row>
    <row r="1025" spans="1:17" x14ac:dyDescent="0.35">
      <c r="A1025" t="s">
        <v>8520</v>
      </c>
      <c r="B1025" s="3" t="s">
        <v>102</v>
      </c>
      <c r="F1025">
        <v>5</v>
      </c>
      <c r="G1025" t="s">
        <v>8607</v>
      </c>
      <c r="H1025">
        <v>30</v>
      </c>
      <c r="I1025" t="s">
        <v>9299</v>
      </c>
      <c r="J1025" t="str">
        <f t="shared" si="15"/>
        <v>13F-HR-5.30.C4</v>
      </c>
      <c r="K1025" s="5" t="s">
        <v>8618</v>
      </c>
      <c r="L1025" t="s">
        <v>8619</v>
      </c>
      <c r="M1025" t="s">
        <v>8620</v>
      </c>
      <c r="N1025" t="s">
        <v>8621</v>
      </c>
      <c r="Q1025" s="28">
        <v>1658997</v>
      </c>
    </row>
    <row r="1026" spans="1:17" x14ac:dyDescent="0.35">
      <c r="A1026" t="s">
        <v>8520</v>
      </c>
      <c r="B1026" s="3" t="s">
        <v>102</v>
      </c>
      <c r="F1026">
        <v>5</v>
      </c>
      <c r="G1026" t="s">
        <v>8607</v>
      </c>
      <c r="H1026">
        <v>31</v>
      </c>
      <c r="I1026" t="s">
        <v>9300</v>
      </c>
      <c r="J1026" t="str">
        <f t="shared" si="15"/>
        <v>13F-HR-5.31.C5</v>
      </c>
      <c r="K1026" s="5" t="s">
        <v>8622</v>
      </c>
      <c r="L1026" t="s">
        <v>241</v>
      </c>
      <c r="M1026" t="s">
        <v>8623</v>
      </c>
      <c r="N1026" t="s">
        <v>8624</v>
      </c>
      <c r="Q1026" s="28">
        <v>20939</v>
      </c>
    </row>
    <row r="1027" spans="1:17" x14ac:dyDescent="0.35">
      <c r="A1027" t="s">
        <v>8520</v>
      </c>
      <c r="B1027" s="3" t="s">
        <v>102</v>
      </c>
      <c r="F1027">
        <v>5</v>
      </c>
      <c r="G1027" t="s">
        <v>8607</v>
      </c>
      <c r="H1027">
        <v>32</v>
      </c>
      <c r="I1027" t="s">
        <v>9301</v>
      </c>
      <c r="J1027" t="str">
        <f t="shared" ref="J1027:J1090" si="16">_xlfn.CONCAT(A1027,"-",F1027,".",H1027,".",I1027)</f>
        <v>13F-HR-5.32.C6</v>
      </c>
      <c r="K1027" s="5" t="s">
        <v>8625</v>
      </c>
      <c r="L1027" t="s">
        <v>229</v>
      </c>
      <c r="M1027" t="s">
        <v>8626</v>
      </c>
      <c r="N1027" t="s">
        <v>8627</v>
      </c>
      <c r="Q1027" s="28" t="s">
        <v>8628</v>
      </c>
    </row>
    <row r="1028" spans="1:17" x14ac:dyDescent="0.35">
      <c r="A1028" t="s">
        <v>8520</v>
      </c>
      <c r="B1028" s="3" t="s">
        <v>102</v>
      </c>
      <c r="F1028">
        <v>5</v>
      </c>
      <c r="G1028" t="s">
        <v>8607</v>
      </c>
      <c r="H1028">
        <v>33</v>
      </c>
      <c r="I1028" t="s">
        <v>9302</v>
      </c>
      <c r="J1028" t="str">
        <f t="shared" si="16"/>
        <v>13F-HR-5.33.C7</v>
      </c>
      <c r="K1028" s="5" t="s">
        <v>8629</v>
      </c>
      <c r="L1028" t="s">
        <v>229</v>
      </c>
      <c r="M1028" t="s">
        <v>8630</v>
      </c>
      <c r="N1028" t="s">
        <v>8631</v>
      </c>
      <c r="Q1028" s="28" t="s">
        <v>8685</v>
      </c>
    </row>
    <row r="1029" spans="1:17" x14ac:dyDescent="0.35">
      <c r="A1029" t="s">
        <v>8520</v>
      </c>
      <c r="B1029" s="3" t="s">
        <v>102</v>
      </c>
      <c r="F1029">
        <v>5</v>
      </c>
      <c r="G1029" t="s">
        <v>8607</v>
      </c>
      <c r="H1029">
        <v>34</v>
      </c>
      <c r="I1029" t="s">
        <v>9303</v>
      </c>
      <c r="J1029" t="str">
        <f t="shared" si="16"/>
        <v>13F-HR-5.34.C8</v>
      </c>
      <c r="K1029" s="5" t="s">
        <v>8633</v>
      </c>
      <c r="L1029" t="s">
        <v>4735</v>
      </c>
      <c r="M1029" t="s">
        <v>8634</v>
      </c>
      <c r="N1029" t="s">
        <v>8635</v>
      </c>
      <c r="Q1029" s="28" t="s">
        <v>8632</v>
      </c>
    </row>
    <row r="1030" spans="1:17" x14ac:dyDescent="0.35">
      <c r="A1030" t="s">
        <v>8651</v>
      </c>
      <c r="B1030" s="3" t="s">
        <v>102</v>
      </c>
      <c r="F1030">
        <v>5</v>
      </c>
      <c r="G1030" t="s">
        <v>8607</v>
      </c>
      <c r="H1030">
        <v>35</v>
      </c>
      <c r="I1030" t="s">
        <v>9304</v>
      </c>
      <c r="J1030" t="str">
        <f t="shared" si="16"/>
        <v>135-HR-5.35.C9</v>
      </c>
      <c r="K1030" s="5" t="s">
        <v>8637</v>
      </c>
      <c r="L1030" t="s">
        <v>229</v>
      </c>
      <c r="M1030" t="s">
        <v>8638</v>
      </c>
      <c r="N1030" t="s">
        <v>8639</v>
      </c>
      <c r="Q1030" s="28" t="s">
        <v>8636</v>
      </c>
    </row>
    <row r="1031" spans="1:17" x14ac:dyDescent="0.35">
      <c r="A1031" t="s">
        <v>8520</v>
      </c>
      <c r="B1031" s="3" t="s">
        <v>102</v>
      </c>
      <c r="F1031">
        <v>5</v>
      </c>
      <c r="G1031" t="s">
        <v>8607</v>
      </c>
      <c r="H1031">
        <v>36</v>
      </c>
      <c r="I1031" t="s">
        <v>9305</v>
      </c>
      <c r="J1031" t="str">
        <f t="shared" si="16"/>
        <v>13F-HR-5.36.C10</v>
      </c>
      <c r="K1031" s="5" t="s">
        <v>8640</v>
      </c>
      <c r="L1031" t="s">
        <v>241</v>
      </c>
      <c r="M1031" t="s">
        <v>8641</v>
      </c>
      <c r="N1031" t="s">
        <v>8642</v>
      </c>
      <c r="Q1031" s="28">
        <v>20939</v>
      </c>
    </row>
    <row r="1032" spans="1:17" x14ac:dyDescent="0.35">
      <c r="A1032" t="s">
        <v>8520</v>
      </c>
      <c r="B1032" s="3" t="s">
        <v>102</v>
      </c>
      <c r="F1032">
        <v>5</v>
      </c>
      <c r="G1032" t="s">
        <v>8607</v>
      </c>
      <c r="H1032">
        <v>37</v>
      </c>
      <c r="I1032" t="s">
        <v>9306</v>
      </c>
      <c r="J1032" t="str">
        <f t="shared" si="16"/>
        <v>13F-HR-5.37.C11</v>
      </c>
      <c r="K1032" s="5" t="s">
        <v>8643</v>
      </c>
      <c r="L1032" t="s">
        <v>241</v>
      </c>
      <c r="M1032" t="s">
        <v>8644</v>
      </c>
      <c r="N1032" t="s">
        <v>8645</v>
      </c>
      <c r="Q1032" s="28">
        <v>0</v>
      </c>
    </row>
    <row r="1033" spans="1:17" x14ac:dyDescent="0.35">
      <c r="A1033" t="s">
        <v>8520</v>
      </c>
      <c r="B1033" s="3" t="s">
        <v>102</v>
      </c>
      <c r="F1033">
        <v>5</v>
      </c>
      <c r="G1033" t="s">
        <v>8607</v>
      </c>
      <c r="H1033">
        <v>38</v>
      </c>
      <c r="I1033" t="s">
        <v>9307</v>
      </c>
      <c r="J1033" t="str">
        <f t="shared" si="16"/>
        <v>13F-HR-5.38.C12</v>
      </c>
      <c r="K1033" s="5" t="s">
        <v>8646</v>
      </c>
      <c r="L1033" t="s">
        <v>241</v>
      </c>
      <c r="M1033" t="s">
        <v>8647</v>
      </c>
      <c r="N1033" t="s">
        <v>8648</v>
      </c>
      <c r="Q1033" s="28">
        <v>0</v>
      </c>
    </row>
    <row r="1034" spans="1:17" x14ac:dyDescent="0.35">
      <c r="A1034" t="s">
        <v>8520</v>
      </c>
      <c r="B1034" s="3" t="s">
        <v>102</v>
      </c>
      <c r="F1034">
        <v>5</v>
      </c>
      <c r="G1034" t="s">
        <v>8607</v>
      </c>
      <c r="H1034">
        <v>27</v>
      </c>
      <c r="I1034" t="s">
        <v>9296</v>
      </c>
      <c r="J1034" t="str">
        <f t="shared" si="16"/>
        <v>13F-HR-5.27.C1</v>
      </c>
      <c r="K1034" s="5" t="s">
        <v>8608</v>
      </c>
      <c r="L1034" t="s">
        <v>229</v>
      </c>
      <c r="M1034" t="s">
        <v>8609</v>
      </c>
      <c r="N1034" t="s">
        <v>8610</v>
      </c>
      <c r="Q1034" s="28" t="s">
        <v>8790</v>
      </c>
    </row>
    <row r="1035" spans="1:17" x14ac:dyDescent="0.35">
      <c r="A1035" t="s">
        <v>8520</v>
      </c>
      <c r="B1035" s="3" t="s">
        <v>102</v>
      </c>
      <c r="F1035">
        <v>5</v>
      </c>
      <c r="G1035" t="s">
        <v>8607</v>
      </c>
      <c r="H1035">
        <v>28</v>
      </c>
      <c r="I1035" t="s">
        <v>9297</v>
      </c>
      <c r="J1035" t="str">
        <f t="shared" si="16"/>
        <v>13F-HR-5.28.C2</v>
      </c>
      <c r="K1035" s="5" t="s">
        <v>8612</v>
      </c>
      <c r="L1035" t="s">
        <v>229</v>
      </c>
      <c r="M1035" t="s">
        <v>8613</v>
      </c>
      <c r="N1035" t="s">
        <v>8614</v>
      </c>
      <c r="Q1035" s="28" t="s">
        <v>8706</v>
      </c>
    </row>
    <row r="1036" spans="1:17" x14ac:dyDescent="0.35">
      <c r="A1036" t="s">
        <v>8520</v>
      </c>
      <c r="B1036" s="3" t="s">
        <v>102</v>
      </c>
      <c r="F1036">
        <v>5</v>
      </c>
      <c r="G1036" t="s">
        <v>8607</v>
      </c>
      <c r="H1036">
        <v>29</v>
      </c>
      <c r="I1036" t="s">
        <v>9298</v>
      </c>
      <c r="J1036" t="str">
        <f t="shared" si="16"/>
        <v>13F-HR-5.29.C3</v>
      </c>
      <c r="K1036" s="5" t="s">
        <v>8616</v>
      </c>
      <c r="L1036" t="s">
        <v>229</v>
      </c>
      <c r="M1036" t="s">
        <v>7927</v>
      </c>
      <c r="N1036" t="s">
        <v>8617</v>
      </c>
      <c r="Q1036" s="28" t="s">
        <v>8791</v>
      </c>
    </row>
    <row r="1037" spans="1:17" x14ac:dyDescent="0.35">
      <c r="A1037" t="s">
        <v>8520</v>
      </c>
      <c r="B1037" s="3" t="s">
        <v>102</v>
      </c>
      <c r="F1037">
        <v>5</v>
      </c>
      <c r="G1037" t="s">
        <v>8607</v>
      </c>
      <c r="H1037">
        <v>30</v>
      </c>
      <c r="I1037" t="s">
        <v>9299</v>
      </c>
      <c r="J1037" t="str">
        <f t="shared" si="16"/>
        <v>13F-HR-5.30.C4</v>
      </c>
      <c r="K1037" s="5" t="s">
        <v>8618</v>
      </c>
      <c r="L1037" t="s">
        <v>8619</v>
      </c>
      <c r="M1037" t="s">
        <v>8620</v>
      </c>
      <c r="N1037" t="s">
        <v>8621</v>
      </c>
      <c r="Q1037" s="28">
        <v>43078130</v>
      </c>
    </row>
    <row r="1038" spans="1:17" x14ac:dyDescent="0.35">
      <c r="A1038" t="s">
        <v>8520</v>
      </c>
      <c r="B1038" s="3" t="s">
        <v>102</v>
      </c>
      <c r="F1038">
        <v>5</v>
      </c>
      <c r="G1038" t="s">
        <v>8607</v>
      </c>
      <c r="H1038">
        <v>31</v>
      </c>
      <c r="I1038" t="s">
        <v>9300</v>
      </c>
      <c r="J1038" t="str">
        <f t="shared" si="16"/>
        <v>13F-HR-5.31.C5</v>
      </c>
      <c r="K1038" s="5" t="s">
        <v>8622</v>
      </c>
      <c r="L1038" t="s">
        <v>241</v>
      </c>
      <c r="M1038" t="s">
        <v>8623</v>
      </c>
      <c r="N1038" t="s">
        <v>8624</v>
      </c>
      <c r="Q1038" s="28">
        <v>1964347</v>
      </c>
    </row>
    <row r="1039" spans="1:17" x14ac:dyDescent="0.35">
      <c r="A1039" t="s">
        <v>8520</v>
      </c>
      <c r="B1039" s="3" t="s">
        <v>102</v>
      </c>
      <c r="F1039">
        <v>5</v>
      </c>
      <c r="G1039" t="s">
        <v>8607</v>
      </c>
      <c r="H1039">
        <v>32</v>
      </c>
      <c r="I1039" t="s">
        <v>9301</v>
      </c>
      <c r="J1039" t="str">
        <f t="shared" si="16"/>
        <v>13F-HR-5.32.C6</v>
      </c>
      <c r="K1039" s="5" t="s">
        <v>8625</v>
      </c>
      <c r="L1039" t="s">
        <v>229</v>
      </c>
      <c r="M1039" t="s">
        <v>8626</v>
      </c>
      <c r="N1039" t="s">
        <v>8627</v>
      </c>
      <c r="Q1039" s="28" t="s">
        <v>8628</v>
      </c>
    </row>
    <row r="1040" spans="1:17" x14ac:dyDescent="0.35">
      <c r="A1040" t="s">
        <v>8520</v>
      </c>
      <c r="B1040" s="3" t="s">
        <v>102</v>
      </c>
      <c r="F1040">
        <v>5</v>
      </c>
      <c r="G1040" t="s">
        <v>8607</v>
      </c>
      <c r="H1040">
        <v>33</v>
      </c>
      <c r="I1040" t="s">
        <v>9302</v>
      </c>
      <c r="J1040" t="str">
        <f t="shared" si="16"/>
        <v>13F-HR-5.33.C7</v>
      </c>
      <c r="K1040" s="5" t="s">
        <v>8629</v>
      </c>
      <c r="L1040" t="s">
        <v>229</v>
      </c>
      <c r="M1040" t="s">
        <v>8630</v>
      </c>
      <c r="N1040" t="s">
        <v>8631</v>
      </c>
      <c r="Q1040" s="28" t="s">
        <v>8685</v>
      </c>
    </row>
    <row r="1041" spans="1:17" x14ac:dyDescent="0.35">
      <c r="A1041" t="s">
        <v>8520</v>
      </c>
      <c r="B1041" s="3" t="s">
        <v>102</v>
      </c>
      <c r="F1041">
        <v>5</v>
      </c>
      <c r="G1041" t="s">
        <v>8607</v>
      </c>
      <c r="H1041">
        <v>34</v>
      </c>
      <c r="I1041" t="s">
        <v>9303</v>
      </c>
      <c r="J1041" t="str">
        <f t="shared" si="16"/>
        <v>13F-HR-5.34.C8</v>
      </c>
      <c r="K1041" s="5" t="s">
        <v>8633</v>
      </c>
      <c r="L1041" t="s">
        <v>4735</v>
      </c>
      <c r="M1041" t="s">
        <v>8634</v>
      </c>
      <c r="N1041" t="s">
        <v>8635</v>
      </c>
      <c r="Q1041" s="28" t="s">
        <v>8632</v>
      </c>
    </row>
    <row r="1042" spans="1:17" x14ac:dyDescent="0.35">
      <c r="A1042" t="s">
        <v>8651</v>
      </c>
      <c r="B1042" s="3" t="s">
        <v>102</v>
      </c>
      <c r="F1042">
        <v>5</v>
      </c>
      <c r="G1042" t="s">
        <v>8607</v>
      </c>
      <c r="H1042">
        <v>35</v>
      </c>
      <c r="I1042" t="s">
        <v>9304</v>
      </c>
      <c r="J1042" t="str">
        <f t="shared" si="16"/>
        <v>135-HR-5.35.C9</v>
      </c>
      <c r="K1042" s="5" t="s">
        <v>8637</v>
      </c>
      <c r="L1042" t="s">
        <v>229</v>
      </c>
      <c r="M1042" t="s">
        <v>8638</v>
      </c>
      <c r="N1042" t="s">
        <v>8639</v>
      </c>
      <c r="Q1042" s="28" t="s">
        <v>8636</v>
      </c>
    </row>
    <row r="1043" spans="1:17" x14ac:dyDescent="0.35">
      <c r="A1043" t="s">
        <v>8520</v>
      </c>
      <c r="B1043" s="3" t="s">
        <v>102</v>
      </c>
      <c r="F1043">
        <v>5</v>
      </c>
      <c r="G1043" t="s">
        <v>8607</v>
      </c>
      <c r="H1043">
        <v>36</v>
      </c>
      <c r="I1043" t="s">
        <v>9305</v>
      </c>
      <c r="J1043" t="str">
        <f t="shared" si="16"/>
        <v>13F-HR-5.36.C10</v>
      </c>
      <c r="K1043" s="5" t="s">
        <v>8640</v>
      </c>
      <c r="L1043" t="s">
        <v>241</v>
      </c>
      <c r="M1043" t="s">
        <v>8641</v>
      </c>
      <c r="N1043" t="s">
        <v>8642</v>
      </c>
      <c r="Q1043" s="28">
        <v>1964347</v>
      </c>
    </row>
    <row r="1044" spans="1:17" x14ac:dyDescent="0.35">
      <c r="A1044" t="s">
        <v>8520</v>
      </c>
      <c r="B1044" s="3" t="s">
        <v>102</v>
      </c>
      <c r="F1044">
        <v>5</v>
      </c>
      <c r="G1044" t="s">
        <v>8607</v>
      </c>
      <c r="H1044">
        <v>37</v>
      </c>
      <c r="I1044" t="s">
        <v>9306</v>
      </c>
      <c r="J1044" t="str">
        <f t="shared" si="16"/>
        <v>13F-HR-5.37.C11</v>
      </c>
      <c r="K1044" s="5" t="s">
        <v>8643</v>
      </c>
      <c r="L1044" t="s">
        <v>241</v>
      </c>
      <c r="M1044" t="s">
        <v>8644</v>
      </c>
      <c r="N1044" t="s">
        <v>8645</v>
      </c>
      <c r="Q1044" s="28">
        <v>0</v>
      </c>
    </row>
    <row r="1045" spans="1:17" x14ac:dyDescent="0.35">
      <c r="A1045" t="s">
        <v>8520</v>
      </c>
      <c r="B1045" s="3" t="s">
        <v>102</v>
      </c>
      <c r="F1045">
        <v>5</v>
      </c>
      <c r="G1045" t="s">
        <v>8607</v>
      </c>
      <c r="H1045">
        <v>38</v>
      </c>
      <c r="I1045" t="s">
        <v>9307</v>
      </c>
      <c r="J1045" t="str">
        <f t="shared" si="16"/>
        <v>13F-HR-5.38.C12</v>
      </c>
      <c r="K1045" s="5" t="s">
        <v>8646</v>
      </c>
      <c r="L1045" t="s">
        <v>241</v>
      </c>
      <c r="M1045" t="s">
        <v>8647</v>
      </c>
      <c r="N1045" t="s">
        <v>8648</v>
      </c>
      <c r="Q1045" s="28">
        <v>0</v>
      </c>
    </row>
    <row r="1046" spans="1:17" x14ac:dyDescent="0.35">
      <c r="A1046" t="s">
        <v>8520</v>
      </c>
      <c r="B1046" s="3" t="s">
        <v>102</v>
      </c>
      <c r="F1046">
        <v>5</v>
      </c>
      <c r="G1046" t="s">
        <v>8607</v>
      </c>
      <c r="H1046">
        <v>27</v>
      </c>
      <c r="I1046" t="s">
        <v>9296</v>
      </c>
      <c r="J1046" t="str">
        <f t="shared" si="16"/>
        <v>13F-HR-5.27.C1</v>
      </c>
      <c r="K1046" s="5" t="s">
        <v>8608</v>
      </c>
      <c r="L1046" t="s">
        <v>229</v>
      </c>
      <c r="M1046" t="s">
        <v>8609</v>
      </c>
      <c r="N1046" t="s">
        <v>8610</v>
      </c>
      <c r="Q1046" s="28" t="s">
        <v>8792</v>
      </c>
    </row>
    <row r="1047" spans="1:17" x14ac:dyDescent="0.35">
      <c r="A1047" t="s">
        <v>8520</v>
      </c>
      <c r="B1047" s="3" t="s">
        <v>102</v>
      </c>
      <c r="F1047">
        <v>5</v>
      </c>
      <c r="G1047" t="s">
        <v>8607</v>
      </c>
      <c r="H1047">
        <v>28</v>
      </c>
      <c r="I1047" t="s">
        <v>9297</v>
      </c>
      <c r="J1047" t="str">
        <f t="shared" si="16"/>
        <v>13F-HR-5.28.C2</v>
      </c>
      <c r="K1047" s="5" t="s">
        <v>8612</v>
      </c>
      <c r="L1047" t="s">
        <v>229</v>
      </c>
      <c r="M1047" t="s">
        <v>8613</v>
      </c>
      <c r="N1047" t="s">
        <v>8614</v>
      </c>
      <c r="Q1047" s="28" t="s">
        <v>8615</v>
      </c>
    </row>
    <row r="1048" spans="1:17" x14ac:dyDescent="0.35">
      <c r="A1048" t="s">
        <v>8520</v>
      </c>
      <c r="B1048" s="3" t="s">
        <v>102</v>
      </c>
      <c r="F1048">
        <v>5</v>
      </c>
      <c r="G1048" t="s">
        <v>8607</v>
      </c>
      <c r="H1048">
        <v>29</v>
      </c>
      <c r="I1048" t="s">
        <v>9298</v>
      </c>
      <c r="J1048" t="str">
        <f t="shared" si="16"/>
        <v>13F-HR-5.29.C3</v>
      </c>
      <c r="K1048" s="5" t="s">
        <v>8616</v>
      </c>
      <c r="L1048" t="s">
        <v>229</v>
      </c>
      <c r="M1048" t="s">
        <v>7927</v>
      </c>
      <c r="N1048" t="s">
        <v>8617</v>
      </c>
      <c r="Q1048" s="28" t="s">
        <v>8793</v>
      </c>
    </row>
    <row r="1049" spans="1:17" x14ac:dyDescent="0.35">
      <c r="A1049" t="s">
        <v>8520</v>
      </c>
      <c r="B1049" s="3" t="s">
        <v>102</v>
      </c>
      <c r="F1049">
        <v>5</v>
      </c>
      <c r="G1049" t="s">
        <v>8607</v>
      </c>
      <c r="H1049">
        <v>30</v>
      </c>
      <c r="I1049" t="s">
        <v>9299</v>
      </c>
      <c r="J1049" t="str">
        <f t="shared" si="16"/>
        <v>13F-HR-5.30.C4</v>
      </c>
      <c r="K1049" s="5" t="s">
        <v>8618</v>
      </c>
      <c r="L1049" t="s">
        <v>8619</v>
      </c>
      <c r="M1049" t="s">
        <v>8620</v>
      </c>
      <c r="N1049" t="s">
        <v>8621</v>
      </c>
      <c r="Q1049" s="28">
        <v>2954755</v>
      </c>
    </row>
    <row r="1050" spans="1:17" x14ac:dyDescent="0.35">
      <c r="A1050" t="s">
        <v>8520</v>
      </c>
      <c r="B1050" s="3" t="s">
        <v>102</v>
      </c>
      <c r="F1050">
        <v>5</v>
      </c>
      <c r="G1050" t="s">
        <v>8607</v>
      </c>
      <c r="H1050">
        <v>31</v>
      </c>
      <c r="I1050" t="s">
        <v>9300</v>
      </c>
      <c r="J1050" t="str">
        <f t="shared" si="16"/>
        <v>13F-HR-5.31.C5</v>
      </c>
      <c r="K1050" s="5" t="s">
        <v>8622</v>
      </c>
      <c r="L1050" t="s">
        <v>241</v>
      </c>
      <c r="M1050" t="s">
        <v>8623</v>
      </c>
      <c r="N1050" t="s">
        <v>8624</v>
      </c>
      <c r="Q1050" s="28">
        <v>23242</v>
      </c>
    </row>
    <row r="1051" spans="1:17" x14ac:dyDescent="0.35">
      <c r="A1051" t="s">
        <v>8520</v>
      </c>
      <c r="B1051" s="3" t="s">
        <v>102</v>
      </c>
      <c r="F1051">
        <v>5</v>
      </c>
      <c r="G1051" t="s">
        <v>8607</v>
      </c>
      <c r="H1051">
        <v>32</v>
      </c>
      <c r="I1051" t="s">
        <v>9301</v>
      </c>
      <c r="J1051" t="str">
        <f t="shared" si="16"/>
        <v>13F-HR-5.32.C6</v>
      </c>
      <c r="K1051" s="5" t="s">
        <v>8625</v>
      </c>
      <c r="L1051" t="s">
        <v>229</v>
      </c>
      <c r="M1051" t="s">
        <v>8626</v>
      </c>
      <c r="N1051" t="s">
        <v>8627</v>
      </c>
      <c r="Q1051" s="28" t="s">
        <v>8628</v>
      </c>
    </row>
    <row r="1052" spans="1:17" x14ac:dyDescent="0.35">
      <c r="A1052" t="s">
        <v>8520</v>
      </c>
      <c r="B1052" s="3" t="s">
        <v>102</v>
      </c>
      <c r="F1052">
        <v>5</v>
      </c>
      <c r="G1052" t="s">
        <v>8607</v>
      </c>
      <c r="H1052">
        <v>33</v>
      </c>
      <c r="I1052" t="s">
        <v>9302</v>
      </c>
      <c r="J1052" t="str">
        <f t="shared" si="16"/>
        <v>13F-HR-5.33.C7</v>
      </c>
      <c r="K1052" s="5" t="s">
        <v>8629</v>
      </c>
      <c r="L1052" t="s">
        <v>229</v>
      </c>
      <c r="M1052" t="s">
        <v>8630</v>
      </c>
      <c r="N1052" t="s">
        <v>8631</v>
      </c>
      <c r="Q1052" s="28" t="s">
        <v>8685</v>
      </c>
    </row>
    <row r="1053" spans="1:17" x14ac:dyDescent="0.35">
      <c r="A1053" t="s">
        <v>8520</v>
      </c>
      <c r="B1053" s="3" t="s">
        <v>102</v>
      </c>
      <c r="F1053">
        <v>5</v>
      </c>
      <c r="G1053" t="s">
        <v>8607</v>
      </c>
      <c r="H1053">
        <v>34</v>
      </c>
      <c r="I1053" t="s">
        <v>9303</v>
      </c>
      <c r="J1053" t="str">
        <f t="shared" si="16"/>
        <v>13F-HR-5.34.C8</v>
      </c>
      <c r="K1053" s="5" t="s">
        <v>8633</v>
      </c>
      <c r="L1053" t="s">
        <v>4735</v>
      </c>
      <c r="M1053" t="s">
        <v>8634</v>
      </c>
      <c r="N1053" t="s">
        <v>8635</v>
      </c>
      <c r="Q1053" s="28" t="s">
        <v>8632</v>
      </c>
    </row>
    <row r="1054" spans="1:17" x14ac:dyDescent="0.35">
      <c r="A1054" t="s">
        <v>8651</v>
      </c>
      <c r="B1054" s="3" t="s">
        <v>102</v>
      </c>
      <c r="F1054">
        <v>5</v>
      </c>
      <c r="G1054" t="s">
        <v>8607</v>
      </c>
      <c r="H1054">
        <v>35</v>
      </c>
      <c r="I1054" t="s">
        <v>9304</v>
      </c>
      <c r="J1054" t="str">
        <f t="shared" si="16"/>
        <v>135-HR-5.35.C9</v>
      </c>
      <c r="K1054" s="5" t="s">
        <v>8637</v>
      </c>
      <c r="L1054" t="s">
        <v>229</v>
      </c>
      <c r="M1054" t="s">
        <v>8638</v>
      </c>
      <c r="N1054" t="s">
        <v>8639</v>
      </c>
      <c r="Q1054" s="28" t="s">
        <v>8636</v>
      </c>
    </row>
    <row r="1055" spans="1:17" x14ac:dyDescent="0.35">
      <c r="A1055" t="s">
        <v>8520</v>
      </c>
      <c r="B1055" s="3" t="s">
        <v>102</v>
      </c>
      <c r="F1055">
        <v>5</v>
      </c>
      <c r="G1055" t="s">
        <v>8607</v>
      </c>
      <c r="H1055">
        <v>36</v>
      </c>
      <c r="I1055" t="s">
        <v>9305</v>
      </c>
      <c r="J1055" t="str">
        <f t="shared" si="16"/>
        <v>13F-HR-5.36.C10</v>
      </c>
      <c r="K1055" s="5" t="s">
        <v>8640</v>
      </c>
      <c r="L1055" t="s">
        <v>241</v>
      </c>
      <c r="M1055" t="s">
        <v>8641</v>
      </c>
      <c r="N1055" t="s">
        <v>8642</v>
      </c>
      <c r="Q1055" s="28">
        <v>0</v>
      </c>
    </row>
    <row r="1056" spans="1:17" x14ac:dyDescent="0.35">
      <c r="A1056" t="s">
        <v>8520</v>
      </c>
      <c r="B1056" s="3" t="s">
        <v>102</v>
      </c>
      <c r="F1056">
        <v>5</v>
      </c>
      <c r="G1056" t="s">
        <v>8607</v>
      </c>
      <c r="H1056">
        <v>37</v>
      </c>
      <c r="I1056" t="s">
        <v>9306</v>
      </c>
      <c r="J1056" t="str">
        <f t="shared" si="16"/>
        <v>13F-HR-5.37.C11</v>
      </c>
      <c r="K1056" s="5" t="s">
        <v>8643</v>
      </c>
      <c r="L1056" t="s">
        <v>241</v>
      </c>
      <c r="M1056" t="s">
        <v>8644</v>
      </c>
      <c r="N1056" t="s">
        <v>8645</v>
      </c>
      <c r="Q1056" s="28">
        <v>0</v>
      </c>
    </row>
    <row r="1057" spans="1:17" x14ac:dyDescent="0.35">
      <c r="A1057" t="s">
        <v>8520</v>
      </c>
      <c r="B1057" s="3" t="s">
        <v>102</v>
      </c>
      <c r="F1057">
        <v>5</v>
      </c>
      <c r="G1057" t="s">
        <v>8607</v>
      </c>
      <c r="H1057">
        <v>38</v>
      </c>
      <c r="I1057" t="s">
        <v>9307</v>
      </c>
      <c r="J1057" t="str">
        <f t="shared" si="16"/>
        <v>13F-HR-5.38.C12</v>
      </c>
      <c r="K1057" s="5" t="s">
        <v>8646</v>
      </c>
      <c r="L1057" t="s">
        <v>241</v>
      </c>
      <c r="M1057" t="s">
        <v>8647</v>
      </c>
      <c r="N1057" t="s">
        <v>8648</v>
      </c>
      <c r="Q1057" s="28">
        <v>23242</v>
      </c>
    </row>
    <row r="1058" spans="1:17" x14ac:dyDescent="0.35">
      <c r="A1058" t="s">
        <v>8520</v>
      </c>
      <c r="B1058" s="3" t="s">
        <v>102</v>
      </c>
      <c r="F1058">
        <v>5</v>
      </c>
      <c r="G1058" t="s">
        <v>8607</v>
      </c>
      <c r="H1058">
        <v>27</v>
      </c>
      <c r="I1058" t="s">
        <v>9296</v>
      </c>
      <c r="J1058" t="str">
        <f t="shared" si="16"/>
        <v>13F-HR-5.27.C1</v>
      </c>
      <c r="K1058" s="5" t="s">
        <v>8608</v>
      </c>
      <c r="L1058" t="s">
        <v>229</v>
      </c>
      <c r="M1058" t="s">
        <v>8609</v>
      </c>
      <c r="N1058" t="s">
        <v>8610</v>
      </c>
      <c r="Q1058" s="28" t="s">
        <v>8794</v>
      </c>
    </row>
    <row r="1059" spans="1:17" x14ac:dyDescent="0.35">
      <c r="A1059" t="s">
        <v>8520</v>
      </c>
      <c r="B1059" s="3" t="s">
        <v>102</v>
      </c>
      <c r="F1059">
        <v>5</v>
      </c>
      <c r="G1059" t="s">
        <v>8607</v>
      </c>
      <c r="H1059">
        <v>28</v>
      </c>
      <c r="I1059" t="s">
        <v>9297</v>
      </c>
      <c r="J1059" t="str">
        <f t="shared" si="16"/>
        <v>13F-HR-5.28.C2</v>
      </c>
      <c r="K1059" s="5" t="s">
        <v>8612</v>
      </c>
      <c r="L1059" t="s">
        <v>229</v>
      </c>
      <c r="M1059" t="s">
        <v>8613</v>
      </c>
      <c r="N1059" t="s">
        <v>8614</v>
      </c>
      <c r="Q1059" s="28" t="s">
        <v>8615</v>
      </c>
    </row>
    <row r="1060" spans="1:17" x14ac:dyDescent="0.35">
      <c r="A1060" t="s">
        <v>8520</v>
      </c>
      <c r="B1060" s="3" t="s">
        <v>102</v>
      </c>
      <c r="F1060">
        <v>5</v>
      </c>
      <c r="G1060" t="s">
        <v>8607</v>
      </c>
      <c r="H1060">
        <v>29</v>
      </c>
      <c r="I1060" t="s">
        <v>9298</v>
      </c>
      <c r="J1060" t="str">
        <f t="shared" si="16"/>
        <v>13F-HR-5.29.C3</v>
      </c>
      <c r="K1060" s="5" t="s">
        <v>8616</v>
      </c>
      <c r="L1060" t="s">
        <v>229</v>
      </c>
      <c r="M1060" t="s">
        <v>7927</v>
      </c>
      <c r="N1060" t="s">
        <v>8617</v>
      </c>
      <c r="Q1060" s="28">
        <v>233331107</v>
      </c>
    </row>
    <row r="1061" spans="1:17" x14ac:dyDescent="0.35">
      <c r="A1061" t="s">
        <v>8520</v>
      </c>
      <c r="B1061" s="3" t="s">
        <v>102</v>
      </c>
      <c r="F1061">
        <v>5</v>
      </c>
      <c r="G1061" t="s">
        <v>8607</v>
      </c>
      <c r="H1061">
        <v>30</v>
      </c>
      <c r="I1061" t="s">
        <v>9299</v>
      </c>
      <c r="J1061" t="str">
        <f t="shared" si="16"/>
        <v>13F-HR-5.30.C4</v>
      </c>
      <c r="K1061" s="5" t="s">
        <v>8618</v>
      </c>
      <c r="L1061" t="s">
        <v>8619</v>
      </c>
      <c r="M1061" t="s">
        <v>8620</v>
      </c>
      <c r="N1061" t="s">
        <v>8621</v>
      </c>
      <c r="Q1061" s="28">
        <v>7458699</v>
      </c>
    </row>
    <row r="1062" spans="1:17" x14ac:dyDescent="0.35">
      <c r="A1062" t="s">
        <v>8520</v>
      </c>
      <c r="B1062" s="3" t="s">
        <v>102</v>
      </c>
      <c r="F1062">
        <v>5</v>
      </c>
      <c r="G1062" t="s">
        <v>8607</v>
      </c>
      <c r="H1062">
        <v>31</v>
      </c>
      <c r="I1062" t="s">
        <v>9300</v>
      </c>
      <c r="J1062" t="str">
        <f t="shared" si="16"/>
        <v>13F-HR-5.31.C5</v>
      </c>
      <c r="K1062" s="5" t="s">
        <v>8622</v>
      </c>
      <c r="L1062" t="s">
        <v>241</v>
      </c>
      <c r="M1062" t="s">
        <v>8623</v>
      </c>
      <c r="N1062" t="s">
        <v>8624</v>
      </c>
      <c r="Q1062" s="28">
        <v>53943</v>
      </c>
    </row>
    <row r="1063" spans="1:17" x14ac:dyDescent="0.35">
      <c r="A1063" t="s">
        <v>8520</v>
      </c>
      <c r="B1063" s="3" t="s">
        <v>102</v>
      </c>
      <c r="F1063">
        <v>5</v>
      </c>
      <c r="G1063" t="s">
        <v>8607</v>
      </c>
      <c r="H1063">
        <v>32</v>
      </c>
      <c r="I1063" t="s">
        <v>9301</v>
      </c>
      <c r="J1063" t="str">
        <f t="shared" si="16"/>
        <v>13F-HR-5.32.C6</v>
      </c>
      <c r="K1063" s="5" t="s">
        <v>8625</v>
      </c>
      <c r="L1063" t="s">
        <v>229</v>
      </c>
      <c r="M1063" t="s">
        <v>8626</v>
      </c>
      <c r="N1063" t="s">
        <v>8627</v>
      </c>
      <c r="Q1063" s="28" t="s">
        <v>8628</v>
      </c>
    </row>
    <row r="1064" spans="1:17" x14ac:dyDescent="0.35">
      <c r="A1064" t="s">
        <v>8520</v>
      </c>
      <c r="B1064" s="3" t="s">
        <v>102</v>
      </c>
      <c r="F1064">
        <v>5</v>
      </c>
      <c r="G1064" t="s">
        <v>8607</v>
      </c>
      <c r="H1064">
        <v>33</v>
      </c>
      <c r="I1064" t="s">
        <v>9302</v>
      </c>
      <c r="J1064" t="str">
        <f t="shared" si="16"/>
        <v>13F-HR-5.33.C7</v>
      </c>
      <c r="K1064" s="5" t="s">
        <v>8629</v>
      </c>
      <c r="L1064" t="s">
        <v>229</v>
      </c>
      <c r="M1064" t="s">
        <v>8630</v>
      </c>
      <c r="N1064" t="s">
        <v>8631</v>
      </c>
      <c r="Q1064" s="28" t="s">
        <v>8685</v>
      </c>
    </row>
    <row r="1065" spans="1:17" x14ac:dyDescent="0.35">
      <c r="A1065" t="s">
        <v>8520</v>
      </c>
      <c r="B1065" s="3" t="s">
        <v>102</v>
      </c>
      <c r="F1065">
        <v>5</v>
      </c>
      <c r="G1065" t="s">
        <v>8607</v>
      </c>
      <c r="H1065">
        <v>34</v>
      </c>
      <c r="I1065" t="s">
        <v>9303</v>
      </c>
      <c r="J1065" t="str">
        <f t="shared" si="16"/>
        <v>13F-HR-5.34.C8</v>
      </c>
      <c r="K1065" s="5" t="s">
        <v>8633</v>
      </c>
      <c r="L1065" t="s">
        <v>4735</v>
      </c>
      <c r="M1065" t="s">
        <v>8634</v>
      </c>
      <c r="N1065" t="s">
        <v>8635</v>
      </c>
      <c r="Q1065" s="28" t="s">
        <v>8632</v>
      </c>
    </row>
    <row r="1066" spans="1:17" x14ac:dyDescent="0.35">
      <c r="A1066" t="s">
        <v>8651</v>
      </c>
      <c r="B1066" s="3" t="s">
        <v>102</v>
      </c>
      <c r="F1066">
        <v>5</v>
      </c>
      <c r="G1066" t="s">
        <v>8607</v>
      </c>
      <c r="H1066">
        <v>35</v>
      </c>
      <c r="I1066" t="s">
        <v>9304</v>
      </c>
      <c r="J1066" t="str">
        <f t="shared" si="16"/>
        <v>135-HR-5.35.C9</v>
      </c>
      <c r="K1066" s="5" t="s">
        <v>8637</v>
      </c>
      <c r="L1066" t="s">
        <v>229</v>
      </c>
      <c r="M1066" t="s">
        <v>8638</v>
      </c>
      <c r="N1066" t="s">
        <v>8639</v>
      </c>
      <c r="Q1066" s="28" t="s">
        <v>8636</v>
      </c>
    </row>
    <row r="1067" spans="1:17" x14ac:dyDescent="0.35">
      <c r="A1067" t="s">
        <v>8520</v>
      </c>
      <c r="B1067" s="3" t="s">
        <v>102</v>
      </c>
      <c r="F1067">
        <v>5</v>
      </c>
      <c r="G1067" t="s">
        <v>8607</v>
      </c>
      <c r="H1067">
        <v>36</v>
      </c>
      <c r="I1067" t="s">
        <v>9305</v>
      </c>
      <c r="J1067" t="str">
        <f t="shared" si="16"/>
        <v>13F-HR-5.36.C10</v>
      </c>
      <c r="K1067" s="5" t="s">
        <v>8640</v>
      </c>
      <c r="L1067" t="s">
        <v>241</v>
      </c>
      <c r="M1067" t="s">
        <v>8641</v>
      </c>
      <c r="N1067" t="s">
        <v>8642</v>
      </c>
      <c r="Q1067" s="28">
        <v>0</v>
      </c>
    </row>
    <row r="1068" spans="1:17" x14ac:dyDescent="0.35">
      <c r="A1068" t="s">
        <v>8520</v>
      </c>
      <c r="B1068" s="3" t="s">
        <v>102</v>
      </c>
      <c r="F1068">
        <v>5</v>
      </c>
      <c r="G1068" t="s">
        <v>8607</v>
      </c>
      <c r="H1068">
        <v>37</v>
      </c>
      <c r="I1068" t="s">
        <v>9306</v>
      </c>
      <c r="J1068" t="str">
        <f t="shared" si="16"/>
        <v>13F-HR-5.37.C11</v>
      </c>
      <c r="K1068" s="5" t="s">
        <v>8643</v>
      </c>
      <c r="L1068" t="s">
        <v>241</v>
      </c>
      <c r="M1068" t="s">
        <v>8644</v>
      </c>
      <c r="N1068" t="s">
        <v>8645</v>
      </c>
      <c r="Q1068" s="28">
        <v>0</v>
      </c>
    </row>
    <row r="1069" spans="1:17" x14ac:dyDescent="0.35">
      <c r="A1069" t="s">
        <v>8520</v>
      </c>
      <c r="B1069" s="3" t="s">
        <v>102</v>
      </c>
      <c r="F1069">
        <v>5</v>
      </c>
      <c r="G1069" t="s">
        <v>8607</v>
      </c>
      <c r="H1069">
        <v>38</v>
      </c>
      <c r="I1069" t="s">
        <v>9307</v>
      </c>
      <c r="J1069" t="str">
        <f t="shared" si="16"/>
        <v>13F-HR-5.38.C12</v>
      </c>
      <c r="K1069" s="5" t="s">
        <v>8646</v>
      </c>
      <c r="L1069" t="s">
        <v>241</v>
      </c>
      <c r="M1069" t="s">
        <v>8647</v>
      </c>
      <c r="N1069" t="s">
        <v>8648</v>
      </c>
      <c r="Q1069" s="28">
        <v>53943</v>
      </c>
    </row>
    <row r="1070" spans="1:17" x14ac:dyDescent="0.35">
      <c r="A1070" t="s">
        <v>8520</v>
      </c>
      <c r="B1070" s="3" t="s">
        <v>102</v>
      </c>
      <c r="F1070">
        <v>5</v>
      </c>
      <c r="G1070" t="s">
        <v>8607</v>
      </c>
      <c r="H1070">
        <v>27</v>
      </c>
      <c r="I1070" t="s">
        <v>9296</v>
      </c>
      <c r="J1070" t="str">
        <f t="shared" si="16"/>
        <v>13F-HR-5.27.C1</v>
      </c>
      <c r="K1070" s="5" t="s">
        <v>8608</v>
      </c>
      <c r="L1070" t="s">
        <v>229</v>
      </c>
      <c r="M1070" t="s">
        <v>8609</v>
      </c>
      <c r="N1070" t="s">
        <v>8610</v>
      </c>
      <c r="Q1070" s="28" t="s">
        <v>8795</v>
      </c>
    </row>
    <row r="1071" spans="1:17" x14ac:dyDescent="0.35">
      <c r="A1071" t="s">
        <v>8520</v>
      </c>
      <c r="B1071" s="3" t="s">
        <v>102</v>
      </c>
      <c r="F1071">
        <v>5</v>
      </c>
      <c r="G1071" t="s">
        <v>8607</v>
      </c>
      <c r="H1071">
        <v>28</v>
      </c>
      <c r="I1071" t="s">
        <v>9297</v>
      </c>
      <c r="J1071" t="str">
        <f t="shared" si="16"/>
        <v>13F-HR-5.28.C2</v>
      </c>
      <c r="K1071" s="5" t="s">
        <v>8612</v>
      </c>
      <c r="L1071" t="s">
        <v>229</v>
      </c>
      <c r="M1071" t="s">
        <v>8613</v>
      </c>
      <c r="N1071" t="s">
        <v>8614</v>
      </c>
      <c r="Q1071" s="28" t="s">
        <v>8615</v>
      </c>
    </row>
    <row r="1072" spans="1:17" x14ac:dyDescent="0.35">
      <c r="A1072" t="s">
        <v>8520</v>
      </c>
      <c r="B1072" s="3" t="s">
        <v>102</v>
      </c>
      <c r="F1072">
        <v>5</v>
      </c>
      <c r="G1072" t="s">
        <v>8607</v>
      </c>
      <c r="H1072">
        <v>29</v>
      </c>
      <c r="I1072" t="s">
        <v>9298</v>
      </c>
      <c r="J1072" t="str">
        <f t="shared" si="16"/>
        <v>13F-HR-5.29.C3</v>
      </c>
      <c r="K1072" s="5" t="s">
        <v>8616</v>
      </c>
      <c r="L1072" t="s">
        <v>229</v>
      </c>
      <c r="M1072" t="s">
        <v>7927</v>
      </c>
      <c r="N1072" t="s">
        <v>8617</v>
      </c>
      <c r="Q1072" s="28">
        <v>235851102</v>
      </c>
    </row>
    <row r="1073" spans="1:17" x14ac:dyDescent="0.35">
      <c r="A1073" t="s">
        <v>8520</v>
      </c>
      <c r="B1073" s="3" t="s">
        <v>102</v>
      </c>
      <c r="F1073">
        <v>5</v>
      </c>
      <c r="G1073" t="s">
        <v>8607</v>
      </c>
      <c r="H1073">
        <v>30</v>
      </c>
      <c r="I1073" t="s">
        <v>9299</v>
      </c>
      <c r="J1073" t="str">
        <f t="shared" si="16"/>
        <v>13F-HR-5.30.C4</v>
      </c>
      <c r="K1073" s="5" t="s">
        <v>8618</v>
      </c>
      <c r="L1073" t="s">
        <v>8619</v>
      </c>
      <c r="M1073" t="s">
        <v>8620</v>
      </c>
      <c r="N1073" t="s">
        <v>8621</v>
      </c>
      <c r="Q1073" s="28">
        <v>51963195</v>
      </c>
    </row>
    <row r="1074" spans="1:17" x14ac:dyDescent="0.35">
      <c r="A1074" t="s">
        <v>8520</v>
      </c>
      <c r="B1074" s="3" t="s">
        <v>102</v>
      </c>
      <c r="F1074">
        <v>5</v>
      </c>
      <c r="G1074" t="s">
        <v>8607</v>
      </c>
      <c r="H1074">
        <v>31</v>
      </c>
      <c r="I1074" t="s">
        <v>9300</v>
      </c>
      <c r="J1074" t="str">
        <f t="shared" si="16"/>
        <v>13F-HR-5.31.C5</v>
      </c>
      <c r="K1074" s="5" t="s">
        <v>8622</v>
      </c>
      <c r="L1074" t="s">
        <v>241</v>
      </c>
      <c r="M1074" t="s">
        <v>8623</v>
      </c>
      <c r="N1074" t="s">
        <v>8624</v>
      </c>
      <c r="Q1074" s="28">
        <v>253479</v>
      </c>
    </row>
    <row r="1075" spans="1:17" x14ac:dyDescent="0.35">
      <c r="A1075" t="s">
        <v>8520</v>
      </c>
      <c r="B1075" s="3" t="s">
        <v>102</v>
      </c>
      <c r="F1075">
        <v>5</v>
      </c>
      <c r="G1075" t="s">
        <v>8607</v>
      </c>
      <c r="H1075">
        <v>32</v>
      </c>
      <c r="I1075" t="s">
        <v>9301</v>
      </c>
      <c r="J1075" t="str">
        <f t="shared" si="16"/>
        <v>13F-HR-5.32.C6</v>
      </c>
      <c r="K1075" s="5" t="s">
        <v>8625</v>
      </c>
      <c r="L1075" t="s">
        <v>229</v>
      </c>
      <c r="M1075" t="s">
        <v>8626</v>
      </c>
      <c r="N1075" t="s">
        <v>8627</v>
      </c>
      <c r="Q1075" s="28" t="s">
        <v>8628</v>
      </c>
    </row>
    <row r="1076" spans="1:17" x14ac:dyDescent="0.35">
      <c r="A1076" t="s">
        <v>8520</v>
      </c>
      <c r="B1076" s="3" t="s">
        <v>102</v>
      </c>
      <c r="F1076">
        <v>5</v>
      </c>
      <c r="G1076" t="s">
        <v>8607</v>
      </c>
      <c r="H1076">
        <v>33</v>
      </c>
      <c r="I1076" t="s">
        <v>9302</v>
      </c>
      <c r="J1076" t="str">
        <f t="shared" si="16"/>
        <v>13F-HR-5.33.C7</v>
      </c>
      <c r="K1076" s="5" t="s">
        <v>8629</v>
      </c>
      <c r="L1076" t="s">
        <v>229</v>
      </c>
      <c r="M1076" t="s">
        <v>8630</v>
      </c>
      <c r="N1076" t="s">
        <v>8631</v>
      </c>
      <c r="Q1076" s="28" t="s">
        <v>8685</v>
      </c>
    </row>
    <row r="1077" spans="1:17" x14ac:dyDescent="0.35">
      <c r="A1077" t="s">
        <v>8520</v>
      </c>
      <c r="B1077" s="3" t="s">
        <v>102</v>
      </c>
      <c r="F1077">
        <v>5</v>
      </c>
      <c r="G1077" t="s">
        <v>8607</v>
      </c>
      <c r="H1077">
        <v>34</v>
      </c>
      <c r="I1077" t="s">
        <v>9303</v>
      </c>
      <c r="J1077" t="str">
        <f t="shared" si="16"/>
        <v>13F-HR-5.34.C8</v>
      </c>
      <c r="K1077" s="5" t="s">
        <v>8633</v>
      </c>
      <c r="L1077" t="s">
        <v>4735</v>
      </c>
      <c r="M1077" t="s">
        <v>8634</v>
      </c>
      <c r="N1077" t="s">
        <v>8635</v>
      </c>
      <c r="Q1077" s="28" t="s">
        <v>8632</v>
      </c>
    </row>
    <row r="1078" spans="1:17" x14ac:dyDescent="0.35">
      <c r="A1078" t="s">
        <v>8651</v>
      </c>
      <c r="B1078" s="3" t="s">
        <v>102</v>
      </c>
      <c r="F1078">
        <v>5</v>
      </c>
      <c r="G1078" t="s">
        <v>8607</v>
      </c>
      <c r="H1078">
        <v>35</v>
      </c>
      <c r="I1078" t="s">
        <v>9304</v>
      </c>
      <c r="J1078" t="str">
        <f t="shared" si="16"/>
        <v>135-HR-5.35.C9</v>
      </c>
      <c r="K1078" s="5" t="s">
        <v>8637</v>
      </c>
      <c r="L1078" t="s">
        <v>229</v>
      </c>
      <c r="M1078" t="s">
        <v>8638</v>
      </c>
      <c r="N1078" t="s">
        <v>8639</v>
      </c>
      <c r="Q1078" s="28" t="s">
        <v>8636</v>
      </c>
    </row>
    <row r="1079" spans="1:17" x14ac:dyDescent="0.35">
      <c r="A1079" t="s">
        <v>8520</v>
      </c>
      <c r="B1079" s="3" t="s">
        <v>102</v>
      </c>
      <c r="F1079">
        <v>5</v>
      </c>
      <c r="G1079" t="s">
        <v>8607</v>
      </c>
      <c r="H1079">
        <v>36</v>
      </c>
      <c r="I1079" t="s">
        <v>9305</v>
      </c>
      <c r="J1079" t="str">
        <f t="shared" si="16"/>
        <v>13F-HR-5.36.C10</v>
      </c>
      <c r="K1079" s="5" t="s">
        <v>8640</v>
      </c>
      <c r="L1079" t="s">
        <v>241</v>
      </c>
      <c r="M1079" t="s">
        <v>8641</v>
      </c>
      <c r="N1079" t="s">
        <v>8642</v>
      </c>
      <c r="Q1079" s="28">
        <v>181270</v>
      </c>
    </row>
    <row r="1080" spans="1:17" x14ac:dyDescent="0.35">
      <c r="A1080" t="s">
        <v>8520</v>
      </c>
      <c r="B1080" s="3" t="s">
        <v>102</v>
      </c>
      <c r="F1080">
        <v>5</v>
      </c>
      <c r="G1080" t="s">
        <v>8607</v>
      </c>
      <c r="H1080">
        <v>37</v>
      </c>
      <c r="I1080" t="s">
        <v>9306</v>
      </c>
      <c r="J1080" t="str">
        <f t="shared" si="16"/>
        <v>13F-HR-5.37.C11</v>
      </c>
      <c r="K1080" s="5" t="s">
        <v>8643</v>
      </c>
      <c r="L1080" t="s">
        <v>241</v>
      </c>
      <c r="M1080" t="s">
        <v>8644</v>
      </c>
      <c r="N1080" t="s">
        <v>8645</v>
      </c>
      <c r="Q1080" s="28">
        <v>0</v>
      </c>
    </row>
    <row r="1081" spans="1:17" x14ac:dyDescent="0.35">
      <c r="A1081" t="s">
        <v>8520</v>
      </c>
      <c r="B1081" s="3" t="s">
        <v>102</v>
      </c>
      <c r="F1081">
        <v>5</v>
      </c>
      <c r="G1081" t="s">
        <v>8607</v>
      </c>
      <c r="H1081">
        <v>38</v>
      </c>
      <c r="I1081" t="s">
        <v>9307</v>
      </c>
      <c r="J1081" t="str">
        <f t="shared" si="16"/>
        <v>13F-HR-5.38.C12</v>
      </c>
      <c r="K1081" s="5" t="s">
        <v>8646</v>
      </c>
      <c r="L1081" t="s">
        <v>241</v>
      </c>
      <c r="M1081" t="s">
        <v>8647</v>
      </c>
      <c r="N1081" t="s">
        <v>8648</v>
      </c>
      <c r="Q1081" s="28">
        <v>72209</v>
      </c>
    </row>
    <row r="1082" spans="1:17" x14ac:dyDescent="0.35">
      <c r="A1082" t="s">
        <v>8520</v>
      </c>
      <c r="B1082" s="3" t="s">
        <v>102</v>
      </c>
      <c r="G1082" t="s">
        <v>8607</v>
      </c>
      <c r="H1082">
        <v>27</v>
      </c>
      <c r="I1082" t="s">
        <v>9296</v>
      </c>
      <c r="J1082" t="str">
        <f t="shared" si="16"/>
        <v>13F-HR-.27.C1</v>
      </c>
      <c r="K1082" s="5" t="s">
        <v>8608</v>
      </c>
      <c r="L1082" t="s">
        <v>229</v>
      </c>
      <c r="M1082" t="s">
        <v>8609</v>
      </c>
      <c r="N1082" t="s">
        <v>8610</v>
      </c>
      <c r="Q1082" s="28" t="s">
        <v>8796</v>
      </c>
    </row>
    <row r="1083" spans="1:17" x14ac:dyDescent="0.35">
      <c r="A1083" t="s">
        <v>8520</v>
      </c>
      <c r="B1083" s="3" t="s">
        <v>102</v>
      </c>
      <c r="G1083" t="s">
        <v>8607</v>
      </c>
      <c r="H1083">
        <v>28</v>
      </c>
      <c r="I1083" t="s">
        <v>9297</v>
      </c>
      <c r="J1083" t="str">
        <f t="shared" si="16"/>
        <v>13F-HR-.28.C2</v>
      </c>
      <c r="K1083" s="5" t="s">
        <v>8612</v>
      </c>
      <c r="L1083" t="s">
        <v>229</v>
      </c>
      <c r="M1083" t="s">
        <v>8613</v>
      </c>
      <c r="N1083" t="s">
        <v>8614</v>
      </c>
      <c r="Q1083" s="28" t="s">
        <v>8615</v>
      </c>
    </row>
    <row r="1084" spans="1:17" x14ac:dyDescent="0.35">
      <c r="A1084" t="s">
        <v>8520</v>
      </c>
      <c r="B1084" s="3" t="s">
        <v>102</v>
      </c>
      <c r="G1084" t="s">
        <v>8607</v>
      </c>
      <c r="H1084">
        <v>29</v>
      </c>
      <c r="I1084" t="s">
        <v>9298</v>
      </c>
      <c r="J1084" t="str">
        <f t="shared" si="16"/>
        <v>13F-HR-.29.C3</v>
      </c>
      <c r="K1084" s="5" t="s">
        <v>8616</v>
      </c>
      <c r="L1084" t="s">
        <v>229</v>
      </c>
      <c r="M1084" t="s">
        <v>7927</v>
      </c>
      <c r="N1084" t="s">
        <v>8617</v>
      </c>
      <c r="Q1084" s="28">
        <v>237194105</v>
      </c>
    </row>
    <row r="1085" spans="1:17" x14ac:dyDescent="0.35">
      <c r="A1085" t="s">
        <v>8520</v>
      </c>
      <c r="B1085" s="3" t="s">
        <v>102</v>
      </c>
      <c r="G1085" t="s">
        <v>8607</v>
      </c>
      <c r="H1085">
        <v>30</v>
      </c>
      <c r="I1085" t="s">
        <v>9299</v>
      </c>
      <c r="J1085" t="str">
        <f t="shared" si="16"/>
        <v>13F-HR-.30.C4</v>
      </c>
      <c r="K1085" s="5" t="s">
        <v>8618</v>
      </c>
      <c r="L1085" t="s">
        <v>8619</v>
      </c>
      <c r="M1085" t="s">
        <v>8620</v>
      </c>
      <c r="N1085" t="s">
        <v>8621</v>
      </c>
      <c r="Q1085" s="28">
        <v>29512931</v>
      </c>
    </row>
    <row r="1086" spans="1:17" x14ac:dyDescent="0.35">
      <c r="A1086" t="s">
        <v>8520</v>
      </c>
      <c r="B1086" s="3" t="s">
        <v>102</v>
      </c>
      <c r="G1086" t="s">
        <v>8607</v>
      </c>
      <c r="H1086">
        <v>31</v>
      </c>
      <c r="I1086" t="s">
        <v>9300</v>
      </c>
      <c r="J1086" t="str">
        <f t="shared" si="16"/>
        <v>13F-HR-.31.C5</v>
      </c>
      <c r="K1086" s="5" t="s">
        <v>8622</v>
      </c>
      <c r="L1086" t="s">
        <v>241</v>
      </c>
      <c r="M1086" t="s">
        <v>8623</v>
      </c>
      <c r="N1086" t="s">
        <v>8624</v>
      </c>
      <c r="Q1086" s="28">
        <v>142053</v>
      </c>
    </row>
    <row r="1087" spans="1:17" x14ac:dyDescent="0.35">
      <c r="A1087" t="s">
        <v>8520</v>
      </c>
      <c r="B1087" s="3" t="s">
        <v>102</v>
      </c>
      <c r="G1087" t="s">
        <v>8607</v>
      </c>
      <c r="H1087">
        <v>32</v>
      </c>
      <c r="I1087" t="s">
        <v>9301</v>
      </c>
      <c r="J1087" t="str">
        <f t="shared" si="16"/>
        <v>13F-HR-.32.C6</v>
      </c>
      <c r="K1087" s="5" t="s">
        <v>8625</v>
      </c>
      <c r="L1087" t="s">
        <v>229</v>
      </c>
      <c r="M1087" t="s">
        <v>8626</v>
      </c>
      <c r="N1087" t="s">
        <v>8627</v>
      </c>
      <c r="Q1087" s="28" t="s">
        <v>8628</v>
      </c>
    </row>
    <row r="1088" spans="1:17" x14ac:dyDescent="0.35">
      <c r="A1088" t="s">
        <v>8520</v>
      </c>
      <c r="B1088" s="3" t="s">
        <v>102</v>
      </c>
      <c r="G1088" t="s">
        <v>8607</v>
      </c>
      <c r="H1088">
        <v>33</v>
      </c>
      <c r="I1088" t="s">
        <v>9302</v>
      </c>
      <c r="J1088" t="str">
        <f t="shared" si="16"/>
        <v>13F-HR-.33.C7</v>
      </c>
      <c r="K1088" s="5" t="s">
        <v>8629</v>
      </c>
      <c r="L1088" t="s">
        <v>229</v>
      </c>
      <c r="M1088" t="s">
        <v>8630</v>
      </c>
      <c r="N1088" t="s">
        <v>8631</v>
      </c>
      <c r="Q1088" s="28" t="s">
        <v>8685</v>
      </c>
    </row>
    <row r="1089" spans="1:17" x14ac:dyDescent="0.35">
      <c r="A1089" t="s">
        <v>8520</v>
      </c>
      <c r="B1089" s="3" t="s">
        <v>102</v>
      </c>
      <c r="G1089" t="s">
        <v>8607</v>
      </c>
      <c r="H1089">
        <v>34</v>
      </c>
      <c r="I1089" t="s">
        <v>9303</v>
      </c>
      <c r="J1089" t="str">
        <f t="shared" si="16"/>
        <v>13F-HR-.34.C8</v>
      </c>
      <c r="K1089" s="5" t="s">
        <v>8633</v>
      </c>
      <c r="L1089" t="s">
        <v>4735</v>
      </c>
      <c r="M1089" t="s">
        <v>8634</v>
      </c>
      <c r="N1089" t="s">
        <v>8635</v>
      </c>
      <c r="Q1089" s="28" t="s">
        <v>8632</v>
      </c>
    </row>
    <row r="1090" spans="1:17" x14ac:dyDescent="0.35">
      <c r="A1090" t="s">
        <v>8651</v>
      </c>
      <c r="B1090" s="3" t="s">
        <v>102</v>
      </c>
      <c r="G1090" t="s">
        <v>8607</v>
      </c>
      <c r="H1090">
        <v>35</v>
      </c>
      <c r="I1090" t="s">
        <v>9304</v>
      </c>
      <c r="J1090" t="str">
        <f t="shared" si="16"/>
        <v>135-HR-.35.C9</v>
      </c>
      <c r="K1090" s="5" t="s">
        <v>8637</v>
      </c>
      <c r="L1090" t="s">
        <v>229</v>
      </c>
      <c r="M1090" t="s">
        <v>8638</v>
      </c>
      <c r="N1090" t="s">
        <v>8639</v>
      </c>
      <c r="Q1090" s="28" t="s">
        <v>8636</v>
      </c>
    </row>
    <row r="1091" spans="1:17" x14ac:dyDescent="0.35">
      <c r="A1091" t="s">
        <v>8520</v>
      </c>
      <c r="B1091" s="3" t="s">
        <v>102</v>
      </c>
      <c r="G1091" t="s">
        <v>8607</v>
      </c>
      <c r="H1091">
        <v>36</v>
      </c>
      <c r="I1091" t="s">
        <v>9305</v>
      </c>
      <c r="J1091" t="str">
        <f t="shared" ref="J1091:J1154" si="17">_xlfn.CONCAT(A1091,"-",F1091,".",H1091,".",I1091)</f>
        <v>13F-HR-.36.C10</v>
      </c>
      <c r="K1091" s="5" t="s">
        <v>8640</v>
      </c>
      <c r="L1091" t="s">
        <v>241</v>
      </c>
      <c r="M1091" t="s">
        <v>8641</v>
      </c>
      <c r="N1091" t="s">
        <v>8642</v>
      </c>
      <c r="Q1091" s="28">
        <v>10472</v>
      </c>
    </row>
    <row r="1092" spans="1:17" x14ac:dyDescent="0.35">
      <c r="A1092" t="s">
        <v>8520</v>
      </c>
      <c r="B1092" s="3" t="s">
        <v>102</v>
      </c>
      <c r="G1092" t="s">
        <v>8607</v>
      </c>
      <c r="H1092">
        <v>37</v>
      </c>
      <c r="I1092" t="s">
        <v>9306</v>
      </c>
      <c r="J1092" t="str">
        <f t="shared" si="17"/>
        <v>13F-HR-.37.C11</v>
      </c>
      <c r="K1092" s="5" t="s">
        <v>8643</v>
      </c>
      <c r="L1092" t="s">
        <v>241</v>
      </c>
      <c r="M1092" t="s">
        <v>8644</v>
      </c>
      <c r="N1092" t="s">
        <v>8645</v>
      </c>
      <c r="Q1092" s="28">
        <v>0</v>
      </c>
    </row>
    <row r="1093" spans="1:17" x14ac:dyDescent="0.35">
      <c r="A1093" t="s">
        <v>8520</v>
      </c>
      <c r="B1093" s="3" t="s">
        <v>102</v>
      </c>
      <c r="G1093" t="s">
        <v>8607</v>
      </c>
      <c r="H1093">
        <v>38</v>
      </c>
      <c r="I1093" t="s">
        <v>9307</v>
      </c>
      <c r="J1093" t="str">
        <f t="shared" si="17"/>
        <v>13F-HR-.38.C12</v>
      </c>
      <c r="K1093" s="5" t="s">
        <v>8646</v>
      </c>
      <c r="L1093" t="s">
        <v>241</v>
      </c>
      <c r="M1093" t="s">
        <v>8647</v>
      </c>
      <c r="N1093" t="s">
        <v>8648</v>
      </c>
      <c r="Q1093" s="28">
        <v>131581</v>
      </c>
    </row>
    <row r="1094" spans="1:17" x14ac:dyDescent="0.35">
      <c r="A1094" t="s">
        <v>8520</v>
      </c>
      <c r="B1094" s="3" t="s">
        <v>102</v>
      </c>
      <c r="G1094" t="s">
        <v>8607</v>
      </c>
      <c r="H1094">
        <v>27</v>
      </c>
      <c r="I1094" t="s">
        <v>9296</v>
      </c>
      <c r="J1094" t="str">
        <f t="shared" si="17"/>
        <v>13F-HR-.27.C1</v>
      </c>
      <c r="K1094" s="5" t="s">
        <v>8608</v>
      </c>
      <c r="L1094" t="s">
        <v>229</v>
      </c>
      <c r="M1094" t="s">
        <v>8609</v>
      </c>
      <c r="N1094" t="s">
        <v>8610</v>
      </c>
      <c r="Q1094" s="28" t="s">
        <v>8797</v>
      </c>
    </row>
    <row r="1095" spans="1:17" x14ac:dyDescent="0.35">
      <c r="A1095" t="s">
        <v>8520</v>
      </c>
      <c r="B1095" s="3" t="s">
        <v>102</v>
      </c>
      <c r="G1095" t="s">
        <v>8607</v>
      </c>
      <c r="H1095">
        <v>28</v>
      </c>
      <c r="I1095" t="s">
        <v>9297</v>
      </c>
      <c r="J1095" t="str">
        <f t="shared" si="17"/>
        <v>13F-HR-.28.C2</v>
      </c>
      <c r="K1095" s="5" t="s">
        <v>8612</v>
      </c>
      <c r="L1095" t="s">
        <v>229</v>
      </c>
      <c r="M1095" t="s">
        <v>8613</v>
      </c>
      <c r="N1095" t="s">
        <v>8614</v>
      </c>
      <c r="Q1095" s="28" t="s">
        <v>8615</v>
      </c>
    </row>
    <row r="1096" spans="1:17" x14ac:dyDescent="0.35">
      <c r="A1096" t="s">
        <v>8520</v>
      </c>
      <c r="B1096" s="3" t="s">
        <v>102</v>
      </c>
      <c r="G1096" t="s">
        <v>8607</v>
      </c>
      <c r="H1096">
        <v>29</v>
      </c>
      <c r="I1096" t="s">
        <v>9298</v>
      </c>
      <c r="J1096" t="str">
        <f t="shared" si="17"/>
        <v>13F-HR-.29.C3</v>
      </c>
      <c r="K1096" s="5" t="s">
        <v>8616</v>
      </c>
      <c r="L1096" t="s">
        <v>229</v>
      </c>
      <c r="M1096" t="s">
        <v>7927</v>
      </c>
      <c r="N1096" t="s">
        <v>8617</v>
      </c>
      <c r="Q1096" s="28">
        <v>244199105</v>
      </c>
    </row>
    <row r="1097" spans="1:17" x14ac:dyDescent="0.35">
      <c r="A1097" t="s">
        <v>8520</v>
      </c>
      <c r="B1097" s="3" t="s">
        <v>102</v>
      </c>
      <c r="G1097" t="s">
        <v>8607</v>
      </c>
      <c r="H1097">
        <v>30</v>
      </c>
      <c r="I1097" t="s">
        <v>9299</v>
      </c>
      <c r="J1097" t="str">
        <f t="shared" si="17"/>
        <v>13F-HR-.30.C4</v>
      </c>
      <c r="K1097" s="5" t="s">
        <v>8618</v>
      </c>
      <c r="L1097" t="s">
        <v>8619</v>
      </c>
      <c r="M1097" t="s">
        <v>8620</v>
      </c>
      <c r="N1097" t="s">
        <v>8621</v>
      </c>
      <c r="Q1097" s="28">
        <v>14122742</v>
      </c>
    </row>
    <row r="1098" spans="1:17" x14ac:dyDescent="0.35">
      <c r="A1098" t="s">
        <v>8520</v>
      </c>
      <c r="B1098" s="3" t="s">
        <v>102</v>
      </c>
      <c r="G1098" t="s">
        <v>8607</v>
      </c>
      <c r="H1098">
        <v>31</v>
      </c>
      <c r="I1098" t="s">
        <v>9300</v>
      </c>
      <c r="J1098" t="str">
        <f t="shared" si="17"/>
        <v>13F-HR-.31.C5</v>
      </c>
      <c r="K1098" s="5" t="s">
        <v>8622</v>
      </c>
      <c r="L1098" t="s">
        <v>241</v>
      </c>
      <c r="M1098" t="s">
        <v>8623</v>
      </c>
      <c r="N1098" t="s">
        <v>8624</v>
      </c>
      <c r="Q1098" s="28">
        <v>30090</v>
      </c>
    </row>
    <row r="1099" spans="1:17" x14ac:dyDescent="0.35">
      <c r="A1099" t="s">
        <v>8520</v>
      </c>
      <c r="B1099" s="3" t="s">
        <v>102</v>
      </c>
      <c r="G1099" t="s">
        <v>8607</v>
      </c>
      <c r="H1099">
        <v>32</v>
      </c>
      <c r="I1099" t="s">
        <v>9301</v>
      </c>
      <c r="J1099" t="str">
        <f t="shared" si="17"/>
        <v>13F-HR-.32.C6</v>
      </c>
      <c r="K1099" s="5" t="s">
        <v>8625</v>
      </c>
      <c r="L1099" t="s">
        <v>229</v>
      </c>
      <c r="M1099" t="s">
        <v>8626</v>
      </c>
      <c r="N1099" t="s">
        <v>8627</v>
      </c>
      <c r="Q1099" s="28" t="s">
        <v>8628</v>
      </c>
    </row>
    <row r="1100" spans="1:17" x14ac:dyDescent="0.35">
      <c r="A1100" t="s">
        <v>8520</v>
      </c>
      <c r="B1100" s="3" t="s">
        <v>102</v>
      </c>
      <c r="G1100" t="s">
        <v>8607</v>
      </c>
      <c r="H1100">
        <v>33</v>
      </c>
      <c r="I1100" t="s">
        <v>9302</v>
      </c>
      <c r="J1100" t="str">
        <f t="shared" si="17"/>
        <v>13F-HR-.33.C7</v>
      </c>
      <c r="K1100" s="5" t="s">
        <v>8629</v>
      </c>
      <c r="L1100" t="s">
        <v>229</v>
      </c>
      <c r="M1100" t="s">
        <v>8630</v>
      </c>
      <c r="N1100" t="s">
        <v>8631</v>
      </c>
      <c r="Q1100" s="28" t="s">
        <v>8685</v>
      </c>
    </row>
    <row r="1101" spans="1:17" x14ac:dyDescent="0.35">
      <c r="A1101" t="s">
        <v>8520</v>
      </c>
      <c r="B1101" s="3" t="s">
        <v>102</v>
      </c>
      <c r="G1101" t="s">
        <v>8607</v>
      </c>
      <c r="H1101">
        <v>34</v>
      </c>
      <c r="I1101" t="s">
        <v>9303</v>
      </c>
      <c r="J1101" t="str">
        <f t="shared" si="17"/>
        <v>13F-HR-.34.C8</v>
      </c>
      <c r="K1101" s="5" t="s">
        <v>8633</v>
      </c>
      <c r="L1101" t="s">
        <v>4735</v>
      </c>
      <c r="M1101" t="s">
        <v>8634</v>
      </c>
      <c r="N1101" t="s">
        <v>8635</v>
      </c>
      <c r="Q1101" s="28" t="s">
        <v>8632</v>
      </c>
    </row>
    <row r="1102" spans="1:17" x14ac:dyDescent="0.35">
      <c r="A1102" t="s">
        <v>8651</v>
      </c>
      <c r="B1102" s="3" t="s">
        <v>102</v>
      </c>
      <c r="G1102" t="s">
        <v>8607</v>
      </c>
      <c r="H1102">
        <v>35</v>
      </c>
      <c r="I1102" t="s">
        <v>9304</v>
      </c>
      <c r="J1102" t="str">
        <f t="shared" si="17"/>
        <v>135-HR-.35.C9</v>
      </c>
      <c r="K1102" s="5" t="s">
        <v>8637</v>
      </c>
      <c r="L1102" t="s">
        <v>229</v>
      </c>
      <c r="M1102" t="s">
        <v>8638</v>
      </c>
      <c r="N1102" t="s">
        <v>8639</v>
      </c>
      <c r="Q1102" s="28" t="s">
        <v>8636</v>
      </c>
    </row>
    <row r="1103" spans="1:17" x14ac:dyDescent="0.35">
      <c r="A1103" t="s">
        <v>8520</v>
      </c>
      <c r="B1103" s="3" t="s">
        <v>102</v>
      </c>
      <c r="G1103" t="s">
        <v>8607</v>
      </c>
      <c r="H1103">
        <v>36</v>
      </c>
      <c r="I1103" t="s">
        <v>9305</v>
      </c>
      <c r="J1103" t="str">
        <f t="shared" si="17"/>
        <v>13F-HR-.36.C10</v>
      </c>
      <c r="K1103" s="5" t="s">
        <v>8640</v>
      </c>
      <c r="L1103" t="s">
        <v>241</v>
      </c>
      <c r="M1103" t="s">
        <v>8641</v>
      </c>
      <c r="N1103" t="s">
        <v>8642</v>
      </c>
      <c r="Q1103" s="28">
        <v>5317</v>
      </c>
    </row>
    <row r="1104" spans="1:17" x14ac:dyDescent="0.35">
      <c r="A1104" t="s">
        <v>8520</v>
      </c>
      <c r="B1104" s="3" t="s">
        <v>102</v>
      </c>
      <c r="G1104" t="s">
        <v>8607</v>
      </c>
      <c r="H1104">
        <v>37</v>
      </c>
      <c r="I1104" t="s">
        <v>9306</v>
      </c>
      <c r="J1104" t="str">
        <f t="shared" si="17"/>
        <v>13F-HR-.37.C11</v>
      </c>
      <c r="K1104" s="5" t="s">
        <v>8643</v>
      </c>
      <c r="L1104" t="s">
        <v>241</v>
      </c>
      <c r="M1104" t="s">
        <v>8644</v>
      </c>
      <c r="N1104" t="s">
        <v>8645</v>
      </c>
      <c r="Q1104" s="28">
        <v>0</v>
      </c>
    </row>
    <row r="1105" spans="1:17" x14ac:dyDescent="0.35">
      <c r="A1105" t="s">
        <v>8520</v>
      </c>
      <c r="B1105" s="3" t="s">
        <v>102</v>
      </c>
      <c r="G1105" t="s">
        <v>8607</v>
      </c>
      <c r="H1105">
        <v>38</v>
      </c>
      <c r="I1105" t="s">
        <v>9307</v>
      </c>
      <c r="J1105" t="str">
        <f t="shared" si="17"/>
        <v>13F-HR-.38.C12</v>
      </c>
      <c r="K1105" s="5" t="s">
        <v>8646</v>
      </c>
      <c r="L1105" t="s">
        <v>241</v>
      </c>
      <c r="M1105" t="s">
        <v>8647</v>
      </c>
      <c r="N1105" t="s">
        <v>8648</v>
      </c>
      <c r="Q1105" s="28">
        <v>24773</v>
      </c>
    </row>
    <row r="1106" spans="1:17" x14ac:dyDescent="0.35">
      <c r="A1106" t="s">
        <v>8520</v>
      </c>
      <c r="B1106" s="3" t="s">
        <v>102</v>
      </c>
      <c r="G1106" t="s">
        <v>8607</v>
      </c>
      <c r="H1106">
        <v>27</v>
      </c>
      <c r="I1106" t="s">
        <v>9296</v>
      </c>
      <c r="J1106" t="str">
        <f t="shared" si="17"/>
        <v>13F-HR-.27.C1</v>
      </c>
      <c r="K1106" s="5" t="s">
        <v>8608</v>
      </c>
      <c r="L1106" t="s">
        <v>229</v>
      </c>
      <c r="M1106" t="s">
        <v>8609</v>
      </c>
      <c r="N1106" t="s">
        <v>8610</v>
      </c>
      <c r="Q1106" s="28" t="s">
        <v>8798</v>
      </c>
    </row>
    <row r="1107" spans="1:17" x14ac:dyDescent="0.35">
      <c r="A1107" t="s">
        <v>8520</v>
      </c>
      <c r="B1107" s="3" t="s">
        <v>102</v>
      </c>
      <c r="G1107" t="s">
        <v>8607</v>
      </c>
      <c r="H1107">
        <v>28</v>
      </c>
      <c r="I1107" t="s">
        <v>9297</v>
      </c>
      <c r="J1107" t="str">
        <f t="shared" si="17"/>
        <v>13F-HR-.28.C2</v>
      </c>
      <c r="K1107" s="5" t="s">
        <v>8612</v>
      </c>
      <c r="L1107" t="s">
        <v>229</v>
      </c>
      <c r="M1107" t="s">
        <v>8613</v>
      </c>
      <c r="N1107" t="s">
        <v>8614</v>
      </c>
      <c r="Q1107" s="28" t="s">
        <v>8768</v>
      </c>
    </row>
    <row r="1108" spans="1:17" x14ac:dyDescent="0.35">
      <c r="A1108" t="s">
        <v>8520</v>
      </c>
      <c r="B1108" s="3" t="s">
        <v>102</v>
      </c>
      <c r="G1108" t="s">
        <v>8607</v>
      </c>
      <c r="H1108">
        <v>29</v>
      </c>
      <c r="I1108" t="s">
        <v>9298</v>
      </c>
      <c r="J1108" t="str">
        <f t="shared" si="17"/>
        <v>13F-HR-.29.C3</v>
      </c>
      <c r="K1108" s="5" t="s">
        <v>8616</v>
      </c>
      <c r="L1108" t="s">
        <v>229</v>
      </c>
      <c r="M1108" t="s">
        <v>7927</v>
      </c>
      <c r="N1108" t="s">
        <v>8617</v>
      </c>
      <c r="Q1108" s="28">
        <v>247361702</v>
      </c>
    </row>
    <row r="1109" spans="1:17" x14ac:dyDescent="0.35">
      <c r="A1109" t="s">
        <v>8520</v>
      </c>
      <c r="B1109" s="3" t="s">
        <v>102</v>
      </c>
      <c r="G1109" t="s">
        <v>8607</v>
      </c>
      <c r="H1109">
        <v>30</v>
      </c>
      <c r="I1109" t="s">
        <v>9299</v>
      </c>
      <c r="J1109" t="str">
        <f t="shared" si="17"/>
        <v>13F-HR-.30.C4</v>
      </c>
      <c r="K1109" s="5" t="s">
        <v>8618</v>
      </c>
      <c r="L1109" t="s">
        <v>8619</v>
      </c>
      <c r="M1109" t="s">
        <v>8620</v>
      </c>
      <c r="N1109" t="s">
        <v>8621</v>
      </c>
      <c r="Q1109" s="28">
        <v>14409015</v>
      </c>
    </row>
    <row r="1110" spans="1:17" x14ac:dyDescent="0.35">
      <c r="A1110" t="s">
        <v>8520</v>
      </c>
      <c r="B1110" s="3" t="s">
        <v>102</v>
      </c>
      <c r="G1110" t="s">
        <v>8607</v>
      </c>
      <c r="H1110">
        <v>31</v>
      </c>
      <c r="I1110" t="s">
        <v>9300</v>
      </c>
      <c r="J1110" t="str">
        <f t="shared" si="17"/>
        <v>13F-HR-.31.C5</v>
      </c>
      <c r="K1110" s="5" t="s">
        <v>8622</v>
      </c>
      <c r="L1110" t="s">
        <v>241</v>
      </c>
      <c r="M1110" t="s">
        <v>8623</v>
      </c>
      <c r="N1110" t="s">
        <v>8624</v>
      </c>
      <c r="Q1110" s="28">
        <v>330482</v>
      </c>
    </row>
    <row r="1111" spans="1:17" x14ac:dyDescent="0.35">
      <c r="A1111" t="s">
        <v>8520</v>
      </c>
      <c r="B1111" s="3" t="s">
        <v>102</v>
      </c>
      <c r="G1111" t="s">
        <v>8607</v>
      </c>
      <c r="H1111">
        <v>32</v>
      </c>
      <c r="I1111" t="s">
        <v>9301</v>
      </c>
      <c r="J1111" t="str">
        <f t="shared" si="17"/>
        <v>13F-HR-.32.C6</v>
      </c>
      <c r="K1111" s="5" t="s">
        <v>8625</v>
      </c>
      <c r="L1111" t="s">
        <v>229</v>
      </c>
      <c r="M1111" t="s">
        <v>8626</v>
      </c>
      <c r="N1111" t="s">
        <v>8627</v>
      </c>
      <c r="Q1111" s="28" t="s">
        <v>8628</v>
      </c>
    </row>
    <row r="1112" spans="1:17" x14ac:dyDescent="0.35">
      <c r="A1112" t="s">
        <v>8520</v>
      </c>
      <c r="B1112" s="3" t="s">
        <v>102</v>
      </c>
      <c r="G1112" t="s">
        <v>8607</v>
      </c>
      <c r="H1112">
        <v>33</v>
      </c>
      <c r="I1112" t="s">
        <v>9302</v>
      </c>
      <c r="J1112" t="str">
        <f t="shared" si="17"/>
        <v>13F-HR-.33.C7</v>
      </c>
      <c r="K1112" s="5" t="s">
        <v>8629</v>
      </c>
      <c r="L1112" t="s">
        <v>229</v>
      </c>
      <c r="M1112" t="s">
        <v>8630</v>
      </c>
      <c r="N1112" t="s">
        <v>8631</v>
      </c>
      <c r="Q1112" s="28" t="s">
        <v>8685</v>
      </c>
    </row>
    <row r="1113" spans="1:17" x14ac:dyDescent="0.35">
      <c r="A1113" t="s">
        <v>8520</v>
      </c>
      <c r="B1113" s="3" t="s">
        <v>102</v>
      </c>
      <c r="G1113" t="s">
        <v>8607</v>
      </c>
      <c r="H1113">
        <v>34</v>
      </c>
      <c r="I1113" t="s">
        <v>9303</v>
      </c>
      <c r="J1113" t="str">
        <f t="shared" si="17"/>
        <v>13F-HR-.34.C8</v>
      </c>
      <c r="K1113" s="5" t="s">
        <v>8633</v>
      </c>
      <c r="L1113" t="s">
        <v>4735</v>
      </c>
      <c r="M1113" t="s">
        <v>8634</v>
      </c>
      <c r="N1113" t="s">
        <v>8635</v>
      </c>
      <c r="Q1113" s="28" t="s">
        <v>8632</v>
      </c>
    </row>
    <row r="1114" spans="1:17" x14ac:dyDescent="0.35">
      <c r="A1114" t="s">
        <v>8651</v>
      </c>
      <c r="B1114" s="3" t="s">
        <v>102</v>
      </c>
      <c r="G1114" t="s">
        <v>8607</v>
      </c>
      <c r="H1114">
        <v>35</v>
      </c>
      <c r="I1114" t="s">
        <v>9304</v>
      </c>
      <c r="J1114" t="str">
        <f t="shared" si="17"/>
        <v>135-HR-.35.C9</v>
      </c>
      <c r="K1114" s="5" t="s">
        <v>8637</v>
      </c>
      <c r="L1114" t="s">
        <v>229</v>
      </c>
      <c r="M1114" t="s">
        <v>8638</v>
      </c>
      <c r="N1114" t="s">
        <v>8639</v>
      </c>
      <c r="Q1114" s="28" t="s">
        <v>8636</v>
      </c>
    </row>
    <row r="1115" spans="1:17" x14ac:dyDescent="0.35">
      <c r="A1115" t="s">
        <v>8520</v>
      </c>
      <c r="B1115" s="3" t="s">
        <v>102</v>
      </c>
      <c r="G1115" t="s">
        <v>8607</v>
      </c>
      <c r="H1115">
        <v>36</v>
      </c>
      <c r="I1115" t="s">
        <v>9305</v>
      </c>
      <c r="J1115" t="str">
        <f t="shared" si="17"/>
        <v>13F-HR-.36.C10</v>
      </c>
      <c r="K1115" s="5" t="s">
        <v>8640</v>
      </c>
      <c r="L1115" t="s">
        <v>241</v>
      </c>
      <c r="M1115" t="s">
        <v>8641</v>
      </c>
      <c r="N1115" t="s">
        <v>8642</v>
      </c>
      <c r="Q1115" s="28">
        <v>226226</v>
      </c>
    </row>
    <row r="1116" spans="1:17" x14ac:dyDescent="0.35">
      <c r="A1116" t="s">
        <v>8520</v>
      </c>
      <c r="B1116" s="3" t="s">
        <v>102</v>
      </c>
      <c r="G1116" t="s">
        <v>8607</v>
      </c>
      <c r="H1116">
        <v>37</v>
      </c>
      <c r="I1116" t="s">
        <v>9306</v>
      </c>
      <c r="J1116" t="str">
        <f t="shared" si="17"/>
        <v>13F-HR-.37.C11</v>
      </c>
      <c r="K1116" s="5" t="s">
        <v>8643</v>
      </c>
      <c r="L1116" t="s">
        <v>241</v>
      </c>
      <c r="M1116" t="s">
        <v>8644</v>
      </c>
      <c r="N1116" t="s">
        <v>8645</v>
      </c>
      <c r="Q1116" s="28">
        <v>0</v>
      </c>
    </row>
    <row r="1117" spans="1:17" x14ac:dyDescent="0.35">
      <c r="A1117" t="s">
        <v>8520</v>
      </c>
      <c r="B1117" s="3" t="s">
        <v>102</v>
      </c>
      <c r="G1117" t="s">
        <v>8607</v>
      </c>
      <c r="H1117">
        <v>38</v>
      </c>
      <c r="I1117" t="s">
        <v>9307</v>
      </c>
      <c r="J1117" t="str">
        <f t="shared" si="17"/>
        <v>13F-HR-.38.C12</v>
      </c>
      <c r="K1117" s="5" t="s">
        <v>8646</v>
      </c>
      <c r="L1117" t="s">
        <v>241</v>
      </c>
      <c r="M1117" t="s">
        <v>8647</v>
      </c>
      <c r="N1117" t="s">
        <v>8648</v>
      </c>
      <c r="Q1117" s="28">
        <v>104256</v>
      </c>
    </row>
    <row r="1118" spans="1:17" x14ac:dyDescent="0.35">
      <c r="A1118" t="s">
        <v>8520</v>
      </c>
      <c r="B1118" s="3" t="s">
        <v>102</v>
      </c>
      <c r="G1118" t="s">
        <v>8607</v>
      </c>
      <c r="H1118">
        <v>27</v>
      </c>
      <c r="I1118" t="s">
        <v>9296</v>
      </c>
      <c r="J1118" t="str">
        <f t="shared" si="17"/>
        <v>13F-HR-.27.C1</v>
      </c>
      <c r="K1118" s="5" t="s">
        <v>8608</v>
      </c>
      <c r="L1118" t="s">
        <v>229</v>
      </c>
      <c r="M1118" t="s">
        <v>8609</v>
      </c>
      <c r="N1118" t="s">
        <v>8610</v>
      </c>
      <c r="Q1118" s="28" t="s">
        <v>8799</v>
      </c>
    </row>
    <row r="1119" spans="1:17" x14ac:dyDescent="0.35">
      <c r="A1119" t="s">
        <v>8520</v>
      </c>
      <c r="B1119" s="3" t="s">
        <v>102</v>
      </c>
      <c r="G1119" t="s">
        <v>8607</v>
      </c>
      <c r="H1119">
        <v>28</v>
      </c>
      <c r="I1119" t="s">
        <v>9297</v>
      </c>
      <c r="J1119" t="str">
        <f t="shared" si="17"/>
        <v>13F-HR-.28.C2</v>
      </c>
      <c r="K1119" s="5" t="s">
        <v>8612</v>
      </c>
      <c r="L1119" t="s">
        <v>229</v>
      </c>
      <c r="M1119" t="s">
        <v>8613</v>
      </c>
      <c r="N1119" t="s">
        <v>8614</v>
      </c>
      <c r="Q1119" s="28" t="s">
        <v>8800</v>
      </c>
    </row>
    <row r="1120" spans="1:17" x14ac:dyDescent="0.35">
      <c r="A1120" t="s">
        <v>8520</v>
      </c>
      <c r="B1120" s="3" t="s">
        <v>102</v>
      </c>
      <c r="G1120" t="s">
        <v>8607</v>
      </c>
      <c r="H1120">
        <v>29</v>
      </c>
      <c r="I1120" t="s">
        <v>9298</v>
      </c>
      <c r="J1120" t="str">
        <f t="shared" si="17"/>
        <v>13F-HR-.29.C3</v>
      </c>
      <c r="K1120" s="5" t="s">
        <v>8616</v>
      </c>
      <c r="L1120" t="s">
        <v>229</v>
      </c>
      <c r="M1120" t="s">
        <v>7927</v>
      </c>
      <c r="N1120" t="s">
        <v>8617</v>
      </c>
      <c r="Q1120" s="28">
        <v>253651202</v>
      </c>
    </row>
    <row r="1121" spans="1:17" x14ac:dyDescent="0.35">
      <c r="A1121" t="s">
        <v>8520</v>
      </c>
      <c r="B1121" s="3" t="s">
        <v>102</v>
      </c>
      <c r="G1121" t="s">
        <v>8607</v>
      </c>
      <c r="H1121">
        <v>30</v>
      </c>
      <c r="I1121" t="s">
        <v>9299</v>
      </c>
      <c r="J1121" t="str">
        <f t="shared" si="17"/>
        <v>13F-HR-.30.C4</v>
      </c>
      <c r="K1121" s="5" t="s">
        <v>8618</v>
      </c>
      <c r="L1121" t="s">
        <v>8619</v>
      </c>
      <c r="M1121" t="s">
        <v>8620</v>
      </c>
      <c r="N1121" t="s">
        <v>8621</v>
      </c>
      <c r="Q1121" s="28">
        <v>3174815</v>
      </c>
    </row>
    <row r="1122" spans="1:17" x14ac:dyDescent="0.35">
      <c r="A1122" t="s">
        <v>8520</v>
      </c>
      <c r="B1122" s="3" t="s">
        <v>102</v>
      </c>
      <c r="G1122" t="s">
        <v>8607</v>
      </c>
      <c r="H1122">
        <v>31</v>
      </c>
      <c r="I1122" t="s">
        <v>9300</v>
      </c>
      <c r="J1122" t="str">
        <f t="shared" si="17"/>
        <v>13F-HR-.31.C5</v>
      </c>
      <c r="K1122" s="5" t="s">
        <v>8622</v>
      </c>
      <c r="L1122" t="s">
        <v>241</v>
      </c>
      <c r="M1122" t="s">
        <v>8623</v>
      </c>
      <c r="N1122" t="s">
        <v>8624</v>
      </c>
      <c r="Q1122" s="28">
        <v>72617</v>
      </c>
    </row>
    <row r="1123" spans="1:17" x14ac:dyDescent="0.35">
      <c r="A1123" t="s">
        <v>8520</v>
      </c>
      <c r="B1123" s="3" t="s">
        <v>102</v>
      </c>
      <c r="G1123" t="s">
        <v>8607</v>
      </c>
      <c r="H1123">
        <v>32</v>
      </c>
      <c r="I1123" t="s">
        <v>9301</v>
      </c>
      <c r="J1123" t="str">
        <f t="shared" si="17"/>
        <v>13F-HR-.32.C6</v>
      </c>
      <c r="K1123" s="5" t="s">
        <v>8625</v>
      </c>
      <c r="L1123" t="s">
        <v>229</v>
      </c>
      <c r="M1123" t="s">
        <v>8626</v>
      </c>
      <c r="N1123" t="s">
        <v>8627</v>
      </c>
      <c r="Q1123" s="28" t="s">
        <v>8628</v>
      </c>
    </row>
    <row r="1124" spans="1:17" x14ac:dyDescent="0.35">
      <c r="A1124" t="s">
        <v>8520</v>
      </c>
      <c r="B1124" s="3" t="s">
        <v>102</v>
      </c>
      <c r="G1124" t="s">
        <v>8607</v>
      </c>
      <c r="H1124">
        <v>33</v>
      </c>
      <c r="I1124" t="s">
        <v>9302</v>
      </c>
      <c r="J1124" t="str">
        <f t="shared" si="17"/>
        <v>13F-HR-.33.C7</v>
      </c>
      <c r="K1124" s="5" t="s">
        <v>8629</v>
      </c>
      <c r="L1124" t="s">
        <v>229</v>
      </c>
      <c r="M1124" t="s">
        <v>8630</v>
      </c>
      <c r="N1124" t="s">
        <v>8631</v>
      </c>
      <c r="Q1124" s="28" t="s">
        <v>8685</v>
      </c>
    </row>
    <row r="1125" spans="1:17" x14ac:dyDescent="0.35">
      <c r="A1125" t="s">
        <v>8520</v>
      </c>
      <c r="B1125" s="3" t="s">
        <v>102</v>
      </c>
      <c r="G1125" t="s">
        <v>8607</v>
      </c>
      <c r="H1125">
        <v>34</v>
      </c>
      <c r="I1125" t="s">
        <v>9303</v>
      </c>
      <c r="J1125" t="str">
        <f t="shared" si="17"/>
        <v>13F-HR-.34.C8</v>
      </c>
      <c r="K1125" s="5" t="s">
        <v>8633</v>
      </c>
      <c r="L1125" t="s">
        <v>4735</v>
      </c>
      <c r="M1125" t="s">
        <v>8634</v>
      </c>
      <c r="N1125" t="s">
        <v>8635</v>
      </c>
      <c r="Q1125" s="28" t="s">
        <v>8632</v>
      </c>
    </row>
    <row r="1126" spans="1:17" x14ac:dyDescent="0.35">
      <c r="A1126" t="s">
        <v>8651</v>
      </c>
      <c r="B1126" s="3" t="s">
        <v>102</v>
      </c>
      <c r="G1126" t="s">
        <v>8607</v>
      </c>
      <c r="H1126">
        <v>35</v>
      </c>
      <c r="I1126" t="s">
        <v>9304</v>
      </c>
      <c r="J1126" t="str">
        <f t="shared" si="17"/>
        <v>135-HR-.35.C9</v>
      </c>
      <c r="K1126" s="5" t="s">
        <v>8637</v>
      </c>
      <c r="L1126" t="s">
        <v>229</v>
      </c>
      <c r="M1126" t="s">
        <v>8638</v>
      </c>
      <c r="N1126" t="s">
        <v>8639</v>
      </c>
      <c r="Q1126" s="28" t="s">
        <v>8636</v>
      </c>
    </row>
    <row r="1127" spans="1:17" x14ac:dyDescent="0.35">
      <c r="A1127" t="s">
        <v>8520</v>
      </c>
      <c r="B1127" s="3" t="s">
        <v>102</v>
      </c>
      <c r="G1127" t="s">
        <v>8607</v>
      </c>
      <c r="H1127">
        <v>36</v>
      </c>
      <c r="I1127" t="s">
        <v>9305</v>
      </c>
      <c r="J1127" t="str">
        <f t="shared" si="17"/>
        <v>13F-HR-.36.C10</v>
      </c>
      <c r="K1127" s="5" t="s">
        <v>8640</v>
      </c>
      <c r="L1127" t="s">
        <v>241</v>
      </c>
      <c r="M1127" t="s">
        <v>8641</v>
      </c>
      <c r="N1127" t="s">
        <v>8642</v>
      </c>
      <c r="Q1127" s="28">
        <v>0</v>
      </c>
    </row>
    <row r="1128" spans="1:17" x14ac:dyDescent="0.35">
      <c r="A1128" t="s">
        <v>8520</v>
      </c>
      <c r="B1128" s="3" t="s">
        <v>102</v>
      </c>
      <c r="G1128" t="s">
        <v>8607</v>
      </c>
      <c r="H1128">
        <v>37</v>
      </c>
      <c r="I1128" t="s">
        <v>9306</v>
      </c>
      <c r="J1128" t="str">
        <f t="shared" si="17"/>
        <v>13F-HR-.37.C11</v>
      </c>
      <c r="K1128" s="5" t="s">
        <v>8643</v>
      </c>
      <c r="L1128" t="s">
        <v>241</v>
      </c>
      <c r="M1128" t="s">
        <v>8644</v>
      </c>
      <c r="N1128" t="s">
        <v>8645</v>
      </c>
      <c r="Q1128" s="28">
        <v>0</v>
      </c>
    </row>
    <row r="1129" spans="1:17" x14ac:dyDescent="0.35">
      <c r="A1129" t="s">
        <v>8520</v>
      </c>
      <c r="B1129" s="3" t="s">
        <v>102</v>
      </c>
      <c r="G1129" t="s">
        <v>8607</v>
      </c>
      <c r="H1129">
        <v>38</v>
      </c>
      <c r="I1129" t="s">
        <v>9307</v>
      </c>
      <c r="J1129" t="str">
        <f t="shared" si="17"/>
        <v>13F-HR-.38.C12</v>
      </c>
      <c r="K1129" s="5" t="s">
        <v>8646</v>
      </c>
      <c r="L1129" t="s">
        <v>241</v>
      </c>
      <c r="M1129" t="s">
        <v>8647</v>
      </c>
      <c r="N1129" t="s">
        <v>8648</v>
      </c>
      <c r="Q1129" s="28">
        <v>72617</v>
      </c>
    </row>
    <row r="1130" spans="1:17" x14ac:dyDescent="0.35">
      <c r="A1130" t="s">
        <v>8520</v>
      </c>
      <c r="B1130" s="3" t="s">
        <v>102</v>
      </c>
      <c r="G1130" t="s">
        <v>8607</v>
      </c>
      <c r="H1130">
        <v>27</v>
      </c>
      <c r="I1130" t="s">
        <v>9296</v>
      </c>
      <c r="J1130" t="str">
        <f t="shared" si="17"/>
        <v>13F-HR-.27.C1</v>
      </c>
      <c r="K1130" s="5" t="s">
        <v>8608</v>
      </c>
      <c r="L1130" t="s">
        <v>229</v>
      </c>
      <c r="M1130" t="s">
        <v>8609</v>
      </c>
      <c r="N1130" t="s">
        <v>8610</v>
      </c>
      <c r="Q1130" s="28" t="s">
        <v>8801</v>
      </c>
    </row>
    <row r="1131" spans="1:17" x14ac:dyDescent="0.35">
      <c r="A1131" t="s">
        <v>8520</v>
      </c>
      <c r="B1131" s="3" t="s">
        <v>102</v>
      </c>
      <c r="G1131" t="s">
        <v>8607</v>
      </c>
      <c r="H1131">
        <v>28</v>
      </c>
      <c r="I1131" t="s">
        <v>9297</v>
      </c>
      <c r="J1131" t="str">
        <f t="shared" si="17"/>
        <v>13F-HR-.28.C2</v>
      </c>
      <c r="K1131" s="5" t="s">
        <v>8612</v>
      </c>
      <c r="L1131" t="s">
        <v>229</v>
      </c>
      <c r="M1131" t="s">
        <v>8613</v>
      </c>
      <c r="N1131" t="s">
        <v>8614</v>
      </c>
      <c r="Q1131" s="28" t="s">
        <v>8615</v>
      </c>
    </row>
    <row r="1132" spans="1:17" x14ac:dyDescent="0.35">
      <c r="A1132" t="s">
        <v>8520</v>
      </c>
      <c r="B1132" s="3" t="s">
        <v>102</v>
      </c>
      <c r="G1132" t="s">
        <v>8607</v>
      </c>
      <c r="H1132">
        <v>29</v>
      </c>
      <c r="I1132" t="s">
        <v>9298</v>
      </c>
      <c r="J1132" t="str">
        <f t="shared" si="17"/>
        <v>13F-HR-.29.C3</v>
      </c>
      <c r="K1132" s="5" t="s">
        <v>8616</v>
      </c>
      <c r="L1132" t="s">
        <v>229</v>
      </c>
      <c r="M1132" t="s">
        <v>7927</v>
      </c>
      <c r="N1132" t="s">
        <v>8617</v>
      </c>
      <c r="Q1132" s="28">
        <v>254687106</v>
      </c>
    </row>
    <row r="1133" spans="1:17" x14ac:dyDescent="0.35">
      <c r="A1133" t="s">
        <v>8520</v>
      </c>
      <c r="B1133" s="3" t="s">
        <v>102</v>
      </c>
      <c r="G1133" t="s">
        <v>8607</v>
      </c>
      <c r="H1133">
        <v>30</v>
      </c>
      <c r="I1133" t="s">
        <v>9299</v>
      </c>
      <c r="J1133" t="str">
        <f t="shared" si="17"/>
        <v>13F-HR-.30.C4</v>
      </c>
      <c r="K1133" s="5" t="s">
        <v>8618</v>
      </c>
      <c r="L1133" t="s">
        <v>8619</v>
      </c>
      <c r="M1133" t="s">
        <v>8620</v>
      </c>
      <c r="N1133" t="s">
        <v>8621</v>
      </c>
      <c r="Q1133" s="28">
        <v>7218425</v>
      </c>
    </row>
    <row r="1134" spans="1:17" x14ac:dyDescent="0.35">
      <c r="A1134" t="s">
        <v>8520</v>
      </c>
      <c r="B1134" s="3" t="s">
        <v>102</v>
      </c>
      <c r="G1134" t="s">
        <v>8607</v>
      </c>
      <c r="H1134">
        <v>31</v>
      </c>
      <c r="I1134" t="s">
        <v>9300</v>
      </c>
      <c r="J1134" t="str">
        <f t="shared" si="17"/>
        <v>13F-HR-.31.C5</v>
      </c>
      <c r="K1134" s="5" t="s">
        <v>8622</v>
      </c>
      <c r="L1134" t="s">
        <v>241</v>
      </c>
      <c r="M1134" t="s">
        <v>8623</v>
      </c>
      <c r="N1134" t="s">
        <v>8624</v>
      </c>
      <c r="Q1134" s="28">
        <v>73135</v>
      </c>
    </row>
    <row r="1135" spans="1:17" x14ac:dyDescent="0.35">
      <c r="A1135" t="s">
        <v>8520</v>
      </c>
      <c r="B1135" s="3" t="s">
        <v>102</v>
      </c>
      <c r="G1135" t="s">
        <v>8607</v>
      </c>
      <c r="H1135">
        <v>32</v>
      </c>
      <c r="I1135" t="s">
        <v>9301</v>
      </c>
      <c r="J1135" t="str">
        <f t="shared" si="17"/>
        <v>13F-HR-.32.C6</v>
      </c>
      <c r="K1135" s="5" t="s">
        <v>8625</v>
      </c>
      <c r="L1135" t="s">
        <v>229</v>
      </c>
      <c r="M1135" t="s">
        <v>8626</v>
      </c>
      <c r="N1135" t="s">
        <v>8627</v>
      </c>
      <c r="Q1135" s="28" t="s">
        <v>8628</v>
      </c>
    </row>
    <row r="1136" spans="1:17" x14ac:dyDescent="0.35">
      <c r="A1136" t="s">
        <v>8520</v>
      </c>
      <c r="B1136" s="3" t="s">
        <v>102</v>
      </c>
      <c r="G1136" t="s">
        <v>8607</v>
      </c>
      <c r="H1136">
        <v>33</v>
      </c>
      <c r="I1136" t="s">
        <v>9302</v>
      </c>
      <c r="J1136" t="str">
        <f t="shared" si="17"/>
        <v>13F-HR-.33.C7</v>
      </c>
      <c r="K1136" s="5" t="s">
        <v>8629</v>
      </c>
      <c r="L1136" t="s">
        <v>229</v>
      </c>
      <c r="M1136" t="s">
        <v>8630</v>
      </c>
      <c r="N1136" t="s">
        <v>8631</v>
      </c>
      <c r="Q1136" s="28" t="s">
        <v>8685</v>
      </c>
    </row>
    <row r="1137" spans="1:17" x14ac:dyDescent="0.35">
      <c r="A1137" t="s">
        <v>8520</v>
      </c>
      <c r="B1137" s="3" t="s">
        <v>102</v>
      </c>
      <c r="G1137" t="s">
        <v>8607</v>
      </c>
      <c r="H1137">
        <v>34</v>
      </c>
      <c r="I1137" t="s">
        <v>9303</v>
      </c>
      <c r="J1137" t="str">
        <f t="shared" si="17"/>
        <v>13F-HR-.34.C8</v>
      </c>
      <c r="K1137" s="5" t="s">
        <v>8633</v>
      </c>
      <c r="L1137" t="s">
        <v>4735</v>
      </c>
      <c r="M1137" t="s">
        <v>8634</v>
      </c>
      <c r="N1137" t="s">
        <v>8635</v>
      </c>
      <c r="Q1137" s="28" t="s">
        <v>8632</v>
      </c>
    </row>
    <row r="1138" spans="1:17" x14ac:dyDescent="0.35">
      <c r="A1138" t="s">
        <v>8651</v>
      </c>
      <c r="B1138" s="3" t="s">
        <v>102</v>
      </c>
      <c r="G1138" t="s">
        <v>8607</v>
      </c>
      <c r="H1138">
        <v>35</v>
      </c>
      <c r="I1138" t="s">
        <v>9304</v>
      </c>
      <c r="J1138" t="str">
        <f t="shared" si="17"/>
        <v>135-HR-.35.C9</v>
      </c>
      <c r="K1138" s="5" t="s">
        <v>8637</v>
      </c>
      <c r="L1138" t="s">
        <v>229</v>
      </c>
      <c r="M1138" t="s">
        <v>8638</v>
      </c>
      <c r="N1138" t="s">
        <v>8639</v>
      </c>
      <c r="Q1138" s="28" t="s">
        <v>8636</v>
      </c>
    </row>
    <row r="1139" spans="1:17" x14ac:dyDescent="0.35">
      <c r="A1139" t="s">
        <v>8520</v>
      </c>
      <c r="B1139" s="3" t="s">
        <v>102</v>
      </c>
      <c r="G1139" t="s">
        <v>8607</v>
      </c>
      <c r="H1139">
        <v>36</v>
      </c>
      <c r="I1139" t="s">
        <v>9305</v>
      </c>
      <c r="J1139" t="str">
        <f t="shared" si="17"/>
        <v>13F-HR-.36.C10</v>
      </c>
      <c r="K1139" s="5" t="s">
        <v>8640</v>
      </c>
      <c r="L1139" t="s">
        <v>241</v>
      </c>
      <c r="M1139" t="s">
        <v>8641</v>
      </c>
      <c r="N1139" t="s">
        <v>8642</v>
      </c>
      <c r="Q1139" s="28">
        <v>0</v>
      </c>
    </row>
    <row r="1140" spans="1:17" x14ac:dyDescent="0.35">
      <c r="A1140" t="s">
        <v>8520</v>
      </c>
      <c r="B1140" s="3" t="s">
        <v>102</v>
      </c>
      <c r="G1140" t="s">
        <v>8607</v>
      </c>
      <c r="H1140">
        <v>37</v>
      </c>
      <c r="I1140" t="s">
        <v>9306</v>
      </c>
      <c r="J1140" t="str">
        <f t="shared" si="17"/>
        <v>13F-HR-.37.C11</v>
      </c>
      <c r="K1140" s="5" t="s">
        <v>8643</v>
      </c>
      <c r="L1140" t="s">
        <v>241</v>
      </c>
      <c r="M1140" t="s">
        <v>8644</v>
      </c>
      <c r="N1140" t="s">
        <v>8645</v>
      </c>
      <c r="Q1140" s="28">
        <v>0</v>
      </c>
    </row>
    <row r="1141" spans="1:17" x14ac:dyDescent="0.35">
      <c r="A1141" t="s">
        <v>8520</v>
      </c>
      <c r="B1141" s="3" t="s">
        <v>102</v>
      </c>
      <c r="G1141" t="s">
        <v>8607</v>
      </c>
      <c r="H1141">
        <v>38</v>
      </c>
      <c r="I1141" t="s">
        <v>9307</v>
      </c>
      <c r="J1141" t="str">
        <f t="shared" si="17"/>
        <v>13F-HR-.38.C12</v>
      </c>
      <c r="K1141" s="5" t="s">
        <v>8646</v>
      </c>
      <c r="L1141" t="s">
        <v>241</v>
      </c>
      <c r="M1141" t="s">
        <v>8647</v>
      </c>
      <c r="N1141" t="s">
        <v>8648</v>
      </c>
      <c r="Q1141" s="28">
        <v>73135</v>
      </c>
    </row>
    <row r="1142" spans="1:17" x14ac:dyDescent="0.35">
      <c r="A1142" t="s">
        <v>8520</v>
      </c>
      <c r="B1142" s="3" t="s">
        <v>102</v>
      </c>
      <c r="G1142" t="s">
        <v>8607</v>
      </c>
      <c r="H1142">
        <v>27</v>
      </c>
      <c r="I1142" t="s">
        <v>9296</v>
      </c>
      <c r="J1142" t="str">
        <f t="shared" si="17"/>
        <v>13F-HR-.27.C1</v>
      </c>
      <c r="K1142" s="5" t="s">
        <v>8608</v>
      </c>
      <c r="L1142" t="s">
        <v>229</v>
      </c>
      <c r="M1142" t="s">
        <v>8609</v>
      </c>
      <c r="N1142" t="s">
        <v>8610</v>
      </c>
      <c r="Q1142" s="28" t="s">
        <v>8802</v>
      </c>
    </row>
    <row r="1143" spans="1:17" x14ac:dyDescent="0.35">
      <c r="A1143" t="s">
        <v>8520</v>
      </c>
      <c r="B1143" s="3" t="s">
        <v>102</v>
      </c>
      <c r="G1143" t="s">
        <v>8607</v>
      </c>
      <c r="H1143">
        <v>28</v>
      </c>
      <c r="I1143" t="s">
        <v>9297</v>
      </c>
      <c r="J1143" t="str">
        <f t="shared" si="17"/>
        <v>13F-HR-.28.C2</v>
      </c>
      <c r="K1143" s="5" t="s">
        <v>8612</v>
      </c>
      <c r="L1143" t="s">
        <v>229</v>
      </c>
      <c r="M1143" t="s">
        <v>8613</v>
      </c>
      <c r="N1143" t="s">
        <v>8614</v>
      </c>
      <c r="Q1143" s="28" t="s">
        <v>8615</v>
      </c>
    </row>
    <row r="1144" spans="1:17" x14ac:dyDescent="0.35">
      <c r="A1144" t="s">
        <v>8520</v>
      </c>
      <c r="B1144" s="3" t="s">
        <v>102</v>
      </c>
      <c r="G1144" t="s">
        <v>8607</v>
      </c>
      <c r="H1144">
        <v>29</v>
      </c>
      <c r="I1144" t="s">
        <v>9298</v>
      </c>
      <c r="J1144" t="str">
        <f t="shared" si="17"/>
        <v>13F-HR-.29.C3</v>
      </c>
      <c r="K1144" s="5" t="s">
        <v>8616</v>
      </c>
      <c r="L1144" t="s">
        <v>229</v>
      </c>
      <c r="M1144" t="s">
        <v>7927</v>
      </c>
      <c r="N1144" t="s">
        <v>8617</v>
      </c>
      <c r="Q1144" s="28">
        <v>254709108</v>
      </c>
    </row>
    <row r="1145" spans="1:17" x14ac:dyDescent="0.35">
      <c r="A1145" t="s">
        <v>8520</v>
      </c>
      <c r="B1145" s="3" t="s">
        <v>102</v>
      </c>
      <c r="G1145" t="s">
        <v>8607</v>
      </c>
      <c r="H1145">
        <v>30</v>
      </c>
      <c r="I1145" t="s">
        <v>9299</v>
      </c>
      <c r="J1145" t="str">
        <f t="shared" si="17"/>
        <v>13F-HR-.30.C4</v>
      </c>
      <c r="K1145" s="5" t="s">
        <v>8618</v>
      </c>
      <c r="L1145" t="s">
        <v>8619</v>
      </c>
      <c r="M1145" t="s">
        <v>8620</v>
      </c>
      <c r="N1145" t="s">
        <v>8621</v>
      </c>
      <c r="Q1145" s="28">
        <v>32627257</v>
      </c>
    </row>
    <row r="1146" spans="1:17" x14ac:dyDescent="0.35">
      <c r="A1146" t="s">
        <v>8520</v>
      </c>
      <c r="B1146" s="3" t="s">
        <v>102</v>
      </c>
      <c r="G1146" t="s">
        <v>8607</v>
      </c>
      <c r="H1146">
        <v>31</v>
      </c>
      <c r="I1146" t="s">
        <v>9300</v>
      </c>
      <c r="J1146" t="str">
        <f t="shared" si="17"/>
        <v>13F-HR-.31.C5</v>
      </c>
      <c r="K1146" s="5" t="s">
        <v>8622</v>
      </c>
      <c r="L1146" t="s">
        <v>241</v>
      </c>
      <c r="M1146" t="s">
        <v>8623</v>
      </c>
      <c r="N1146" t="s">
        <v>8624</v>
      </c>
      <c r="Q1146" s="28">
        <v>191138</v>
      </c>
    </row>
    <row r="1147" spans="1:17" x14ac:dyDescent="0.35">
      <c r="A1147" t="s">
        <v>8520</v>
      </c>
      <c r="B1147" s="3" t="s">
        <v>102</v>
      </c>
      <c r="G1147" t="s">
        <v>8607</v>
      </c>
      <c r="H1147">
        <v>32</v>
      </c>
      <c r="I1147" t="s">
        <v>9301</v>
      </c>
      <c r="J1147" t="str">
        <f t="shared" si="17"/>
        <v>13F-HR-.32.C6</v>
      </c>
      <c r="K1147" s="5" t="s">
        <v>8625</v>
      </c>
      <c r="L1147" t="s">
        <v>229</v>
      </c>
      <c r="M1147" t="s">
        <v>8626</v>
      </c>
      <c r="N1147" t="s">
        <v>8627</v>
      </c>
      <c r="Q1147" s="28" t="s">
        <v>8628</v>
      </c>
    </row>
    <row r="1148" spans="1:17" x14ac:dyDescent="0.35">
      <c r="A1148" t="s">
        <v>8520</v>
      </c>
      <c r="B1148" s="3" t="s">
        <v>102</v>
      </c>
      <c r="G1148" t="s">
        <v>8607</v>
      </c>
      <c r="H1148">
        <v>33</v>
      </c>
      <c r="I1148" t="s">
        <v>9302</v>
      </c>
      <c r="J1148" t="str">
        <f t="shared" si="17"/>
        <v>13F-HR-.33.C7</v>
      </c>
      <c r="K1148" s="5" t="s">
        <v>8629</v>
      </c>
      <c r="L1148" t="s">
        <v>229</v>
      </c>
      <c r="M1148" t="s">
        <v>8630</v>
      </c>
      <c r="N1148" t="s">
        <v>8631</v>
      </c>
      <c r="Q1148" s="28" t="s">
        <v>8685</v>
      </c>
    </row>
    <row r="1149" spans="1:17" x14ac:dyDescent="0.35">
      <c r="A1149" t="s">
        <v>8520</v>
      </c>
      <c r="B1149" s="3" t="s">
        <v>102</v>
      </c>
      <c r="G1149" t="s">
        <v>8607</v>
      </c>
      <c r="H1149">
        <v>34</v>
      </c>
      <c r="I1149" t="s">
        <v>9303</v>
      </c>
      <c r="J1149" t="str">
        <f t="shared" si="17"/>
        <v>13F-HR-.34.C8</v>
      </c>
      <c r="K1149" s="5" t="s">
        <v>8633</v>
      </c>
      <c r="L1149" t="s">
        <v>4735</v>
      </c>
      <c r="M1149" t="s">
        <v>8634</v>
      </c>
      <c r="N1149" t="s">
        <v>8635</v>
      </c>
      <c r="Q1149" s="28" t="s">
        <v>8632</v>
      </c>
    </row>
    <row r="1150" spans="1:17" x14ac:dyDescent="0.35">
      <c r="A1150" t="s">
        <v>8651</v>
      </c>
      <c r="B1150" s="3" t="s">
        <v>102</v>
      </c>
      <c r="G1150" t="s">
        <v>8607</v>
      </c>
      <c r="H1150">
        <v>35</v>
      </c>
      <c r="I1150" t="s">
        <v>9304</v>
      </c>
      <c r="J1150" t="str">
        <f t="shared" si="17"/>
        <v>135-HR-.35.C9</v>
      </c>
      <c r="K1150" s="5" t="s">
        <v>8637</v>
      </c>
      <c r="L1150" t="s">
        <v>229</v>
      </c>
      <c r="M1150" t="s">
        <v>8638</v>
      </c>
      <c r="N1150" t="s">
        <v>8639</v>
      </c>
      <c r="Q1150" s="28" t="s">
        <v>8636</v>
      </c>
    </row>
    <row r="1151" spans="1:17" x14ac:dyDescent="0.35">
      <c r="A1151" t="s">
        <v>8520</v>
      </c>
      <c r="B1151" s="3" t="s">
        <v>102</v>
      </c>
      <c r="G1151" t="s">
        <v>8607</v>
      </c>
      <c r="H1151">
        <v>36</v>
      </c>
      <c r="I1151" t="s">
        <v>9305</v>
      </c>
      <c r="J1151" t="str">
        <f t="shared" si="17"/>
        <v>13F-HR-.36.C10</v>
      </c>
      <c r="K1151" s="5" t="s">
        <v>8640</v>
      </c>
      <c r="L1151" t="s">
        <v>241</v>
      </c>
      <c r="M1151" t="s">
        <v>8641</v>
      </c>
      <c r="N1151" t="s">
        <v>8642</v>
      </c>
      <c r="Q1151" s="28">
        <v>86528</v>
      </c>
    </row>
    <row r="1152" spans="1:17" x14ac:dyDescent="0.35">
      <c r="A1152" t="s">
        <v>8520</v>
      </c>
      <c r="B1152" s="3" t="s">
        <v>102</v>
      </c>
      <c r="G1152" t="s">
        <v>8607</v>
      </c>
      <c r="H1152">
        <v>37</v>
      </c>
      <c r="I1152" t="s">
        <v>9306</v>
      </c>
      <c r="J1152" t="str">
        <f t="shared" si="17"/>
        <v>13F-HR-.37.C11</v>
      </c>
      <c r="K1152" s="5" t="s">
        <v>8643</v>
      </c>
      <c r="L1152" t="s">
        <v>241</v>
      </c>
      <c r="M1152" t="s">
        <v>8644</v>
      </c>
      <c r="N1152" t="s">
        <v>8645</v>
      </c>
      <c r="Q1152" s="28">
        <v>0</v>
      </c>
    </row>
    <row r="1153" spans="1:17" x14ac:dyDescent="0.35">
      <c r="A1153" t="s">
        <v>8520</v>
      </c>
      <c r="B1153" s="3" t="s">
        <v>102</v>
      </c>
      <c r="G1153" t="s">
        <v>8607</v>
      </c>
      <c r="H1153">
        <v>38</v>
      </c>
      <c r="I1153" t="s">
        <v>9307</v>
      </c>
      <c r="J1153" t="str">
        <f t="shared" si="17"/>
        <v>13F-HR-.38.C12</v>
      </c>
      <c r="K1153" s="5" t="s">
        <v>8646</v>
      </c>
      <c r="L1153" t="s">
        <v>241</v>
      </c>
      <c r="M1153" t="s">
        <v>8647</v>
      </c>
      <c r="N1153" t="s">
        <v>8648</v>
      </c>
      <c r="Q1153" s="28">
        <v>104610</v>
      </c>
    </row>
    <row r="1154" spans="1:17" x14ac:dyDescent="0.35">
      <c r="A1154" t="s">
        <v>8520</v>
      </c>
      <c r="B1154" s="3" t="s">
        <v>102</v>
      </c>
      <c r="G1154" t="s">
        <v>8607</v>
      </c>
      <c r="H1154">
        <v>27</v>
      </c>
      <c r="I1154" t="s">
        <v>9296</v>
      </c>
      <c r="J1154" t="str">
        <f t="shared" si="17"/>
        <v>13F-HR-.27.C1</v>
      </c>
      <c r="K1154" s="5" t="s">
        <v>8608</v>
      </c>
      <c r="L1154" t="s">
        <v>229</v>
      </c>
      <c r="M1154" t="s">
        <v>8609</v>
      </c>
      <c r="N1154" t="s">
        <v>8610</v>
      </c>
      <c r="Q1154" s="28" t="s">
        <v>8803</v>
      </c>
    </row>
    <row r="1155" spans="1:17" x14ac:dyDescent="0.35">
      <c r="A1155" t="s">
        <v>8520</v>
      </c>
      <c r="B1155" s="3" t="s">
        <v>102</v>
      </c>
      <c r="G1155" t="s">
        <v>8607</v>
      </c>
      <c r="H1155">
        <v>28</v>
      </c>
      <c r="I1155" t="s">
        <v>9297</v>
      </c>
      <c r="J1155" t="str">
        <f t="shared" ref="J1155:J1218" si="18">_xlfn.CONCAT(A1155,"-",F1155,".",H1155,".",I1155)</f>
        <v>13F-HR-.28.C2</v>
      </c>
      <c r="K1155" s="5" t="s">
        <v>8612</v>
      </c>
      <c r="L1155" t="s">
        <v>229</v>
      </c>
      <c r="M1155" t="s">
        <v>8613</v>
      </c>
      <c r="N1155" t="s">
        <v>8614</v>
      </c>
      <c r="Q1155" s="28" t="s">
        <v>8615</v>
      </c>
    </row>
    <row r="1156" spans="1:17" x14ac:dyDescent="0.35">
      <c r="A1156" t="s">
        <v>8520</v>
      </c>
      <c r="B1156" s="3" t="s">
        <v>102</v>
      </c>
      <c r="G1156" t="s">
        <v>8607</v>
      </c>
      <c r="H1156">
        <v>29</v>
      </c>
      <c r="I1156" t="s">
        <v>9298</v>
      </c>
      <c r="J1156" t="str">
        <f t="shared" si="18"/>
        <v>13F-HR-.29.C3</v>
      </c>
      <c r="K1156" s="5" t="s">
        <v>8616</v>
      </c>
      <c r="L1156" t="s">
        <v>229</v>
      </c>
      <c r="M1156" t="s">
        <v>7927</v>
      </c>
      <c r="N1156" t="s">
        <v>8617</v>
      </c>
      <c r="Q1156" s="28">
        <v>256677105</v>
      </c>
    </row>
    <row r="1157" spans="1:17" x14ac:dyDescent="0.35">
      <c r="A1157" t="s">
        <v>8520</v>
      </c>
      <c r="B1157" s="3" t="s">
        <v>102</v>
      </c>
      <c r="G1157" t="s">
        <v>8607</v>
      </c>
      <c r="H1157">
        <v>30</v>
      </c>
      <c r="I1157" t="s">
        <v>9299</v>
      </c>
      <c r="J1157" t="str">
        <f t="shared" si="18"/>
        <v>13F-HR-.30.C4</v>
      </c>
      <c r="K1157" s="5" t="s">
        <v>8618</v>
      </c>
      <c r="L1157" t="s">
        <v>8619</v>
      </c>
      <c r="M1157" t="s">
        <v>8620</v>
      </c>
      <c r="N1157" t="s">
        <v>8621</v>
      </c>
      <c r="Q1157" s="28">
        <v>7364138</v>
      </c>
    </row>
    <row r="1158" spans="1:17" x14ac:dyDescent="0.35">
      <c r="A1158" t="s">
        <v>8520</v>
      </c>
      <c r="B1158" s="3" t="s">
        <v>102</v>
      </c>
      <c r="G1158" t="s">
        <v>8607</v>
      </c>
      <c r="H1158">
        <v>31</v>
      </c>
      <c r="I1158" t="s">
        <v>9300</v>
      </c>
      <c r="J1158" t="str">
        <f t="shared" si="18"/>
        <v>13F-HR-.31.C5</v>
      </c>
      <c r="K1158" s="5" t="s">
        <v>8622</v>
      </c>
      <c r="L1158" t="s">
        <v>241</v>
      </c>
      <c r="M1158" t="s">
        <v>8623</v>
      </c>
      <c r="N1158" t="s">
        <v>8624</v>
      </c>
      <c r="Q1158" s="28">
        <v>83750</v>
      </c>
    </row>
    <row r="1159" spans="1:17" x14ac:dyDescent="0.35">
      <c r="A1159" t="s">
        <v>8520</v>
      </c>
      <c r="B1159" s="3" t="s">
        <v>102</v>
      </c>
      <c r="G1159" t="s">
        <v>8607</v>
      </c>
      <c r="H1159">
        <v>32</v>
      </c>
      <c r="I1159" t="s">
        <v>9301</v>
      </c>
      <c r="J1159" t="str">
        <f t="shared" si="18"/>
        <v>13F-HR-.32.C6</v>
      </c>
      <c r="K1159" s="5" t="s">
        <v>8625</v>
      </c>
      <c r="L1159" t="s">
        <v>229</v>
      </c>
      <c r="M1159" t="s">
        <v>8626</v>
      </c>
      <c r="N1159" t="s">
        <v>8627</v>
      </c>
      <c r="Q1159" s="28" t="s">
        <v>8628</v>
      </c>
    </row>
    <row r="1160" spans="1:17" x14ac:dyDescent="0.35">
      <c r="A1160" t="s">
        <v>8520</v>
      </c>
      <c r="B1160" s="3" t="s">
        <v>102</v>
      </c>
      <c r="G1160" t="s">
        <v>8607</v>
      </c>
      <c r="H1160">
        <v>33</v>
      </c>
      <c r="I1160" t="s">
        <v>9302</v>
      </c>
      <c r="J1160" t="str">
        <f t="shared" si="18"/>
        <v>13F-HR-.33.C7</v>
      </c>
      <c r="K1160" s="5" t="s">
        <v>8629</v>
      </c>
      <c r="L1160" t="s">
        <v>229</v>
      </c>
      <c r="M1160" t="s">
        <v>8630</v>
      </c>
      <c r="N1160" t="s">
        <v>8631</v>
      </c>
      <c r="Q1160" s="28" t="s">
        <v>8685</v>
      </c>
    </row>
    <row r="1161" spans="1:17" x14ac:dyDescent="0.35">
      <c r="A1161" t="s">
        <v>8520</v>
      </c>
      <c r="B1161" s="3" t="s">
        <v>102</v>
      </c>
      <c r="G1161" t="s">
        <v>8607</v>
      </c>
      <c r="H1161">
        <v>34</v>
      </c>
      <c r="I1161" t="s">
        <v>9303</v>
      </c>
      <c r="J1161" t="str">
        <f t="shared" si="18"/>
        <v>13F-HR-.34.C8</v>
      </c>
      <c r="K1161" s="5" t="s">
        <v>8633</v>
      </c>
      <c r="L1161" t="s">
        <v>4735</v>
      </c>
      <c r="M1161" t="s">
        <v>8634</v>
      </c>
      <c r="N1161" t="s">
        <v>8635</v>
      </c>
      <c r="Q1161" s="28" t="s">
        <v>8632</v>
      </c>
    </row>
    <row r="1162" spans="1:17" x14ac:dyDescent="0.35">
      <c r="A1162" t="s">
        <v>8651</v>
      </c>
      <c r="B1162" s="3" t="s">
        <v>102</v>
      </c>
      <c r="G1162" t="s">
        <v>8607</v>
      </c>
      <c r="H1162">
        <v>35</v>
      </c>
      <c r="I1162" t="s">
        <v>9304</v>
      </c>
      <c r="J1162" t="str">
        <f t="shared" si="18"/>
        <v>135-HR-.35.C9</v>
      </c>
      <c r="K1162" s="5" t="s">
        <v>8637</v>
      </c>
      <c r="L1162" t="s">
        <v>229</v>
      </c>
      <c r="M1162" t="s">
        <v>8638</v>
      </c>
      <c r="N1162" t="s">
        <v>8639</v>
      </c>
      <c r="Q1162" s="28" t="s">
        <v>8636</v>
      </c>
    </row>
    <row r="1163" spans="1:17" x14ac:dyDescent="0.35">
      <c r="A1163" t="s">
        <v>8520</v>
      </c>
      <c r="B1163" s="3" t="s">
        <v>102</v>
      </c>
      <c r="G1163" t="s">
        <v>8607</v>
      </c>
      <c r="H1163">
        <v>36</v>
      </c>
      <c r="I1163" t="s">
        <v>9305</v>
      </c>
      <c r="J1163" t="str">
        <f t="shared" si="18"/>
        <v>13F-HR-.36.C10</v>
      </c>
      <c r="K1163" s="5" t="s">
        <v>8640</v>
      </c>
      <c r="L1163" t="s">
        <v>241</v>
      </c>
      <c r="M1163" t="s">
        <v>8641</v>
      </c>
      <c r="N1163" t="s">
        <v>8642</v>
      </c>
      <c r="Q1163" s="28">
        <v>23544</v>
      </c>
    </row>
    <row r="1164" spans="1:17" x14ac:dyDescent="0.35">
      <c r="A1164" t="s">
        <v>8520</v>
      </c>
      <c r="B1164" s="3" t="s">
        <v>102</v>
      </c>
      <c r="G1164" t="s">
        <v>8607</v>
      </c>
      <c r="H1164">
        <v>37</v>
      </c>
      <c r="I1164" t="s">
        <v>9306</v>
      </c>
      <c r="J1164" t="str">
        <f t="shared" si="18"/>
        <v>13F-HR-.37.C11</v>
      </c>
      <c r="K1164" s="5" t="s">
        <v>8643</v>
      </c>
      <c r="L1164" t="s">
        <v>241</v>
      </c>
      <c r="M1164" t="s">
        <v>8644</v>
      </c>
      <c r="N1164" t="s">
        <v>8645</v>
      </c>
      <c r="Q1164" s="28">
        <v>0</v>
      </c>
    </row>
    <row r="1165" spans="1:17" x14ac:dyDescent="0.35">
      <c r="A1165" t="s">
        <v>8520</v>
      </c>
      <c r="B1165" s="3" t="s">
        <v>102</v>
      </c>
      <c r="G1165" t="s">
        <v>8607</v>
      </c>
      <c r="H1165">
        <v>38</v>
      </c>
      <c r="I1165" t="s">
        <v>9307</v>
      </c>
      <c r="J1165" t="str">
        <f t="shared" si="18"/>
        <v>13F-HR-.38.C12</v>
      </c>
      <c r="K1165" s="5" t="s">
        <v>8646</v>
      </c>
      <c r="L1165" t="s">
        <v>241</v>
      </c>
      <c r="M1165" t="s">
        <v>8647</v>
      </c>
      <c r="N1165" t="s">
        <v>8648</v>
      </c>
      <c r="Q1165" s="28">
        <v>60206</v>
      </c>
    </row>
    <row r="1166" spans="1:17" x14ac:dyDescent="0.35">
      <c r="A1166" t="s">
        <v>8520</v>
      </c>
      <c r="B1166" s="3" t="s">
        <v>102</v>
      </c>
      <c r="G1166" t="s">
        <v>8607</v>
      </c>
      <c r="H1166">
        <v>27</v>
      </c>
      <c r="I1166" t="s">
        <v>9296</v>
      </c>
      <c r="J1166" t="str">
        <f t="shared" si="18"/>
        <v>13F-HR-.27.C1</v>
      </c>
      <c r="K1166" s="5" t="s">
        <v>8608</v>
      </c>
      <c r="L1166" t="s">
        <v>229</v>
      </c>
      <c r="M1166" t="s">
        <v>8609</v>
      </c>
      <c r="N1166" t="s">
        <v>8610</v>
      </c>
      <c r="Q1166" s="28" t="s">
        <v>8804</v>
      </c>
    </row>
    <row r="1167" spans="1:17" x14ac:dyDescent="0.35">
      <c r="A1167" t="s">
        <v>8520</v>
      </c>
      <c r="B1167" s="3" t="s">
        <v>102</v>
      </c>
      <c r="G1167" t="s">
        <v>8607</v>
      </c>
      <c r="H1167">
        <v>28</v>
      </c>
      <c r="I1167" t="s">
        <v>9297</v>
      </c>
      <c r="J1167" t="str">
        <f t="shared" si="18"/>
        <v>13F-HR-.28.C2</v>
      </c>
      <c r="K1167" s="5" t="s">
        <v>8612</v>
      </c>
      <c r="L1167" t="s">
        <v>229</v>
      </c>
      <c r="M1167" t="s">
        <v>8613</v>
      </c>
      <c r="N1167" t="s">
        <v>8614</v>
      </c>
      <c r="Q1167" s="28" t="s">
        <v>8615</v>
      </c>
    </row>
    <row r="1168" spans="1:17" x14ac:dyDescent="0.35">
      <c r="A1168" t="s">
        <v>8520</v>
      </c>
      <c r="B1168" s="3" t="s">
        <v>102</v>
      </c>
      <c r="G1168" t="s">
        <v>8607</v>
      </c>
      <c r="H1168">
        <v>29</v>
      </c>
      <c r="I1168" t="s">
        <v>9298</v>
      </c>
      <c r="J1168" t="str">
        <f t="shared" si="18"/>
        <v>13F-HR-.29.C3</v>
      </c>
      <c r="K1168" s="5" t="s">
        <v>8616</v>
      </c>
      <c r="L1168" t="s">
        <v>229</v>
      </c>
      <c r="M1168" t="s">
        <v>7927</v>
      </c>
      <c r="N1168" t="s">
        <v>8617</v>
      </c>
      <c r="Q1168" s="28">
        <v>256746108</v>
      </c>
    </row>
    <row r="1169" spans="1:17" x14ac:dyDescent="0.35">
      <c r="A1169" t="s">
        <v>8520</v>
      </c>
      <c r="B1169" s="3" t="s">
        <v>102</v>
      </c>
      <c r="G1169" t="s">
        <v>8607</v>
      </c>
      <c r="H1169">
        <v>30</v>
      </c>
      <c r="I1169" t="s">
        <v>9299</v>
      </c>
      <c r="J1169" t="str">
        <f t="shared" si="18"/>
        <v>13F-HR-.30.C4</v>
      </c>
      <c r="K1169" s="5" t="s">
        <v>8618</v>
      </c>
      <c r="L1169" t="s">
        <v>8619</v>
      </c>
      <c r="M1169" t="s">
        <v>8620</v>
      </c>
      <c r="N1169" t="s">
        <v>8621</v>
      </c>
      <c r="Q1169" s="28">
        <v>2698767</v>
      </c>
    </row>
    <row r="1170" spans="1:17" x14ac:dyDescent="0.35">
      <c r="A1170" t="s">
        <v>8520</v>
      </c>
      <c r="B1170" s="3" t="s">
        <v>102</v>
      </c>
      <c r="G1170" t="s">
        <v>8607</v>
      </c>
      <c r="H1170">
        <v>31</v>
      </c>
      <c r="I1170" t="s">
        <v>9300</v>
      </c>
      <c r="J1170" t="str">
        <f t="shared" si="18"/>
        <v>13F-HR-.31.C5</v>
      </c>
      <c r="K1170" s="5" t="s">
        <v>8622</v>
      </c>
      <c r="L1170" t="s">
        <v>241</v>
      </c>
      <c r="M1170" t="s">
        <v>8623</v>
      </c>
      <c r="N1170" t="s">
        <v>8624</v>
      </c>
      <c r="Q1170" s="28">
        <v>35950</v>
      </c>
    </row>
    <row r="1171" spans="1:17" x14ac:dyDescent="0.35">
      <c r="A1171" t="s">
        <v>8520</v>
      </c>
      <c r="B1171" s="3" t="s">
        <v>102</v>
      </c>
      <c r="G1171" t="s">
        <v>8607</v>
      </c>
      <c r="H1171">
        <v>32</v>
      </c>
      <c r="I1171" t="s">
        <v>9301</v>
      </c>
      <c r="J1171" t="str">
        <f t="shared" si="18"/>
        <v>13F-HR-.32.C6</v>
      </c>
      <c r="K1171" s="5" t="s">
        <v>8625</v>
      </c>
      <c r="L1171" t="s">
        <v>229</v>
      </c>
      <c r="M1171" t="s">
        <v>8626</v>
      </c>
      <c r="N1171" t="s">
        <v>8627</v>
      </c>
      <c r="Q1171" s="28" t="s">
        <v>8628</v>
      </c>
    </row>
    <row r="1172" spans="1:17" x14ac:dyDescent="0.35">
      <c r="A1172" t="s">
        <v>8520</v>
      </c>
      <c r="B1172" s="3" t="s">
        <v>102</v>
      </c>
      <c r="G1172" t="s">
        <v>8607</v>
      </c>
      <c r="H1172">
        <v>33</v>
      </c>
      <c r="I1172" t="s">
        <v>9302</v>
      </c>
      <c r="J1172" t="str">
        <f t="shared" si="18"/>
        <v>13F-HR-.33.C7</v>
      </c>
      <c r="K1172" s="5" t="s">
        <v>8629</v>
      </c>
      <c r="L1172" t="s">
        <v>229</v>
      </c>
      <c r="M1172" t="s">
        <v>8630</v>
      </c>
      <c r="N1172" t="s">
        <v>8631</v>
      </c>
      <c r="Q1172" s="28" t="s">
        <v>8685</v>
      </c>
    </row>
    <row r="1173" spans="1:17" x14ac:dyDescent="0.35">
      <c r="A1173" t="s">
        <v>8520</v>
      </c>
      <c r="B1173" s="3" t="s">
        <v>102</v>
      </c>
      <c r="G1173" t="s">
        <v>8607</v>
      </c>
      <c r="H1173">
        <v>34</v>
      </c>
      <c r="I1173" t="s">
        <v>9303</v>
      </c>
      <c r="J1173" t="str">
        <f t="shared" si="18"/>
        <v>13F-HR-.34.C8</v>
      </c>
      <c r="K1173" s="5" t="s">
        <v>8633</v>
      </c>
      <c r="L1173" t="s">
        <v>4735</v>
      </c>
      <c r="M1173" t="s">
        <v>8634</v>
      </c>
      <c r="N1173" t="s">
        <v>8635</v>
      </c>
      <c r="Q1173" s="28" t="s">
        <v>8632</v>
      </c>
    </row>
    <row r="1174" spans="1:17" x14ac:dyDescent="0.35">
      <c r="A1174" t="s">
        <v>8651</v>
      </c>
      <c r="B1174" s="3" t="s">
        <v>102</v>
      </c>
      <c r="G1174" t="s">
        <v>8607</v>
      </c>
      <c r="H1174">
        <v>35</v>
      </c>
      <c r="I1174" t="s">
        <v>9304</v>
      </c>
      <c r="J1174" t="str">
        <f t="shared" si="18"/>
        <v>135-HR-.35.C9</v>
      </c>
      <c r="K1174" s="5" t="s">
        <v>8637</v>
      </c>
      <c r="L1174" t="s">
        <v>229</v>
      </c>
      <c r="M1174" t="s">
        <v>8638</v>
      </c>
      <c r="N1174" t="s">
        <v>8639</v>
      </c>
      <c r="Q1174" s="28" t="s">
        <v>8636</v>
      </c>
    </row>
    <row r="1175" spans="1:17" x14ac:dyDescent="0.35">
      <c r="A1175" t="s">
        <v>8520</v>
      </c>
      <c r="B1175" s="3" t="s">
        <v>102</v>
      </c>
      <c r="G1175" t="s">
        <v>8607</v>
      </c>
      <c r="H1175">
        <v>36</v>
      </c>
      <c r="I1175" t="s">
        <v>9305</v>
      </c>
      <c r="J1175" t="str">
        <f t="shared" si="18"/>
        <v>13F-HR-.36.C10</v>
      </c>
      <c r="K1175" s="5" t="s">
        <v>8640</v>
      </c>
      <c r="L1175" t="s">
        <v>241</v>
      </c>
      <c r="M1175" t="s">
        <v>8641</v>
      </c>
      <c r="N1175" t="s">
        <v>8642</v>
      </c>
      <c r="Q1175" s="28">
        <v>35950</v>
      </c>
    </row>
    <row r="1176" spans="1:17" x14ac:dyDescent="0.35">
      <c r="A1176" t="s">
        <v>8520</v>
      </c>
      <c r="B1176" s="3" t="s">
        <v>102</v>
      </c>
      <c r="G1176" t="s">
        <v>8607</v>
      </c>
      <c r="H1176">
        <v>37</v>
      </c>
      <c r="I1176" t="s">
        <v>9306</v>
      </c>
      <c r="J1176" t="str">
        <f t="shared" si="18"/>
        <v>13F-HR-.37.C11</v>
      </c>
      <c r="K1176" s="5" t="s">
        <v>8643</v>
      </c>
      <c r="L1176" t="s">
        <v>241</v>
      </c>
      <c r="M1176" t="s">
        <v>8644</v>
      </c>
      <c r="N1176" t="s">
        <v>8645</v>
      </c>
      <c r="Q1176" s="28">
        <v>0</v>
      </c>
    </row>
    <row r="1177" spans="1:17" x14ac:dyDescent="0.35">
      <c r="A1177" t="s">
        <v>8520</v>
      </c>
      <c r="B1177" s="3" t="s">
        <v>102</v>
      </c>
      <c r="G1177" t="s">
        <v>8607</v>
      </c>
      <c r="H1177">
        <v>38</v>
      </c>
      <c r="I1177" t="s">
        <v>9307</v>
      </c>
      <c r="J1177" t="str">
        <f t="shared" si="18"/>
        <v>13F-HR-.38.C12</v>
      </c>
      <c r="K1177" s="5" t="s">
        <v>8646</v>
      </c>
      <c r="L1177" t="s">
        <v>241</v>
      </c>
      <c r="M1177" t="s">
        <v>8647</v>
      </c>
      <c r="N1177" t="s">
        <v>8648</v>
      </c>
      <c r="Q1177" s="28">
        <v>0</v>
      </c>
    </row>
    <row r="1178" spans="1:17" x14ac:dyDescent="0.35">
      <c r="A1178" t="s">
        <v>8520</v>
      </c>
      <c r="B1178" s="3" t="s">
        <v>102</v>
      </c>
      <c r="G1178" t="s">
        <v>8607</v>
      </c>
      <c r="H1178">
        <v>27</v>
      </c>
      <c r="I1178" t="s">
        <v>9296</v>
      </c>
      <c r="J1178" t="str">
        <f t="shared" si="18"/>
        <v>13F-HR-.27.C1</v>
      </c>
      <c r="K1178" s="5" t="s">
        <v>8608</v>
      </c>
      <c r="L1178" t="s">
        <v>229</v>
      </c>
      <c r="M1178" t="s">
        <v>8609</v>
      </c>
      <c r="N1178" t="s">
        <v>8610</v>
      </c>
      <c r="Q1178" s="28" t="s">
        <v>8805</v>
      </c>
    </row>
    <row r="1179" spans="1:17" x14ac:dyDescent="0.35">
      <c r="A1179" t="s">
        <v>8520</v>
      </c>
      <c r="B1179" s="3" t="s">
        <v>102</v>
      </c>
      <c r="G1179" t="s">
        <v>8607</v>
      </c>
      <c r="H1179">
        <v>28</v>
      </c>
      <c r="I1179" t="s">
        <v>9297</v>
      </c>
      <c r="J1179" t="str">
        <f t="shared" si="18"/>
        <v>13F-HR-.28.C2</v>
      </c>
      <c r="K1179" s="5" t="s">
        <v>8612</v>
      </c>
      <c r="L1179" t="s">
        <v>229</v>
      </c>
      <c r="M1179" t="s">
        <v>8613</v>
      </c>
      <c r="N1179" t="s">
        <v>8614</v>
      </c>
      <c r="Q1179" s="28" t="s">
        <v>8615</v>
      </c>
    </row>
    <row r="1180" spans="1:17" x14ac:dyDescent="0.35">
      <c r="A1180" t="s">
        <v>8520</v>
      </c>
      <c r="B1180" s="3" t="s">
        <v>102</v>
      </c>
      <c r="G1180" t="s">
        <v>8607</v>
      </c>
      <c r="H1180">
        <v>29</v>
      </c>
      <c r="I1180" t="s">
        <v>9298</v>
      </c>
      <c r="J1180" t="str">
        <f t="shared" si="18"/>
        <v>13F-HR-.29.C3</v>
      </c>
      <c r="K1180" s="5" t="s">
        <v>8616</v>
      </c>
      <c r="L1180" t="s">
        <v>229</v>
      </c>
      <c r="M1180" t="s">
        <v>7927</v>
      </c>
      <c r="N1180" t="s">
        <v>8617</v>
      </c>
      <c r="Q1180" s="28">
        <v>260557103</v>
      </c>
    </row>
    <row r="1181" spans="1:17" x14ac:dyDescent="0.35">
      <c r="A1181" t="s">
        <v>8520</v>
      </c>
      <c r="B1181" s="3" t="s">
        <v>102</v>
      </c>
      <c r="G1181" t="s">
        <v>8607</v>
      </c>
      <c r="H1181">
        <v>30</v>
      </c>
      <c r="I1181" t="s">
        <v>9299</v>
      </c>
      <c r="J1181" t="str">
        <f t="shared" si="18"/>
        <v>13F-HR-.30.C4</v>
      </c>
      <c r="K1181" s="5" t="s">
        <v>8618</v>
      </c>
      <c r="L1181" t="s">
        <v>8619</v>
      </c>
      <c r="M1181" t="s">
        <v>8620</v>
      </c>
      <c r="N1181" t="s">
        <v>8621</v>
      </c>
      <c r="Q1181" s="28">
        <v>566402</v>
      </c>
    </row>
    <row r="1182" spans="1:17" x14ac:dyDescent="0.35">
      <c r="A1182" t="s">
        <v>8520</v>
      </c>
      <c r="B1182" s="3" t="s">
        <v>102</v>
      </c>
      <c r="G1182" t="s">
        <v>8607</v>
      </c>
      <c r="H1182">
        <v>31</v>
      </c>
      <c r="I1182" t="s">
        <v>9300</v>
      </c>
      <c r="J1182" t="str">
        <f t="shared" si="18"/>
        <v>13F-HR-.31.C5</v>
      </c>
      <c r="K1182" s="5" t="s">
        <v>8622</v>
      </c>
      <c r="L1182" t="s">
        <v>241</v>
      </c>
      <c r="M1182" t="s">
        <v>8623</v>
      </c>
      <c r="N1182" t="s">
        <v>8624</v>
      </c>
      <c r="Q1182" s="28">
        <v>16220</v>
      </c>
    </row>
    <row r="1183" spans="1:17" x14ac:dyDescent="0.35">
      <c r="A1183" t="s">
        <v>8520</v>
      </c>
      <c r="B1183" s="3" t="s">
        <v>102</v>
      </c>
      <c r="G1183" t="s">
        <v>8607</v>
      </c>
      <c r="H1183">
        <v>32</v>
      </c>
      <c r="I1183" t="s">
        <v>9301</v>
      </c>
      <c r="J1183" t="str">
        <f t="shared" si="18"/>
        <v>13F-HR-.32.C6</v>
      </c>
      <c r="K1183" s="5" t="s">
        <v>8625</v>
      </c>
      <c r="L1183" t="s">
        <v>229</v>
      </c>
      <c r="M1183" t="s">
        <v>8626</v>
      </c>
      <c r="N1183" t="s">
        <v>8627</v>
      </c>
      <c r="Q1183" s="28" t="s">
        <v>8628</v>
      </c>
    </row>
    <row r="1184" spans="1:17" x14ac:dyDescent="0.35">
      <c r="A1184" t="s">
        <v>8520</v>
      </c>
      <c r="B1184" s="3" t="s">
        <v>102</v>
      </c>
      <c r="G1184" t="s">
        <v>8607</v>
      </c>
      <c r="H1184">
        <v>33</v>
      </c>
      <c r="I1184" t="s">
        <v>9302</v>
      </c>
      <c r="J1184" t="str">
        <f t="shared" si="18"/>
        <v>13F-HR-.33.C7</v>
      </c>
      <c r="K1184" s="5" t="s">
        <v>8629</v>
      </c>
      <c r="L1184" t="s">
        <v>229</v>
      </c>
      <c r="M1184" t="s">
        <v>8630</v>
      </c>
      <c r="N1184" t="s">
        <v>8631</v>
      </c>
      <c r="Q1184" s="28" t="s">
        <v>8685</v>
      </c>
    </row>
    <row r="1185" spans="1:17" x14ac:dyDescent="0.35">
      <c r="A1185" t="s">
        <v>8520</v>
      </c>
      <c r="B1185" s="3" t="s">
        <v>102</v>
      </c>
      <c r="G1185" t="s">
        <v>8607</v>
      </c>
      <c r="H1185">
        <v>34</v>
      </c>
      <c r="I1185" t="s">
        <v>9303</v>
      </c>
      <c r="J1185" t="str">
        <f t="shared" si="18"/>
        <v>13F-HR-.34.C8</v>
      </c>
      <c r="K1185" s="5" t="s">
        <v>8633</v>
      </c>
      <c r="L1185" t="s">
        <v>4735</v>
      </c>
      <c r="M1185" t="s">
        <v>8634</v>
      </c>
      <c r="N1185" t="s">
        <v>8635</v>
      </c>
      <c r="Q1185" s="28" t="s">
        <v>8632</v>
      </c>
    </row>
    <row r="1186" spans="1:17" x14ac:dyDescent="0.35">
      <c r="A1186" t="s">
        <v>8651</v>
      </c>
      <c r="B1186" s="3" t="s">
        <v>102</v>
      </c>
      <c r="G1186" t="s">
        <v>8607</v>
      </c>
      <c r="H1186">
        <v>35</v>
      </c>
      <c r="I1186" t="s">
        <v>9304</v>
      </c>
      <c r="J1186" t="str">
        <f t="shared" si="18"/>
        <v>135-HR-.35.C9</v>
      </c>
      <c r="K1186" s="5" t="s">
        <v>8637</v>
      </c>
      <c r="L1186" t="s">
        <v>229</v>
      </c>
      <c r="M1186" t="s">
        <v>8638</v>
      </c>
      <c r="N1186" t="s">
        <v>8639</v>
      </c>
      <c r="Q1186" s="28" t="s">
        <v>8636</v>
      </c>
    </row>
    <row r="1187" spans="1:17" x14ac:dyDescent="0.35">
      <c r="A1187" t="s">
        <v>8520</v>
      </c>
      <c r="B1187" s="3" t="s">
        <v>102</v>
      </c>
      <c r="G1187" t="s">
        <v>8607</v>
      </c>
      <c r="H1187">
        <v>36</v>
      </c>
      <c r="I1187" t="s">
        <v>9305</v>
      </c>
      <c r="J1187" t="str">
        <f t="shared" si="18"/>
        <v>13F-HR-.36.C10</v>
      </c>
      <c r="K1187" s="5" t="s">
        <v>8640</v>
      </c>
      <c r="L1187" t="s">
        <v>241</v>
      </c>
      <c r="M1187" t="s">
        <v>8641</v>
      </c>
      <c r="N1187" t="s">
        <v>8642</v>
      </c>
      <c r="Q1187" s="28">
        <v>16220</v>
      </c>
    </row>
    <row r="1188" spans="1:17" x14ac:dyDescent="0.35">
      <c r="A1188" t="s">
        <v>8520</v>
      </c>
      <c r="B1188" s="3" t="s">
        <v>102</v>
      </c>
      <c r="G1188" t="s">
        <v>8607</v>
      </c>
      <c r="H1188">
        <v>37</v>
      </c>
      <c r="I1188" t="s">
        <v>9306</v>
      </c>
      <c r="J1188" t="str">
        <f t="shared" si="18"/>
        <v>13F-HR-.37.C11</v>
      </c>
      <c r="K1188" s="5" t="s">
        <v>8643</v>
      </c>
      <c r="L1188" t="s">
        <v>241</v>
      </c>
      <c r="M1188" t="s">
        <v>8644</v>
      </c>
      <c r="N1188" t="s">
        <v>8645</v>
      </c>
      <c r="Q1188" s="28">
        <v>0</v>
      </c>
    </row>
    <row r="1189" spans="1:17" x14ac:dyDescent="0.35">
      <c r="A1189" t="s">
        <v>8520</v>
      </c>
      <c r="B1189" s="3" t="s">
        <v>102</v>
      </c>
      <c r="G1189" t="s">
        <v>8607</v>
      </c>
      <c r="H1189">
        <v>38</v>
      </c>
      <c r="I1189" t="s">
        <v>9307</v>
      </c>
      <c r="J1189" t="str">
        <f t="shared" si="18"/>
        <v>13F-HR-.38.C12</v>
      </c>
      <c r="K1189" s="5" t="s">
        <v>8646</v>
      </c>
      <c r="L1189" t="s">
        <v>241</v>
      </c>
      <c r="M1189" t="s">
        <v>8647</v>
      </c>
      <c r="N1189" t="s">
        <v>8648</v>
      </c>
      <c r="Q1189" s="28">
        <v>0</v>
      </c>
    </row>
    <row r="1190" spans="1:17" x14ac:dyDescent="0.35">
      <c r="A1190" t="s">
        <v>8520</v>
      </c>
      <c r="B1190" s="3" t="s">
        <v>102</v>
      </c>
      <c r="G1190" t="s">
        <v>8607</v>
      </c>
      <c r="H1190">
        <v>27</v>
      </c>
      <c r="I1190" t="s">
        <v>9296</v>
      </c>
      <c r="J1190" t="str">
        <f t="shared" si="18"/>
        <v>13F-HR-.27.C1</v>
      </c>
      <c r="K1190" s="5" t="s">
        <v>8608</v>
      </c>
      <c r="L1190" t="s">
        <v>229</v>
      </c>
      <c r="M1190" t="s">
        <v>8609</v>
      </c>
      <c r="N1190" t="s">
        <v>8610</v>
      </c>
      <c r="Q1190" s="28" t="s">
        <v>8806</v>
      </c>
    </row>
    <row r="1191" spans="1:17" x14ac:dyDescent="0.35">
      <c r="A1191" t="s">
        <v>8520</v>
      </c>
      <c r="B1191" s="3" t="s">
        <v>102</v>
      </c>
      <c r="G1191" t="s">
        <v>8607</v>
      </c>
      <c r="H1191">
        <v>28</v>
      </c>
      <c r="I1191" t="s">
        <v>9297</v>
      </c>
      <c r="J1191" t="str">
        <f t="shared" si="18"/>
        <v>13F-HR-.28.C2</v>
      </c>
      <c r="K1191" s="5" t="s">
        <v>8612</v>
      </c>
      <c r="L1191" t="s">
        <v>229</v>
      </c>
      <c r="M1191" t="s">
        <v>8613</v>
      </c>
      <c r="N1191" t="s">
        <v>8614</v>
      </c>
      <c r="Q1191" s="28" t="s">
        <v>8771</v>
      </c>
    </row>
    <row r="1192" spans="1:17" x14ac:dyDescent="0.35">
      <c r="A1192" t="s">
        <v>8520</v>
      </c>
      <c r="B1192" s="3" t="s">
        <v>102</v>
      </c>
      <c r="G1192" t="s">
        <v>8607</v>
      </c>
      <c r="H1192">
        <v>29</v>
      </c>
      <c r="I1192" t="s">
        <v>9298</v>
      </c>
      <c r="J1192" t="str">
        <f t="shared" si="18"/>
        <v>13F-HR-.29.C3</v>
      </c>
      <c r="K1192" s="5" t="s">
        <v>8616</v>
      </c>
      <c r="L1192" t="s">
        <v>229</v>
      </c>
      <c r="M1192" t="s">
        <v>7927</v>
      </c>
      <c r="N1192" t="s">
        <v>8617</v>
      </c>
      <c r="Q1192" s="28" t="s">
        <v>8807</v>
      </c>
    </row>
    <row r="1193" spans="1:17" x14ac:dyDescent="0.35">
      <c r="A1193" t="s">
        <v>8520</v>
      </c>
      <c r="B1193" s="3" t="s">
        <v>102</v>
      </c>
      <c r="G1193" t="s">
        <v>8607</v>
      </c>
      <c r="H1193">
        <v>30</v>
      </c>
      <c r="I1193" t="s">
        <v>9299</v>
      </c>
      <c r="J1193" t="str">
        <f t="shared" si="18"/>
        <v>13F-HR-.30.C4</v>
      </c>
      <c r="K1193" s="5" t="s">
        <v>8618</v>
      </c>
      <c r="L1193" t="s">
        <v>8619</v>
      </c>
      <c r="M1193" t="s">
        <v>8620</v>
      </c>
      <c r="N1193" t="s">
        <v>8621</v>
      </c>
      <c r="Q1193" s="28">
        <v>1614187</v>
      </c>
    </row>
    <row r="1194" spans="1:17" x14ac:dyDescent="0.35">
      <c r="A1194" t="s">
        <v>8520</v>
      </c>
      <c r="B1194" s="3" t="s">
        <v>102</v>
      </c>
      <c r="G1194" t="s">
        <v>8607</v>
      </c>
      <c r="H1194">
        <v>31</v>
      </c>
      <c r="I1194" t="s">
        <v>9300</v>
      </c>
      <c r="J1194" t="str">
        <f t="shared" si="18"/>
        <v>13F-HR-.31.C5</v>
      </c>
      <c r="K1194" s="5" t="s">
        <v>8622</v>
      </c>
      <c r="L1194" t="s">
        <v>241</v>
      </c>
      <c r="M1194" t="s">
        <v>8623</v>
      </c>
      <c r="N1194" t="s">
        <v>8624</v>
      </c>
      <c r="Q1194" s="28">
        <v>5198</v>
      </c>
    </row>
    <row r="1195" spans="1:17" x14ac:dyDescent="0.35">
      <c r="A1195" t="s">
        <v>8520</v>
      </c>
      <c r="B1195" s="3" t="s">
        <v>102</v>
      </c>
      <c r="G1195" t="s">
        <v>8607</v>
      </c>
      <c r="H1195">
        <v>32</v>
      </c>
      <c r="I1195" t="s">
        <v>9301</v>
      </c>
      <c r="J1195" t="str">
        <f t="shared" si="18"/>
        <v>13F-HR-.32.C6</v>
      </c>
      <c r="K1195" s="5" t="s">
        <v>8625</v>
      </c>
      <c r="L1195" t="s">
        <v>229</v>
      </c>
      <c r="M1195" t="s">
        <v>8626</v>
      </c>
      <c r="N1195" t="s">
        <v>8627</v>
      </c>
      <c r="Q1195" s="28" t="s">
        <v>8628</v>
      </c>
    </row>
    <row r="1196" spans="1:17" x14ac:dyDescent="0.35">
      <c r="A1196" t="s">
        <v>8520</v>
      </c>
      <c r="B1196" s="3" t="s">
        <v>102</v>
      </c>
      <c r="G1196" t="s">
        <v>8607</v>
      </c>
      <c r="H1196">
        <v>33</v>
      </c>
      <c r="I1196" t="s">
        <v>9302</v>
      </c>
      <c r="J1196" t="str">
        <f t="shared" si="18"/>
        <v>13F-HR-.33.C7</v>
      </c>
      <c r="K1196" s="5" t="s">
        <v>8629</v>
      </c>
      <c r="L1196" t="s">
        <v>229</v>
      </c>
      <c r="M1196" t="s">
        <v>8630</v>
      </c>
      <c r="N1196" t="s">
        <v>8631</v>
      </c>
      <c r="Q1196" s="28" t="s">
        <v>8685</v>
      </c>
    </row>
    <row r="1197" spans="1:17" x14ac:dyDescent="0.35">
      <c r="A1197" t="s">
        <v>8520</v>
      </c>
      <c r="B1197" s="3" t="s">
        <v>102</v>
      </c>
      <c r="G1197" t="s">
        <v>8607</v>
      </c>
      <c r="H1197">
        <v>34</v>
      </c>
      <c r="I1197" t="s">
        <v>9303</v>
      </c>
      <c r="J1197" t="str">
        <f t="shared" si="18"/>
        <v>13F-HR-.34.C8</v>
      </c>
      <c r="K1197" s="5" t="s">
        <v>8633</v>
      </c>
      <c r="L1197" t="s">
        <v>4735</v>
      </c>
      <c r="M1197" t="s">
        <v>8634</v>
      </c>
      <c r="N1197" t="s">
        <v>8635</v>
      </c>
      <c r="Q1197" s="28" t="s">
        <v>8632</v>
      </c>
    </row>
    <row r="1198" spans="1:17" x14ac:dyDescent="0.35">
      <c r="A1198" t="s">
        <v>8651</v>
      </c>
      <c r="B1198" s="3" t="s">
        <v>102</v>
      </c>
      <c r="G1198" t="s">
        <v>8607</v>
      </c>
      <c r="H1198">
        <v>35</v>
      </c>
      <c r="I1198" t="s">
        <v>9304</v>
      </c>
      <c r="J1198" t="str">
        <f t="shared" si="18"/>
        <v>135-HR-.35.C9</v>
      </c>
      <c r="K1198" s="5" t="s">
        <v>8637</v>
      </c>
      <c r="L1198" t="s">
        <v>229</v>
      </c>
      <c r="M1198" t="s">
        <v>8638</v>
      </c>
      <c r="N1198" t="s">
        <v>8639</v>
      </c>
      <c r="Q1198" s="28" t="s">
        <v>8636</v>
      </c>
    </row>
    <row r="1199" spans="1:17" x14ac:dyDescent="0.35">
      <c r="A1199" t="s">
        <v>8520</v>
      </c>
      <c r="B1199" s="3" t="s">
        <v>102</v>
      </c>
      <c r="G1199" t="s">
        <v>8607</v>
      </c>
      <c r="H1199">
        <v>36</v>
      </c>
      <c r="I1199" t="s">
        <v>9305</v>
      </c>
      <c r="J1199" t="str">
        <f t="shared" si="18"/>
        <v>13F-HR-.36.C10</v>
      </c>
      <c r="K1199" s="5" t="s">
        <v>8640</v>
      </c>
      <c r="L1199" t="s">
        <v>241</v>
      </c>
      <c r="M1199" t="s">
        <v>8641</v>
      </c>
      <c r="N1199" t="s">
        <v>8642</v>
      </c>
      <c r="Q1199" s="28">
        <v>4956</v>
      </c>
    </row>
    <row r="1200" spans="1:17" x14ac:dyDescent="0.35">
      <c r="A1200" t="s">
        <v>8520</v>
      </c>
      <c r="B1200" s="3" t="s">
        <v>102</v>
      </c>
      <c r="G1200" t="s">
        <v>8607</v>
      </c>
      <c r="H1200">
        <v>37</v>
      </c>
      <c r="I1200" t="s">
        <v>9306</v>
      </c>
      <c r="J1200" t="str">
        <f t="shared" si="18"/>
        <v>13F-HR-.37.C11</v>
      </c>
      <c r="K1200" s="5" t="s">
        <v>8643</v>
      </c>
      <c r="L1200" t="s">
        <v>241</v>
      </c>
      <c r="M1200" t="s">
        <v>8644</v>
      </c>
      <c r="N1200" t="s">
        <v>8645</v>
      </c>
      <c r="Q1200" s="28">
        <v>0</v>
      </c>
    </row>
    <row r="1201" spans="1:17" x14ac:dyDescent="0.35">
      <c r="A1201" t="s">
        <v>8520</v>
      </c>
      <c r="B1201" s="3" t="s">
        <v>102</v>
      </c>
      <c r="G1201" t="s">
        <v>8607</v>
      </c>
      <c r="H1201">
        <v>38</v>
      </c>
      <c r="I1201" t="s">
        <v>9307</v>
      </c>
      <c r="J1201" t="str">
        <f t="shared" si="18"/>
        <v>13F-HR-.38.C12</v>
      </c>
      <c r="K1201" s="5" t="s">
        <v>8646</v>
      </c>
      <c r="L1201" t="s">
        <v>241</v>
      </c>
      <c r="M1201" t="s">
        <v>8647</v>
      </c>
      <c r="N1201" t="s">
        <v>8648</v>
      </c>
      <c r="Q1201" s="28">
        <v>242</v>
      </c>
    </row>
    <row r="1202" spans="1:17" x14ac:dyDescent="0.35">
      <c r="A1202" t="s">
        <v>8520</v>
      </c>
      <c r="B1202" s="3" t="s">
        <v>102</v>
      </c>
      <c r="G1202" t="s">
        <v>8607</v>
      </c>
      <c r="H1202">
        <v>27</v>
      </c>
      <c r="I1202" t="s">
        <v>9296</v>
      </c>
      <c r="J1202" t="str">
        <f t="shared" si="18"/>
        <v>13F-HR-.27.C1</v>
      </c>
      <c r="K1202" t="s">
        <v>8608</v>
      </c>
      <c r="L1202" t="s">
        <v>229</v>
      </c>
      <c r="M1202" t="s">
        <v>8609</v>
      </c>
      <c r="N1202" t="s">
        <v>8610</v>
      </c>
      <c r="Q1202" s="28" t="s">
        <v>8808</v>
      </c>
    </row>
    <row r="1203" spans="1:17" x14ac:dyDescent="0.35">
      <c r="A1203" t="s">
        <v>8520</v>
      </c>
      <c r="B1203" s="3" t="s">
        <v>102</v>
      </c>
      <c r="G1203" t="s">
        <v>8607</v>
      </c>
      <c r="H1203">
        <v>28</v>
      </c>
      <c r="I1203" t="s">
        <v>9297</v>
      </c>
      <c r="J1203" t="str">
        <f t="shared" si="18"/>
        <v>13F-HR-.28.C2</v>
      </c>
      <c r="K1203" t="s">
        <v>8612</v>
      </c>
      <c r="L1203" t="s">
        <v>229</v>
      </c>
      <c r="M1203" t="s">
        <v>8613</v>
      </c>
      <c r="N1203" t="s">
        <v>8614</v>
      </c>
      <c r="Q1203" s="28" t="s">
        <v>8615</v>
      </c>
    </row>
    <row r="1204" spans="1:17" x14ac:dyDescent="0.35">
      <c r="A1204" t="s">
        <v>8520</v>
      </c>
      <c r="B1204" s="3" t="s">
        <v>102</v>
      </c>
      <c r="G1204" t="s">
        <v>8607</v>
      </c>
      <c r="H1204">
        <v>29</v>
      </c>
      <c r="I1204" t="s">
        <v>9298</v>
      </c>
      <c r="J1204" t="str">
        <f t="shared" si="18"/>
        <v>13F-HR-.29.C3</v>
      </c>
      <c r="K1204" t="s">
        <v>8616</v>
      </c>
      <c r="L1204" t="s">
        <v>229</v>
      </c>
      <c r="M1204" t="s">
        <v>7927</v>
      </c>
      <c r="N1204" t="s">
        <v>8617</v>
      </c>
      <c r="Q1204" s="28" t="s">
        <v>8809</v>
      </c>
    </row>
    <row r="1205" spans="1:17" x14ac:dyDescent="0.35">
      <c r="A1205" t="s">
        <v>8520</v>
      </c>
      <c r="B1205" s="3" t="s">
        <v>102</v>
      </c>
      <c r="G1205" t="s">
        <v>8607</v>
      </c>
      <c r="H1205">
        <v>30</v>
      </c>
      <c r="I1205" t="s">
        <v>9299</v>
      </c>
      <c r="J1205" t="str">
        <f t="shared" si="18"/>
        <v>13F-HR-.30.C4</v>
      </c>
      <c r="K1205" t="s">
        <v>8618</v>
      </c>
      <c r="L1205" t="s">
        <v>8619</v>
      </c>
      <c r="M1205" t="s">
        <v>8620</v>
      </c>
      <c r="N1205" t="s">
        <v>8621</v>
      </c>
      <c r="Q1205" s="28">
        <v>29342594</v>
      </c>
    </row>
    <row r="1206" spans="1:17" x14ac:dyDescent="0.35">
      <c r="A1206" t="s">
        <v>8520</v>
      </c>
      <c r="B1206" s="3" t="s">
        <v>102</v>
      </c>
      <c r="G1206" t="s">
        <v>8607</v>
      </c>
      <c r="H1206">
        <v>31</v>
      </c>
      <c r="I1206" t="s">
        <v>9300</v>
      </c>
      <c r="J1206" t="str">
        <f t="shared" si="18"/>
        <v>13F-HR-.31.C5</v>
      </c>
      <c r="K1206" t="s">
        <v>8622</v>
      </c>
      <c r="L1206" t="s">
        <v>241</v>
      </c>
      <c r="M1206" t="s">
        <v>8623</v>
      </c>
      <c r="N1206" t="s">
        <v>8624</v>
      </c>
      <c r="Q1206" s="28">
        <v>228810</v>
      </c>
    </row>
    <row r="1207" spans="1:17" x14ac:dyDescent="0.35">
      <c r="A1207" t="s">
        <v>8520</v>
      </c>
      <c r="B1207" s="3" t="s">
        <v>102</v>
      </c>
      <c r="G1207" t="s">
        <v>8607</v>
      </c>
      <c r="H1207">
        <v>32</v>
      </c>
      <c r="I1207" t="s">
        <v>9301</v>
      </c>
      <c r="J1207" t="str">
        <f t="shared" si="18"/>
        <v>13F-HR-.32.C6</v>
      </c>
      <c r="K1207" t="s">
        <v>8625</v>
      </c>
      <c r="L1207" t="s">
        <v>229</v>
      </c>
      <c r="M1207" t="s">
        <v>8626</v>
      </c>
      <c r="N1207" t="s">
        <v>8627</v>
      </c>
      <c r="Q1207" s="28" t="s">
        <v>8628</v>
      </c>
    </row>
    <row r="1208" spans="1:17" x14ac:dyDescent="0.35">
      <c r="A1208" t="s">
        <v>8520</v>
      </c>
      <c r="B1208" s="3" t="s">
        <v>102</v>
      </c>
      <c r="G1208" t="s">
        <v>8607</v>
      </c>
      <c r="H1208">
        <v>33</v>
      </c>
      <c r="I1208" t="s">
        <v>9302</v>
      </c>
      <c r="J1208" t="str">
        <f t="shared" si="18"/>
        <v>13F-HR-.33.C7</v>
      </c>
      <c r="K1208" t="s">
        <v>8629</v>
      </c>
      <c r="L1208" t="s">
        <v>229</v>
      </c>
      <c r="M1208" t="s">
        <v>8630</v>
      </c>
      <c r="N1208" t="s">
        <v>8631</v>
      </c>
      <c r="Q1208" s="28" t="s">
        <v>8685</v>
      </c>
    </row>
    <row r="1209" spans="1:17" x14ac:dyDescent="0.35">
      <c r="A1209" t="s">
        <v>8520</v>
      </c>
      <c r="B1209" s="3" t="s">
        <v>102</v>
      </c>
      <c r="G1209" t="s">
        <v>8607</v>
      </c>
      <c r="H1209">
        <v>34</v>
      </c>
      <c r="I1209" t="s">
        <v>9303</v>
      </c>
      <c r="J1209" t="str">
        <f t="shared" si="18"/>
        <v>13F-HR-.34.C8</v>
      </c>
      <c r="K1209" t="s">
        <v>8633</v>
      </c>
      <c r="L1209" t="s">
        <v>4735</v>
      </c>
      <c r="M1209" t="s">
        <v>8634</v>
      </c>
      <c r="N1209" t="s">
        <v>8635</v>
      </c>
      <c r="Q1209" s="28" t="s">
        <v>8632</v>
      </c>
    </row>
    <row r="1210" spans="1:17" x14ac:dyDescent="0.35">
      <c r="A1210" t="s">
        <v>8651</v>
      </c>
      <c r="B1210" s="3" t="s">
        <v>102</v>
      </c>
      <c r="G1210" t="s">
        <v>8607</v>
      </c>
      <c r="H1210">
        <v>35</v>
      </c>
      <c r="I1210" t="s">
        <v>9304</v>
      </c>
      <c r="J1210" t="str">
        <f t="shared" si="18"/>
        <v>135-HR-.35.C9</v>
      </c>
      <c r="K1210" t="s">
        <v>8637</v>
      </c>
      <c r="L1210" t="s">
        <v>229</v>
      </c>
      <c r="M1210" t="s">
        <v>8638</v>
      </c>
      <c r="N1210" t="s">
        <v>8639</v>
      </c>
      <c r="Q1210" s="28" t="s">
        <v>8636</v>
      </c>
    </row>
    <row r="1211" spans="1:17" x14ac:dyDescent="0.35">
      <c r="A1211" t="s">
        <v>8520</v>
      </c>
      <c r="B1211" s="3" t="s">
        <v>102</v>
      </c>
      <c r="G1211" t="s">
        <v>8607</v>
      </c>
      <c r="H1211">
        <v>36</v>
      </c>
      <c r="I1211" t="s">
        <v>9305</v>
      </c>
      <c r="J1211" t="str">
        <f t="shared" si="18"/>
        <v>13F-HR-.36.C10</v>
      </c>
      <c r="K1211" t="s">
        <v>8640</v>
      </c>
      <c r="L1211" t="s">
        <v>241</v>
      </c>
      <c r="M1211" t="s">
        <v>8641</v>
      </c>
      <c r="N1211" t="s">
        <v>8642</v>
      </c>
      <c r="Q1211" s="28">
        <v>26676</v>
      </c>
    </row>
    <row r="1212" spans="1:17" x14ac:dyDescent="0.35">
      <c r="A1212" t="s">
        <v>8520</v>
      </c>
      <c r="B1212" s="3" t="s">
        <v>102</v>
      </c>
      <c r="G1212" t="s">
        <v>8607</v>
      </c>
      <c r="H1212">
        <v>37</v>
      </c>
      <c r="I1212" t="s">
        <v>9306</v>
      </c>
      <c r="J1212" t="str">
        <f t="shared" si="18"/>
        <v>13F-HR-.37.C11</v>
      </c>
      <c r="K1212" t="s">
        <v>8643</v>
      </c>
      <c r="L1212" t="s">
        <v>241</v>
      </c>
      <c r="M1212" t="s">
        <v>8644</v>
      </c>
      <c r="N1212" t="s">
        <v>8645</v>
      </c>
      <c r="Q1212" s="28">
        <v>0</v>
      </c>
    </row>
    <row r="1213" spans="1:17" x14ac:dyDescent="0.35">
      <c r="A1213" t="s">
        <v>8520</v>
      </c>
      <c r="B1213" s="3" t="s">
        <v>102</v>
      </c>
      <c r="G1213" t="s">
        <v>8607</v>
      </c>
      <c r="H1213">
        <v>38</v>
      </c>
      <c r="I1213" t="s">
        <v>9307</v>
      </c>
      <c r="J1213" t="str">
        <f t="shared" si="18"/>
        <v>13F-HR-.38.C12</v>
      </c>
      <c r="K1213" t="s">
        <v>8646</v>
      </c>
      <c r="L1213" t="s">
        <v>241</v>
      </c>
      <c r="M1213" t="s">
        <v>8647</v>
      </c>
      <c r="N1213" t="s">
        <v>8648</v>
      </c>
      <c r="Q1213" s="28">
        <v>202134</v>
      </c>
    </row>
    <row r="1214" spans="1:17" x14ac:dyDescent="0.35">
      <c r="A1214" t="s">
        <v>8520</v>
      </c>
      <c r="B1214" s="3" t="s">
        <v>102</v>
      </c>
      <c r="G1214" t="s">
        <v>8607</v>
      </c>
      <c r="H1214">
        <v>27</v>
      </c>
      <c r="I1214" t="s">
        <v>9296</v>
      </c>
      <c r="J1214" t="str">
        <f t="shared" si="18"/>
        <v>13F-HR-.27.C1</v>
      </c>
      <c r="K1214" s="5" t="s">
        <v>8608</v>
      </c>
      <c r="L1214" t="s">
        <v>229</v>
      </c>
      <c r="M1214" t="s">
        <v>8609</v>
      </c>
      <c r="N1214" t="s">
        <v>8610</v>
      </c>
      <c r="Q1214" s="28" t="s">
        <v>8810</v>
      </c>
    </row>
    <row r="1215" spans="1:17" x14ac:dyDescent="0.35">
      <c r="A1215" t="s">
        <v>8520</v>
      </c>
      <c r="B1215" s="3" t="s">
        <v>102</v>
      </c>
      <c r="G1215" t="s">
        <v>8607</v>
      </c>
      <c r="H1215">
        <v>28</v>
      </c>
      <c r="I1215" t="s">
        <v>9297</v>
      </c>
      <c r="J1215" t="str">
        <f t="shared" si="18"/>
        <v>13F-HR-.28.C2</v>
      </c>
      <c r="K1215" s="5" t="s">
        <v>8612</v>
      </c>
      <c r="L1215" t="s">
        <v>229</v>
      </c>
      <c r="M1215" t="s">
        <v>8613</v>
      </c>
      <c r="N1215" t="s">
        <v>8614</v>
      </c>
      <c r="Q1215" s="28" t="s">
        <v>8615</v>
      </c>
    </row>
    <row r="1216" spans="1:17" x14ac:dyDescent="0.35">
      <c r="A1216" t="s">
        <v>8520</v>
      </c>
      <c r="B1216" s="3" t="s">
        <v>102</v>
      </c>
      <c r="G1216" t="s">
        <v>8607</v>
      </c>
      <c r="H1216">
        <v>29</v>
      </c>
      <c r="I1216" t="s">
        <v>9298</v>
      </c>
      <c r="J1216" t="str">
        <f t="shared" si="18"/>
        <v>13F-HR-.29.C3</v>
      </c>
      <c r="K1216" s="5" t="s">
        <v>8616</v>
      </c>
      <c r="L1216" t="s">
        <v>229</v>
      </c>
      <c r="M1216" t="s">
        <v>7927</v>
      </c>
      <c r="N1216" t="s">
        <v>8617</v>
      </c>
      <c r="Q1216" s="28" t="s">
        <v>8811</v>
      </c>
    </row>
    <row r="1217" spans="1:17" x14ac:dyDescent="0.35">
      <c r="A1217" t="s">
        <v>8520</v>
      </c>
      <c r="B1217" s="3" t="s">
        <v>102</v>
      </c>
      <c r="G1217" t="s">
        <v>8607</v>
      </c>
      <c r="H1217">
        <v>30</v>
      </c>
      <c r="I1217" t="s">
        <v>9299</v>
      </c>
      <c r="J1217" t="str">
        <f t="shared" si="18"/>
        <v>13F-HR-.30.C4</v>
      </c>
      <c r="K1217" s="5" t="s">
        <v>8618</v>
      </c>
      <c r="L1217" t="s">
        <v>8619</v>
      </c>
      <c r="M1217" t="s">
        <v>8620</v>
      </c>
      <c r="N1217" t="s">
        <v>8621</v>
      </c>
      <c r="Q1217" s="28">
        <v>5849210</v>
      </c>
    </row>
    <row r="1218" spans="1:17" x14ac:dyDescent="0.35">
      <c r="A1218" t="s">
        <v>8520</v>
      </c>
      <c r="B1218" s="3" t="s">
        <v>102</v>
      </c>
      <c r="G1218" t="s">
        <v>8607</v>
      </c>
      <c r="H1218">
        <v>31</v>
      </c>
      <c r="I1218" t="s">
        <v>9300</v>
      </c>
      <c r="J1218" t="str">
        <f t="shared" si="18"/>
        <v>13F-HR-.31.C5</v>
      </c>
      <c r="K1218" s="5" t="s">
        <v>8622</v>
      </c>
      <c r="L1218" t="s">
        <v>241</v>
      </c>
      <c r="M1218" t="s">
        <v>8623</v>
      </c>
      <c r="N1218" t="s">
        <v>8624</v>
      </c>
      <c r="Q1218" s="28">
        <v>65165</v>
      </c>
    </row>
    <row r="1219" spans="1:17" x14ac:dyDescent="0.35">
      <c r="A1219" t="s">
        <v>8520</v>
      </c>
      <c r="B1219" s="3" t="s">
        <v>102</v>
      </c>
      <c r="G1219" t="s">
        <v>8607</v>
      </c>
      <c r="H1219">
        <v>32</v>
      </c>
      <c r="I1219" t="s">
        <v>9301</v>
      </c>
      <c r="J1219" t="str">
        <f t="shared" ref="J1219:J1282" si="19">_xlfn.CONCAT(A1219,"-",F1219,".",H1219,".",I1219)</f>
        <v>13F-HR-.32.C6</v>
      </c>
      <c r="K1219" s="5" t="s">
        <v>8625</v>
      </c>
      <c r="L1219" t="s">
        <v>229</v>
      </c>
      <c r="M1219" t="s">
        <v>8626</v>
      </c>
      <c r="N1219" t="s">
        <v>8627</v>
      </c>
      <c r="Q1219" s="28" t="s">
        <v>8628</v>
      </c>
    </row>
    <row r="1220" spans="1:17" x14ac:dyDescent="0.35">
      <c r="A1220" t="s">
        <v>8520</v>
      </c>
      <c r="B1220" s="3" t="s">
        <v>102</v>
      </c>
      <c r="G1220" t="s">
        <v>8607</v>
      </c>
      <c r="H1220">
        <v>33</v>
      </c>
      <c r="I1220" t="s">
        <v>9302</v>
      </c>
      <c r="J1220" t="str">
        <f t="shared" si="19"/>
        <v>13F-HR-.33.C7</v>
      </c>
      <c r="K1220" s="5" t="s">
        <v>8629</v>
      </c>
      <c r="L1220" t="s">
        <v>229</v>
      </c>
      <c r="M1220" t="s">
        <v>8630</v>
      </c>
      <c r="N1220" t="s">
        <v>8631</v>
      </c>
      <c r="Q1220" s="28" t="s">
        <v>8685</v>
      </c>
    </row>
    <row r="1221" spans="1:17" x14ac:dyDescent="0.35">
      <c r="A1221" t="s">
        <v>8520</v>
      </c>
      <c r="B1221" s="3" t="s">
        <v>102</v>
      </c>
      <c r="G1221" t="s">
        <v>8607</v>
      </c>
      <c r="H1221">
        <v>34</v>
      </c>
      <c r="I1221" t="s">
        <v>9303</v>
      </c>
      <c r="J1221" t="str">
        <f t="shared" si="19"/>
        <v>13F-HR-.34.C8</v>
      </c>
      <c r="K1221" s="5" t="s">
        <v>8633</v>
      </c>
      <c r="L1221" t="s">
        <v>4735</v>
      </c>
      <c r="M1221" t="s">
        <v>8634</v>
      </c>
      <c r="N1221" t="s">
        <v>8635</v>
      </c>
      <c r="Q1221" s="28" t="s">
        <v>8632</v>
      </c>
    </row>
    <row r="1222" spans="1:17" x14ac:dyDescent="0.35">
      <c r="A1222" t="s">
        <v>8651</v>
      </c>
      <c r="B1222" s="3" t="s">
        <v>102</v>
      </c>
      <c r="G1222" t="s">
        <v>8607</v>
      </c>
      <c r="H1222">
        <v>35</v>
      </c>
      <c r="I1222" t="s">
        <v>9304</v>
      </c>
      <c r="J1222" t="str">
        <f t="shared" si="19"/>
        <v>135-HR-.35.C9</v>
      </c>
      <c r="K1222" s="5" t="s">
        <v>8637</v>
      </c>
      <c r="L1222" t="s">
        <v>229</v>
      </c>
      <c r="M1222" t="s">
        <v>8638</v>
      </c>
      <c r="N1222" t="s">
        <v>8639</v>
      </c>
      <c r="Q1222" s="28" t="s">
        <v>8636</v>
      </c>
    </row>
    <row r="1223" spans="1:17" x14ac:dyDescent="0.35">
      <c r="A1223" t="s">
        <v>8520</v>
      </c>
      <c r="B1223" s="3" t="s">
        <v>102</v>
      </c>
      <c r="G1223" t="s">
        <v>8607</v>
      </c>
      <c r="H1223">
        <v>36</v>
      </c>
      <c r="I1223" t="s">
        <v>9305</v>
      </c>
      <c r="J1223" t="str">
        <f t="shared" si="19"/>
        <v>13F-HR-.36.C10</v>
      </c>
      <c r="K1223" s="5" t="s">
        <v>8640</v>
      </c>
      <c r="L1223" t="s">
        <v>241</v>
      </c>
      <c r="M1223" t="s">
        <v>8641</v>
      </c>
      <c r="N1223" t="s">
        <v>8642</v>
      </c>
      <c r="Q1223" s="28">
        <v>65165</v>
      </c>
    </row>
    <row r="1224" spans="1:17" x14ac:dyDescent="0.35">
      <c r="A1224" t="s">
        <v>8520</v>
      </c>
      <c r="B1224" s="3" t="s">
        <v>102</v>
      </c>
      <c r="G1224" t="s">
        <v>8607</v>
      </c>
      <c r="H1224">
        <v>37</v>
      </c>
      <c r="I1224" t="s">
        <v>9306</v>
      </c>
      <c r="J1224" t="str">
        <f t="shared" si="19"/>
        <v>13F-HR-.37.C11</v>
      </c>
      <c r="K1224" s="5" t="s">
        <v>8643</v>
      </c>
      <c r="L1224" t="s">
        <v>241</v>
      </c>
      <c r="M1224" t="s">
        <v>8644</v>
      </c>
      <c r="N1224" t="s">
        <v>8645</v>
      </c>
      <c r="Q1224" s="28">
        <v>0</v>
      </c>
    </row>
    <row r="1225" spans="1:17" x14ac:dyDescent="0.35">
      <c r="A1225" t="s">
        <v>8520</v>
      </c>
      <c r="B1225" s="3" t="s">
        <v>102</v>
      </c>
      <c r="G1225" t="s">
        <v>8607</v>
      </c>
      <c r="H1225">
        <v>38</v>
      </c>
      <c r="I1225" t="s">
        <v>9307</v>
      </c>
      <c r="J1225" t="str">
        <f t="shared" si="19"/>
        <v>13F-HR-.38.C12</v>
      </c>
      <c r="K1225" s="5" t="s">
        <v>8646</v>
      </c>
      <c r="L1225" t="s">
        <v>241</v>
      </c>
      <c r="M1225" t="s">
        <v>8647</v>
      </c>
      <c r="N1225" t="s">
        <v>8648</v>
      </c>
      <c r="Q1225" s="28">
        <v>0</v>
      </c>
    </row>
    <row r="1226" spans="1:17" x14ac:dyDescent="0.35">
      <c r="A1226" t="s">
        <v>8520</v>
      </c>
      <c r="B1226" s="3" t="s">
        <v>102</v>
      </c>
      <c r="F1226">
        <v>5</v>
      </c>
      <c r="G1226" t="s">
        <v>8607</v>
      </c>
      <c r="H1226">
        <v>27</v>
      </c>
      <c r="I1226" t="s">
        <v>9296</v>
      </c>
      <c r="J1226" t="str">
        <f t="shared" si="19"/>
        <v>13F-HR-5.27.C1</v>
      </c>
      <c r="K1226" s="5" t="s">
        <v>8608</v>
      </c>
      <c r="L1226" t="s">
        <v>229</v>
      </c>
      <c r="M1226" t="s">
        <v>8609</v>
      </c>
      <c r="N1226" t="s">
        <v>8610</v>
      </c>
      <c r="Q1226" s="28" t="s">
        <v>8812</v>
      </c>
    </row>
    <row r="1227" spans="1:17" x14ac:dyDescent="0.35">
      <c r="A1227" t="s">
        <v>8520</v>
      </c>
      <c r="B1227" s="3" t="s">
        <v>102</v>
      </c>
      <c r="F1227">
        <v>5</v>
      </c>
      <c r="G1227" t="s">
        <v>8607</v>
      </c>
      <c r="H1227">
        <v>28</v>
      </c>
      <c r="I1227" t="s">
        <v>9297</v>
      </c>
      <c r="J1227" t="str">
        <f t="shared" si="19"/>
        <v>13F-HR-5.28.C2</v>
      </c>
      <c r="K1227" s="5" t="s">
        <v>8612</v>
      </c>
      <c r="L1227" t="s">
        <v>229</v>
      </c>
      <c r="M1227" t="s">
        <v>8613</v>
      </c>
      <c r="N1227" t="s">
        <v>8614</v>
      </c>
      <c r="Q1227" s="28" t="s">
        <v>8615</v>
      </c>
    </row>
    <row r="1228" spans="1:17" x14ac:dyDescent="0.35">
      <c r="A1228" t="s">
        <v>8520</v>
      </c>
      <c r="B1228" s="3" t="s">
        <v>102</v>
      </c>
      <c r="F1228">
        <v>5</v>
      </c>
      <c r="G1228" t="s">
        <v>8607</v>
      </c>
      <c r="H1228">
        <v>29</v>
      </c>
      <c r="I1228" t="s">
        <v>9298</v>
      </c>
      <c r="J1228" t="str">
        <f t="shared" si="19"/>
        <v>13F-HR-5.29.C3</v>
      </c>
      <c r="K1228" s="5" t="s">
        <v>8616</v>
      </c>
      <c r="L1228" t="s">
        <v>229</v>
      </c>
      <c r="M1228" t="s">
        <v>7927</v>
      </c>
      <c r="N1228" t="s">
        <v>8617</v>
      </c>
      <c r="Q1228" s="28">
        <v>281020107</v>
      </c>
    </row>
    <row r="1229" spans="1:17" x14ac:dyDescent="0.35">
      <c r="A1229" t="s">
        <v>8520</v>
      </c>
      <c r="B1229" s="3" t="s">
        <v>102</v>
      </c>
      <c r="F1229">
        <v>5</v>
      </c>
      <c r="G1229" t="s">
        <v>8607</v>
      </c>
      <c r="H1229">
        <v>30</v>
      </c>
      <c r="I1229" t="s">
        <v>9299</v>
      </c>
      <c r="J1229" t="str">
        <f t="shared" si="19"/>
        <v>13F-HR-5.30.C4</v>
      </c>
      <c r="K1229" s="5" t="s">
        <v>8618</v>
      </c>
      <c r="L1229" t="s">
        <v>8619</v>
      </c>
      <c r="M1229" t="s">
        <v>8620</v>
      </c>
      <c r="N1229" t="s">
        <v>8621</v>
      </c>
      <c r="Q1229" s="28">
        <v>299314</v>
      </c>
    </row>
    <row r="1230" spans="1:17" x14ac:dyDescent="0.35">
      <c r="A1230" t="s">
        <v>8520</v>
      </c>
      <c r="B1230" s="3" t="s">
        <v>102</v>
      </c>
      <c r="F1230">
        <v>5</v>
      </c>
      <c r="G1230" t="s">
        <v>8607</v>
      </c>
      <c r="H1230">
        <v>31</v>
      </c>
      <c r="I1230" t="s">
        <v>9300</v>
      </c>
      <c r="J1230" t="str">
        <f t="shared" si="19"/>
        <v>13F-HR-5.31.C5</v>
      </c>
      <c r="K1230" s="5" t="s">
        <v>8622</v>
      </c>
      <c r="L1230" t="s">
        <v>241</v>
      </c>
      <c r="M1230" t="s">
        <v>8623</v>
      </c>
      <c r="N1230" t="s">
        <v>8624</v>
      </c>
      <c r="Q1230" s="28">
        <v>5080</v>
      </c>
    </row>
    <row r="1231" spans="1:17" x14ac:dyDescent="0.35">
      <c r="A1231" t="s">
        <v>8520</v>
      </c>
      <c r="B1231" s="3" t="s">
        <v>102</v>
      </c>
      <c r="F1231">
        <v>5</v>
      </c>
      <c r="G1231" t="s">
        <v>8607</v>
      </c>
      <c r="H1231">
        <v>32</v>
      </c>
      <c r="I1231" t="s">
        <v>9301</v>
      </c>
      <c r="J1231" t="str">
        <f t="shared" si="19"/>
        <v>13F-HR-5.32.C6</v>
      </c>
      <c r="K1231" s="5" t="s">
        <v>8625</v>
      </c>
      <c r="L1231" t="s">
        <v>229</v>
      </c>
      <c r="M1231" t="s">
        <v>8626</v>
      </c>
      <c r="N1231" t="s">
        <v>8627</v>
      </c>
      <c r="Q1231" s="28" t="s">
        <v>8628</v>
      </c>
    </row>
    <row r="1232" spans="1:17" x14ac:dyDescent="0.35">
      <c r="A1232" t="s">
        <v>8520</v>
      </c>
      <c r="B1232" s="3" t="s">
        <v>102</v>
      </c>
      <c r="F1232">
        <v>5</v>
      </c>
      <c r="G1232" t="s">
        <v>8607</v>
      </c>
      <c r="H1232">
        <v>33</v>
      </c>
      <c r="I1232" t="s">
        <v>9302</v>
      </c>
      <c r="J1232" t="str">
        <f t="shared" si="19"/>
        <v>13F-HR-5.33.C7</v>
      </c>
      <c r="K1232" s="5" t="s">
        <v>8629</v>
      </c>
      <c r="L1232" t="s">
        <v>229</v>
      </c>
      <c r="M1232" t="s">
        <v>8630</v>
      </c>
      <c r="N1232" t="s">
        <v>8631</v>
      </c>
      <c r="Q1232" s="28" t="s">
        <v>8685</v>
      </c>
    </row>
    <row r="1233" spans="1:17" x14ac:dyDescent="0.35">
      <c r="A1233" t="s">
        <v>8520</v>
      </c>
      <c r="B1233" s="3" t="s">
        <v>102</v>
      </c>
      <c r="F1233">
        <v>5</v>
      </c>
      <c r="G1233" t="s">
        <v>8607</v>
      </c>
      <c r="H1233">
        <v>34</v>
      </c>
      <c r="I1233" t="s">
        <v>9303</v>
      </c>
      <c r="J1233" t="str">
        <f t="shared" si="19"/>
        <v>13F-HR-5.34.C8</v>
      </c>
      <c r="K1233" s="5" t="s">
        <v>8633</v>
      </c>
      <c r="L1233" t="s">
        <v>4735</v>
      </c>
      <c r="M1233" t="s">
        <v>8634</v>
      </c>
      <c r="N1233" t="s">
        <v>8635</v>
      </c>
      <c r="Q1233" s="28" t="s">
        <v>8632</v>
      </c>
    </row>
    <row r="1234" spans="1:17" x14ac:dyDescent="0.35">
      <c r="A1234" t="s">
        <v>8520</v>
      </c>
      <c r="B1234" s="3" t="s">
        <v>102</v>
      </c>
      <c r="F1234">
        <v>5</v>
      </c>
      <c r="G1234" t="s">
        <v>8607</v>
      </c>
      <c r="H1234">
        <v>35</v>
      </c>
      <c r="I1234" t="s">
        <v>9304</v>
      </c>
      <c r="J1234" t="str">
        <f t="shared" si="19"/>
        <v>13F-HR-5.35.C9</v>
      </c>
      <c r="K1234" s="5" t="s">
        <v>8637</v>
      </c>
      <c r="L1234" t="s">
        <v>229</v>
      </c>
      <c r="M1234" t="s">
        <v>8638</v>
      </c>
      <c r="N1234" t="s">
        <v>8639</v>
      </c>
      <c r="Q1234" s="28" t="s">
        <v>8636</v>
      </c>
    </row>
    <row r="1235" spans="1:17" x14ac:dyDescent="0.35">
      <c r="A1235" t="s">
        <v>8520</v>
      </c>
      <c r="B1235" s="3" t="s">
        <v>102</v>
      </c>
      <c r="F1235">
        <v>5</v>
      </c>
      <c r="G1235" t="s">
        <v>8607</v>
      </c>
      <c r="H1235">
        <v>36</v>
      </c>
      <c r="I1235" t="s">
        <v>9305</v>
      </c>
      <c r="J1235" t="str">
        <f t="shared" si="19"/>
        <v>13F-HR-5.36.C10</v>
      </c>
      <c r="K1235" s="5" t="s">
        <v>8640</v>
      </c>
      <c r="L1235" t="s">
        <v>241</v>
      </c>
      <c r="M1235" t="s">
        <v>8641</v>
      </c>
      <c r="N1235" t="s">
        <v>8642</v>
      </c>
      <c r="Q1235" s="28">
        <v>5080</v>
      </c>
    </row>
    <row r="1236" spans="1:17" x14ac:dyDescent="0.35">
      <c r="A1236" t="s">
        <v>8520</v>
      </c>
      <c r="B1236" s="3" t="s">
        <v>102</v>
      </c>
      <c r="F1236">
        <v>5</v>
      </c>
      <c r="G1236" t="s">
        <v>8607</v>
      </c>
      <c r="H1236">
        <v>37</v>
      </c>
      <c r="I1236" t="s">
        <v>9306</v>
      </c>
      <c r="J1236" t="str">
        <f t="shared" si="19"/>
        <v>13F-HR-5.37.C11</v>
      </c>
      <c r="K1236" s="5" t="s">
        <v>8643</v>
      </c>
      <c r="L1236" t="s">
        <v>241</v>
      </c>
      <c r="M1236" t="s">
        <v>8644</v>
      </c>
      <c r="N1236" t="s">
        <v>8645</v>
      </c>
      <c r="Q1236" s="28">
        <v>0</v>
      </c>
    </row>
    <row r="1237" spans="1:17" x14ac:dyDescent="0.35">
      <c r="A1237" t="s">
        <v>8520</v>
      </c>
      <c r="B1237" s="3" t="s">
        <v>102</v>
      </c>
      <c r="F1237">
        <v>5</v>
      </c>
      <c r="G1237" t="s">
        <v>8607</v>
      </c>
      <c r="H1237">
        <v>38</v>
      </c>
      <c r="I1237" t="s">
        <v>9307</v>
      </c>
      <c r="J1237" t="str">
        <f t="shared" si="19"/>
        <v>13F-HR-5.38.C12</v>
      </c>
      <c r="K1237" s="5" t="s">
        <v>8646</v>
      </c>
      <c r="L1237" t="s">
        <v>241</v>
      </c>
      <c r="M1237" t="s">
        <v>8647</v>
      </c>
      <c r="N1237" t="s">
        <v>8648</v>
      </c>
      <c r="Q1237" s="28">
        <v>0</v>
      </c>
    </row>
    <row r="1238" spans="1:17" x14ac:dyDescent="0.35">
      <c r="A1238" t="s">
        <v>8520</v>
      </c>
      <c r="B1238" s="3" t="s">
        <v>102</v>
      </c>
      <c r="F1238">
        <v>5</v>
      </c>
      <c r="G1238" t="s">
        <v>8607</v>
      </c>
      <c r="H1238">
        <v>27</v>
      </c>
      <c r="I1238" t="s">
        <v>9296</v>
      </c>
      <c r="J1238" t="str">
        <f t="shared" si="19"/>
        <v>13F-HR-5.27.C1</v>
      </c>
      <c r="K1238" s="5" t="s">
        <v>8608</v>
      </c>
      <c r="L1238" t="s">
        <v>229</v>
      </c>
      <c r="M1238" t="s">
        <v>8609</v>
      </c>
      <c r="N1238" t="s">
        <v>8610</v>
      </c>
      <c r="Q1238" s="28" t="s">
        <v>8813</v>
      </c>
    </row>
    <row r="1239" spans="1:17" x14ac:dyDescent="0.35">
      <c r="A1239" t="s">
        <v>8520</v>
      </c>
      <c r="B1239" s="3" t="s">
        <v>102</v>
      </c>
      <c r="F1239">
        <v>5</v>
      </c>
      <c r="G1239" t="s">
        <v>8607</v>
      </c>
      <c r="H1239">
        <v>28</v>
      </c>
      <c r="I1239" t="s">
        <v>9297</v>
      </c>
      <c r="J1239" t="str">
        <f t="shared" si="19"/>
        <v>13F-HR-5.28.C2</v>
      </c>
      <c r="K1239" s="5" t="s">
        <v>8612</v>
      </c>
      <c r="L1239" t="s">
        <v>229</v>
      </c>
      <c r="M1239" t="s">
        <v>8613</v>
      </c>
      <c r="N1239" t="s">
        <v>8614</v>
      </c>
      <c r="Q1239" s="28" t="s">
        <v>8615</v>
      </c>
    </row>
    <row r="1240" spans="1:17" x14ac:dyDescent="0.35">
      <c r="A1240" t="s">
        <v>8520</v>
      </c>
      <c r="B1240" s="3" t="s">
        <v>102</v>
      </c>
      <c r="F1240">
        <v>5</v>
      </c>
      <c r="G1240" t="s">
        <v>8607</v>
      </c>
      <c r="H1240">
        <v>29</v>
      </c>
      <c r="I1240" t="s">
        <v>9298</v>
      </c>
      <c r="J1240" t="str">
        <f t="shared" si="19"/>
        <v>13F-HR-5.29.C3</v>
      </c>
      <c r="K1240" s="5" t="s">
        <v>8616</v>
      </c>
      <c r="L1240" t="s">
        <v>229</v>
      </c>
      <c r="M1240" t="s">
        <v>7927</v>
      </c>
      <c r="N1240" t="s">
        <v>8617</v>
      </c>
      <c r="Q1240" s="28">
        <v>285512109</v>
      </c>
    </row>
    <row r="1241" spans="1:17" x14ac:dyDescent="0.35">
      <c r="A1241" t="s">
        <v>8520</v>
      </c>
      <c r="B1241" s="3" t="s">
        <v>102</v>
      </c>
      <c r="F1241">
        <v>5</v>
      </c>
      <c r="G1241" t="s">
        <v>8607</v>
      </c>
      <c r="H1241">
        <v>30</v>
      </c>
      <c r="I1241" t="s">
        <v>9299</v>
      </c>
      <c r="J1241" t="str">
        <f t="shared" si="19"/>
        <v>13F-HR-5.30.C4</v>
      </c>
      <c r="K1241" s="5" t="s">
        <v>8618</v>
      </c>
      <c r="L1241" t="s">
        <v>8619</v>
      </c>
      <c r="M1241" t="s">
        <v>8620</v>
      </c>
      <c r="N1241" t="s">
        <v>8621</v>
      </c>
      <c r="Q1241" s="28">
        <v>16813168</v>
      </c>
    </row>
    <row r="1242" spans="1:17" x14ac:dyDescent="0.35">
      <c r="A1242" t="s">
        <v>8520</v>
      </c>
      <c r="B1242" s="3" t="s">
        <v>102</v>
      </c>
      <c r="F1242">
        <v>5</v>
      </c>
      <c r="G1242" t="s">
        <v>8607</v>
      </c>
      <c r="H1242">
        <v>31</v>
      </c>
      <c r="I1242" t="s">
        <v>9300</v>
      </c>
      <c r="J1242" t="str">
        <f t="shared" si="19"/>
        <v>13F-HR-5.31.C5</v>
      </c>
      <c r="K1242" s="5" t="s">
        <v>8622</v>
      </c>
      <c r="L1242" t="s">
        <v>241</v>
      </c>
      <c r="M1242" t="s">
        <v>8623</v>
      </c>
      <c r="N1242" t="s">
        <v>8624</v>
      </c>
      <c r="Q1242" s="28">
        <v>116338</v>
      </c>
    </row>
    <row r="1243" spans="1:17" x14ac:dyDescent="0.35">
      <c r="A1243" t="s">
        <v>8520</v>
      </c>
      <c r="B1243" s="3" t="s">
        <v>102</v>
      </c>
      <c r="F1243">
        <v>5</v>
      </c>
      <c r="G1243" t="s">
        <v>8607</v>
      </c>
      <c r="H1243">
        <v>32</v>
      </c>
      <c r="I1243" t="s">
        <v>9301</v>
      </c>
      <c r="J1243" t="str">
        <f t="shared" si="19"/>
        <v>13F-HR-5.32.C6</v>
      </c>
      <c r="K1243" s="5" t="s">
        <v>8625</v>
      </c>
      <c r="L1243" t="s">
        <v>229</v>
      </c>
      <c r="M1243" t="s">
        <v>8626</v>
      </c>
      <c r="N1243" t="s">
        <v>8627</v>
      </c>
      <c r="Q1243" s="28" t="s">
        <v>8628</v>
      </c>
    </row>
    <row r="1244" spans="1:17" x14ac:dyDescent="0.35">
      <c r="A1244" t="s">
        <v>8520</v>
      </c>
      <c r="B1244" s="3" t="s">
        <v>102</v>
      </c>
      <c r="F1244">
        <v>5</v>
      </c>
      <c r="G1244" t="s">
        <v>8607</v>
      </c>
      <c r="H1244">
        <v>33</v>
      </c>
      <c r="I1244" t="s">
        <v>9302</v>
      </c>
      <c r="J1244" t="str">
        <f t="shared" si="19"/>
        <v>13F-HR-5.33.C7</v>
      </c>
      <c r="K1244" s="5" t="s">
        <v>8629</v>
      </c>
      <c r="L1244" t="s">
        <v>229</v>
      </c>
      <c r="M1244" t="s">
        <v>8630</v>
      </c>
      <c r="N1244" t="s">
        <v>8631</v>
      </c>
      <c r="Q1244" s="28" t="s">
        <v>8685</v>
      </c>
    </row>
    <row r="1245" spans="1:17" x14ac:dyDescent="0.35">
      <c r="A1245" t="s">
        <v>8520</v>
      </c>
      <c r="B1245" s="3" t="s">
        <v>102</v>
      </c>
      <c r="F1245">
        <v>5</v>
      </c>
      <c r="G1245" t="s">
        <v>8607</v>
      </c>
      <c r="H1245">
        <v>34</v>
      </c>
      <c r="I1245" t="s">
        <v>9303</v>
      </c>
      <c r="J1245" t="str">
        <f t="shared" si="19"/>
        <v>13F-HR-5.34.C8</v>
      </c>
      <c r="K1245" s="5" t="s">
        <v>8633</v>
      </c>
      <c r="L1245" t="s">
        <v>4735</v>
      </c>
      <c r="M1245" t="s">
        <v>8634</v>
      </c>
      <c r="N1245" t="s">
        <v>8635</v>
      </c>
      <c r="Q1245" s="28" t="s">
        <v>8632</v>
      </c>
    </row>
    <row r="1246" spans="1:17" x14ac:dyDescent="0.35">
      <c r="A1246" t="s">
        <v>8520</v>
      </c>
      <c r="B1246" s="3" t="s">
        <v>102</v>
      </c>
      <c r="F1246">
        <v>5</v>
      </c>
      <c r="G1246" t="s">
        <v>8607</v>
      </c>
      <c r="H1246">
        <v>35</v>
      </c>
      <c r="I1246" t="s">
        <v>9304</v>
      </c>
      <c r="J1246" t="str">
        <f t="shared" si="19"/>
        <v>13F-HR-5.35.C9</v>
      </c>
      <c r="K1246" s="5" t="s">
        <v>8637</v>
      </c>
      <c r="L1246" t="s">
        <v>229</v>
      </c>
      <c r="M1246" t="s">
        <v>8638</v>
      </c>
      <c r="N1246" t="s">
        <v>8639</v>
      </c>
      <c r="Q1246" s="28" t="s">
        <v>8636</v>
      </c>
    </row>
    <row r="1247" spans="1:17" x14ac:dyDescent="0.35">
      <c r="A1247" t="s">
        <v>8520</v>
      </c>
      <c r="B1247" s="3" t="s">
        <v>102</v>
      </c>
      <c r="F1247">
        <v>5</v>
      </c>
      <c r="G1247" t="s">
        <v>8607</v>
      </c>
      <c r="H1247">
        <v>36</v>
      </c>
      <c r="I1247" t="s">
        <v>9305</v>
      </c>
      <c r="J1247" t="str">
        <f t="shared" si="19"/>
        <v>13F-HR-5.36.C10</v>
      </c>
      <c r="K1247" s="5" t="s">
        <v>8640</v>
      </c>
      <c r="L1247" t="s">
        <v>241</v>
      </c>
      <c r="M1247" t="s">
        <v>8641</v>
      </c>
      <c r="N1247" t="s">
        <v>8642</v>
      </c>
      <c r="Q1247" s="28">
        <v>80491</v>
      </c>
    </row>
    <row r="1248" spans="1:17" x14ac:dyDescent="0.35">
      <c r="A1248" t="s">
        <v>8520</v>
      </c>
      <c r="B1248" s="3" t="s">
        <v>102</v>
      </c>
      <c r="F1248">
        <v>5</v>
      </c>
      <c r="G1248" t="s">
        <v>8607</v>
      </c>
      <c r="H1248">
        <v>37</v>
      </c>
      <c r="I1248" t="s">
        <v>9306</v>
      </c>
      <c r="J1248" t="str">
        <f t="shared" si="19"/>
        <v>13F-HR-5.37.C11</v>
      </c>
      <c r="K1248" s="5" t="s">
        <v>8643</v>
      </c>
      <c r="L1248" t="s">
        <v>241</v>
      </c>
      <c r="M1248" t="s">
        <v>8644</v>
      </c>
      <c r="N1248" t="s">
        <v>8645</v>
      </c>
      <c r="Q1248" s="28">
        <v>0</v>
      </c>
    </row>
    <row r="1249" spans="1:17" x14ac:dyDescent="0.35">
      <c r="A1249" t="s">
        <v>8520</v>
      </c>
      <c r="B1249" s="3" t="s">
        <v>102</v>
      </c>
      <c r="F1249">
        <v>5</v>
      </c>
      <c r="G1249" t="s">
        <v>8607</v>
      </c>
      <c r="H1249">
        <v>38</v>
      </c>
      <c r="I1249" t="s">
        <v>9307</v>
      </c>
      <c r="J1249" t="str">
        <f t="shared" si="19"/>
        <v>13F-HR-5.38.C12</v>
      </c>
      <c r="K1249" s="5" t="s">
        <v>8646</v>
      </c>
      <c r="L1249" t="s">
        <v>241</v>
      </c>
      <c r="M1249" t="s">
        <v>8647</v>
      </c>
      <c r="N1249" t="s">
        <v>8648</v>
      </c>
      <c r="Q1249" s="28">
        <v>35847</v>
      </c>
    </row>
    <row r="1250" spans="1:17" x14ac:dyDescent="0.35">
      <c r="A1250" t="s">
        <v>8520</v>
      </c>
      <c r="B1250" s="3" t="s">
        <v>102</v>
      </c>
      <c r="F1250">
        <v>5</v>
      </c>
      <c r="G1250" t="s">
        <v>8607</v>
      </c>
      <c r="H1250">
        <v>27</v>
      </c>
      <c r="I1250" t="s">
        <v>9296</v>
      </c>
      <c r="J1250" t="str">
        <f t="shared" si="19"/>
        <v>13F-HR-5.27.C1</v>
      </c>
      <c r="K1250" s="5" t="s">
        <v>8608</v>
      </c>
      <c r="L1250" t="s">
        <v>229</v>
      </c>
      <c r="M1250" t="s">
        <v>8609</v>
      </c>
      <c r="N1250" t="s">
        <v>8610</v>
      </c>
      <c r="Q1250" s="28" t="s">
        <v>8814</v>
      </c>
    </row>
    <row r="1251" spans="1:17" x14ac:dyDescent="0.35">
      <c r="A1251" t="s">
        <v>8520</v>
      </c>
      <c r="B1251" s="3" t="s">
        <v>102</v>
      </c>
      <c r="F1251">
        <v>5</v>
      </c>
      <c r="G1251" t="s">
        <v>8607</v>
      </c>
      <c r="H1251">
        <v>28</v>
      </c>
      <c r="I1251" t="s">
        <v>9297</v>
      </c>
      <c r="J1251" t="str">
        <f t="shared" si="19"/>
        <v>13F-HR-5.28.C2</v>
      </c>
      <c r="K1251" s="5" t="s">
        <v>8612</v>
      </c>
      <c r="L1251" t="s">
        <v>229</v>
      </c>
      <c r="M1251" t="s">
        <v>8613</v>
      </c>
      <c r="N1251" t="s">
        <v>8614</v>
      </c>
      <c r="Q1251" s="28" t="s">
        <v>8615</v>
      </c>
    </row>
    <row r="1252" spans="1:17" x14ac:dyDescent="0.35">
      <c r="A1252" t="s">
        <v>8520</v>
      </c>
      <c r="B1252" s="3" t="s">
        <v>102</v>
      </c>
      <c r="F1252">
        <v>5</v>
      </c>
      <c r="G1252" t="s">
        <v>8607</v>
      </c>
      <c r="H1252">
        <v>29</v>
      </c>
      <c r="I1252" t="s">
        <v>9298</v>
      </c>
      <c r="J1252" t="str">
        <f t="shared" si="19"/>
        <v>13F-HR-5.29.C3</v>
      </c>
      <c r="K1252" s="5" t="s">
        <v>8616</v>
      </c>
      <c r="L1252" t="s">
        <v>229</v>
      </c>
      <c r="M1252" t="s">
        <v>7927</v>
      </c>
      <c r="N1252" t="s">
        <v>8617</v>
      </c>
      <c r="Q1252" s="28" t="s">
        <v>8815</v>
      </c>
    </row>
    <row r="1253" spans="1:17" x14ac:dyDescent="0.35">
      <c r="A1253" t="s">
        <v>8520</v>
      </c>
      <c r="B1253" s="3" t="s">
        <v>102</v>
      </c>
      <c r="F1253">
        <v>5</v>
      </c>
      <c r="G1253" t="s">
        <v>8607</v>
      </c>
      <c r="H1253">
        <v>30</v>
      </c>
      <c r="I1253" t="s">
        <v>9299</v>
      </c>
      <c r="J1253" t="str">
        <f t="shared" si="19"/>
        <v>13F-HR-5.30.C4</v>
      </c>
      <c r="K1253" s="5" t="s">
        <v>8618</v>
      </c>
      <c r="L1253" t="s">
        <v>8619</v>
      </c>
      <c r="M1253" t="s">
        <v>8620</v>
      </c>
      <c r="N1253" t="s">
        <v>8621</v>
      </c>
      <c r="Q1253" s="28">
        <v>5929244</v>
      </c>
    </row>
    <row r="1254" spans="1:17" x14ac:dyDescent="0.35">
      <c r="A1254" t="s">
        <v>8520</v>
      </c>
      <c r="B1254" s="3" t="s">
        <v>102</v>
      </c>
      <c r="F1254">
        <v>5</v>
      </c>
      <c r="G1254" t="s">
        <v>8607</v>
      </c>
      <c r="H1254">
        <v>31</v>
      </c>
      <c r="I1254" t="s">
        <v>9300</v>
      </c>
      <c r="J1254" t="str">
        <f t="shared" si="19"/>
        <v>13F-HR-5.31.C5</v>
      </c>
      <c r="K1254" s="5" t="s">
        <v>8622</v>
      </c>
      <c r="L1254" t="s">
        <v>241</v>
      </c>
      <c r="M1254" t="s">
        <v>8623</v>
      </c>
      <c r="N1254" t="s">
        <v>8624</v>
      </c>
      <c r="Q1254" s="28">
        <v>69356</v>
      </c>
    </row>
    <row r="1255" spans="1:17" x14ac:dyDescent="0.35">
      <c r="A1255" t="s">
        <v>8520</v>
      </c>
      <c r="B1255" s="3" t="s">
        <v>102</v>
      </c>
      <c r="F1255">
        <v>5</v>
      </c>
      <c r="G1255" t="s">
        <v>8607</v>
      </c>
      <c r="H1255">
        <v>32</v>
      </c>
      <c r="I1255" t="s">
        <v>9301</v>
      </c>
      <c r="J1255" t="str">
        <f t="shared" si="19"/>
        <v>13F-HR-5.32.C6</v>
      </c>
      <c r="K1255" s="5" t="s">
        <v>8625</v>
      </c>
      <c r="L1255" t="s">
        <v>229</v>
      </c>
      <c r="M1255" t="s">
        <v>8626</v>
      </c>
      <c r="N1255" t="s">
        <v>8627</v>
      </c>
      <c r="Q1255" s="28" t="s">
        <v>8628</v>
      </c>
    </row>
    <row r="1256" spans="1:17" x14ac:dyDescent="0.35">
      <c r="A1256" t="s">
        <v>8520</v>
      </c>
      <c r="B1256" s="3" t="s">
        <v>102</v>
      </c>
      <c r="F1256">
        <v>5</v>
      </c>
      <c r="G1256" t="s">
        <v>8607</v>
      </c>
      <c r="H1256">
        <v>33</v>
      </c>
      <c r="I1256" t="s">
        <v>9302</v>
      </c>
      <c r="J1256" t="str">
        <f t="shared" si="19"/>
        <v>13F-HR-5.33.C7</v>
      </c>
      <c r="K1256" s="5" t="s">
        <v>8629</v>
      </c>
      <c r="L1256" t="s">
        <v>229</v>
      </c>
      <c r="M1256" t="s">
        <v>8630</v>
      </c>
      <c r="N1256" t="s">
        <v>8631</v>
      </c>
      <c r="Q1256" s="28" t="s">
        <v>8685</v>
      </c>
    </row>
    <row r="1257" spans="1:17" x14ac:dyDescent="0.35">
      <c r="A1257" t="s">
        <v>8520</v>
      </c>
      <c r="B1257" s="3" t="s">
        <v>102</v>
      </c>
      <c r="F1257">
        <v>5</v>
      </c>
      <c r="G1257" t="s">
        <v>8607</v>
      </c>
      <c r="H1257">
        <v>34</v>
      </c>
      <c r="I1257" t="s">
        <v>9303</v>
      </c>
      <c r="J1257" t="str">
        <f t="shared" si="19"/>
        <v>13F-HR-5.34.C8</v>
      </c>
      <c r="K1257" s="5" t="s">
        <v>8633</v>
      </c>
      <c r="L1257" t="s">
        <v>4735</v>
      </c>
      <c r="M1257" t="s">
        <v>8634</v>
      </c>
      <c r="N1257" t="s">
        <v>8635</v>
      </c>
      <c r="Q1257" s="28" t="s">
        <v>8632</v>
      </c>
    </row>
    <row r="1258" spans="1:17" x14ac:dyDescent="0.35">
      <c r="A1258" t="s">
        <v>8520</v>
      </c>
      <c r="B1258" s="3" t="s">
        <v>102</v>
      </c>
      <c r="F1258">
        <v>5</v>
      </c>
      <c r="G1258" t="s">
        <v>8607</v>
      </c>
      <c r="H1258">
        <v>35</v>
      </c>
      <c r="I1258" t="s">
        <v>9304</v>
      </c>
      <c r="J1258" t="str">
        <f t="shared" si="19"/>
        <v>13F-HR-5.35.C9</v>
      </c>
      <c r="K1258" s="5" t="s">
        <v>8637</v>
      </c>
      <c r="L1258" t="s">
        <v>229</v>
      </c>
      <c r="M1258" t="s">
        <v>8638</v>
      </c>
      <c r="N1258" t="s">
        <v>8639</v>
      </c>
      <c r="Q1258" s="28" t="s">
        <v>8636</v>
      </c>
    </row>
    <row r="1259" spans="1:17" x14ac:dyDescent="0.35">
      <c r="A1259" t="s">
        <v>8520</v>
      </c>
      <c r="B1259" s="3" t="s">
        <v>102</v>
      </c>
      <c r="F1259">
        <v>5</v>
      </c>
      <c r="G1259" t="s">
        <v>8607</v>
      </c>
      <c r="H1259">
        <v>36</v>
      </c>
      <c r="I1259" t="s">
        <v>9305</v>
      </c>
      <c r="J1259" t="str">
        <f t="shared" si="19"/>
        <v>13F-HR-5.36.C10</v>
      </c>
      <c r="K1259" s="5" t="s">
        <v>8640</v>
      </c>
      <c r="L1259" t="s">
        <v>241</v>
      </c>
      <c r="M1259" t="s">
        <v>8641</v>
      </c>
      <c r="N1259" t="s">
        <v>8642</v>
      </c>
      <c r="Q1259" s="28">
        <v>13362</v>
      </c>
    </row>
    <row r="1260" spans="1:17" x14ac:dyDescent="0.35">
      <c r="A1260" t="s">
        <v>8520</v>
      </c>
      <c r="B1260" s="3" t="s">
        <v>102</v>
      </c>
      <c r="F1260">
        <v>5</v>
      </c>
      <c r="G1260" t="s">
        <v>8607</v>
      </c>
      <c r="H1260">
        <v>37</v>
      </c>
      <c r="I1260" t="s">
        <v>9306</v>
      </c>
      <c r="J1260" t="str">
        <f t="shared" si="19"/>
        <v>13F-HR-5.37.C11</v>
      </c>
      <c r="K1260" s="5" t="s">
        <v>8643</v>
      </c>
      <c r="L1260" t="s">
        <v>241</v>
      </c>
      <c r="M1260" t="s">
        <v>8644</v>
      </c>
      <c r="N1260" t="s">
        <v>8645</v>
      </c>
      <c r="Q1260" s="28">
        <v>0</v>
      </c>
    </row>
    <row r="1261" spans="1:17" x14ac:dyDescent="0.35">
      <c r="A1261" t="s">
        <v>8520</v>
      </c>
      <c r="B1261" s="3" t="s">
        <v>102</v>
      </c>
      <c r="F1261">
        <v>5</v>
      </c>
      <c r="G1261" t="s">
        <v>8607</v>
      </c>
      <c r="H1261">
        <v>38</v>
      </c>
      <c r="I1261" t="s">
        <v>9307</v>
      </c>
      <c r="J1261" t="str">
        <f t="shared" si="19"/>
        <v>13F-HR-5.38.C12</v>
      </c>
      <c r="K1261" s="5" t="s">
        <v>8646</v>
      </c>
      <c r="L1261" t="s">
        <v>241</v>
      </c>
      <c r="M1261" t="s">
        <v>8647</v>
      </c>
      <c r="N1261" t="s">
        <v>8648</v>
      </c>
      <c r="Q1261" s="28">
        <v>55994</v>
      </c>
    </row>
    <row r="1262" spans="1:17" x14ac:dyDescent="0.35">
      <c r="A1262" t="s">
        <v>8520</v>
      </c>
      <c r="B1262" s="3" t="s">
        <v>102</v>
      </c>
      <c r="F1262">
        <v>5</v>
      </c>
      <c r="G1262" t="s">
        <v>8607</v>
      </c>
      <c r="H1262">
        <v>27</v>
      </c>
      <c r="I1262" t="s">
        <v>9296</v>
      </c>
      <c r="J1262" t="str">
        <f t="shared" si="19"/>
        <v>13F-HR-5.27.C1</v>
      </c>
      <c r="K1262" s="5" t="s">
        <v>8608</v>
      </c>
      <c r="L1262" t="s">
        <v>229</v>
      </c>
      <c r="M1262" t="s">
        <v>8609</v>
      </c>
      <c r="N1262" t="s">
        <v>8610</v>
      </c>
      <c r="Q1262" s="28" t="s">
        <v>8816</v>
      </c>
    </row>
    <row r="1263" spans="1:17" x14ac:dyDescent="0.35">
      <c r="A1263" t="s">
        <v>8520</v>
      </c>
      <c r="B1263" s="3" t="s">
        <v>102</v>
      </c>
      <c r="F1263">
        <v>5</v>
      </c>
      <c r="G1263" t="s">
        <v>8607</v>
      </c>
      <c r="H1263">
        <v>28</v>
      </c>
      <c r="I1263" t="s">
        <v>9297</v>
      </c>
      <c r="J1263" t="str">
        <f t="shared" si="19"/>
        <v>13F-HR-5.28.C2</v>
      </c>
      <c r="K1263" s="5" t="s">
        <v>8612</v>
      </c>
      <c r="L1263" t="s">
        <v>229</v>
      </c>
      <c r="M1263" t="s">
        <v>8613</v>
      </c>
      <c r="N1263" t="s">
        <v>8614</v>
      </c>
      <c r="Q1263" s="28" t="s">
        <v>8615</v>
      </c>
    </row>
    <row r="1264" spans="1:17" x14ac:dyDescent="0.35">
      <c r="A1264" t="s">
        <v>8520</v>
      </c>
      <c r="B1264" s="3" t="s">
        <v>102</v>
      </c>
      <c r="F1264">
        <v>5</v>
      </c>
      <c r="G1264" t="s">
        <v>8607</v>
      </c>
      <c r="H1264">
        <v>29</v>
      </c>
      <c r="I1264" t="s">
        <v>9298</v>
      </c>
      <c r="J1264" t="str">
        <f t="shared" si="19"/>
        <v>13F-HR-5.29.C3</v>
      </c>
      <c r="K1264" s="5" t="s">
        <v>8616</v>
      </c>
      <c r="L1264" t="s">
        <v>229</v>
      </c>
      <c r="M1264" t="s">
        <v>7927</v>
      </c>
      <c r="N1264" t="s">
        <v>8617</v>
      </c>
      <c r="Q1264" s="28" t="s">
        <v>8817</v>
      </c>
    </row>
    <row r="1265" spans="1:17" x14ac:dyDescent="0.35">
      <c r="A1265" t="s">
        <v>8520</v>
      </c>
      <c r="B1265" s="3" t="s">
        <v>102</v>
      </c>
      <c r="F1265">
        <v>5</v>
      </c>
      <c r="G1265" t="s">
        <v>8607</v>
      </c>
      <c r="H1265">
        <v>30</v>
      </c>
      <c r="I1265" t="s">
        <v>9299</v>
      </c>
      <c r="J1265" t="str">
        <f t="shared" si="19"/>
        <v>13F-HR-5.30.C4</v>
      </c>
      <c r="K1265" s="5" t="s">
        <v>8618</v>
      </c>
      <c r="L1265" t="s">
        <v>8619</v>
      </c>
      <c r="M1265" t="s">
        <v>8620</v>
      </c>
      <c r="N1265" t="s">
        <v>8621</v>
      </c>
      <c r="Q1265" s="28">
        <v>1069095</v>
      </c>
    </row>
    <row r="1266" spans="1:17" x14ac:dyDescent="0.35">
      <c r="A1266" t="s">
        <v>8520</v>
      </c>
      <c r="B1266" s="3" t="s">
        <v>102</v>
      </c>
      <c r="F1266">
        <v>5</v>
      </c>
      <c r="G1266" t="s">
        <v>8607</v>
      </c>
      <c r="H1266">
        <v>31</v>
      </c>
      <c r="I1266" t="s">
        <v>9300</v>
      </c>
      <c r="J1266" t="str">
        <f t="shared" si="19"/>
        <v>13F-HR-5.31.C5</v>
      </c>
      <c r="K1266" s="5" t="s">
        <v>8622</v>
      </c>
      <c r="L1266" t="s">
        <v>241</v>
      </c>
      <c r="M1266" t="s">
        <v>8623</v>
      </c>
      <c r="N1266" t="s">
        <v>8624</v>
      </c>
      <c r="Q1266" s="28">
        <v>6332</v>
      </c>
    </row>
    <row r="1267" spans="1:17" x14ac:dyDescent="0.35">
      <c r="A1267" t="s">
        <v>8520</v>
      </c>
      <c r="B1267" s="3" t="s">
        <v>102</v>
      </c>
      <c r="F1267">
        <v>5</v>
      </c>
      <c r="G1267" t="s">
        <v>8607</v>
      </c>
      <c r="H1267">
        <v>32</v>
      </c>
      <c r="I1267" t="s">
        <v>9301</v>
      </c>
      <c r="J1267" t="str">
        <f t="shared" si="19"/>
        <v>13F-HR-5.32.C6</v>
      </c>
      <c r="K1267" s="5" t="s">
        <v>8625</v>
      </c>
      <c r="L1267" t="s">
        <v>229</v>
      </c>
      <c r="M1267" t="s">
        <v>8626</v>
      </c>
      <c r="N1267" t="s">
        <v>8627</v>
      </c>
      <c r="Q1267" s="28" t="s">
        <v>8628</v>
      </c>
    </row>
    <row r="1268" spans="1:17" x14ac:dyDescent="0.35">
      <c r="A1268" t="s">
        <v>8520</v>
      </c>
      <c r="B1268" s="3" t="s">
        <v>102</v>
      </c>
      <c r="F1268">
        <v>5</v>
      </c>
      <c r="G1268" t="s">
        <v>8607</v>
      </c>
      <c r="H1268">
        <v>33</v>
      </c>
      <c r="I1268" t="s">
        <v>9302</v>
      </c>
      <c r="J1268" t="str">
        <f t="shared" si="19"/>
        <v>13F-HR-5.33.C7</v>
      </c>
      <c r="K1268" s="5" t="s">
        <v>8629</v>
      </c>
      <c r="L1268" t="s">
        <v>229</v>
      </c>
      <c r="M1268" t="s">
        <v>8630</v>
      </c>
      <c r="N1268" t="s">
        <v>8631</v>
      </c>
      <c r="Q1268" s="28" t="s">
        <v>8685</v>
      </c>
    </row>
    <row r="1269" spans="1:17" x14ac:dyDescent="0.35">
      <c r="A1269" t="s">
        <v>8520</v>
      </c>
      <c r="B1269" s="3" t="s">
        <v>102</v>
      </c>
      <c r="F1269">
        <v>5</v>
      </c>
      <c r="G1269" t="s">
        <v>8607</v>
      </c>
      <c r="H1269">
        <v>34</v>
      </c>
      <c r="I1269" t="s">
        <v>9303</v>
      </c>
      <c r="J1269" t="str">
        <f t="shared" si="19"/>
        <v>13F-HR-5.34.C8</v>
      </c>
      <c r="K1269" s="5" t="s">
        <v>8633</v>
      </c>
      <c r="L1269" t="s">
        <v>4735</v>
      </c>
      <c r="M1269" t="s">
        <v>8634</v>
      </c>
      <c r="N1269" t="s">
        <v>8635</v>
      </c>
      <c r="Q1269" s="28" t="s">
        <v>8632</v>
      </c>
    </row>
    <row r="1270" spans="1:17" x14ac:dyDescent="0.35">
      <c r="A1270" t="s">
        <v>8520</v>
      </c>
      <c r="B1270" s="3" t="s">
        <v>102</v>
      </c>
      <c r="F1270">
        <v>5</v>
      </c>
      <c r="G1270" t="s">
        <v>8607</v>
      </c>
      <c r="H1270">
        <v>35</v>
      </c>
      <c r="I1270" t="s">
        <v>9304</v>
      </c>
      <c r="J1270" t="str">
        <f t="shared" si="19"/>
        <v>13F-HR-5.35.C9</v>
      </c>
      <c r="K1270" s="5" t="s">
        <v>8637</v>
      </c>
      <c r="L1270" t="s">
        <v>229</v>
      </c>
      <c r="M1270" t="s">
        <v>8638</v>
      </c>
      <c r="N1270" t="s">
        <v>8639</v>
      </c>
      <c r="Q1270" s="28" t="s">
        <v>8636</v>
      </c>
    </row>
    <row r="1271" spans="1:17" x14ac:dyDescent="0.35">
      <c r="A1271" t="s">
        <v>8520</v>
      </c>
      <c r="B1271" s="3" t="s">
        <v>102</v>
      </c>
      <c r="F1271">
        <v>5</v>
      </c>
      <c r="G1271" t="s">
        <v>8607</v>
      </c>
      <c r="H1271">
        <v>36</v>
      </c>
      <c r="I1271" t="s">
        <v>9305</v>
      </c>
      <c r="J1271" t="str">
        <f t="shared" si="19"/>
        <v>13F-HR-5.36.C10</v>
      </c>
      <c r="K1271" s="5" t="s">
        <v>8640</v>
      </c>
      <c r="L1271" t="s">
        <v>241</v>
      </c>
      <c r="M1271" t="s">
        <v>8641</v>
      </c>
      <c r="N1271" t="s">
        <v>8642</v>
      </c>
      <c r="Q1271" s="28">
        <v>5999</v>
      </c>
    </row>
    <row r="1272" spans="1:17" x14ac:dyDescent="0.35">
      <c r="A1272" t="s">
        <v>8520</v>
      </c>
      <c r="B1272" s="3" t="s">
        <v>102</v>
      </c>
      <c r="F1272">
        <v>5</v>
      </c>
      <c r="G1272" t="s">
        <v>8607</v>
      </c>
      <c r="H1272">
        <v>37</v>
      </c>
      <c r="I1272" t="s">
        <v>9306</v>
      </c>
      <c r="J1272" t="str">
        <f t="shared" si="19"/>
        <v>13F-HR-5.37.C11</v>
      </c>
      <c r="K1272" s="5" t="s">
        <v>8643</v>
      </c>
      <c r="L1272" t="s">
        <v>241</v>
      </c>
      <c r="M1272" t="s">
        <v>8644</v>
      </c>
      <c r="N1272" t="s">
        <v>8645</v>
      </c>
      <c r="Q1272" s="28">
        <v>0</v>
      </c>
    </row>
    <row r="1273" spans="1:17" x14ac:dyDescent="0.35">
      <c r="A1273" t="s">
        <v>8520</v>
      </c>
      <c r="B1273" s="3" t="s">
        <v>102</v>
      </c>
      <c r="F1273">
        <v>5</v>
      </c>
      <c r="G1273" t="s">
        <v>8607</v>
      </c>
      <c r="H1273">
        <v>38</v>
      </c>
      <c r="I1273" t="s">
        <v>9307</v>
      </c>
      <c r="J1273" t="str">
        <f t="shared" si="19"/>
        <v>13F-HR-5.38.C12</v>
      </c>
      <c r="K1273" s="5" t="s">
        <v>8646</v>
      </c>
      <c r="L1273" t="s">
        <v>241</v>
      </c>
      <c r="M1273" t="s">
        <v>8647</v>
      </c>
      <c r="N1273" t="s">
        <v>8648</v>
      </c>
      <c r="Q1273" s="28">
        <v>333</v>
      </c>
    </row>
    <row r="1274" spans="1:17" x14ac:dyDescent="0.35">
      <c r="A1274" t="s">
        <v>8520</v>
      </c>
      <c r="B1274" s="3" t="s">
        <v>102</v>
      </c>
      <c r="F1274">
        <v>5</v>
      </c>
      <c r="G1274" t="s">
        <v>8607</v>
      </c>
      <c r="H1274">
        <v>27</v>
      </c>
      <c r="I1274" t="s">
        <v>9296</v>
      </c>
      <c r="J1274" t="str">
        <f t="shared" si="19"/>
        <v>13F-HR-5.27.C1</v>
      </c>
      <c r="K1274" s="5" t="s">
        <v>8608</v>
      </c>
      <c r="L1274" t="s">
        <v>229</v>
      </c>
      <c r="M1274" t="s">
        <v>8609</v>
      </c>
      <c r="N1274" t="s">
        <v>8610</v>
      </c>
      <c r="Q1274" s="28" t="s">
        <v>8818</v>
      </c>
    </row>
    <row r="1275" spans="1:17" x14ac:dyDescent="0.35">
      <c r="A1275" t="s">
        <v>8520</v>
      </c>
      <c r="B1275" s="3" t="s">
        <v>102</v>
      </c>
      <c r="F1275">
        <v>5</v>
      </c>
      <c r="G1275" t="s">
        <v>8607</v>
      </c>
      <c r="H1275">
        <v>28</v>
      </c>
      <c r="I1275" t="s">
        <v>9297</v>
      </c>
      <c r="J1275" t="str">
        <f t="shared" si="19"/>
        <v>13F-HR-5.28.C2</v>
      </c>
      <c r="K1275" s="5" t="s">
        <v>8612</v>
      </c>
      <c r="L1275" t="s">
        <v>229</v>
      </c>
      <c r="M1275" t="s">
        <v>8613</v>
      </c>
      <c r="N1275" t="s">
        <v>8614</v>
      </c>
      <c r="Q1275" s="28" t="s">
        <v>8615</v>
      </c>
    </row>
    <row r="1276" spans="1:17" x14ac:dyDescent="0.35">
      <c r="A1276" t="s">
        <v>8520</v>
      </c>
      <c r="B1276" s="3" t="s">
        <v>102</v>
      </c>
      <c r="F1276">
        <v>5</v>
      </c>
      <c r="G1276" t="s">
        <v>8607</v>
      </c>
      <c r="H1276">
        <v>29</v>
      </c>
      <c r="I1276" t="s">
        <v>9298</v>
      </c>
      <c r="J1276" t="str">
        <f t="shared" si="19"/>
        <v>13F-HR-5.29.C3</v>
      </c>
      <c r="K1276" s="5" t="s">
        <v>8616</v>
      </c>
      <c r="L1276" t="s">
        <v>229</v>
      </c>
      <c r="M1276" t="s">
        <v>7927</v>
      </c>
      <c r="N1276" t="s">
        <v>8617</v>
      </c>
      <c r="Q1276" s="28">
        <v>294429105</v>
      </c>
    </row>
    <row r="1277" spans="1:17" x14ac:dyDescent="0.35">
      <c r="A1277" t="s">
        <v>8520</v>
      </c>
      <c r="B1277" s="3" t="s">
        <v>102</v>
      </c>
      <c r="F1277">
        <v>5</v>
      </c>
      <c r="G1277" t="s">
        <v>8607</v>
      </c>
      <c r="H1277">
        <v>30</v>
      </c>
      <c r="I1277" t="s">
        <v>9299</v>
      </c>
      <c r="J1277" t="str">
        <f t="shared" si="19"/>
        <v>13F-HR-5.30.C4</v>
      </c>
      <c r="K1277" s="5" t="s">
        <v>8618</v>
      </c>
      <c r="L1277" t="s">
        <v>8619</v>
      </c>
      <c r="M1277" t="s">
        <v>8620</v>
      </c>
      <c r="N1277" t="s">
        <v>8621</v>
      </c>
      <c r="Q1277" s="28">
        <v>17451561</v>
      </c>
    </row>
    <row r="1278" spans="1:17" x14ac:dyDescent="0.35">
      <c r="A1278" t="s">
        <v>8520</v>
      </c>
      <c r="B1278" s="3" t="s">
        <v>102</v>
      </c>
      <c r="F1278">
        <v>5</v>
      </c>
      <c r="G1278" t="s">
        <v>8607</v>
      </c>
      <c r="H1278">
        <v>31</v>
      </c>
      <c r="I1278" t="s">
        <v>9300</v>
      </c>
      <c r="J1278" t="str">
        <f t="shared" si="19"/>
        <v>13F-HR-5.31.C5</v>
      </c>
      <c r="K1278" s="5" t="s">
        <v>8622</v>
      </c>
      <c r="L1278" t="s">
        <v>241</v>
      </c>
      <c r="M1278" t="s">
        <v>8623</v>
      </c>
      <c r="N1278" t="s">
        <v>8624</v>
      </c>
      <c r="Q1278" s="28">
        <v>71652</v>
      </c>
    </row>
    <row r="1279" spans="1:17" x14ac:dyDescent="0.35">
      <c r="A1279" t="s">
        <v>8520</v>
      </c>
      <c r="B1279" s="3" t="s">
        <v>102</v>
      </c>
      <c r="F1279">
        <v>5</v>
      </c>
      <c r="G1279" t="s">
        <v>8607</v>
      </c>
      <c r="H1279">
        <v>32</v>
      </c>
      <c r="I1279" t="s">
        <v>9301</v>
      </c>
      <c r="J1279" t="str">
        <f t="shared" si="19"/>
        <v>13F-HR-5.32.C6</v>
      </c>
      <c r="K1279" s="5" t="s">
        <v>8625</v>
      </c>
      <c r="L1279" t="s">
        <v>229</v>
      </c>
      <c r="M1279" t="s">
        <v>8626</v>
      </c>
      <c r="N1279" t="s">
        <v>8627</v>
      </c>
      <c r="Q1279" s="28" t="s">
        <v>8628</v>
      </c>
    </row>
    <row r="1280" spans="1:17" x14ac:dyDescent="0.35">
      <c r="A1280" t="s">
        <v>8520</v>
      </c>
      <c r="B1280" s="3" t="s">
        <v>102</v>
      </c>
      <c r="F1280">
        <v>5</v>
      </c>
      <c r="G1280" t="s">
        <v>8607</v>
      </c>
      <c r="H1280">
        <v>33</v>
      </c>
      <c r="I1280" t="s">
        <v>9302</v>
      </c>
      <c r="J1280" t="str">
        <f t="shared" si="19"/>
        <v>13F-HR-5.33.C7</v>
      </c>
      <c r="K1280" s="5" t="s">
        <v>8629</v>
      </c>
      <c r="L1280" t="s">
        <v>229</v>
      </c>
      <c r="M1280" t="s">
        <v>8630</v>
      </c>
      <c r="N1280" t="s">
        <v>8631</v>
      </c>
      <c r="Q1280" s="28" t="s">
        <v>8685</v>
      </c>
    </row>
    <row r="1281" spans="1:17" x14ac:dyDescent="0.35">
      <c r="A1281" t="s">
        <v>8520</v>
      </c>
      <c r="B1281" s="3" t="s">
        <v>102</v>
      </c>
      <c r="F1281">
        <v>5</v>
      </c>
      <c r="G1281" t="s">
        <v>8607</v>
      </c>
      <c r="H1281">
        <v>34</v>
      </c>
      <c r="I1281" t="s">
        <v>9303</v>
      </c>
      <c r="J1281" t="str">
        <f t="shared" si="19"/>
        <v>13F-HR-5.34.C8</v>
      </c>
      <c r="K1281" s="5" t="s">
        <v>8633</v>
      </c>
      <c r="L1281" t="s">
        <v>4735</v>
      </c>
      <c r="M1281" t="s">
        <v>8634</v>
      </c>
      <c r="N1281" t="s">
        <v>8635</v>
      </c>
      <c r="Q1281" s="28" t="s">
        <v>8632</v>
      </c>
    </row>
    <row r="1282" spans="1:17" x14ac:dyDescent="0.35">
      <c r="A1282" t="s">
        <v>8520</v>
      </c>
      <c r="B1282" s="3" t="s">
        <v>102</v>
      </c>
      <c r="F1282">
        <v>5</v>
      </c>
      <c r="G1282" t="s">
        <v>8607</v>
      </c>
      <c r="H1282">
        <v>35</v>
      </c>
      <c r="I1282" t="s">
        <v>9304</v>
      </c>
      <c r="J1282" t="str">
        <f t="shared" si="19"/>
        <v>13F-HR-5.35.C9</v>
      </c>
      <c r="K1282" s="5" t="s">
        <v>8637</v>
      </c>
      <c r="L1282" t="s">
        <v>229</v>
      </c>
      <c r="M1282" t="s">
        <v>8638</v>
      </c>
      <c r="N1282" t="s">
        <v>8639</v>
      </c>
      <c r="Q1282" s="28" t="s">
        <v>8636</v>
      </c>
    </row>
    <row r="1283" spans="1:17" x14ac:dyDescent="0.35">
      <c r="A1283" t="s">
        <v>8520</v>
      </c>
      <c r="B1283" s="3" t="s">
        <v>102</v>
      </c>
      <c r="F1283">
        <v>5</v>
      </c>
      <c r="G1283" t="s">
        <v>8607</v>
      </c>
      <c r="H1283">
        <v>36</v>
      </c>
      <c r="I1283" t="s">
        <v>9305</v>
      </c>
      <c r="J1283" t="str">
        <f t="shared" ref="J1283:J1346" si="20">_xlfn.CONCAT(A1283,"-",F1283,".",H1283,".",I1283)</f>
        <v>13F-HR-5.36.C10</v>
      </c>
      <c r="K1283" s="5" t="s">
        <v>8640</v>
      </c>
      <c r="L1283" t="s">
        <v>241</v>
      </c>
      <c r="M1283" t="s">
        <v>8641</v>
      </c>
      <c r="N1283" t="s">
        <v>8642</v>
      </c>
      <c r="Q1283" s="28">
        <v>37558</v>
      </c>
    </row>
    <row r="1284" spans="1:17" x14ac:dyDescent="0.35">
      <c r="A1284" t="s">
        <v>8520</v>
      </c>
      <c r="B1284" s="3" t="s">
        <v>102</v>
      </c>
      <c r="F1284">
        <v>5</v>
      </c>
      <c r="G1284" t="s">
        <v>8607</v>
      </c>
      <c r="H1284">
        <v>37</v>
      </c>
      <c r="I1284" t="s">
        <v>9306</v>
      </c>
      <c r="J1284" t="str">
        <f t="shared" si="20"/>
        <v>13F-HR-5.37.C11</v>
      </c>
      <c r="K1284" s="5" t="s">
        <v>8643</v>
      </c>
      <c r="L1284" t="s">
        <v>241</v>
      </c>
      <c r="M1284" t="s">
        <v>8644</v>
      </c>
      <c r="N1284" t="s">
        <v>8645</v>
      </c>
      <c r="Q1284" s="28">
        <v>0</v>
      </c>
    </row>
    <row r="1285" spans="1:17" x14ac:dyDescent="0.35">
      <c r="A1285" t="s">
        <v>8520</v>
      </c>
      <c r="B1285" s="3" t="s">
        <v>102</v>
      </c>
      <c r="F1285">
        <v>5</v>
      </c>
      <c r="G1285" t="s">
        <v>8607</v>
      </c>
      <c r="H1285">
        <v>38</v>
      </c>
      <c r="I1285" t="s">
        <v>9307</v>
      </c>
      <c r="J1285" t="str">
        <f t="shared" si="20"/>
        <v>13F-HR-5.38.C12</v>
      </c>
      <c r="K1285" s="5" t="s">
        <v>8646</v>
      </c>
      <c r="L1285" t="s">
        <v>241</v>
      </c>
      <c r="M1285" t="s">
        <v>8647</v>
      </c>
      <c r="N1285" t="s">
        <v>8648</v>
      </c>
      <c r="Q1285" s="28">
        <v>34094</v>
      </c>
    </row>
    <row r="1286" spans="1:17" x14ac:dyDescent="0.35">
      <c r="A1286" t="s">
        <v>8520</v>
      </c>
      <c r="B1286" s="3" t="s">
        <v>102</v>
      </c>
      <c r="F1286">
        <v>5</v>
      </c>
      <c r="G1286" t="s">
        <v>8607</v>
      </c>
      <c r="H1286">
        <v>27</v>
      </c>
      <c r="I1286" t="s">
        <v>9296</v>
      </c>
      <c r="J1286" t="str">
        <f t="shared" si="20"/>
        <v>13F-HR-5.27.C1</v>
      </c>
      <c r="K1286" s="5" t="s">
        <v>8608</v>
      </c>
      <c r="L1286" t="s">
        <v>229</v>
      </c>
      <c r="M1286" t="s">
        <v>8609</v>
      </c>
      <c r="N1286" t="s">
        <v>8610</v>
      </c>
      <c r="Q1286" s="28" t="s">
        <v>8819</v>
      </c>
    </row>
    <row r="1287" spans="1:17" x14ac:dyDescent="0.35">
      <c r="A1287" t="s">
        <v>8520</v>
      </c>
      <c r="B1287" s="3" t="s">
        <v>102</v>
      </c>
      <c r="F1287">
        <v>5</v>
      </c>
      <c r="G1287" t="s">
        <v>8607</v>
      </c>
      <c r="H1287">
        <v>28</v>
      </c>
      <c r="I1287" t="s">
        <v>9297</v>
      </c>
      <c r="J1287" t="str">
        <f t="shared" si="20"/>
        <v>13F-HR-5.28.C2</v>
      </c>
      <c r="K1287" s="5" t="s">
        <v>8612</v>
      </c>
      <c r="L1287" t="s">
        <v>229</v>
      </c>
      <c r="M1287" t="s">
        <v>8613</v>
      </c>
      <c r="N1287" t="s">
        <v>8614</v>
      </c>
      <c r="Q1287" s="28" t="s">
        <v>8615</v>
      </c>
    </row>
    <row r="1288" spans="1:17" x14ac:dyDescent="0.35">
      <c r="A1288" t="s">
        <v>8520</v>
      </c>
      <c r="B1288" s="3" t="s">
        <v>102</v>
      </c>
      <c r="F1288">
        <v>5</v>
      </c>
      <c r="G1288" t="s">
        <v>8607</v>
      </c>
      <c r="H1288">
        <v>29</v>
      </c>
      <c r="I1288" t="s">
        <v>9298</v>
      </c>
      <c r="J1288" t="str">
        <f t="shared" si="20"/>
        <v>13F-HR-5.29.C3</v>
      </c>
      <c r="K1288" s="5" t="s">
        <v>8616</v>
      </c>
      <c r="L1288" t="s">
        <v>229</v>
      </c>
      <c r="M1288" t="s">
        <v>7927</v>
      </c>
      <c r="N1288" t="s">
        <v>8617</v>
      </c>
      <c r="Q1288" s="28" t="s">
        <v>8820</v>
      </c>
    </row>
    <row r="1289" spans="1:17" x14ac:dyDescent="0.35">
      <c r="A1289" t="s">
        <v>8520</v>
      </c>
      <c r="B1289" s="3" t="s">
        <v>102</v>
      </c>
      <c r="F1289">
        <v>5</v>
      </c>
      <c r="G1289" t="s">
        <v>8607</v>
      </c>
      <c r="H1289">
        <v>30</v>
      </c>
      <c r="I1289" t="s">
        <v>9299</v>
      </c>
      <c r="J1289" t="str">
        <f t="shared" si="20"/>
        <v>13F-HR-5.30.C4</v>
      </c>
      <c r="K1289" s="5" t="s">
        <v>8618</v>
      </c>
      <c r="L1289" t="s">
        <v>8619</v>
      </c>
      <c r="M1289" t="s">
        <v>8620</v>
      </c>
      <c r="N1289" t="s">
        <v>8621</v>
      </c>
      <c r="Q1289" s="28">
        <v>6756805</v>
      </c>
    </row>
    <row r="1290" spans="1:17" x14ac:dyDescent="0.35">
      <c r="A1290" t="s">
        <v>8520</v>
      </c>
      <c r="B1290" s="3" t="s">
        <v>102</v>
      </c>
      <c r="F1290">
        <v>5</v>
      </c>
      <c r="G1290" t="s">
        <v>8607</v>
      </c>
      <c r="H1290">
        <v>31</v>
      </c>
      <c r="I1290" t="s">
        <v>9300</v>
      </c>
      <c r="J1290" t="str">
        <f t="shared" si="20"/>
        <v>13F-HR-5.31.C5</v>
      </c>
      <c r="K1290" s="5" t="s">
        <v>8622</v>
      </c>
      <c r="L1290" t="s">
        <v>241</v>
      </c>
      <c r="M1290" t="s">
        <v>8623</v>
      </c>
      <c r="N1290" t="s">
        <v>8624</v>
      </c>
      <c r="Q1290" s="28">
        <v>8287</v>
      </c>
    </row>
    <row r="1291" spans="1:17" x14ac:dyDescent="0.35">
      <c r="A1291" t="s">
        <v>8520</v>
      </c>
      <c r="B1291" s="3" t="s">
        <v>102</v>
      </c>
      <c r="F1291">
        <v>5</v>
      </c>
      <c r="G1291" t="s">
        <v>8607</v>
      </c>
      <c r="H1291">
        <v>32</v>
      </c>
      <c r="I1291" t="s">
        <v>9301</v>
      </c>
      <c r="J1291" t="str">
        <f t="shared" si="20"/>
        <v>13F-HR-5.32.C6</v>
      </c>
      <c r="K1291" s="5" t="s">
        <v>8625</v>
      </c>
      <c r="L1291" t="s">
        <v>229</v>
      </c>
      <c r="M1291" t="s">
        <v>8626</v>
      </c>
      <c r="N1291" t="s">
        <v>8627</v>
      </c>
      <c r="Q1291" s="28" t="s">
        <v>8628</v>
      </c>
    </row>
    <row r="1292" spans="1:17" x14ac:dyDescent="0.35">
      <c r="A1292" t="s">
        <v>8520</v>
      </c>
      <c r="B1292" s="3" t="s">
        <v>102</v>
      </c>
      <c r="F1292">
        <v>5</v>
      </c>
      <c r="G1292" t="s">
        <v>8607</v>
      </c>
      <c r="H1292">
        <v>33</v>
      </c>
      <c r="I1292" t="s">
        <v>9302</v>
      </c>
      <c r="J1292" t="str">
        <f t="shared" si="20"/>
        <v>13F-HR-5.33.C7</v>
      </c>
      <c r="K1292" s="5" t="s">
        <v>8629</v>
      </c>
      <c r="L1292" t="s">
        <v>229</v>
      </c>
      <c r="M1292" t="s">
        <v>8630</v>
      </c>
      <c r="N1292" t="s">
        <v>8631</v>
      </c>
      <c r="Q1292" s="28" t="s">
        <v>8685</v>
      </c>
    </row>
    <row r="1293" spans="1:17" x14ac:dyDescent="0.35">
      <c r="A1293" t="s">
        <v>8520</v>
      </c>
      <c r="B1293" s="3" t="s">
        <v>102</v>
      </c>
      <c r="F1293">
        <v>5</v>
      </c>
      <c r="G1293" t="s">
        <v>8607</v>
      </c>
      <c r="H1293">
        <v>34</v>
      </c>
      <c r="I1293" t="s">
        <v>9303</v>
      </c>
      <c r="J1293" t="str">
        <f t="shared" si="20"/>
        <v>13F-HR-5.34.C8</v>
      </c>
      <c r="K1293" s="5" t="s">
        <v>8633</v>
      </c>
      <c r="L1293" t="s">
        <v>4735</v>
      </c>
      <c r="M1293" t="s">
        <v>8634</v>
      </c>
      <c r="N1293" t="s">
        <v>8635</v>
      </c>
      <c r="Q1293" s="28" t="s">
        <v>8632</v>
      </c>
    </row>
    <row r="1294" spans="1:17" x14ac:dyDescent="0.35">
      <c r="A1294" t="s">
        <v>8520</v>
      </c>
      <c r="B1294" s="3" t="s">
        <v>102</v>
      </c>
      <c r="F1294">
        <v>5</v>
      </c>
      <c r="G1294" t="s">
        <v>8607</v>
      </c>
      <c r="H1294">
        <v>35</v>
      </c>
      <c r="I1294" t="s">
        <v>9304</v>
      </c>
      <c r="J1294" t="str">
        <f t="shared" si="20"/>
        <v>13F-HR-5.35.C9</v>
      </c>
      <c r="K1294" s="5" t="s">
        <v>8637</v>
      </c>
      <c r="L1294" t="s">
        <v>229</v>
      </c>
      <c r="M1294" t="s">
        <v>8638</v>
      </c>
      <c r="N1294" t="s">
        <v>8639</v>
      </c>
      <c r="Q1294" s="28" t="s">
        <v>8636</v>
      </c>
    </row>
    <row r="1295" spans="1:17" x14ac:dyDescent="0.35">
      <c r="A1295" t="s">
        <v>8520</v>
      </c>
      <c r="B1295" s="3" t="s">
        <v>102</v>
      </c>
      <c r="F1295">
        <v>5</v>
      </c>
      <c r="G1295" t="s">
        <v>8607</v>
      </c>
      <c r="H1295">
        <v>36</v>
      </c>
      <c r="I1295" t="s">
        <v>9305</v>
      </c>
      <c r="J1295" t="str">
        <f t="shared" si="20"/>
        <v>13F-HR-5.36.C10</v>
      </c>
      <c r="K1295" s="5" t="s">
        <v>8640</v>
      </c>
      <c r="L1295" t="s">
        <v>241</v>
      </c>
      <c r="M1295" t="s">
        <v>8641</v>
      </c>
      <c r="N1295" t="s">
        <v>8642</v>
      </c>
      <c r="Q1295" s="28">
        <v>8235</v>
      </c>
    </row>
    <row r="1296" spans="1:17" x14ac:dyDescent="0.35">
      <c r="A1296" t="s">
        <v>8520</v>
      </c>
      <c r="B1296" s="3" t="s">
        <v>102</v>
      </c>
      <c r="F1296">
        <v>5</v>
      </c>
      <c r="G1296" t="s">
        <v>8607</v>
      </c>
      <c r="H1296">
        <v>37</v>
      </c>
      <c r="I1296" t="s">
        <v>9306</v>
      </c>
      <c r="J1296" t="str">
        <f t="shared" si="20"/>
        <v>13F-HR-5.37.C11</v>
      </c>
      <c r="K1296" s="5" t="s">
        <v>8643</v>
      </c>
      <c r="L1296" t="s">
        <v>241</v>
      </c>
      <c r="M1296" t="s">
        <v>8644</v>
      </c>
      <c r="N1296" t="s">
        <v>8645</v>
      </c>
      <c r="Q1296" s="28">
        <v>0</v>
      </c>
    </row>
    <row r="1297" spans="1:17" x14ac:dyDescent="0.35">
      <c r="A1297" t="s">
        <v>8520</v>
      </c>
      <c r="B1297" s="3" t="s">
        <v>102</v>
      </c>
      <c r="F1297">
        <v>5</v>
      </c>
      <c r="G1297" t="s">
        <v>8607</v>
      </c>
      <c r="H1297">
        <v>38</v>
      </c>
      <c r="I1297" t="s">
        <v>9307</v>
      </c>
      <c r="J1297" t="str">
        <f t="shared" si="20"/>
        <v>13F-HR-5.38.C12</v>
      </c>
      <c r="K1297" s="5" t="s">
        <v>8646</v>
      </c>
      <c r="L1297" t="s">
        <v>241</v>
      </c>
      <c r="M1297" t="s">
        <v>8647</v>
      </c>
      <c r="N1297" t="s">
        <v>8648</v>
      </c>
      <c r="Q1297" s="28">
        <v>52</v>
      </c>
    </row>
    <row r="1298" spans="1:17" x14ac:dyDescent="0.35">
      <c r="A1298" t="s">
        <v>8520</v>
      </c>
      <c r="B1298" s="3" t="s">
        <v>102</v>
      </c>
      <c r="F1298">
        <v>5</v>
      </c>
      <c r="G1298" t="s">
        <v>8607</v>
      </c>
      <c r="H1298">
        <v>27</v>
      </c>
      <c r="I1298" t="s">
        <v>9296</v>
      </c>
      <c r="J1298" t="str">
        <f t="shared" si="20"/>
        <v>13F-HR-5.27.C1</v>
      </c>
      <c r="K1298" s="5" t="s">
        <v>8608</v>
      </c>
      <c r="L1298" t="s">
        <v>229</v>
      </c>
      <c r="M1298" t="s">
        <v>8609</v>
      </c>
      <c r="N1298" t="s">
        <v>8610</v>
      </c>
      <c r="Q1298" s="28" t="s">
        <v>8821</v>
      </c>
    </row>
    <row r="1299" spans="1:17" x14ac:dyDescent="0.35">
      <c r="A1299" t="s">
        <v>8520</v>
      </c>
      <c r="B1299" s="3" t="s">
        <v>102</v>
      </c>
      <c r="F1299">
        <v>5</v>
      </c>
      <c r="G1299" t="s">
        <v>8607</v>
      </c>
      <c r="H1299">
        <v>28</v>
      </c>
      <c r="I1299" t="s">
        <v>9297</v>
      </c>
      <c r="J1299" t="str">
        <f t="shared" si="20"/>
        <v>13F-HR-5.28.C2</v>
      </c>
      <c r="K1299" s="5" t="s">
        <v>8612</v>
      </c>
      <c r="L1299" t="s">
        <v>229</v>
      </c>
      <c r="M1299" t="s">
        <v>8613</v>
      </c>
      <c r="N1299" t="s">
        <v>8614</v>
      </c>
      <c r="Q1299" s="28" t="s">
        <v>8615</v>
      </c>
    </row>
    <row r="1300" spans="1:17" x14ac:dyDescent="0.35">
      <c r="A1300" t="s">
        <v>8520</v>
      </c>
      <c r="B1300" s="3" t="s">
        <v>102</v>
      </c>
      <c r="F1300">
        <v>5</v>
      </c>
      <c r="G1300" t="s">
        <v>8607</v>
      </c>
      <c r="H1300">
        <v>29</v>
      </c>
      <c r="I1300" t="s">
        <v>9298</v>
      </c>
      <c r="J1300" t="str">
        <f t="shared" si="20"/>
        <v>13F-HR-5.29.C3</v>
      </c>
      <c r="K1300" s="5" t="s">
        <v>8616</v>
      </c>
      <c r="L1300" t="s">
        <v>229</v>
      </c>
      <c r="M1300" t="s">
        <v>7927</v>
      </c>
      <c r="N1300" t="s">
        <v>8617</v>
      </c>
      <c r="Q1300" s="28" t="s">
        <v>8822</v>
      </c>
    </row>
    <row r="1301" spans="1:17" x14ac:dyDescent="0.35">
      <c r="A1301" t="s">
        <v>8520</v>
      </c>
      <c r="B1301" s="3" t="s">
        <v>102</v>
      </c>
      <c r="F1301">
        <v>5</v>
      </c>
      <c r="G1301" t="s">
        <v>8607</v>
      </c>
      <c r="H1301">
        <v>30</v>
      </c>
      <c r="I1301" t="s">
        <v>9299</v>
      </c>
      <c r="J1301" t="str">
        <f t="shared" si="20"/>
        <v>13F-HR-5.30.C4</v>
      </c>
      <c r="K1301" s="5" t="s">
        <v>8618</v>
      </c>
      <c r="L1301" t="s">
        <v>8619</v>
      </c>
      <c r="M1301" t="s">
        <v>8620</v>
      </c>
      <c r="N1301" t="s">
        <v>8621</v>
      </c>
      <c r="Q1301" s="28">
        <v>1457132</v>
      </c>
    </row>
    <row r="1302" spans="1:17" x14ac:dyDescent="0.35">
      <c r="A1302" t="s">
        <v>8520</v>
      </c>
      <c r="B1302" s="3" t="s">
        <v>102</v>
      </c>
      <c r="F1302">
        <v>5</v>
      </c>
      <c r="G1302" t="s">
        <v>8607</v>
      </c>
      <c r="H1302">
        <v>31</v>
      </c>
      <c r="I1302" t="s">
        <v>9300</v>
      </c>
      <c r="J1302" t="str">
        <f t="shared" si="20"/>
        <v>13F-HR-5.31.C5</v>
      </c>
      <c r="K1302" s="5" t="s">
        <v>8622</v>
      </c>
      <c r="L1302" t="s">
        <v>241</v>
      </c>
      <c r="M1302" t="s">
        <v>8623</v>
      </c>
      <c r="N1302" t="s">
        <v>8624</v>
      </c>
      <c r="Q1302" s="28">
        <v>9813</v>
      </c>
    </row>
    <row r="1303" spans="1:17" x14ac:dyDescent="0.35">
      <c r="A1303" t="s">
        <v>8520</v>
      </c>
      <c r="B1303" s="3" t="s">
        <v>102</v>
      </c>
      <c r="F1303">
        <v>5</v>
      </c>
      <c r="G1303" t="s">
        <v>8607</v>
      </c>
      <c r="H1303">
        <v>32</v>
      </c>
      <c r="I1303" t="s">
        <v>9301</v>
      </c>
      <c r="J1303" t="str">
        <f t="shared" si="20"/>
        <v>13F-HR-5.32.C6</v>
      </c>
      <c r="K1303" s="5" t="s">
        <v>8625</v>
      </c>
      <c r="L1303" t="s">
        <v>229</v>
      </c>
      <c r="M1303" t="s">
        <v>8626</v>
      </c>
      <c r="N1303" t="s">
        <v>8627</v>
      </c>
      <c r="Q1303" s="28" t="s">
        <v>8628</v>
      </c>
    </row>
    <row r="1304" spans="1:17" x14ac:dyDescent="0.35">
      <c r="A1304" t="s">
        <v>8520</v>
      </c>
      <c r="B1304" s="3" t="s">
        <v>102</v>
      </c>
      <c r="F1304">
        <v>5</v>
      </c>
      <c r="G1304" t="s">
        <v>8607</v>
      </c>
      <c r="H1304">
        <v>33</v>
      </c>
      <c r="I1304" t="s">
        <v>9302</v>
      </c>
      <c r="J1304" t="str">
        <f t="shared" si="20"/>
        <v>13F-HR-5.33.C7</v>
      </c>
      <c r="K1304" s="5" t="s">
        <v>8629</v>
      </c>
      <c r="L1304" t="s">
        <v>229</v>
      </c>
      <c r="M1304" t="s">
        <v>8630</v>
      </c>
      <c r="N1304" t="s">
        <v>8631</v>
      </c>
      <c r="Q1304" s="28" t="s">
        <v>8685</v>
      </c>
    </row>
    <row r="1305" spans="1:17" x14ac:dyDescent="0.35">
      <c r="A1305" t="s">
        <v>8520</v>
      </c>
      <c r="B1305" s="3" t="s">
        <v>102</v>
      </c>
      <c r="F1305">
        <v>5</v>
      </c>
      <c r="G1305" t="s">
        <v>8607</v>
      </c>
      <c r="H1305">
        <v>34</v>
      </c>
      <c r="I1305" t="s">
        <v>9303</v>
      </c>
      <c r="J1305" t="str">
        <f t="shared" si="20"/>
        <v>13F-HR-5.34.C8</v>
      </c>
      <c r="K1305" s="5" t="s">
        <v>8633</v>
      </c>
      <c r="L1305" t="s">
        <v>4735</v>
      </c>
      <c r="M1305" t="s">
        <v>8634</v>
      </c>
      <c r="N1305" t="s">
        <v>8635</v>
      </c>
      <c r="Q1305" s="28" t="s">
        <v>8632</v>
      </c>
    </row>
    <row r="1306" spans="1:17" x14ac:dyDescent="0.35">
      <c r="A1306" t="s">
        <v>8520</v>
      </c>
      <c r="B1306" s="3" t="s">
        <v>102</v>
      </c>
      <c r="F1306">
        <v>5</v>
      </c>
      <c r="G1306" t="s">
        <v>8607</v>
      </c>
      <c r="H1306">
        <v>35</v>
      </c>
      <c r="I1306" t="s">
        <v>9304</v>
      </c>
      <c r="J1306" t="str">
        <f t="shared" si="20"/>
        <v>13F-HR-5.35.C9</v>
      </c>
      <c r="K1306" s="5" t="s">
        <v>8637</v>
      </c>
      <c r="L1306" t="s">
        <v>229</v>
      </c>
      <c r="M1306" t="s">
        <v>8638</v>
      </c>
      <c r="N1306" t="s">
        <v>8639</v>
      </c>
      <c r="Q1306" s="28" t="s">
        <v>8636</v>
      </c>
    </row>
    <row r="1307" spans="1:17" x14ac:dyDescent="0.35">
      <c r="A1307" t="s">
        <v>8520</v>
      </c>
      <c r="B1307" s="3" t="s">
        <v>102</v>
      </c>
      <c r="F1307">
        <v>5</v>
      </c>
      <c r="G1307" t="s">
        <v>8607</v>
      </c>
      <c r="H1307">
        <v>36</v>
      </c>
      <c r="I1307" t="s">
        <v>9305</v>
      </c>
      <c r="J1307" t="str">
        <f t="shared" si="20"/>
        <v>13F-HR-5.36.C10</v>
      </c>
      <c r="K1307" s="5" t="s">
        <v>8640</v>
      </c>
      <c r="L1307" t="s">
        <v>241</v>
      </c>
      <c r="M1307" t="s">
        <v>8641</v>
      </c>
      <c r="N1307" t="s">
        <v>8642</v>
      </c>
      <c r="Q1307" s="28">
        <v>0</v>
      </c>
    </row>
    <row r="1308" spans="1:17" x14ac:dyDescent="0.35">
      <c r="A1308" t="s">
        <v>8520</v>
      </c>
      <c r="B1308" s="3" t="s">
        <v>102</v>
      </c>
      <c r="F1308">
        <v>5</v>
      </c>
      <c r="G1308" t="s">
        <v>8607</v>
      </c>
      <c r="H1308">
        <v>37</v>
      </c>
      <c r="I1308" t="s">
        <v>9306</v>
      </c>
      <c r="J1308" t="str">
        <f t="shared" si="20"/>
        <v>13F-HR-5.37.C11</v>
      </c>
      <c r="K1308" s="5" t="s">
        <v>8643</v>
      </c>
      <c r="L1308" t="s">
        <v>241</v>
      </c>
      <c r="M1308" t="s">
        <v>8644</v>
      </c>
      <c r="N1308" t="s">
        <v>8645</v>
      </c>
      <c r="Q1308" s="28">
        <v>0</v>
      </c>
    </row>
    <row r="1309" spans="1:17" x14ac:dyDescent="0.35">
      <c r="A1309" t="s">
        <v>8520</v>
      </c>
      <c r="B1309" s="3" t="s">
        <v>102</v>
      </c>
      <c r="F1309">
        <v>5</v>
      </c>
      <c r="G1309" t="s">
        <v>8607</v>
      </c>
      <c r="H1309">
        <v>38</v>
      </c>
      <c r="I1309" t="s">
        <v>9307</v>
      </c>
      <c r="J1309" t="str">
        <f t="shared" si="20"/>
        <v>13F-HR-5.38.C12</v>
      </c>
      <c r="K1309" s="5" t="s">
        <v>8646</v>
      </c>
      <c r="L1309" t="s">
        <v>241</v>
      </c>
      <c r="M1309" t="s">
        <v>8647</v>
      </c>
      <c r="N1309" t="s">
        <v>8648</v>
      </c>
      <c r="Q1309" s="28">
        <v>9813</v>
      </c>
    </row>
    <row r="1310" spans="1:17" x14ac:dyDescent="0.35">
      <c r="A1310" t="s">
        <v>8520</v>
      </c>
      <c r="B1310" s="3" t="s">
        <v>102</v>
      </c>
      <c r="F1310">
        <v>5</v>
      </c>
      <c r="G1310" t="s">
        <v>8607</v>
      </c>
      <c r="H1310">
        <v>27</v>
      </c>
      <c r="I1310" t="s">
        <v>9296</v>
      </c>
      <c r="J1310" t="str">
        <f t="shared" si="20"/>
        <v>13F-HR-5.27.C1</v>
      </c>
      <c r="K1310" s="5" t="s">
        <v>8608</v>
      </c>
      <c r="L1310" t="s">
        <v>229</v>
      </c>
      <c r="M1310" t="s">
        <v>8609</v>
      </c>
      <c r="N1310" t="s">
        <v>8610</v>
      </c>
      <c r="Q1310" s="28" t="s">
        <v>8823</v>
      </c>
    </row>
    <row r="1311" spans="1:17" x14ac:dyDescent="0.35">
      <c r="A1311" t="s">
        <v>8520</v>
      </c>
      <c r="B1311" s="3" t="s">
        <v>102</v>
      </c>
      <c r="F1311">
        <v>5</v>
      </c>
      <c r="G1311" t="s">
        <v>8607</v>
      </c>
      <c r="H1311">
        <v>28</v>
      </c>
      <c r="I1311" t="s">
        <v>9297</v>
      </c>
      <c r="J1311" t="str">
        <f t="shared" si="20"/>
        <v>13F-HR-5.28.C2</v>
      </c>
      <c r="K1311" s="5" t="s">
        <v>8612</v>
      </c>
      <c r="L1311" t="s">
        <v>229</v>
      </c>
      <c r="M1311" t="s">
        <v>8613</v>
      </c>
      <c r="N1311" t="s">
        <v>8614</v>
      </c>
      <c r="Q1311" s="28" t="s">
        <v>8615</v>
      </c>
    </row>
    <row r="1312" spans="1:17" x14ac:dyDescent="0.35">
      <c r="A1312" t="s">
        <v>8520</v>
      </c>
      <c r="B1312" s="3" t="s">
        <v>102</v>
      </c>
      <c r="F1312">
        <v>5</v>
      </c>
      <c r="G1312" t="s">
        <v>8607</v>
      </c>
      <c r="H1312">
        <v>29</v>
      </c>
      <c r="I1312" t="s">
        <v>9298</v>
      </c>
      <c r="J1312" t="str">
        <f t="shared" si="20"/>
        <v>13F-HR-5.29.C3</v>
      </c>
      <c r="K1312" s="5" t="s">
        <v>8616</v>
      </c>
      <c r="L1312" t="s">
        <v>229</v>
      </c>
      <c r="M1312" t="s">
        <v>7927</v>
      </c>
      <c r="N1312" t="s">
        <v>8617</v>
      </c>
      <c r="Q1312" s="28" t="s">
        <v>8824</v>
      </c>
    </row>
    <row r="1313" spans="1:17" x14ac:dyDescent="0.35">
      <c r="A1313" t="s">
        <v>8520</v>
      </c>
      <c r="B1313" s="3" t="s">
        <v>102</v>
      </c>
      <c r="F1313">
        <v>5</v>
      </c>
      <c r="G1313" t="s">
        <v>8607</v>
      </c>
      <c r="H1313">
        <v>30</v>
      </c>
      <c r="I1313" t="s">
        <v>9299</v>
      </c>
      <c r="J1313" t="str">
        <f t="shared" si="20"/>
        <v>13F-HR-5.30.C4</v>
      </c>
      <c r="K1313" s="5" t="s">
        <v>8618</v>
      </c>
      <c r="L1313" t="s">
        <v>8619</v>
      </c>
      <c r="M1313" t="s">
        <v>8620</v>
      </c>
      <c r="N1313" t="s">
        <v>8621</v>
      </c>
      <c r="Q1313" s="28">
        <v>24036110</v>
      </c>
    </row>
    <row r="1314" spans="1:17" x14ac:dyDescent="0.35">
      <c r="A1314" t="s">
        <v>8520</v>
      </c>
      <c r="B1314" s="3" t="s">
        <v>102</v>
      </c>
      <c r="F1314">
        <v>5</v>
      </c>
      <c r="G1314" t="s">
        <v>8607</v>
      </c>
      <c r="H1314">
        <v>31</v>
      </c>
      <c r="I1314" t="s">
        <v>9300</v>
      </c>
      <c r="J1314" t="str">
        <f t="shared" si="20"/>
        <v>13F-HR-5.31.C5</v>
      </c>
      <c r="K1314" s="5" t="s">
        <v>8622</v>
      </c>
      <c r="L1314" t="s">
        <v>241</v>
      </c>
      <c r="M1314" t="s">
        <v>8623</v>
      </c>
      <c r="N1314" t="s">
        <v>8624</v>
      </c>
      <c r="Q1314" s="28">
        <v>202103</v>
      </c>
    </row>
    <row r="1315" spans="1:17" x14ac:dyDescent="0.35">
      <c r="A1315" t="s">
        <v>8520</v>
      </c>
      <c r="B1315" s="3" t="s">
        <v>102</v>
      </c>
      <c r="F1315">
        <v>5</v>
      </c>
      <c r="G1315" t="s">
        <v>8607</v>
      </c>
      <c r="H1315">
        <v>32</v>
      </c>
      <c r="I1315" t="s">
        <v>9301</v>
      </c>
      <c r="J1315" t="str">
        <f t="shared" si="20"/>
        <v>13F-HR-5.32.C6</v>
      </c>
      <c r="K1315" s="5" t="s">
        <v>8625</v>
      </c>
      <c r="L1315" t="s">
        <v>229</v>
      </c>
      <c r="M1315" t="s">
        <v>8626</v>
      </c>
      <c r="N1315" t="s">
        <v>8627</v>
      </c>
      <c r="Q1315" s="28" t="s">
        <v>8628</v>
      </c>
    </row>
    <row r="1316" spans="1:17" x14ac:dyDescent="0.35">
      <c r="A1316" t="s">
        <v>8520</v>
      </c>
      <c r="B1316" s="3" t="s">
        <v>102</v>
      </c>
      <c r="F1316">
        <v>5</v>
      </c>
      <c r="G1316" t="s">
        <v>8607</v>
      </c>
      <c r="H1316">
        <v>33</v>
      </c>
      <c r="I1316" t="s">
        <v>9302</v>
      </c>
      <c r="J1316" t="str">
        <f t="shared" si="20"/>
        <v>13F-HR-5.33.C7</v>
      </c>
      <c r="K1316" s="5" t="s">
        <v>8629</v>
      </c>
      <c r="L1316" t="s">
        <v>229</v>
      </c>
      <c r="M1316" t="s">
        <v>8630</v>
      </c>
      <c r="N1316" t="s">
        <v>8631</v>
      </c>
      <c r="Q1316" s="28" t="s">
        <v>8685</v>
      </c>
    </row>
    <row r="1317" spans="1:17" x14ac:dyDescent="0.35">
      <c r="A1317" t="s">
        <v>8520</v>
      </c>
      <c r="B1317" s="3" t="s">
        <v>102</v>
      </c>
      <c r="F1317">
        <v>5</v>
      </c>
      <c r="G1317" t="s">
        <v>8607</v>
      </c>
      <c r="H1317">
        <v>34</v>
      </c>
      <c r="I1317" t="s">
        <v>9303</v>
      </c>
      <c r="J1317" t="str">
        <f t="shared" si="20"/>
        <v>13F-HR-5.34.C8</v>
      </c>
      <c r="K1317" s="5" t="s">
        <v>8633</v>
      </c>
      <c r="L1317" t="s">
        <v>4735</v>
      </c>
      <c r="M1317" t="s">
        <v>8634</v>
      </c>
      <c r="N1317" t="s">
        <v>8635</v>
      </c>
      <c r="Q1317" s="28" t="s">
        <v>8632</v>
      </c>
    </row>
    <row r="1318" spans="1:17" x14ac:dyDescent="0.35">
      <c r="A1318" t="s">
        <v>8520</v>
      </c>
      <c r="B1318" s="3" t="s">
        <v>102</v>
      </c>
      <c r="F1318">
        <v>5</v>
      </c>
      <c r="G1318" t="s">
        <v>8607</v>
      </c>
      <c r="H1318">
        <v>35</v>
      </c>
      <c r="I1318" t="s">
        <v>9304</v>
      </c>
      <c r="J1318" t="str">
        <f t="shared" si="20"/>
        <v>13F-HR-5.35.C9</v>
      </c>
      <c r="K1318" s="5" t="s">
        <v>8637</v>
      </c>
      <c r="L1318" t="s">
        <v>229</v>
      </c>
      <c r="M1318" t="s">
        <v>8638</v>
      </c>
      <c r="N1318" t="s">
        <v>8639</v>
      </c>
      <c r="Q1318" s="28" t="s">
        <v>8636</v>
      </c>
    </row>
    <row r="1319" spans="1:17" x14ac:dyDescent="0.35">
      <c r="A1319" t="s">
        <v>8520</v>
      </c>
      <c r="B1319" s="3" t="s">
        <v>102</v>
      </c>
      <c r="F1319">
        <v>5</v>
      </c>
      <c r="G1319" t="s">
        <v>8607</v>
      </c>
      <c r="H1319">
        <v>36</v>
      </c>
      <c r="I1319" t="s">
        <v>9305</v>
      </c>
      <c r="J1319" t="str">
        <f t="shared" si="20"/>
        <v>13F-HR-5.36.C10</v>
      </c>
      <c r="K1319" s="5" t="s">
        <v>8640</v>
      </c>
      <c r="L1319" t="s">
        <v>241</v>
      </c>
      <c r="M1319" t="s">
        <v>8641</v>
      </c>
      <c r="N1319" t="s">
        <v>8642</v>
      </c>
      <c r="Q1319" s="28">
        <v>7386</v>
      </c>
    </row>
    <row r="1320" spans="1:17" x14ac:dyDescent="0.35">
      <c r="A1320" t="s">
        <v>8520</v>
      </c>
      <c r="B1320" s="3" t="s">
        <v>102</v>
      </c>
      <c r="F1320">
        <v>5</v>
      </c>
      <c r="G1320" t="s">
        <v>8607</v>
      </c>
      <c r="H1320">
        <v>37</v>
      </c>
      <c r="I1320" t="s">
        <v>9306</v>
      </c>
      <c r="J1320" t="str">
        <f t="shared" si="20"/>
        <v>13F-HR-5.37.C11</v>
      </c>
      <c r="K1320" s="5" t="s">
        <v>8643</v>
      </c>
      <c r="L1320" t="s">
        <v>241</v>
      </c>
      <c r="M1320" t="s">
        <v>8644</v>
      </c>
      <c r="N1320" t="s">
        <v>8645</v>
      </c>
      <c r="Q1320" s="28">
        <v>0</v>
      </c>
    </row>
    <row r="1321" spans="1:17" x14ac:dyDescent="0.35">
      <c r="A1321" t="s">
        <v>8520</v>
      </c>
      <c r="B1321" s="3" t="s">
        <v>102</v>
      </c>
      <c r="F1321">
        <v>5</v>
      </c>
      <c r="G1321" t="s">
        <v>8607</v>
      </c>
      <c r="H1321">
        <v>38</v>
      </c>
      <c r="I1321" t="s">
        <v>9307</v>
      </c>
      <c r="J1321" t="str">
        <f t="shared" si="20"/>
        <v>13F-HR-5.38.C12</v>
      </c>
      <c r="K1321" s="5" t="s">
        <v>8646</v>
      </c>
      <c r="L1321" t="s">
        <v>241</v>
      </c>
      <c r="M1321" t="s">
        <v>8647</v>
      </c>
      <c r="N1321" t="s">
        <v>8648</v>
      </c>
      <c r="Q1321" s="28">
        <v>194717</v>
      </c>
    </row>
    <row r="1322" spans="1:17" x14ac:dyDescent="0.35">
      <c r="A1322" t="s">
        <v>8520</v>
      </c>
      <c r="B1322" s="3" t="s">
        <v>102</v>
      </c>
      <c r="F1322">
        <v>5</v>
      </c>
      <c r="G1322" t="s">
        <v>8607</v>
      </c>
      <c r="H1322">
        <v>27</v>
      </c>
      <c r="I1322" t="s">
        <v>9296</v>
      </c>
      <c r="J1322" t="str">
        <f t="shared" si="20"/>
        <v>13F-HR-5.27.C1</v>
      </c>
      <c r="K1322" s="5" t="s">
        <v>8608</v>
      </c>
      <c r="L1322" t="s">
        <v>229</v>
      </c>
      <c r="M1322" t="s">
        <v>8609</v>
      </c>
      <c r="N1322" t="s">
        <v>8610</v>
      </c>
      <c r="Q1322" s="28" t="s">
        <v>8825</v>
      </c>
    </row>
    <row r="1323" spans="1:17" x14ac:dyDescent="0.35">
      <c r="A1323" t="s">
        <v>8520</v>
      </c>
      <c r="B1323" s="3" t="s">
        <v>102</v>
      </c>
      <c r="F1323">
        <v>5</v>
      </c>
      <c r="G1323" t="s">
        <v>8607</v>
      </c>
      <c r="H1323">
        <v>28</v>
      </c>
      <c r="I1323" t="s">
        <v>9297</v>
      </c>
      <c r="J1323" t="str">
        <f t="shared" si="20"/>
        <v>13F-HR-5.28.C2</v>
      </c>
      <c r="K1323" s="5" t="s">
        <v>8612</v>
      </c>
      <c r="L1323" t="s">
        <v>229</v>
      </c>
      <c r="M1323" t="s">
        <v>8613</v>
      </c>
      <c r="N1323" t="s">
        <v>8614</v>
      </c>
      <c r="Q1323" s="28" t="s">
        <v>8706</v>
      </c>
    </row>
    <row r="1324" spans="1:17" x14ac:dyDescent="0.35">
      <c r="A1324" t="s">
        <v>8520</v>
      </c>
      <c r="B1324" s="3" t="s">
        <v>102</v>
      </c>
      <c r="F1324">
        <v>5</v>
      </c>
      <c r="G1324" t="s">
        <v>8607</v>
      </c>
      <c r="H1324">
        <v>29</v>
      </c>
      <c r="I1324" t="s">
        <v>9298</v>
      </c>
      <c r="J1324" t="str">
        <f t="shared" si="20"/>
        <v>13F-HR-5.29.C3</v>
      </c>
      <c r="K1324" s="5" t="s">
        <v>8616</v>
      </c>
      <c r="L1324" t="s">
        <v>229</v>
      </c>
      <c r="M1324" t="s">
        <v>7927</v>
      </c>
      <c r="N1324" t="s">
        <v>8617</v>
      </c>
      <c r="Q1324" s="28" t="s">
        <v>8826</v>
      </c>
    </row>
    <row r="1325" spans="1:17" x14ac:dyDescent="0.35">
      <c r="A1325" t="s">
        <v>8520</v>
      </c>
      <c r="B1325" s="3" t="s">
        <v>102</v>
      </c>
      <c r="F1325">
        <v>5</v>
      </c>
      <c r="G1325" t="s">
        <v>8607</v>
      </c>
      <c r="H1325">
        <v>30</v>
      </c>
      <c r="I1325" t="s">
        <v>9299</v>
      </c>
      <c r="J1325" t="str">
        <f t="shared" si="20"/>
        <v>13F-HR-5.30.C4</v>
      </c>
      <c r="K1325" s="5" t="s">
        <v>8618</v>
      </c>
      <c r="L1325" t="s">
        <v>8619</v>
      </c>
      <c r="M1325" t="s">
        <v>8620</v>
      </c>
      <c r="N1325" t="s">
        <v>8621</v>
      </c>
      <c r="Q1325" s="28">
        <v>219672698</v>
      </c>
    </row>
    <row r="1326" spans="1:17" x14ac:dyDescent="0.35">
      <c r="A1326" t="s">
        <v>8520</v>
      </c>
      <c r="B1326" s="3" t="s">
        <v>102</v>
      </c>
      <c r="F1326">
        <v>5</v>
      </c>
      <c r="G1326" t="s">
        <v>8607</v>
      </c>
      <c r="H1326">
        <v>31</v>
      </c>
      <c r="I1326" t="s">
        <v>9300</v>
      </c>
      <c r="J1326" t="str">
        <f t="shared" si="20"/>
        <v>13F-HR-5.31.C5</v>
      </c>
      <c r="K1326" s="5" t="s">
        <v>8622</v>
      </c>
      <c r="L1326" t="s">
        <v>241</v>
      </c>
      <c r="M1326" t="s">
        <v>8623</v>
      </c>
      <c r="N1326" t="s">
        <v>8624</v>
      </c>
      <c r="Q1326" s="28">
        <v>381138</v>
      </c>
    </row>
    <row r="1327" spans="1:17" x14ac:dyDescent="0.35">
      <c r="A1327" t="s">
        <v>8520</v>
      </c>
      <c r="B1327" s="3" t="s">
        <v>102</v>
      </c>
      <c r="F1327">
        <v>5</v>
      </c>
      <c r="G1327" t="s">
        <v>8607</v>
      </c>
      <c r="H1327">
        <v>32</v>
      </c>
      <c r="I1327" t="s">
        <v>9301</v>
      </c>
      <c r="J1327" t="str">
        <f t="shared" si="20"/>
        <v>13F-HR-5.32.C6</v>
      </c>
      <c r="K1327" s="5" t="s">
        <v>8625</v>
      </c>
      <c r="L1327" t="s">
        <v>229</v>
      </c>
      <c r="M1327" t="s">
        <v>8626</v>
      </c>
      <c r="N1327" t="s">
        <v>8627</v>
      </c>
      <c r="Q1327" s="28" t="s">
        <v>8628</v>
      </c>
    </row>
    <row r="1328" spans="1:17" x14ac:dyDescent="0.35">
      <c r="A1328" t="s">
        <v>8520</v>
      </c>
      <c r="B1328" s="3" t="s">
        <v>102</v>
      </c>
      <c r="F1328">
        <v>5</v>
      </c>
      <c r="G1328" t="s">
        <v>8607</v>
      </c>
      <c r="H1328">
        <v>33</v>
      </c>
      <c r="I1328" t="s">
        <v>9302</v>
      </c>
      <c r="J1328" t="str">
        <f t="shared" si="20"/>
        <v>13F-HR-5.33.C7</v>
      </c>
      <c r="K1328" s="5" t="s">
        <v>8629</v>
      </c>
      <c r="L1328" t="s">
        <v>229</v>
      </c>
      <c r="M1328" t="s">
        <v>8630</v>
      </c>
      <c r="N1328" t="s">
        <v>8631</v>
      </c>
      <c r="Q1328" s="28" t="s">
        <v>8685</v>
      </c>
    </row>
    <row r="1329" spans="1:17" x14ac:dyDescent="0.35">
      <c r="A1329" t="s">
        <v>8520</v>
      </c>
      <c r="B1329" s="3" t="s">
        <v>102</v>
      </c>
      <c r="F1329">
        <v>5</v>
      </c>
      <c r="G1329" t="s">
        <v>8607</v>
      </c>
      <c r="H1329">
        <v>34</v>
      </c>
      <c r="I1329" t="s">
        <v>9303</v>
      </c>
      <c r="J1329" t="str">
        <f t="shared" si="20"/>
        <v>13F-HR-5.34.C8</v>
      </c>
      <c r="K1329" s="5" t="s">
        <v>8633</v>
      </c>
      <c r="L1329" t="s">
        <v>4735</v>
      </c>
      <c r="M1329" t="s">
        <v>8634</v>
      </c>
      <c r="N1329" t="s">
        <v>8635</v>
      </c>
      <c r="Q1329" s="28" t="s">
        <v>8632</v>
      </c>
    </row>
    <row r="1330" spans="1:17" x14ac:dyDescent="0.35">
      <c r="A1330" t="s">
        <v>8520</v>
      </c>
      <c r="B1330" s="3" t="s">
        <v>102</v>
      </c>
      <c r="F1330">
        <v>5</v>
      </c>
      <c r="G1330" t="s">
        <v>8607</v>
      </c>
      <c r="H1330">
        <v>35</v>
      </c>
      <c r="I1330" t="s">
        <v>9304</v>
      </c>
      <c r="J1330" t="str">
        <f t="shared" si="20"/>
        <v>13F-HR-5.35.C9</v>
      </c>
      <c r="K1330" s="5" t="s">
        <v>8637</v>
      </c>
      <c r="L1330" t="s">
        <v>229</v>
      </c>
      <c r="M1330" t="s">
        <v>8638</v>
      </c>
      <c r="N1330" t="s">
        <v>8639</v>
      </c>
      <c r="Q1330" s="28" t="s">
        <v>8636</v>
      </c>
    </row>
    <row r="1331" spans="1:17" x14ac:dyDescent="0.35">
      <c r="A1331" t="s">
        <v>8520</v>
      </c>
      <c r="B1331" s="3" t="s">
        <v>102</v>
      </c>
      <c r="F1331">
        <v>5</v>
      </c>
      <c r="G1331" t="s">
        <v>8607</v>
      </c>
      <c r="H1331">
        <v>36</v>
      </c>
      <c r="I1331" t="s">
        <v>9305</v>
      </c>
      <c r="J1331" t="str">
        <f t="shared" si="20"/>
        <v>13F-HR-5.36.C10</v>
      </c>
      <c r="K1331" s="5" t="s">
        <v>8640</v>
      </c>
      <c r="L1331" t="s">
        <v>241</v>
      </c>
      <c r="M1331" t="s">
        <v>8641</v>
      </c>
      <c r="N1331" t="s">
        <v>8642</v>
      </c>
      <c r="Q1331" s="28">
        <v>322236</v>
      </c>
    </row>
    <row r="1332" spans="1:17" x14ac:dyDescent="0.35">
      <c r="A1332" t="s">
        <v>8520</v>
      </c>
      <c r="B1332" s="3" t="s">
        <v>102</v>
      </c>
      <c r="F1332">
        <v>5</v>
      </c>
      <c r="G1332" t="s">
        <v>8607</v>
      </c>
      <c r="H1332">
        <v>37</v>
      </c>
      <c r="I1332" t="s">
        <v>9306</v>
      </c>
      <c r="J1332" t="str">
        <f t="shared" si="20"/>
        <v>13F-HR-5.37.C11</v>
      </c>
      <c r="K1332" s="5" t="s">
        <v>8643</v>
      </c>
      <c r="L1332" t="s">
        <v>241</v>
      </c>
      <c r="M1332" t="s">
        <v>8644</v>
      </c>
      <c r="N1332" t="s">
        <v>8645</v>
      </c>
      <c r="Q1332" s="28">
        <v>0</v>
      </c>
    </row>
    <row r="1333" spans="1:17" x14ac:dyDescent="0.35">
      <c r="A1333" t="s">
        <v>8520</v>
      </c>
      <c r="B1333" s="3" t="s">
        <v>102</v>
      </c>
      <c r="F1333">
        <v>5</v>
      </c>
      <c r="G1333" t="s">
        <v>8607</v>
      </c>
      <c r="H1333">
        <v>38</v>
      </c>
      <c r="I1333" t="s">
        <v>9307</v>
      </c>
      <c r="J1333" t="str">
        <f t="shared" si="20"/>
        <v>13F-HR-5.38.C12</v>
      </c>
      <c r="K1333" s="5" t="s">
        <v>8646</v>
      </c>
      <c r="L1333" t="s">
        <v>241</v>
      </c>
      <c r="M1333" t="s">
        <v>8647</v>
      </c>
      <c r="N1333" t="s">
        <v>8648</v>
      </c>
      <c r="Q1333" s="28">
        <v>58902</v>
      </c>
    </row>
    <row r="1334" spans="1:17" x14ac:dyDescent="0.35">
      <c r="A1334" t="s">
        <v>8520</v>
      </c>
      <c r="B1334" s="3" t="s">
        <v>102</v>
      </c>
      <c r="F1334">
        <v>5</v>
      </c>
      <c r="G1334" t="s">
        <v>8607</v>
      </c>
      <c r="H1334">
        <v>27</v>
      </c>
      <c r="I1334" t="s">
        <v>9296</v>
      </c>
      <c r="J1334" t="str">
        <f t="shared" si="20"/>
        <v>13F-HR-5.27.C1</v>
      </c>
      <c r="K1334" s="5" t="s">
        <v>8608</v>
      </c>
      <c r="L1334" t="s">
        <v>229</v>
      </c>
      <c r="M1334" t="s">
        <v>8609</v>
      </c>
      <c r="N1334" t="s">
        <v>8610</v>
      </c>
      <c r="Q1334" s="28" t="s">
        <v>8827</v>
      </c>
    </row>
    <row r="1335" spans="1:17" x14ac:dyDescent="0.35">
      <c r="A1335" t="s">
        <v>8520</v>
      </c>
      <c r="B1335" s="3" t="s">
        <v>102</v>
      </c>
      <c r="F1335">
        <v>5</v>
      </c>
      <c r="G1335" t="s">
        <v>8607</v>
      </c>
      <c r="H1335">
        <v>28</v>
      </c>
      <c r="I1335" t="s">
        <v>9297</v>
      </c>
      <c r="J1335" t="str">
        <f t="shared" si="20"/>
        <v>13F-HR-5.28.C2</v>
      </c>
      <c r="K1335" s="5" t="s">
        <v>8612</v>
      </c>
      <c r="L1335" t="s">
        <v>229</v>
      </c>
      <c r="M1335" t="s">
        <v>8613</v>
      </c>
      <c r="N1335" t="s">
        <v>8614</v>
      </c>
      <c r="Q1335" s="28" t="s">
        <v>8615</v>
      </c>
    </row>
    <row r="1336" spans="1:17" x14ac:dyDescent="0.35">
      <c r="A1336" t="s">
        <v>8520</v>
      </c>
      <c r="B1336" s="3" t="s">
        <v>102</v>
      </c>
      <c r="F1336">
        <v>5</v>
      </c>
      <c r="G1336" t="s">
        <v>8607</v>
      </c>
      <c r="H1336">
        <v>29</v>
      </c>
      <c r="I1336" t="s">
        <v>9298</v>
      </c>
      <c r="J1336" t="str">
        <f t="shared" si="20"/>
        <v>13F-HR-5.29.C3</v>
      </c>
      <c r="K1336" s="5" t="s">
        <v>8616</v>
      </c>
      <c r="L1336" t="s">
        <v>229</v>
      </c>
      <c r="M1336" t="s">
        <v>7927</v>
      </c>
      <c r="N1336" t="s">
        <v>8617</v>
      </c>
      <c r="Q1336" s="28" t="s">
        <v>8828</v>
      </c>
    </row>
    <row r="1337" spans="1:17" x14ac:dyDescent="0.35">
      <c r="A1337" t="s">
        <v>8520</v>
      </c>
      <c r="B1337" s="3" t="s">
        <v>102</v>
      </c>
      <c r="F1337">
        <v>5</v>
      </c>
      <c r="G1337" t="s">
        <v>8607</v>
      </c>
      <c r="H1337">
        <v>30</v>
      </c>
      <c r="I1337" t="s">
        <v>9299</v>
      </c>
      <c r="J1337" t="str">
        <f t="shared" si="20"/>
        <v>13F-HR-5.30.C4</v>
      </c>
      <c r="K1337" s="5" t="s">
        <v>8618</v>
      </c>
      <c r="L1337" t="s">
        <v>8619</v>
      </c>
      <c r="M1337" t="s">
        <v>8620</v>
      </c>
      <c r="N1337" t="s">
        <v>8621</v>
      </c>
      <c r="Q1337" s="28">
        <v>38153276</v>
      </c>
    </row>
    <row r="1338" spans="1:17" x14ac:dyDescent="0.35">
      <c r="A1338" t="s">
        <v>8520</v>
      </c>
      <c r="B1338" s="3" t="s">
        <v>102</v>
      </c>
      <c r="F1338">
        <v>5</v>
      </c>
      <c r="G1338" t="s">
        <v>8607</v>
      </c>
      <c r="H1338">
        <v>31</v>
      </c>
      <c r="I1338" t="s">
        <v>9300</v>
      </c>
      <c r="J1338" t="str">
        <f t="shared" si="20"/>
        <v>13F-HR-5.31.C5</v>
      </c>
      <c r="K1338" s="5" t="s">
        <v>8622</v>
      </c>
      <c r="L1338" t="s">
        <v>241</v>
      </c>
      <c r="M1338" t="s">
        <v>8623</v>
      </c>
      <c r="N1338" t="s">
        <v>8624</v>
      </c>
      <c r="Q1338" s="28">
        <v>156507</v>
      </c>
    </row>
    <row r="1339" spans="1:17" x14ac:dyDescent="0.35">
      <c r="A1339" t="s">
        <v>8520</v>
      </c>
      <c r="B1339" s="3" t="s">
        <v>102</v>
      </c>
      <c r="F1339">
        <v>5</v>
      </c>
      <c r="G1339" t="s">
        <v>8607</v>
      </c>
      <c r="H1339">
        <v>32</v>
      </c>
      <c r="I1339" t="s">
        <v>9301</v>
      </c>
      <c r="J1339" t="str">
        <f t="shared" si="20"/>
        <v>13F-HR-5.32.C6</v>
      </c>
      <c r="K1339" s="5" t="s">
        <v>8625</v>
      </c>
      <c r="L1339" t="s">
        <v>229</v>
      </c>
      <c r="M1339" t="s">
        <v>8626</v>
      </c>
      <c r="N1339" t="s">
        <v>8627</v>
      </c>
      <c r="Q1339" s="28" t="s">
        <v>8628</v>
      </c>
    </row>
    <row r="1340" spans="1:17" x14ac:dyDescent="0.35">
      <c r="A1340" t="s">
        <v>8520</v>
      </c>
      <c r="B1340" s="3" t="s">
        <v>102</v>
      </c>
      <c r="F1340">
        <v>5</v>
      </c>
      <c r="G1340" t="s">
        <v>8607</v>
      </c>
      <c r="H1340">
        <v>33</v>
      </c>
      <c r="I1340" t="s">
        <v>9302</v>
      </c>
      <c r="J1340" t="str">
        <f t="shared" si="20"/>
        <v>13F-HR-5.33.C7</v>
      </c>
      <c r="K1340" s="5" t="s">
        <v>8629</v>
      </c>
      <c r="L1340" t="s">
        <v>229</v>
      </c>
      <c r="M1340" t="s">
        <v>8630</v>
      </c>
      <c r="N1340" t="s">
        <v>8631</v>
      </c>
      <c r="Q1340" s="28" t="s">
        <v>8685</v>
      </c>
    </row>
    <row r="1341" spans="1:17" x14ac:dyDescent="0.35">
      <c r="A1341" t="s">
        <v>8520</v>
      </c>
      <c r="B1341" s="3" t="s">
        <v>102</v>
      </c>
      <c r="F1341">
        <v>5</v>
      </c>
      <c r="G1341" t="s">
        <v>8607</v>
      </c>
      <c r="H1341">
        <v>34</v>
      </c>
      <c r="I1341" t="s">
        <v>9303</v>
      </c>
      <c r="J1341" t="str">
        <f t="shared" si="20"/>
        <v>13F-HR-5.34.C8</v>
      </c>
      <c r="K1341" s="5" t="s">
        <v>8633</v>
      </c>
      <c r="L1341" t="s">
        <v>4735</v>
      </c>
      <c r="M1341" t="s">
        <v>8634</v>
      </c>
      <c r="N1341" t="s">
        <v>8635</v>
      </c>
      <c r="Q1341" s="28" t="s">
        <v>8632</v>
      </c>
    </row>
    <row r="1342" spans="1:17" x14ac:dyDescent="0.35">
      <c r="A1342" t="s">
        <v>8520</v>
      </c>
      <c r="B1342" s="3" t="s">
        <v>102</v>
      </c>
      <c r="F1342">
        <v>5</v>
      </c>
      <c r="G1342" t="s">
        <v>8607</v>
      </c>
      <c r="H1342">
        <v>35</v>
      </c>
      <c r="I1342" t="s">
        <v>9304</v>
      </c>
      <c r="J1342" t="str">
        <f t="shared" si="20"/>
        <v>13F-HR-5.35.C9</v>
      </c>
      <c r="K1342" s="5" t="s">
        <v>8637</v>
      </c>
      <c r="L1342" t="s">
        <v>229</v>
      </c>
      <c r="M1342" t="s">
        <v>8638</v>
      </c>
      <c r="N1342" t="s">
        <v>8639</v>
      </c>
      <c r="Q1342" s="28" t="s">
        <v>8636</v>
      </c>
    </row>
    <row r="1343" spans="1:17" x14ac:dyDescent="0.35">
      <c r="A1343" t="s">
        <v>8520</v>
      </c>
      <c r="B1343" s="3" t="s">
        <v>102</v>
      </c>
      <c r="F1343">
        <v>5</v>
      </c>
      <c r="G1343" t="s">
        <v>8607</v>
      </c>
      <c r="H1343">
        <v>36</v>
      </c>
      <c r="I1343" t="s">
        <v>9305</v>
      </c>
      <c r="J1343" t="str">
        <f t="shared" si="20"/>
        <v>13F-HR-5.36.C10</v>
      </c>
      <c r="K1343" s="5" t="s">
        <v>8640</v>
      </c>
      <c r="L1343" t="s">
        <v>241</v>
      </c>
      <c r="M1343" t="s">
        <v>8641</v>
      </c>
      <c r="N1343" t="s">
        <v>8642</v>
      </c>
      <c r="Q1343" s="28">
        <v>137041</v>
      </c>
    </row>
    <row r="1344" spans="1:17" x14ac:dyDescent="0.35">
      <c r="A1344" t="s">
        <v>8520</v>
      </c>
      <c r="B1344" s="3" t="s">
        <v>102</v>
      </c>
      <c r="F1344">
        <v>5</v>
      </c>
      <c r="G1344" t="s">
        <v>8607</v>
      </c>
      <c r="H1344">
        <v>37</v>
      </c>
      <c r="I1344" t="s">
        <v>9306</v>
      </c>
      <c r="J1344" t="str">
        <f t="shared" si="20"/>
        <v>13F-HR-5.37.C11</v>
      </c>
      <c r="K1344" s="5" t="s">
        <v>8643</v>
      </c>
      <c r="L1344" t="s">
        <v>241</v>
      </c>
      <c r="M1344" t="s">
        <v>8644</v>
      </c>
      <c r="N1344" t="s">
        <v>8645</v>
      </c>
      <c r="Q1344" s="28">
        <v>0</v>
      </c>
    </row>
    <row r="1345" spans="1:17" x14ac:dyDescent="0.35">
      <c r="A1345" t="s">
        <v>8520</v>
      </c>
      <c r="B1345" s="3" t="s">
        <v>102</v>
      </c>
      <c r="F1345">
        <v>5</v>
      </c>
      <c r="G1345" t="s">
        <v>8607</v>
      </c>
      <c r="H1345">
        <v>38</v>
      </c>
      <c r="I1345" t="s">
        <v>9307</v>
      </c>
      <c r="J1345" t="str">
        <f t="shared" si="20"/>
        <v>13F-HR-5.38.C12</v>
      </c>
      <c r="K1345" s="5" t="s">
        <v>8646</v>
      </c>
      <c r="L1345" t="s">
        <v>241</v>
      </c>
      <c r="M1345" t="s">
        <v>8647</v>
      </c>
      <c r="N1345" t="s">
        <v>8648</v>
      </c>
      <c r="Q1345" s="28">
        <v>19466</v>
      </c>
    </row>
    <row r="1346" spans="1:17" x14ac:dyDescent="0.35">
      <c r="A1346" t="s">
        <v>8520</v>
      </c>
      <c r="B1346" s="3" t="s">
        <v>102</v>
      </c>
      <c r="F1346">
        <v>5</v>
      </c>
      <c r="G1346" t="s">
        <v>8607</v>
      </c>
      <c r="H1346">
        <v>27</v>
      </c>
      <c r="I1346" t="s">
        <v>9296</v>
      </c>
      <c r="J1346" t="str">
        <f t="shared" si="20"/>
        <v>13F-HR-5.27.C1</v>
      </c>
      <c r="K1346" s="5" t="s">
        <v>8608</v>
      </c>
      <c r="L1346" t="s">
        <v>229</v>
      </c>
      <c r="M1346" t="s">
        <v>8609</v>
      </c>
      <c r="N1346" t="s">
        <v>8610</v>
      </c>
      <c r="Q1346" s="28" t="s">
        <v>8829</v>
      </c>
    </row>
    <row r="1347" spans="1:17" x14ac:dyDescent="0.35">
      <c r="A1347" t="s">
        <v>8520</v>
      </c>
      <c r="B1347" s="3" t="s">
        <v>102</v>
      </c>
      <c r="F1347">
        <v>5</v>
      </c>
      <c r="G1347" t="s">
        <v>8607</v>
      </c>
      <c r="H1347">
        <v>28</v>
      </c>
      <c r="I1347" t="s">
        <v>9297</v>
      </c>
      <c r="J1347" t="str">
        <f t="shared" ref="J1347:J1410" si="21">_xlfn.CONCAT(A1347,"-",F1347,".",H1347,".",I1347)</f>
        <v>13F-HR-5.28.C2</v>
      </c>
      <c r="K1347" s="5" t="s">
        <v>8612</v>
      </c>
      <c r="L1347" t="s">
        <v>229</v>
      </c>
      <c r="M1347" t="s">
        <v>8613</v>
      </c>
      <c r="N1347" t="s">
        <v>8614</v>
      </c>
      <c r="Q1347" s="28" t="s">
        <v>8615</v>
      </c>
    </row>
    <row r="1348" spans="1:17" x14ac:dyDescent="0.35">
      <c r="A1348" t="s">
        <v>8520</v>
      </c>
      <c r="B1348" s="3" t="s">
        <v>102</v>
      </c>
      <c r="F1348">
        <v>5</v>
      </c>
      <c r="G1348" t="s">
        <v>8607</v>
      </c>
      <c r="H1348">
        <v>29</v>
      </c>
      <c r="I1348" t="s">
        <v>9298</v>
      </c>
      <c r="J1348" t="str">
        <f t="shared" si="21"/>
        <v>13F-HR-5.29.C3</v>
      </c>
      <c r="K1348" s="5" t="s">
        <v>8616</v>
      </c>
      <c r="L1348" t="s">
        <v>229</v>
      </c>
      <c r="M1348" t="s">
        <v>7927</v>
      </c>
      <c r="N1348" t="s">
        <v>8617</v>
      </c>
      <c r="Q1348" s="28">
        <v>316773100</v>
      </c>
    </row>
    <row r="1349" spans="1:17" x14ac:dyDescent="0.35">
      <c r="A1349" t="s">
        <v>8520</v>
      </c>
      <c r="B1349" s="3" t="s">
        <v>102</v>
      </c>
      <c r="F1349">
        <v>5</v>
      </c>
      <c r="G1349" t="s">
        <v>8607</v>
      </c>
      <c r="H1349">
        <v>30</v>
      </c>
      <c r="I1349" t="s">
        <v>9299</v>
      </c>
      <c r="J1349" t="str">
        <f t="shared" si="21"/>
        <v>13F-HR-5.30.C4</v>
      </c>
      <c r="K1349" s="5" t="s">
        <v>8618</v>
      </c>
      <c r="L1349" t="s">
        <v>8619</v>
      </c>
      <c r="M1349" t="s">
        <v>8620</v>
      </c>
      <c r="N1349" t="s">
        <v>8621</v>
      </c>
      <c r="Q1349" s="28">
        <v>1599164</v>
      </c>
    </row>
    <row r="1350" spans="1:17" x14ac:dyDescent="0.35">
      <c r="A1350" t="s">
        <v>8520</v>
      </c>
      <c r="B1350" s="3" t="s">
        <v>102</v>
      </c>
      <c r="F1350">
        <v>5</v>
      </c>
      <c r="G1350" t="s">
        <v>8607</v>
      </c>
      <c r="H1350">
        <v>31</v>
      </c>
      <c r="I1350" t="s">
        <v>9300</v>
      </c>
      <c r="J1350" t="str">
        <f t="shared" si="21"/>
        <v>13F-HR-5.31.C5</v>
      </c>
      <c r="K1350" s="5" t="s">
        <v>8622</v>
      </c>
      <c r="L1350" t="s">
        <v>241</v>
      </c>
      <c r="M1350" t="s">
        <v>8623</v>
      </c>
      <c r="N1350" t="s">
        <v>8624</v>
      </c>
      <c r="Q1350" s="28">
        <v>40795</v>
      </c>
    </row>
    <row r="1351" spans="1:17" x14ac:dyDescent="0.35">
      <c r="A1351" t="s">
        <v>8520</v>
      </c>
      <c r="B1351" s="3" t="s">
        <v>102</v>
      </c>
      <c r="F1351">
        <v>5</v>
      </c>
      <c r="G1351" t="s">
        <v>8607</v>
      </c>
      <c r="H1351">
        <v>32</v>
      </c>
      <c r="I1351" t="s">
        <v>9301</v>
      </c>
      <c r="J1351" t="str">
        <f t="shared" si="21"/>
        <v>13F-HR-5.32.C6</v>
      </c>
      <c r="K1351" s="5" t="s">
        <v>8625</v>
      </c>
      <c r="L1351" t="s">
        <v>229</v>
      </c>
      <c r="M1351" t="s">
        <v>8626</v>
      </c>
      <c r="N1351" t="s">
        <v>8627</v>
      </c>
      <c r="Q1351" s="28" t="s">
        <v>8628</v>
      </c>
    </row>
    <row r="1352" spans="1:17" x14ac:dyDescent="0.35">
      <c r="A1352" t="s">
        <v>8520</v>
      </c>
      <c r="B1352" s="3" t="s">
        <v>102</v>
      </c>
      <c r="F1352">
        <v>5</v>
      </c>
      <c r="G1352" t="s">
        <v>8607</v>
      </c>
      <c r="H1352">
        <v>33</v>
      </c>
      <c r="I1352" t="s">
        <v>9302</v>
      </c>
      <c r="J1352" t="str">
        <f t="shared" si="21"/>
        <v>13F-HR-5.33.C7</v>
      </c>
      <c r="K1352" s="5" t="s">
        <v>8629</v>
      </c>
      <c r="L1352" t="s">
        <v>229</v>
      </c>
      <c r="M1352" t="s">
        <v>8630</v>
      </c>
      <c r="N1352" t="s">
        <v>8631</v>
      </c>
      <c r="Q1352" s="28" t="s">
        <v>8685</v>
      </c>
    </row>
    <row r="1353" spans="1:17" x14ac:dyDescent="0.35">
      <c r="A1353" t="s">
        <v>8520</v>
      </c>
      <c r="B1353" s="3" t="s">
        <v>102</v>
      </c>
      <c r="F1353">
        <v>5</v>
      </c>
      <c r="G1353" t="s">
        <v>8607</v>
      </c>
      <c r="H1353">
        <v>34</v>
      </c>
      <c r="I1353" t="s">
        <v>9303</v>
      </c>
      <c r="J1353" t="str">
        <f t="shared" si="21"/>
        <v>13F-HR-5.34.C8</v>
      </c>
      <c r="K1353" s="5" t="s">
        <v>8633</v>
      </c>
      <c r="L1353" t="s">
        <v>4735</v>
      </c>
      <c r="M1353" t="s">
        <v>8634</v>
      </c>
      <c r="N1353" t="s">
        <v>8635</v>
      </c>
      <c r="Q1353" s="28" t="s">
        <v>8632</v>
      </c>
    </row>
    <row r="1354" spans="1:17" x14ac:dyDescent="0.35">
      <c r="A1354" t="s">
        <v>8520</v>
      </c>
      <c r="B1354" s="3" t="s">
        <v>102</v>
      </c>
      <c r="F1354">
        <v>5</v>
      </c>
      <c r="G1354" t="s">
        <v>8607</v>
      </c>
      <c r="H1354">
        <v>35</v>
      </c>
      <c r="I1354" t="s">
        <v>9304</v>
      </c>
      <c r="J1354" t="str">
        <f t="shared" si="21"/>
        <v>13F-HR-5.35.C9</v>
      </c>
      <c r="K1354" s="5" t="s">
        <v>8637</v>
      </c>
      <c r="L1354" t="s">
        <v>229</v>
      </c>
      <c r="M1354" t="s">
        <v>8638</v>
      </c>
      <c r="N1354" t="s">
        <v>8639</v>
      </c>
      <c r="Q1354" s="28" t="s">
        <v>8636</v>
      </c>
    </row>
    <row r="1355" spans="1:17" x14ac:dyDescent="0.35">
      <c r="A1355" t="s">
        <v>8520</v>
      </c>
      <c r="B1355" s="3" t="s">
        <v>102</v>
      </c>
      <c r="F1355">
        <v>5</v>
      </c>
      <c r="G1355" t="s">
        <v>8607</v>
      </c>
      <c r="H1355">
        <v>36</v>
      </c>
      <c r="I1355" t="s">
        <v>9305</v>
      </c>
      <c r="J1355" t="str">
        <f t="shared" si="21"/>
        <v>13F-HR-5.36.C10</v>
      </c>
      <c r="K1355" s="5" t="s">
        <v>8640</v>
      </c>
      <c r="L1355" t="s">
        <v>241</v>
      </c>
      <c r="M1355" t="s">
        <v>8641</v>
      </c>
      <c r="N1355" t="s">
        <v>8642</v>
      </c>
      <c r="Q1355" s="28">
        <v>0</v>
      </c>
    </row>
    <row r="1356" spans="1:17" x14ac:dyDescent="0.35">
      <c r="A1356" t="s">
        <v>8520</v>
      </c>
      <c r="B1356" s="3" t="s">
        <v>102</v>
      </c>
      <c r="F1356">
        <v>5</v>
      </c>
      <c r="G1356" t="s">
        <v>8607</v>
      </c>
      <c r="H1356">
        <v>37</v>
      </c>
      <c r="I1356" t="s">
        <v>9306</v>
      </c>
      <c r="J1356" t="str">
        <f t="shared" si="21"/>
        <v>13F-HR-5.37.C11</v>
      </c>
      <c r="K1356" s="5" t="s">
        <v>8643</v>
      </c>
      <c r="L1356" t="s">
        <v>241</v>
      </c>
      <c r="M1356" t="s">
        <v>8644</v>
      </c>
      <c r="N1356" t="s">
        <v>8645</v>
      </c>
      <c r="Q1356" s="28">
        <v>0</v>
      </c>
    </row>
    <row r="1357" spans="1:17" x14ac:dyDescent="0.35">
      <c r="A1357" t="s">
        <v>8520</v>
      </c>
      <c r="B1357" s="3" t="s">
        <v>102</v>
      </c>
      <c r="F1357">
        <v>5</v>
      </c>
      <c r="G1357" t="s">
        <v>8607</v>
      </c>
      <c r="H1357">
        <v>38</v>
      </c>
      <c r="I1357" t="s">
        <v>9307</v>
      </c>
      <c r="J1357" t="str">
        <f t="shared" si="21"/>
        <v>13F-HR-5.38.C12</v>
      </c>
      <c r="K1357" s="5" t="s">
        <v>8646</v>
      </c>
      <c r="L1357" t="s">
        <v>241</v>
      </c>
      <c r="M1357" t="s">
        <v>8647</v>
      </c>
      <c r="N1357" t="s">
        <v>8648</v>
      </c>
      <c r="Q1357" s="28">
        <v>40795</v>
      </c>
    </row>
    <row r="1358" spans="1:17" x14ac:dyDescent="0.35">
      <c r="A1358" t="s">
        <v>8520</v>
      </c>
      <c r="B1358" s="3" t="s">
        <v>102</v>
      </c>
      <c r="F1358">
        <v>5</v>
      </c>
      <c r="G1358" t="s">
        <v>8607</v>
      </c>
      <c r="H1358">
        <v>27</v>
      </c>
      <c r="I1358" t="s">
        <v>9296</v>
      </c>
      <c r="J1358" t="str">
        <f t="shared" si="21"/>
        <v>13F-HR-5.27.C1</v>
      </c>
      <c r="K1358" s="5" t="s">
        <v>8608</v>
      </c>
      <c r="L1358" t="s">
        <v>229</v>
      </c>
      <c r="M1358" t="s">
        <v>8609</v>
      </c>
      <c r="N1358" t="s">
        <v>8610</v>
      </c>
      <c r="Q1358" s="28" t="s">
        <v>8830</v>
      </c>
    </row>
    <row r="1359" spans="1:17" x14ac:dyDescent="0.35">
      <c r="A1359" t="s">
        <v>8520</v>
      </c>
      <c r="B1359" s="3" t="s">
        <v>102</v>
      </c>
      <c r="F1359">
        <v>5</v>
      </c>
      <c r="G1359" t="s">
        <v>8607</v>
      </c>
      <c r="H1359">
        <v>28</v>
      </c>
      <c r="I1359" t="s">
        <v>9297</v>
      </c>
      <c r="J1359" t="str">
        <f t="shared" si="21"/>
        <v>13F-HR-5.28.C2</v>
      </c>
      <c r="K1359" s="5" t="s">
        <v>8612</v>
      </c>
      <c r="L1359" t="s">
        <v>229</v>
      </c>
      <c r="M1359" t="s">
        <v>8613</v>
      </c>
      <c r="N1359" t="s">
        <v>8614</v>
      </c>
      <c r="Q1359" s="28" t="s">
        <v>8615</v>
      </c>
    </row>
    <row r="1360" spans="1:17" x14ac:dyDescent="0.35">
      <c r="A1360" t="s">
        <v>8520</v>
      </c>
      <c r="B1360" s="3" t="s">
        <v>102</v>
      </c>
      <c r="F1360">
        <v>5</v>
      </c>
      <c r="G1360" t="s">
        <v>8607</v>
      </c>
      <c r="H1360">
        <v>29</v>
      </c>
      <c r="I1360" t="s">
        <v>9298</v>
      </c>
      <c r="J1360" t="str">
        <f t="shared" si="21"/>
        <v>13F-HR-5.29.C3</v>
      </c>
      <c r="K1360" s="5" t="s">
        <v>8616</v>
      </c>
      <c r="L1360" t="s">
        <v>229</v>
      </c>
      <c r="M1360" t="s">
        <v>7927</v>
      </c>
      <c r="N1360" t="s">
        <v>8617</v>
      </c>
      <c r="Q1360" s="28" t="s">
        <v>8831</v>
      </c>
    </row>
    <row r="1361" spans="1:17" x14ac:dyDescent="0.35">
      <c r="A1361" t="s">
        <v>8520</v>
      </c>
      <c r="B1361" s="3" t="s">
        <v>102</v>
      </c>
      <c r="F1361">
        <v>5</v>
      </c>
      <c r="G1361" t="s">
        <v>8607</v>
      </c>
      <c r="H1361">
        <v>30</v>
      </c>
      <c r="I1361" t="s">
        <v>9299</v>
      </c>
      <c r="J1361" t="str">
        <f t="shared" si="21"/>
        <v>13F-HR-5.30.C4</v>
      </c>
      <c r="K1361" s="5" t="s">
        <v>8618</v>
      </c>
      <c r="L1361" t="s">
        <v>8619</v>
      </c>
      <c r="M1361" t="s">
        <v>8620</v>
      </c>
      <c r="N1361" t="s">
        <v>8621</v>
      </c>
      <c r="Q1361" s="28">
        <v>1610495</v>
      </c>
    </row>
    <row r="1362" spans="1:17" x14ac:dyDescent="0.35">
      <c r="A1362" t="s">
        <v>8520</v>
      </c>
      <c r="B1362" s="3" t="s">
        <v>102</v>
      </c>
      <c r="F1362">
        <v>5</v>
      </c>
      <c r="G1362" t="s">
        <v>8607</v>
      </c>
      <c r="H1362">
        <v>31</v>
      </c>
      <c r="I1362" t="s">
        <v>9300</v>
      </c>
      <c r="J1362" t="str">
        <f t="shared" si="21"/>
        <v>13F-HR-5.31.C5</v>
      </c>
      <c r="K1362" s="5" t="s">
        <v>8622</v>
      </c>
      <c r="L1362" t="s">
        <v>241</v>
      </c>
      <c r="M1362" t="s">
        <v>8623</v>
      </c>
      <c r="N1362" t="s">
        <v>8624</v>
      </c>
      <c r="Q1362" s="28">
        <v>24539</v>
      </c>
    </row>
    <row r="1363" spans="1:17" x14ac:dyDescent="0.35">
      <c r="A1363" t="s">
        <v>8520</v>
      </c>
      <c r="B1363" s="3" t="s">
        <v>102</v>
      </c>
      <c r="F1363">
        <v>5</v>
      </c>
      <c r="G1363" t="s">
        <v>8607</v>
      </c>
      <c r="H1363">
        <v>32</v>
      </c>
      <c r="I1363" t="s">
        <v>9301</v>
      </c>
      <c r="J1363" t="str">
        <f t="shared" si="21"/>
        <v>13F-HR-5.32.C6</v>
      </c>
      <c r="K1363" s="5" t="s">
        <v>8625</v>
      </c>
      <c r="L1363" t="s">
        <v>229</v>
      </c>
      <c r="M1363" t="s">
        <v>8626</v>
      </c>
      <c r="N1363" t="s">
        <v>8627</v>
      </c>
      <c r="Q1363" s="28" t="s">
        <v>8628</v>
      </c>
    </row>
    <row r="1364" spans="1:17" x14ac:dyDescent="0.35">
      <c r="A1364" t="s">
        <v>8520</v>
      </c>
      <c r="B1364" s="3" t="s">
        <v>102</v>
      </c>
      <c r="F1364">
        <v>5</v>
      </c>
      <c r="G1364" t="s">
        <v>8607</v>
      </c>
      <c r="H1364">
        <v>33</v>
      </c>
      <c r="I1364" t="s">
        <v>9302</v>
      </c>
      <c r="J1364" t="str">
        <f t="shared" si="21"/>
        <v>13F-HR-5.33.C7</v>
      </c>
      <c r="K1364" s="5" t="s">
        <v>8629</v>
      </c>
      <c r="L1364" t="s">
        <v>229</v>
      </c>
      <c r="M1364" t="s">
        <v>8630</v>
      </c>
      <c r="N1364" t="s">
        <v>8631</v>
      </c>
      <c r="Q1364" s="28" t="s">
        <v>8685</v>
      </c>
    </row>
    <row r="1365" spans="1:17" x14ac:dyDescent="0.35">
      <c r="A1365" t="s">
        <v>8520</v>
      </c>
      <c r="B1365" s="3" t="s">
        <v>102</v>
      </c>
      <c r="F1365">
        <v>5</v>
      </c>
      <c r="G1365" t="s">
        <v>8607</v>
      </c>
      <c r="H1365">
        <v>34</v>
      </c>
      <c r="I1365" t="s">
        <v>9303</v>
      </c>
      <c r="J1365" t="str">
        <f t="shared" si="21"/>
        <v>13F-HR-5.34.C8</v>
      </c>
      <c r="K1365" s="5" t="s">
        <v>8633</v>
      </c>
      <c r="L1365" t="s">
        <v>4735</v>
      </c>
      <c r="M1365" t="s">
        <v>8634</v>
      </c>
      <c r="N1365" t="s">
        <v>8635</v>
      </c>
      <c r="Q1365" s="28" t="s">
        <v>8632</v>
      </c>
    </row>
    <row r="1366" spans="1:17" x14ac:dyDescent="0.35">
      <c r="A1366" t="s">
        <v>8520</v>
      </c>
      <c r="B1366" s="3" t="s">
        <v>102</v>
      </c>
      <c r="F1366">
        <v>5</v>
      </c>
      <c r="G1366" t="s">
        <v>8607</v>
      </c>
      <c r="H1366">
        <v>35</v>
      </c>
      <c r="I1366" t="s">
        <v>9304</v>
      </c>
      <c r="J1366" t="str">
        <f t="shared" si="21"/>
        <v>13F-HR-5.35.C9</v>
      </c>
      <c r="K1366" s="5" t="s">
        <v>8637</v>
      </c>
      <c r="L1366" t="s">
        <v>229</v>
      </c>
      <c r="M1366" t="s">
        <v>8638</v>
      </c>
      <c r="N1366" t="s">
        <v>8639</v>
      </c>
      <c r="Q1366" s="28" t="s">
        <v>8636</v>
      </c>
    </row>
    <row r="1367" spans="1:17" x14ac:dyDescent="0.35">
      <c r="A1367" t="s">
        <v>8520</v>
      </c>
      <c r="B1367" s="3" t="s">
        <v>102</v>
      </c>
      <c r="F1367">
        <v>5</v>
      </c>
      <c r="G1367" t="s">
        <v>8607</v>
      </c>
      <c r="H1367">
        <v>36</v>
      </c>
      <c r="I1367" t="s">
        <v>9305</v>
      </c>
      <c r="J1367" t="str">
        <f t="shared" si="21"/>
        <v>13F-HR-5.36.C10</v>
      </c>
      <c r="K1367" s="5" t="s">
        <v>8640</v>
      </c>
      <c r="L1367" t="s">
        <v>241</v>
      </c>
      <c r="M1367" t="s">
        <v>8641</v>
      </c>
      <c r="N1367" t="s">
        <v>8642</v>
      </c>
      <c r="Q1367" s="28">
        <v>24539</v>
      </c>
    </row>
    <row r="1368" spans="1:17" x14ac:dyDescent="0.35">
      <c r="A1368" t="s">
        <v>8520</v>
      </c>
      <c r="B1368" s="3" t="s">
        <v>102</v>
      </c>
      <c r="F1368">
        <v>5</v>
      </c>
      <c r="G1368" t="s">
        <v>8607</v>
      </c>
      <c r="H1368">
        <v>37</v>
      </c>
      <c r="I1368" t="s">
        <v>9306</v>
      </c>
      <c r="J1368" t="str">
        <f t="shared" si="21"/>
        <v>13F-HR-5.37.C11</v>
      </c>
      <c r="K1368" s="5" t="s">
        <v>8643</v>
      </c>
      <c r="L1368" t="s">
        <v>241</v>
      </c>
      <c r="M1368" t="s">
        <v>8644</v>
      </c>
      <c r="N1368" t="s">
        <v>8645</v>
      </c>
      <c r="Q1368" s="28">
        <v>0</v>
      </c>
    </row>
    <row r="1369" spans="1:17" x14ac:dyDescent="0.35">
      <c r="A1369" t="s">
        <v>8520</v>
      </c>
      <c r="B1369" s="3" t="s">
        <v>102</v>
      </c>
      <c r="F1369">
        <v>5</v>
      </c>
      <c r="G1369" t="s">
        <v>8607</v>
      </c>
      <c r="H1369">
        <v>38</v>
      </c>
      <c r="I1369" t="s">
        <v>9307</v>
      </c>
      <c r="J1369" t="str">
        <f t="shared" si="21"/>
        <v>13F-HR-5.38.C12</v>
      </c>
      <c r="K1369" s="5" t="s">
        <v>8646</v>
      </c>
      <c r="L1369" t="s">
        <v>241</v>
      </c>
      <c r="M1369" t="s">
        <v>8647</v>
      </c>
      <c r="N1369" t="s">
        <v>8648</v>
      </c>
      <c r="Q1369" s="28">
        <v>0</v>
      </c>
    </row>
    <row r="1370" spans="1:17" x14ac:dyDescent="0.35">
      <c r="A1370" t="s">
        <v>8520</v>
      </c>
      <c r="B1370" s="3" t="s">
        <v>102</v>
      </c>
      <c r="F1370">
        <v>5</v>
      </c>
      <c r="G1370" t="s">
        <v>8607</v>
      </c>
      <c r="H1370">
        <v>27</v>
      </c>
      <c r="I1370" t="s">
        <v>9296</v>
      </c>
      <c r="J1370" t="str">
        <f t="shared" si="21"/>
        <v>13F-HR-5.27.C1</v>
      </c>
      <c r="K1370" s="5" t="s">
        <v>8608</v>
      </c>
      <c r="L1370" t="s">
        <v>229</v>
      </c>
      <c r="M1370" t="s">
        <v>8609</v>
      </c>
      <c r="N1370" t="s">
        <v>8610</v>
      </c>
      <c r="Q1370" s="28" t="s">
        <v>8832</v>
      </c>
    </row>
    <row r="1371" spans="1:17" x14ac:dyDescent="0.35">
      <c r="A1371" t="s">
        <v>8520</v>
      </c>
      <c r="B1371" s="3" t="s">
        <v>102</v>
      </c>
      <c r="F1371">
        <v>5</v>
      </c>
      <c r="G1371" t="s">
        <v>8607</v>
      </c>
      <c r="H1371">
        <v>28</v>
      </c>
      <c r="I1371" t="s">
        <v>9297</v>
      </c>
      <c r="J1371" t="str">
        <f t="shared" si="21"/>
        <v>13F-HR-5.28.C2</v>
      </c>
      <c r="K1371" s="5" t="s">
        <v>8612</v>
      </c>
      <c r="L1371" t="s">
        <v>229</v>
      </c>
      <c r="M1371" t="s">
        <v>8613</v>
      </c>
      <c r="N1371" t="s">
        <v>8614</v>
      </c>
      <c r="Q1371" s="28" t="s">
        <v>8615</v>
      </c>
    </row>
    <row r="1372" spans="1:17" x14ac:dyDescent="0.35">
      <c r="A1372" t="s">
        <v>8520</v>
      </c>
      <c r="B1372" s="3" t="s">
        <v>102</v>
      </c>
      <c r="F1372">
        <v>5</v>
      </c>
      <c r="G1372" t="s">
        <v>8607</v>
      </c>
      <c r="H1372">
        <v>29</v>
      </c>
      <c r="I1372" t="s">
        <v>9298</v>
      </c>
      <c r="J1372" t="str">
        <f t="shared" si="21"/>
        <v>13F-HR-5.29.C3</v>
      </c>
      <c r="K1372" s="5" t="s">
        <v>8616</v>
      </c>
      <c r="L1372" t="s">
        <v>229</v>
      </c>
      <c r="M1372" t="s">
        <v>7927</v>
      </c>
      <c r="N1372" t="s">
        <v>8617</v>
      </c>
      <c r="Q1372" s="28">
        <v>337932107</v>
      </c>
    </row>
    <row r="1373" spans="1:17" x14ac:dyDescent="0.35">
      <c r="A1373" t="s">
        <v>8520</v>
      </c>
      <c r="B1373" s="3" t="s">
        <v>102</v>
      </c>
      <c r="F1373">
        <v>5</v>
      </c>
      <c r="G1373" t="s">
        <v>8607</v>
      </c>
      <c r="H1373">
        <v>30</v>
      </c>
      <c r="I1373" t="s">
        <v>9299</v>
      </c>
      <c r="J1373" t="str">
        <f t="shared" si="21"/>
        <v>13F-HR-5.30.C4</v>
      </c>
      <c r="K1373" s="5" t="s">
        <v>8618</v>
      </c>
      <c r="L1373" t="s">
        <v>8619</v>
      </c>
      <c r="M1373" t="s">
        <v>8620</v>
      </c>
      <c r="N1373" t="s">
        <v>8621</v>
      </c>
      <c r="Q1373" s="28">
        <v>7229157</v>
      </c>
    </row>
    <row r="1374" spans="1:17" x14ac:dyDescent="0.35">
      <c r="A1374" t="s">
        <v>8520</v>
      </c>
      <c r="B1374" s="3" t="s">
        <v>102</v>
      </c>
      <c r="F1374">
        <v>5</v>
      </c>
      <c r="G1374" t="s">
        <v>8607</v>
      </c>
      <c r="H1374">
        <v>31</v>
      </c>
      <c r="I1374" t="s">
        <v>9300</v>
      </c>
      <c r="J1374" t="str">
        <f t="shared" si="21"/>
        <v>13F-HR-5.31.C5</v>
      </c>
      <c r="K1374" s="5" t="s">
        <v>8622</v>
      </c>
      <c r="L1374" t="s">
        <v>241</v>
      </c>
      <c r="M1374" t="s">
        <v>8623</v>
      </c>
      <c r="N1374" t="s">
        <v>8624</v>
      </c>
      <c r="Q1374" s="28">
        <v>178851</v>
      </c>
    </row>
    <row r="1375" spans="1:17" x14ac:dyDescent="0.35">
      <c r="A1375" t="s">
        <v>8520</v>
      </c>
      <c r="B1375" s="3" t="s">
        <v>102</v>
      </c>
      <c r="F1375">
        <v>5</v>
      </c>
      <c r="G1375" t="s">
        <v>8607</v>
      </c>
      <c r="H1375">
        <v>32</v>
      </c>
      <c r="I1375" t="s">
        <v>9301</v>
      </c>
      <c r="J1375" t="str">
        <f t="shared" si="21"/>
        <v>13F-HR-5.32.C6</v>
      </c>
      <c r="K1375" s="5" t="s">
        <v>8625</v>
      </c>
      <c r="L1375" t="s">
        <v>229</v>
      </c>
      <c r="M1375" t="s">
        <v>8626</v>
      </c>
      <c r="N1375" t="s">
        <v>8627</v>
      </c>
      <c r="Q1375" s="28" t="s">
        <v>8628</v>
      </c>
    </row>
    <row r="1376" spans="1:17" x14ac:dyDescent="0.35">
      <c r="A1376" t="s">
        <v>8520</v>
      </c>
      <c r="B1376" s="3" t="s">
        <v>102</v>
      </c>
      <c r="F1376">
        <v>5</v>
      </c>
      <c r="G1376" t="s">
        <v>8607</v>
      </c>
      <c r="H1376">
        <v>33</v>
      </c>
      <c r="I1376" t="s">
        <v>9302</v>
      </c>
      <c r="J1376" t="str">
        <f t="shared" si="21"/>
        <v>13F-HR-5.33.C7</v>
      </c>
      <c r="K1376" s="5" t="s">
        <v>8629</v>
      </c>
      <c r="L1376" t="s">
        <v>229</v>
      </c>
      <c r="M1376" t="s">
        <v>8630</v>
      </c>
      <c r="N1376" t="s">
        <v>8631</v>
      </c>
      <c r="Q1376" s="28" t="s">
        <v>8685</v>
      </c>
    </row>
    <row r="1377" spans="1:17" x14ac:dyDescent="0.35">
      <c r="A1377" t="s">
        <v>8520</v>
      </c>
      <c r="B1377" s="3" t="s">
        <v>102</v>
      </c>
      <c r="F1377">
        <v>5</v>
      </c>
      <c r="G1377" t="s">
        <v>8607</v>
      </c>
      <c r="H1377">
        <v>34</v>
      </c>
      <c r="I1377" t="s">
        <v>9303</v>
      </c>
      <c r="J1377" t="str">
        <f t="shared" si="21"/>
        <v>13F-HR-5.34.C8</v>
      </c>
      <c r="K1377" s="5" t="s">
        <v>8633</v>
      </c>
      <c r="L1377" t="s">
        <v>4735</v>
      </c>
      <c r="M1377" t="s">
        <v>8634</v>
      </c>
      <c r="N1377" t="s">
        <v>8635</v>
      </c>
      <c r="Q1377" s="28" t="s">
        <v>8632</v>
      </c>
    </row>
    <row r="1378" spans="1:17" x14ac:dyDescent="0.35">
      <c r="A1378" t="s">
        <v>8520</v>
      </c>
      <c r="B1378" s="3" t="s">
        <v>102</v>
      </c>
      <c r="F1378">
        <v>5</v>
      </c>
      <c r="G1378" t="s">
        <v>8607</v>
      </c>
      <c r="H1378">
        <v>35</v>
      </c>
      <c r="I1378" t="s">
        <v>9304</v>
      </c>
      <c r="J1378" t="str">
        <f t="shared" si="21"/>
        <v>13F-HR-5.35.C9</v>
      </c>
      <c r="K1378" s="5" t="s">
        <v>8637</v>
      </c>
      <c r="L1378" t="s">
        <v>229</v>
      </c>
      <c r="M1378" t="s">
        <v>8638</v>
      </c>
      <c r="N1378" t="s">
        <v>8639</v>
      </c>
      <c r="Q1378" s="28" t="s">
        <v>8636</v>
      </c>
    </row>
    <row r="1379" spans="1:17" x14ac:dyDescent="0.35">
      <c r="A1379" t="s">
        <v>8520</v>
      </c>
      <c r="B1379" s="3" t="s">
        <v>102</v>
      </c>
      <c r="F1379">
        <v>5</v>
      </c>
      <c r="G1379" t="s">
        <v>8607</v>
      </c>
      <c r="H1379">
        <v>36</v>
      </c>
      <c r="I1379" t="s">
        <v>9305</v>
      </c>
      <c r="J1379" t="str">
        <f t="shared" si="21"/>
        <v>13F-HR-5.36.C10</v>
      </c>
      <c r="K1379" s="5" t="s">
        <v>8640</v>
      </c>
      <c r="L1379" t="s">
        <v>241</v>
      </c>
      <c r="M1379" t="s">
        <v>8641</v>
      </c>
      <c r="N1379" t="s">
        <v>8642</v>
      </c>
      <c r="Q1379" s="28">
        <v>0</v>
      </c>
    </row>
    <row r="1380" spans="1:17" x14ac:dyDescent="0.35">
      <c r="A1380" t="s">
        <v>8520</v>
      </c>
      <c r="B1380" s="3" t="s">
        <v>102</v>
      </c>
      <c r="F1380">
        <v>5</v>
      </c>
      <c r="G1380" t="s">
        <v>8607</v>
      </c>
      <c r="H1380">
        <v>37</v>
      </c>
      <c r="I1380" t="s">
        <v>9306</v>
      </c>
      <c r="J1380" t="str">
        <f t="shared" si="21"/>
        <v>13F-HR-5.37.C11</v>
      </c>
      <c r="K1380" s="5" t="s">
        <v>8643</v>
      </c>
      <c r="L1380" t="s">
        <v>241</v>
      </c>
      <c r="M1380" t="s">
        <v>8644</v>
      </c>
      <c r="N1380" t="s">
        <v>8645</v>
      </c>
      <c r="Q1380" s="28">
        <v>0</v>
      </c>
    </row>
    <row r="1381" spans="1:17" x14ac:dyDescent="0.35">
      <c r="A1381" t="s">
        <v>8520</v>
      </c>
      <c r="B1381" s="3" t="s">
        <v>102</v>
      </c>
      <c r="F1381">
        <v>5</v>
      </c>
      <c r="G1381" t="s">
        <v>8607</v>
      </c>
      <c r="H1381">
        <v>38</v>
      </c>
      <c r="I1381" t="s">
        <v>9307</v>
      </c>
      <c r="J1381" t="str">
        <f t="shared" si="21"/>
        <v>13F-HR-5.38.C12</v>
      </c>
      <c r="K1381" s="5" t="s">
        <v>8646</v>
      </c>
      <c r="L1381" t="s">
        <v>241</v>
      </c>
      <c r="M1381" t="s">
        <v>8647</v>
      </c>
      <c r="N1381" t="s">
        <v>8648</v>
      </c>
      <c r="Q1381" s="28">
        <v>178851</v>
      </c>
    </row>
    <row r="1382" spans="1:17" x14ac:dyDescent="0.35">
      <c r="A1382" t="s">
        <v>8520</v>
      </c>
      <c r="B1382" s="3" t="s">
        <v>102</v>
      </c>
      <c r="F1382">
        <v>5</v>
      </c>
      <c r="G1382" t="s">
        <v>8607</v>
      </c>
      <c r="H1382">
        <v>27</v>
      </c>
      <c r="I1382" t="s">
        <v>9296</v>
      </c>
      <c r="J1382" t="str">
        <f t="shared" si="21"/>
        <v>13F-HR-5.27.C1</v>
      </c>
      <c r="K1382" s="5" t="s">
        <v>8608</v>
      </c>
      <c r="L1382" t="s">
        <v>229</v>
      </c>
      <c r="M1382" t="s">
        <v>8609</v>
      </c>
      <c r="N1382" t="s">
        <v>8610</v>
      </c>
      <c r="Q1382" s="28" t="s">
        <v>8833</v>
      </c>
    </row>
    <row r="1383" spans="1:17" x14ac:dyDescent="0.35">
      <c r="A1383" t="s">
        <v>8520</v>
      </c>
      <c r="B1383" s="3" t="s">
        <v>102</v>
      </c>
      <c r="F1383">
        <v>5</v>
      </c>
      <c r="G1383" t="s">
        <v>8607</v>
      </c>
      <c r="H1383">
        <v>28</v>
      </c>
      <c r="I1383" t="s">
        <v>9297</v>
      </c>
      <c r="J1383" t="str">
        <f t="shared" si="21"/>
        <v>13F-HR-5.28.C2</v>
      </c>
      <c r="K1383" s="5" t="s">
        <v>8612</v>
      </c>
      <c r="L1383" t="s">
        <v>229</v>
      </c>
      <c r="M1383" t="s">
        <v>8613</v>
      </c>
      <c r="N1383" t="s">
        <v>8614</v>
      </c>
      <c r="Q1383" s="28" t="s">
        <v>8834</v>
      </c>
    </row>
    <row r="1384" spans="1:17" x14ac:dyDescent="0.35">
      <c r="A1384" t="s">
        <v>8520</v>
      </c>
      <c r="B1384" s="3" t="s">
        <v>102</v>
      </c>
      <c r="F1384">
        <v>5</v>
      </c>
      <c r="G1384" t="s">
        <v>8607</v>
      </c>
      <c r="H1384">
        <v>29</v>
      </c>
      <c r="I1384" t="s">
        <v>9298</v>
      </c>
      <c r="J1384" t="str">
        <f t="shared" si="21"/>
        <v>13F-HR-5.29.C3</v>
      </c>
      <c r="K1384" s="5" t="s">
        <v>8616</v>
      </c>
      <c r="L1384" t="s">
        <v>229</v>
      </c>
      <c r="M1384" t="s">
        <v>7927</v>
      </c>
      <c r="N1384" t="s">
        <v>8617</v>
      </c>
      <c r="Q1384" s="28" t="s">
        <v>8835</v>
      </c>
    </row>
    <row r="1385" spans="1:17" x14ac:dyDescent="0.35">
      <c r="A1385" t="s">
        <v>8520</v>
      </c>
      <c r="B1385" s="3" t="s">
        <v>102</v>
      </c>
      <c r="F1385">
        <v>5</v>
      </c>
      <c r="G1385" t="s">
        <v>8607</v>
      </c>
      <c r="H1385">
        <v>30</v>
      </c>
      <c r="I1385" t="s">
        <v>9299</v>
      </c>
      <c r="J1385" t="str">
        <f t="shared" si="21"/>
        <v>13F-HR-5.30.C4</v>
      </c>
      <c r="K1385" s="5" t="s">
        <v>8618</v>
      </c>
      <c r="L1385" t="s">
        <v>8619</v>
      </c>
      <c r="M1385" t="s">
        <v>8620</v>
      </c>
      <c r="N1385" t="s">
        <v>8621</v>
      </c>
      <c r="Q1385" s="28">
        <v>13675865</v>
      </c>
    </row>
    <row r="1386" spans="1:17" x14ac:dyDescent="0.35">
      <c r="A1386" t="s">
        <v>8520</v>
      </c>
      <c r="B1386" s="3" t="s">
        <v>102</v>
      </c>
      <c r="F1386">
        <v>5</v>
      </c>
      <c r="G1386" t="s">
        <v>8607</v>
      </c>
      <c r="H1386">
        <v>31</v>
      </c>
      <c r="I1386" t="s">
        <v>9300</v>
      </c>
      <c r="J1386" t="str">
        <f t="shared" si="21"/>
        <v>13F-HR-5.31.C5</v>
      </c>
      <c r="K1386" s="5" t="s">
        <v>8622</v>
      </c>
      <c r="L1386" t="s">
        <v>241</v>
      </c>
      <c r="M1386" t="s">
        <v>8623</v>
      </c>
      <c r="N1386" t="s">
        <v>8624</v>
      </c>
      <c r="Q1386" s="28">
        <v>361222</v>
      </c>
    </row>
    <row r="1387" spans="1:17" x14ac:dyDescent="0.35">
      <c r="A1387" t="s">
        <v>8520</v>
      </c>
      <c r="B1387" s="3" t="s">
        <v>102</v>
      </c>
      <c r="F1387">
        <v>5</v>
      </c>
      <c r="G1387" t="s">
        <v>8607</v>
      </c>
      <c r="H1387">
        <v>32</v>
      </c>
      <c r="I1387" t="s">
        <v>9301</v>
      </c>
      <c r="J1387" t="str">
        <f t="shared" si="21"/>
        <v>13F-HR-5.32.C6</v>
      </c>
      <c r="K1387" s="5" t="s">
        <v>8625</v>
      </c>
      <c r="L1387" t="s">
        <v>229</v>
      </c>
      <c r="M1387" t="s">
        <v>8626</v>
      </c>
      <c r="N1387" t="s">
        <v>8627</v>
      </c>
      <c r="Q1387" s="28" t="s">
        <v>8628</v>
      </c>
    </row>
    <row r="1388" spans="1:17" x14ac:dyDescent="0.35">
      <c r="A1388" t="s">
        <v>8520</v>
      </c>
      <c r="B1388" s="3" t="s">
        <v>102</v>
      </c>
      <c r="F1388">
        <v>5</v>
      </c>
      <c r="G1388" t="s">
        <v>8607</v>
      </c>
      <c r="H1388">
        <v>33</v>
      </c>
      <c r="I1388" t="s">
        <v>9302</v>
      </c>
      <c r="J1388" t="str">
        <f t="shared" si="21"/>
        <v>13F-HR-5.33.C7</v>
      </c>
      <c r="K1388" s="5" t="s">
        <v>8629</v>
      </c>
      <c r="L1388" t="s">
        <v>229</v>
      </c>
      <c r="M1388" t="s">
        <v>8630</v>
      </c>
      <c r="N1388" t="s">
        <v>8631</v>
      </c>
      <c r="Q1388" s="28" t="s">
        <v>8685</v>
      </c>
    </row>
    <row r="1389" spans="1:17" x14ac:dyDescent="0.35">
      <c r="A1389" t="s">
        <v>8520</v>
      </c>
      <c r="B1389" s="3" t="s">
        <v>102</v>
      </c>
      <c r="F1389">
        <v>5</v>
      </c>
      <c r="G1389" t="s">
        <v>8607</v>
      </c>
      <c r="H1389">
        <v>34</v>
      </c>
      <c r="I1389" t="s">
        <v>9303</v>
      </c>
      <c r="J1389" t="str">
        <f t="shared" si="21"/>
        <v>13F-HR-5.34.C8</v>
      </c>
      <c r="K1389" s="5" t="s">
        <v>8633</v>
      </c>
      <c r="L1389" t="s">
        <v>4735</v>
      </c>
      <c r="M1389" t="s">
        <v>8634</v>
      </c>
      <c r="N1389" t="s">
        <v>8635</v>
      </c>
      <c r="Q1389" s="28" t="s">
        <v>8632</v>
      </c>
    </row>
    <row r="1390" spans="1:17" x14ac:dyDescent="0.35">
      <c r="A1390" t="s">
        <v>8520</v>
      </c>
      <c r="B1390" s="3" t="s">
        <v>102</v>
      </c>
      <c r="F1390">
        <v>5</v>
      </c>
      <c r="G1390" t="s">
        <v>8607</v>
      </c>
      <c r="H1390">
        <v>35</v>
      </c>
      <c r="I1390" t="s">
        <v>9304</v>
      </c>
      <c r="J1390" t="str">
        <f t="shared" si="21"/>
        <v>13F-HR-5.35.C9</v>
      </c>
      <c r="K1390" s="5" t="s">
        <v>8637</v>
      </c>
      <c r="L1390" t="s">
        <v>229</v>
      </c>
      <c r="M1390" t="s">
        <v>8638</v>
      </c>
      <c r="N1390" t="s">
        <v>8639</v>
      </c>
      <c r="Q1390" s="28" t="s">
        <v>8636</v>
      </c>
    </row>
    <row r="1391" spans="1:17" x14ac:dyDescent="0.35">
      <c r="A1391" t="s">
        <v>8520</v>
      </c>
      <c r="B1391" s="3" t="s">
        <v>102</v>
      </c>
      <c r="F1391">
        <v>5</v>
      </c>
      <c r="G1391" t="s">
        <v>8607</v>
      </c>
      <c r="H1391">
        <v>36</v>
      </c>
      <c r="I1391" t="s">
        <v>9305</v>
      </c>
      <c r="J1391" t="str">
        <f t="shared" si="21"/>
        <v>13F-HR-5.36.C10</v>
      </c>
      <c r="K1391" s="5" t="s">
        <v>8640</v>
      </c>
      <c r="L1391" t="s">
        <v>241</v>
      </c>
      <c r="M1391" t="s">
        <v>8641</v>
      </c>
      <c r="N1391" t="s">
        <v>8642</v>
      </c>
      <c r="Q1391" s="28">
        <v>291061</v>
      </c>
    </row>
    <row r="1392" spans="1:17" x14ac:dyDescent="0.35">
      <c r="A1392" t="s">
        <v>8520</v>
      </c>
      <c r="B1392" s="3" t="s">
        <v>102</v>
      </c>
      <c r="F1392">
        <v>5</v>
      </c>
      <c r="G1392" t="s">
        <v>8607</v>
      </c>
      <c r="H1392">
        <v>37</v>
      </c>
      <c r="I1392" t="s">
        <v>9306</v>
      </c>
      <c r="J1392" t="str">
        <f t="shared" si="21"/>
        <v>13F-HR-5.37.C11</v>
      </c>
      <c r="K1392" s="5" t="s">
        <v>8643</v>
      </c>
      <c r="L1392" t="s">
        <v>241</v>
      </c>
      <c r="M1392" t="s">
        <v>8644</v>
      </c>
      <c r="N1392" t="s">
        <v>8645</v>
      </c>
      <c r="Q1392" s="28">
        <v>0</v>
      </c>
    </row>
    <row r="1393" spans="1:17" x14ac:dyDescent="0.35">
      <c r="A1393" t="s">
        <v>8520</v>
      </c>
      <c r="B1393" s="3" t="s">
        <v>102</v>
      </c>
      <c r="F1393">
        <v>5</v>
      </c>
      <c r="G1393" t="s">
        <v>8607</v>
      </c>
      <c r="H1393">
        <v>38</v>
      </c>
      <c r="I1393" t="s">
        <v>9307</v>
      </c>
      <c r="J1393" t="str">
        <f t="shared" si="21"/>
        <v>13F-HR-5.38.C12</v>
      </c>
      <c r="K1393" s="5" t="s">
        <v>8646</v>
      </c>
      <c r="L1393" t="s">
        <v>241</v>
      </c>
      <c r="M1393" t="s">
        <v>8647</v>
      </c>
      <c r="N1393" t="s">
        <v>8648</v>
      </c>
      <c r="Q1393" s="28">
        <v>70161</v>
      </c>
    </row>
    <row r="1394" spans="1:17" x14ac:dyDescent="0.35">
      <c r="A1394" t="s">
        <v>8520</v>
      </c>
      <c r="B1394" s="3" t="s">
        <v>102</v>
      </c>
      <c r="F1394">
        <v>5</v>
      </c>
      <c r="G1394" t="s">
        <v>8607</v>
      </c>
      <c r="H1394">
        <v>27</v>
      </c>
      <c r="I1394" t="s">
        <v>9296</v>
      </c>
      <c r="J1394" t="str">
        <f t="shared" si="21"/>
        <v>13F-HR-5.27.C1</v>
      </c>
      <c r="K1394" s="5" t="s">
        <v>8608</v>
      </c>
      <c r="L1394" t="s">
        <v>229</v>
      </c>
      <c r="M1394" t="s">
        <v>8609</v>
      </c>
      <c r="N1394" t="s">
        <v>8610</v>
      </c>
      <c r="Q1394" s="28" t="s">
        <v>8836</v>
      </c>
    </row>
    <row r="1395" spans="1:17" x14ac:dyDescent="0.35">
      <c r="A1395" t="s">
        <v>8520</v>
      </c>
      <c r="B1395" s="3" t="s">
        <v>102</v>
      </c>
      <c r="F1395">
        <v>5</v>
      </c>
      <c r="G1395" t="s">
        <v>8607</v>
      </c>
      <c r="H1395">
        <v>28</v>
      </c>
      <c r="I1395" t="s">
        <v>9297</v>
      </c>
      <c r="J1395" t="str">
        <f t="shared" si="21"/>
        <v>13F-HR-5.28.C2</v>
      </c>
      <c r="K1395" s="5" t="s">
        <v>8612</v>
      </c>
      <c r="L1395" t="s">
        <v>229</v>
      </c>
      <c r="M1395" t="s">
        <v>8613</v>
      </c>
      <c r="N1395" t="s">
        <v>8614</v>
      </c>
      <c r="Q1395" s="28" t="s">
        <v>8615</v>
      </c>
    </row>
    <row r="1396" spans="1:17" x14ac:dyDescent="0.35">
      <c r="A1396" t="s">
        <v>8520</v>
      </c>
      <c r="B1396" s="3" t="s">
        <v>102</v>
      </c>
      <c r="F1396">
        <v>5</v>
      </c>
      <c r="G1396" t="s">
        <v>8607</v>
      </c>
      <c r="H1396">
        <v>29</v>
      </c>
      <c r="I1396" t="s">
        <v>9298</v>
      </c>
      <c r="J1396" t="str">
        <f t="shared" si="21"/>
        <v>13F-HR-5.29.C3</v>
      </c>
      <c r="K1396" s="5" t="s">
        <v>8616</v>
      </c>
      <c r="L1396" t="s">
        <v>229</v>
      </c>
      <c r="M1396" t="s">
        <v>7927</v>
      </c>
      <c r="N1396" t="s">
        <v>8617</v>
      </c>
      <c r="Q1396" s="28">
        <v>359694106</v>
      </c>
    </row>
    <row r="1397" spans="1:17" x14ac:dyDescent="0.35">
      <c r="A1397" t="s">
        <v>8520</v>
      </c>
      <c r="B1397" s="3" t="s">
        <v>102</v>
      </c>
      <c r="F1397">
        <v>5</v>
      </c>
      <c r="G1397" t="s">
        <v>8607</v>
      </c>
      <c r="H1397">
        <v>30</v>
      </c>
      <c r="I1397" t="s">
        <v>9299</v>
      </c>
      <c r="J1397" t="str">
        <f t="shared" si="21"/>
        <v>13F-HR-5.30.C4</v>
      </c>
      <c r="K1397" s="5" t="s">
        <v>8618</v>
      </c>
      <c r="L1397" t="s">
        <v>8619</v>
      </c>
      <c r="M1397" t="s">
        <v>8620</v>
      </c>
      <c r="N1397" t="s">
        <v>8621</v>
      </c>
      <c r="Q1397" s="28">
        <v>1522816</v>
      </c>
    </row>
    <row r="1398" spans="1:17" x14ac:dyDescent="0.35">
      <c r="A1398" t="s">
        <v>8520</v>
      </c>
      <c r="B1398" s="3" t="s">
        <v>102</v>
      </c>
      <c r="F1398">
        <v>5</v>
      </c>
      <c r="G1398" t="s">
        <v>8607</v>
      </c>
      <c r="H1398">
        <v>31</v>
      </c>
      <c r="I1398" t="s">
        <v>9300</v>
      </c>
      <c r="J1398" t="str">
        <f t="shared" si="21"/>
        <v>13F-HR-5.31.C5</v>
      </c>
      <c r="K1398" s="5" t="s">
        <v>8622</v>
      </c>
      <c r="L1398" t="s">
        <v>241</v>
      </c>
      <c r="M1398" t="s">
        <v>8623</v>
      </c>
      <c r="N1398" t="s">
        <v>8624</v>
      </c>
      <c r="Q1398" s="28">
        <v>27135</v>
      </c>
    </row>
    <row r="1399" spans="1:17" x14ac:dyDescent="0.35">
      <c r="A1399" t="s">
        <v>8520</v>
      </c>
      <c r="B1399" s="3" t="s">
        <v>102</v>
      </c>
      <c r="F1399">
        <v>5</v>
      </c>
      <c r="G1399" t="s">
        <v>8607</v>
      </c>
      <c r="H1399">
        <v>32</v>
      </c>
      <c r="I1399" t="s">
        <v>9301</v>
      </c>
      <c r="J1399" t="str">
        <f t="shared" si="21"/>
        <v>13F-HR-5.32.C6</v>
      </c>
      <c r="K1399" s="5" t="s">
        <v>8625</v>
      </c>
      <c r="L1399" t="s">
        <v>229</v>
      </c>
      <c r="M1399" t="s">
        <v>8626</v>
      </c>
      <c r="N1399" t="s">
        <v>8627</v>
      </c>
      <c r="Q1399" s="28" t="s">
        <v>8628</v>
      </c>
    </row>
    <row r="1400" spans="1:17" x14ac:dyDescent="0.35">
      <c r="A1400" t="s">
        <v>8520</v>
      </c>
      <c r="B1400" s="3" t="s">
        <v>102</v>
      </c>
      <c r="F1400">
        <v>5</v>
      </c>
      <c r="G1400" t="s">
        <v>8607</v>
      </c>
      <c r="H1400">
        <v>33</v>
      </c>
      <c r="I1400" t="s">
        <v>9302</v>
      </c>
      <c r="J1400" t="str">
        <f t="shared" si="21"/>
        <v>13F-HR-5.33.C7</v>
      </c>
      <c r="K1400" s="5" t="s">
        <v>8629</v>
      </c>
      <c r="L1400" t="s">
        <v>229</v>
      </c>
      <c r="M1400" t="s">
        <v>8630</v>
      </c>
      <c r="N1400" t="s">
        <v>8631</v>
      </c>
      <c r="Q1400" s="28" t="s">
        <v>8685</v>
      </c>
    </row>
    <row r="1401" spans="1:17" x14ac:dyDescent="0.35">
      <c r="A1401" t="s">
        <v>8520</v>
      </c>
      <c r="B1401" s="3" t="s">
        <v>102</v>
      </c>
      <c r="F1401">
        <v>5</v>
      </c>
      <c r="G1401" t="s">
        <v>8607</v>
      </c>
      <c r="H1401">
        <v>34</v>
      </c>
      <c r="I1401" t="s">
        <v>9303</v>
      </c>
      <c r="J1401" t="str">
        <f t="shared" si="21"/>
        <v>13F-HR-5.34.C8</v>
      </c>
      <c r="K1401" s="5" t="s">
        <v>8633</v>
      </c>
      <c r="L1401" t="s">
        <v>4735</v>
      </c>
      <c r="M1401" t="s">
        <v>8634</v>
      </c>
      <c r="N1401" t="s">
        <v>8635</v>
      </c>
      <c r="Q1401" s="28" t="s">
        <v>8632</v>
      </c>
    </row>
    <row r="1402" spans="1:17" x14ac:dyDescent="0.35">
      <c r="A1402" t="s">
        <v>8520</v>
      </c>
      <c r="B1402" s="3" t="s">
        <v>102</v>
      </c>
      <c r="F1402">
        <v>5</v>
      </c>
      <c r="G1402" t="s">
        <v>8607</v>
      </c>
      <c r="H1402">
        <v>35</v>
      </c>
      <c r="I1402" t="s">
        <v>9304</v>
      </c>
      <c r="J1402" t="str">
        <f t="shared" si="21"/>
        <v>13F-HR-5.35.C9</v>
      </c>
      <c r="K1402" s="5" t="s">
        <v>8637</v>
      </c>
      <c r="L1402" t="s">
        <v>229</v>
      </c>
      <c r="M1402" t="s">
        <v>8638</v>
      </c>
      <c r="N1402" t="s">
        <v>8639</v>
      </c>
      <c r="Q1402" s="28" t="s">
        <v>8636</v>
      </c>
    </row>
    <row r="1403" spans="1:17" x14ac:dyDescent="0.35">
      <c r="A1403" t="s">
        <v>8520</v>
      </c>
      <c r="B1403" s="3" t="s">
        <v>102</v>
      </c>
      <c r="F1403">
        <v>5</v>
      </c>
      <c r="G1403" t="s">
        <v>8607</v>
      </c>
      <c r="H1403">
        <v>36</v>
      </c>
      <c r="I1403" t="s">
        <v>9305</v>
      </c>
      <c r="J1403" t="str">
        <f t="shared" si="21"/>
        <v>13F-HR-5.36.C10</v>
      </c>
      <c r="K1403" s="5" t="s">
        <v>8640</v>
      </c>
      <c r="L1403" t="s">
        <v>241</v>
      </c>
      <c r="M1403" t="s">
        <v>8641</v>
      </c>
      <c r="N1403" t="s">
        <v>8642</v>
      </c>
      <c r="Q1403" s="28">
        <v>0</v>
      </c>
    </row>
    <row r="1404" spans="1:17" x14ac:dyDescent="0.35">
      <c r="A1404" t="s">
        <v>8520</v>
      </c>
      <c r="B1404" s="3" t="s">
        <v>102</v>
      </c>
      <c r="F1404">
        <v>5</v>
      </c>
      <c r="G1404" t="s">
        <v>8607</v>
      </c>
      <c r="H1404">
        <v>37</v>
      </c>
      <c r="I1404" t="s">
        <v>9306</v>
      </c>
      <c r="J1404" t="str">
        <f t="shared" si="21"/>
        <v>13F-HR-5.37.C11</v>
      </c>
      <c r="K1404" s="5" t="s">
        <v>8643</v>
      </c>
      <c r="L1404" t="s">
        <v>241</v>
      </c>
      <c r="M1404" t="s">
        <v>8644</v>
      </c>
      <c r="N1404" t="s">
        <v>8645</v>
      </c>
      <c r="Q1404" s="28">
        <v>0</v>
      </c>
    </row>
    <row r="1405" spans="1:17" x14ac:dyDescent="0.35">
      <c r="A1405" t="s">
        <v>8520</v>
      </c>
      <c r="B1405" s="3" t="s">
        <v>102</v>
      </c>
      <c r="F1405">
        <v>5</v>
      </c>
      <c r="G1405" t="s">
        <v>8607</v>
      </c>
      <c r="H1405">
        <v>38</v>
      </c>
      <c r="I1405" t="s">
        <v>9307</v>
      </c>
      <c r="J1405" t="str">
        <f t="shared" si="21"/>
        <v>13F-HR-5.38.C12</v>
      </c>
      <c r="K1405" s="5" t="s">
        <v>8646</v>
      </c>
      <c r="L1405" t="s">
        <v>241</v>
      </c>
      <c r="M1405" t="s">
        <v>8647</v>
      </c>
      <c r="N1405" t="s">
        <v>8648</v>
      </c>
      <c r="Q1405" s="28">
        <v>27135</v>
      </c>
    </row>
    <row r="1406" spans="1:17" x14ac:dyDescent="0.35">
      <c r="A1406" t="s">
        <v>8520</v>
      </c>
      <c r="B1406" s="3" t="s">
        <v>102</v>
      </c>
      <c r="F1406">
        <v>5</v>
      </c>
      <c r="G1406" t="s">
        <v>8607</v>
      </c>
      <c r="H1406">
        <v>27</v>
      </c>
      <c r="I1406" t="s">
        <v>9296</v>
      </c>
      <c r="J1406" t="str">
        <f t="shared" si="21"/>
        <v>13F-HR-5.27.C1</v>
      </c>
      <c r="K1406" s="5" t="s">
        <v>8608</v>
      </c>
      <c r="L1406" t="s">
        <v>229</v>
      </c>
      <c r="M1406" t="s">
        <v>8609</v>
      </c>
      <c r="N1406" t="s">
        <v>8610</v>
      </c>
      <c r="Q1406" s="28" t="s">
        <v>8837</v>
      </c>
    </row>
    <row r="1407" spans="1:17" x14ac:dyDescent="0.35">
      <c r="A1407" t="s">
        <v>8520</v>
      </c>
      <c r="B1407" s="3" t="s">
        <v>102</v>
      </c>
      <c r="F1407">
        <v>5</v>
      </c>
      <c r="G1407" t="s">
        <v>8607</v>
      </c>
      <c r="H1407">
        <v>28</v>
      </c>
      <c r="I1407" t="s">
        <v>9297</v>
      </c>
      <c r="J1407" t="str">
        <f t="shared" si="21"/>
        <v>13F-HR-5.28.C2</v>
      </c>
      <c r="K1407" s="5" t="s">
        <v>8612</v>
      </c>
      <c r="L1407" t="s">
        <v>229</v>
      </c>
      <c r="M1407" t="s">
        <v>8613</v>
      </c>
      <c r="N1407" t="s">
        <v>8614</v>
      </c>
      <c r="Q1407" s="28" t="s">
        <v>8615</v>
      </c>
    </row>
    <row r="1408" spans="1:17" x14ac:dyDescent="0.35">
      <c r="A1408" t="s">
        <v>8520</v>
      </c>
      <c r="B1408" s="3" t="s">
        <v>102</v>
      </c>
      <c r="F1408">
        <v>5</v>
      </c>
      <c r="G1408" t="s">
        <v>8607</v>
      </c>
      <c r="H1408">
        <v>29</v>
      </c>
      <c r="I1408" t="s">
        <v>9298</v>
      </c>
      <c r="J1408" t="str">
        <f t="shared" si="21"/>
        <v>13F-HR-5.29.C3</v>
      </c>
      <c r="K1408" s="5" t="s">
        <v>8616</v>
      </c>
      <c r="L1408" t="s">
        <v>229</v>
      </c>
      <c r="M1408" t="s">
        <v>7927</v>
      </c>
      <c r="N1408" t="s">
        <v>8617</v>
      </c>
      <c r="Q1408" s="28">
        <v>363576109</v>
      </c>
    </row>
    <row r="1409" spans="1:17" x14ac:dyDescent="0.35">
      <c r="A1409" t="s">
        <v>8520</v>
      </c>
      <c r="B1409" s="3" t="s">
        <v>102</v>
      </c>
      <c r="F1409">
        <v>5</v>
      </c>
      <c r="G1409" t="s">
        <v>8607</v>
      </c>
      <c r="H1409">
        <v>30</v>
      </c>
      <c r="I1409" t="s">
        <v>9299</v>
      </c>
      <c r="J1409" t="str">
        <f t="shared" si="21"/>
        <v>13F-HR-5.30.C4</v>
      </c>
      <c r="K1409" s="5" t="s">
        <v>8618</v>
      </c>
      <c r="L1409" t="s">
        <v>8619</v>
      </c>
      <c r="M1409" t="s">
        <v>8620</v>
      </c>
      <c r="N1409" t="s">
        <v>8621</v>
      </c>
      <c r="Q1409" s="28">
        <v>46786925</v>
      </c>
    </row>
    <row r="1410" spans="1:17" x14ac:dyDescent="0.35">
      <c r="A1410" t="s">
        <v>8520</v>
      </c>
      <c r="B1410" s="3" t="s">
        <v>102</v>
      </c>
      <c r="F1410">
        <v>5</v>
      </c>
      <c r="G1410" t="s">
        <v>8607</v>
      </c>
      <c r="H1410">
        <v>31</v>
      </c>
      <c r="I1410" t="s">
        <v>9300</v>
      </c>
      <c r="J1410" t="str">
        <f t="shared" si="21"/>
        <v>13F-HR-5.31.C5</v>
      </c>
      <c r="K1410" s="5" t="s">
        <v>8622</v>
      </c>
      <c r="L1410" t="s">
        <v>241</v>
      </c>
      <c r="M1410" t="s">
        <v>8623</v>
      </c>
      <c r="N1410" t="s">
        <v>8624</v>
      </c>
      <c r="Q1410" s="28">
        <v>135520</v>
      </c>
    </row>
    <row r="1411" spans="1:17" x14ac:dyDescent="0.35">
      <c r="A1411" t="s">
        <v>8520</v>
      </c>
      <c r="B1411" s="3" t="s">
        <v>102</v>
      </c>
      <c r="F1411">
        <v>5</v>
      </c>
      <c r="G1411" t="s">
        <v>8607</v>
      </c>
      <c r="H1411">
        <v>32</v>
      </c>
      <c r="I1411" t="s">
        <v>9301</v>
      </c>
      <c r="J1411" t="str">
        <f t="shared" ref="J1411:J1474" si="22">_xlfn.CONCAT(A1411,"-",F1411,".",H1411,".",I1411)</f>
        <v>13F-HR-5.32.C6</v>
      </c>
      <c r="K1411" s="5" t="s">
        <v>8625</v>
      </c>
      <c r="L1411" t="s">
        <v>229</v>
      </c>
      <c r="M1411" t="s">
        <v>8626</v>
      </c>
      <c r="N1411" t="s">
        <v>8627</v>
      </c>
      <c r="Q1411" s="28" t="s">
        <v>8628</v>
      </c>
    </row>
    <row r="1412" spans="1:17" x14ac:dyDescent="0.35">
      <c r="A1412" t="s">
        <v>8520</v>
      </c>
      <c r="B1412" s="3" t="s">
        <v>102</v>
      </c>
      <c r="F1412">
        <v>5</v>
      </c>
      <c r="G1412" t="s">
        <v>8607</v>
      </c>
      <c r="H1412">
        <v>33</v>
      </c>
      <c r="I1412" t="s">
        <v>9302</v>
      </c>
      <c r="J1412" t="str">
        <f t="shared" si="22"/>
        <v>13F-HR-5.33.C7</v>
      </c>
      <c r="K1412" s="5" t="s">
        <v>8629</v>
      </c>
      <c r="L1412" t="s">
        <v>229</v>
      </c>
      <c r="M1412" t="s">
        <v>8630</v>
      </c>
      <c r="N1412" t="s">
        <v>8631</v>
      </c>
      <c r="Q1412" s="28" t="s">
        <v>8685</v>
      </c>
    </row>
    <row r="1413" spans="1:17" x14ac:dyDescent="0.35">
      <c r="A1413" t="s">
        <v>8520</v>
      </c>
      <c r="B1413" s="3" t="s">
        <v>102</v>
      </c>
      <c r="F1413">
        <v>5</v>
      </c>
      <c r="G1413" t="s">
        <v>8607</v>
      </c>
      <c r="H1413">
        <v>34</v>
      </c>
      <c r="I1413" t="s">
        <v>9303</v>
      </c>
      <c r="J1413" t="str">
        <f t="shared" si="22"/>
        <v>13F-HR-5.34.C8</v>
      </c>
      <c r="K1413" s="5" t="s">
        <v>8633</v>
      </c>
      <c r="L1413" t="s">
        <v>4735</v>
      </c>
      <c r="M1413" t="s">
        <v>8634</v>
      </c>
      <c r="N1413" t="s">
        <v>8635</v>
      </c>
      <c r="Q1413" s="28" t="s">
        <v>8632</v>
      </c>
    </row>
    <row r="1414" spans="1:17" x14ac:dyDescent="0.35">
      <c r="A1414" t="s">
        <v>8520</v>
      </c>
      <c r="B1414" s="3" t="s">
        <v>102</v>
      </c>
      <c r="F1414">
        <v>5</v>
      </c>
      <c r="G1414" t="s">
        <v>8607</v>
      </c>
      <c r="H1414">
        <v>35</v>
      </c>
      <c r="I1414" t="s">
        <v>9304</v>
      </c>
      <c r="J1414" t="str">
        <f t="shared" si="22"/>
        <v>13F-HR-5.35.C9</v>
      </c>
      <c r="K1414" s="5" t="s">
        <v>8637</v>
      </c>
      <c r="L1414" t="s">
        <v>229</v>
      </c>
      <c r="M1414" t="s">
        <v>8638</v>
      </c>
      <c r="N1414" t="s">
        <v>8639</v>
      </c>
      <c r="Q1414" s="28" t="s">
        <v>8636</v>
      </c>
    </row>
    <row r="1415" spans="1:17" x14ac:dyDescent="0.35">
      <c r="A1415" t="s">
        <v>8520</v>
      </c>
      <c r="B1415" s="3" t="s">
        <v>102</v>
      </c>
      <c r="F1415">
        <v>5</v>
      </c>
      <c r="G1415" t="s">
        <v>8607</v>
      </c>
      <c r="H1415">
        <v>36</v>
      </c>
      <c r="I1415" t="s">
        <v>9305</v>
      </c>
      <c r="J1415" t="str">
        <f t="shared" si="22"/>
        <v>13F-HR-5.36.C10</v>
      </c>
      <c r="K1415" s="5" t="s">
        <v>8640</v>
      </c>
      <c r="L1415" t="s">
        <v>241</v>
      </c>
      <c r="M1415" t="s">
        <v>8641</v>
      </c>
      <c r="N1415" t="s">
        <v>8642</v>
      </c>
      <c r="Q1415" s="28">
        <v>53015</v>
      </c>
    </row>
    <row r="1416" spans="1:17" x14ac:dyDescent="0.35">
      <c r="A1416" t="s">
        <v>8520</v>
      </c>
      <c r="B1416" s="3" t="s">
        <v>102</v>
      </c>
      <c r="F1416">
        <v>5</v>
      </c>
      <c r="G1416" t="s">
        <v>8607</v>
      </c>
      <c r="H1416">
        <v>37</v>
      </c>
      <c r="I1416" t="s">
        <v>9306</v>
      </c>
      <c r="J1416" t="str">
        <f t="shared" si="22"/>
        <v>13F-HR-5.37.C11</v>
      </c>
      <c r="K1416" s="5" t="s">
        <v>8643</v>
      </c>
      <c r="L1416" t="s">
        <v>241</v>
      </c>
      <c r="M1416" t="s">
        <v>8644</v>
      </c>
      <c r="N1416" t="s">
        <v>8645</v>
      </c>
      <c r="Q1416" s="28">
        <v>0</v>
      </c>
    </row>
    <row r="1417" spans="1:17" x14ac:dyDescent="0.35">
      <c r="A1417" t="s">
        <v>8520</v>
      </c>
      <c r="B1417" s="3" t="s">
        <v>102</v>
      </c>
      <c r="F1417">
        <v>5</v>
      </c>
      <c r="G1417" t="s">
        <v>8607</v>
      </c>
      <c r="H1417">
        <v>38</v>
      </c>
      <c r="I1417" t="s">
        <v>9307</v>
      </c>
      <c r="J1417" t="str">
        <f t="shared" si="22"/>
        <v>13F-HR-5.38.C12</v>
      </c>
      <c r="K1417" s="5" t="s">
        <v>8646</v>
      </c>
      <c r="L1417" t="s">
        <v>241</v>
      </c>
      <c r="M1417" t="s">
        <v>8647</v>
      </c>
      <c r="N1417" t="s">
        <v>8648</v>
      </c>
      <c r="Q1417" s="28">
        <v>82505</v>
      </c>
    </row>
    <row r="1418" spans="1:17" x14ac:dyDescent="0.35">
      <c r="A1418" t="s">
        <v>8520</v>
      </c>
      <c r="B1418" s="3" t="s">
        <v>102</v>
      </c>
      <c r="F1418">
        <v>5</v>
      </c>
      <c r="G1418" t="s">
        <v>8607</v>
      </c>
      <c r="H1418">
        <v>27</v>
      </c>
      <c r="I1418" t="s">
        <v>9296</v>
      </c>
      <c r="J1418" t="str">
        <f t="shared" si="22"/>
        <v>13F-HR-5.27.C1</v>
      </c>
      <c r="K1418" s="5" t="s">
        <v>8608</v>
      </c>
      <c r="L1418" t="s">
        <v>229</v>
      </c>
      <c r="M1418" t="s">
        <v>8609</v>
      </c>
      <c r="N1418" t="s">
        <v>8610</v>
      </c>
      <c r="Q1418" s="28" t="s">
        <v>8838</v>
      </c>
    </row>
    <row r="1419" spans="1:17" x14ac:dyDescent="0.35">
      <c r="A1419" t="s">
        <v>8520</v>
      </c>
      <c r="B1419" s="3" t="s">
        <v>102</v>
      </c>
      <c r="F1419">
        <v>5</v>
      </c>
      <c r="G1419" t="s">
        <v>8607</v>
      </c>
      <c r="H1419">
        <v>28</v>
      </c>
      <c r="I1419" t="s">
        <v>9297</v>
      </c>
      <c r="J1419" t="str">
        <f t="shared" si="22"/>
        <v>13F-HR-5.28.C2</v>
      </c>
      <c r="K1419" s="5" t="s">
        <v>8612</v>
      </c>
      <c r="L1419" t="s">
        <v>229</v>
      </c>
      <c r="M1419" t="s">
        <v>8613</v>
      </c>
      <c r="N1419" t="s">
        <v>8614</v>
      </c>
      <c r="Q1419" s="28" t="s">
        <v>8615</v>
      </c>
    </row>
    <row r="1420" spans="1:17" x14ac:dyDescent="0.35">
      <c r="A1420" t="s">
        <v>8520</v>
      </c>
      <c r="B1420" s="3" t="s">
        <v>102</v>
      </c>
      <c r="F1420">
        <v>5</v>
      </c>
      <c r="G1420" t="s">
        <v>8607</v>
      </c>
      <c r="H1420">
        <v>29</v>
      </c>
      <c r="I1420" t="s">
        <v>9298</v>
      </c>
      <c r="J1420" t="str">
        <f t="shared" si="22"/>
        <v>13F-HR-5.29.C3</v>
      </c>
      <c r="K1420" s="5" t="s">
        <v>8616</v>
      </c>
      <c r="L1420" t="s">
        <v>229</v>
      </c>
      <c r="M1420" t="s">
        <v>7927</v>
      </c>
      <c r="N1420" t="s">
        <v>8617</v>
      </c>
      <c r="Q1420" s="28" t="s">
        <v>8839</v>
      </c>
    </row>
    <row r="1421" spans="1:17" x14ac:dyDescent="0.35">
      <c r="A1421" t="s">
        <v>8520</v>
      </c>
      <c r="B1421" s="3" t="s">
        <v>102</v>
      </c>
      <c r="F1421">
        <v>5</v>
      </c>
      <c r="G1421" t="s">
        <v>8607</v>
      </c>
      <c r="H1421">
        <v>30</v>
      </c>
      <c r="I1421" t="s">
        <v>9299</v>
      </c>
      <c r="J1421" t="str">
        <f t="shared" si="22"/>
        <v>13F-HR-5.30.C4</v>
      </c>
      <c r="K1421" s="5" t="s">
        <v>8618</v>
      </c>
      <c r="L1421" t="s">
        <v>8619</v>
      </c>
      <c r="M1421" t="s">
        <v>8620</v>
      </c>
      <c r="N1421" t="s">
        <v>8621</v>
      </c>
      <c r="Q1421" s="28">
        <v>36535910</v>
      </c>
    </row>
    <row r="1422" spans="1:17" x14ac:dyDescent="0.35">
      <c r="A1422" t="s">
        <v>8520</v>
      </c>
      <c r="B1422" s="3" t="s">
        <v>102</v>
      </c>
      <c r="F1422">
        <v>5</v>
      </c>
      <c r="G1422" t="s">
        <v>8607</v>
      </c>
      <c r="H1422">
        <v>31</v>
      </c>
      <c r="I1422" t="s">
        <v>9300</v>
      </c>
      <c r="J1422" t="str">
        <f t="shared" si="22"/>
        <v>13F-HR-5.31.C5</v>
      </c>
      <c r="K1422" s="5" t="s">
        <v>8622</v>
      </c>
      <c r="L1422" t="s">
        <v>241</v>
      </c>
      <c r="M1422" t="s">
        <v>8623</v>
      </c>
      <c r="N1422" t="s">
        <v>8624</v>
      </c>
      <c r="Q1422" s="28">
        <v>119680</v>
      </c>
    </row>
    <row r="1423" spans="1:17" x14ac:dyDescent="0.35">
      <c r="A1423" t="s">
        <v>8520</v>
      </c>
      <c r="B1423" s="3" t="s">
        <v>102</v>
      </c>
      <c r="F1423">
        <v>5</v>
      </c>
      <c r="G1423" t="s">
        <v>8607</v>
      </c>
      <c r="H1423">
        <v>32</v>
      </c>
      <c r="I1423" t="s">
        <v>9301</v>
      </c>
      <c r="J1423" t="str">
        <f t="shared" si="22"/>
        <v>13F-HR-5.32.C6</v>
      </c>
      <c r="K1423" s="5" t="s">
        <v>8625</v>
      </c>
      <c r="L1423" t="s">
        <v>229</v>
      </c>
      <c r="M1423" t="s">
        <v>8626</v>
      </c>
      <c r="N1423" t="s">
        <v>8627</v>
      </c>
      <c r="Q1423" s="28" t="s">
        <v>8628</v>
      </c>
    </row>
    <row r="1424" spans="1:17" x14ac:dyDescent="0.35">
      <c r="A1424" t="s">
        <v>8520</v>
      </c>
      <c r="B1424" s="3" t="s">
        <v>102</v>
      </c>
      <c r="F1424">
        <v>5</v>
      </c>
      <c r="G1424" t="s">
        <v>8607</v>
      </c>
      <c r="H1424">
        <v>33</v>
      </c>
      <c r="I1424" t="s">
        <v>9302</v>
      </c>
      <c r="J1424" t="str">
        <f t="shared" si="22"/>
        <v>13F-HR-5.33.C7</v>
      </c>
      <c r="K1424" s="5" t="s">
        <v>8629</v>
      </c>
      <c r="L1424" t="s">
        <v>229</v>
      </c>
      <c r="M1424" t="s">
        <v>8630</v>
      </c>
      <c r="N1424" t="s">
        <v>8631</v>
      </c>
      <c r="Q1424" s="28" t="s">
        <v>8685</v>
      </c>
    </row>
    <row r="1425" spans="1:17" x14ac:dyDescent="0.35">
      <c r="A1425" t="s">
        <v>8520</v>
      </c>
      <c r="B1425" s="3" t="s">
        <v>102</v>
      </c>
      <c r="F1425">
        <v>5</v>
      </c>
      <c r="G1425" t="s">
        <v>8607</v>
      </c>
      <c r="H1425">
        <v>34</v>
      </c>
      <c r="I1425" t="s">
        <v>9303</v>
      </c>
      <c r="J1425" t="str">
        <f t="shared" si="22"/>
        <v>13F-HR-5.34.C8</v>
      </c>
      <c r="K1425" s="5" t="s">
        <v>8633</v>
      </c>
      <c r="L1425" t="s">
        <v>4735</v>
      </c>
      <c r="M1425" t="s">
        <v>8634</v>
      </c>
      <c r="N1425" t="s">
        <v>8635</v>
      </c>
      <c r="Q1425" s="28" t="s">
        <v>8632</v>
      </c>
    </row>
    <row r="1426" spans="1:17" x14ac:dyDescent="0.35">
      <c r="A1426" t="s">
        <v>8520</v>
      </c>
      <c r="B1426" s="3" t="s">
        <v>102</v>
      </c>
      <c r="F1426">
        <v>5</v>
      </c>
      <c r="G1426" t="s">
        <v>8607</v>
      </c>
      <c r="H1426">
        <v>35</v>
      </c>
      <c r="I1426" t="s">
        <v>9304</v>
      </c>
      <c r="J1426" t="str">
        <f t="shared" si="22"/>
        <v>13F-HR-5.35.C9</v>
      </c>
      <c r="K1426" s="5" t="s">
        <v>8637</v>
      </c>
      <c r="L1426" t="s">
        <v>229</v>
      </c>
      <c r="M1426" t="s">
        <v>8638</v>
      </c>
      <c r="N1426" t="s">
        <v>8639</v>
      </c>
      <c r="Q1426" s="28" t="s">
        <v>8636</v>
      </c>
    </row>
    <row r="1427" spans="1:17" x14ac:dyDescent="0.35">
      <c r="A1427" t="s">
        <v>8520</v>
      </c>
      <c r="B1427" s="3" t="s">
        <v>102</v>
      </c>
      <c r="F1427">
        <v>5</v>
      </c>
      <c r="G1427" t="s">
        <v>8607</v>
      </c>
      <c r="H1427">
        <v>36</v>
      </c>
      <c r="I1427" t="s">
        <v>9305</v>
      </c>
      <c r="J1427" t="str">
        <f t="shared" si="22"/>
        <v>13F-HR-5.36.C10</v>
      </c>
      <c r="K1427" s="5" t="s">
        <v>8640</v>
      </c>
      <c r="L1427" t="s">
        <v>241</v>
      </c>
      <c r="M1427" t="s">
        <v>8641</v>
      </c>
      <c r="N1427" t="s">
        <v>8642</v>
      </c>
      <c r="Q1427" s="28">
        <v>119189</v>
      </c>
    </row>
    <row r="1428" spans="1:17" x14ac:dyDescent="0.35">
      <c r="A1428" t="s">
        <v>8520</v>
      </c>
      <c r="B1428" s="3" t="s">
        <v>102</v>
      </c>
      <c r="F1428">
        <v>5</v>
      </c>
      <c r="G1428" t="s">
        <v>8607</v>
      </c>
      <c r="H1428">
        <v>37</v>
      </c>
      <c r="I1428" t="s">
        <v>9306</v>
      </c>
      <c r="J1428" t="str">
        <f t="shared" si="22"/>
        <v>13F-HR-5.37.C11</v>
      </c>
      <c r="K1428" s="5" t="s">
        <v>8643</v>
      </c>
      <c r="L1428" t="s">
        <v>241</v>
      </c>
      <c r="M1428" t="s">
        <v>8644</v>
      </c>
      <c r="N1428" t="s">
        <v>8645</v>
      </c>
      <c r="Q1428" s="28">
        <v>0</v>
      </c>
    </row>
    <row r="1429" spans="1:17" x14ac:dyDescent="0.35">
      <c r="A1429" t="s">
        <v>8520</v>
      </c>
      <c r="B1429" s="3" t="s">
        <v>102</v>
      </c>
      <c r="F1429">
        <v>5</v>
      </c>
      <c r="G1429" t="s">
        <v>8607</v>
      </c>
      <c r="H1429">
        <v>38</v>
      </c>
      <c r="I1429" t="s">
        <v>9307</v>
      </c>
      <c r="J1429" t="str">
        <f t="shared" si="22"/>
        <v>13F-HR-5.38.C12</v>
      </c>
      <c r="K1429" s="5" t="s">
        <v>8646</v>
      </c>
      <c r="L1429" t="s">
        <v>241</v>
      </c>
      <c r="M1429" t="s">
        <v>8647</v>
      </c>
      <c r="N1429" t="s">
        <v>8648</v>
      </c>
      <c r="Q1429" s="28">
        <v>491</v>
      </c>
    </row>
    <row r="1430" spans="1:17" x14ac:dyDescent="0.35">
      <c r="A1430" t="s">
        <v>8520</v>
      </c>
      <c r="B1430" s="3" t="s">
        <v>102</v>
      </c>
      <c r="F1430">
        <v>5</v>
      </c>
      <c r="G1430" t="s">
        <v>8607</v>
      </c>
      <c r="H1430">
        <v>27</v>
      </c>
      <c r="I1430" t="s">
        <v>9296</v>
      </c>
      <c r="J1430" t="str">
        <f t="shared" si="22"/>
        <v>13F-HR-5.27.C1</v>
      </c>
      <c r="K1430" s="5" t="s">
        <v>8608</v>
      </c>
      <c r="L1430" t="s">
        <v>229</v>
      </c>
      <c r="M1430" t="s">
        <v>8609</v>
      </c>
      <c r="N1430" t="s">
        <v>8610</v>
      </c>
      <c r="Q1430" s="28" t="s">
        <v>8840</v>
      </c>
    </row>
    <row r="1431" spans="1:17" x14ac:dyDescent="0.35">
      <c r="A1431" t="s">
        <v>8520</v>
      </c>
      <c r="B1431" s="3" t="s">
        <v>102</v>
      </c>
      <c r="F1431">
        <v>5</v>
      </c>
      <c r="G1431" t="s">
        <v>8607</v>
      </c>
      <c r="H1431">
        <v>28</v>
      </c>
      <c r="I1431" t="s">
        <v>9297</v>
      </c>
      <c r="J1431" t="str">
        <f t="shared" si="22"/>
        <v>13F-HR-5.28.C2</v>
      </c>
      <c r="K1431" s="5" t="s">
        <v>8612</v>
      </c>
      <c r="L1431" t="s">
        <v>229</v>
      </c>
      <c r="M1431" t="s">
        <v>8613</v>
      </c>
      <c r="N1431" t="s">
        <v>8614</v>
      </c>
      <c r="Q1431" s="28" t="s">
        <v>8768</v>
      </c>
    </row>
    <row r="1432" spans="1:17" x14ac:dyDescent="0.35">
      <c r="A1432" t="s">
        <v>8520</v>
      </c>
      <c r="B1432" s="3" t="s">
        <v>102</v>
      </c>
      <c r="F1432">
        <v>5</v>
      </c>
      <c r="G1432" t="s">
        <v>8607</v>
      </c>
      <c r="H1432">
        <v>29</v>
      </c>
      <c r="I1432" t="s">
        <v>9298</v>
      </c>
      <c r="J1432" t="str">
        <f t="shared" si="22"/>
        <v>13F-HR-5.29.C3</v>
      </c>
      <c r="K1432" s="5" t="s">
        <v>8616</v>
      </c>
      <c r="L1432" t="s">
        <v>229</v>
      </c>
      <c r="M1432" t="s">
        <v>7927</v>
      </c>
      <c r="N1432" t="s">
        <v>8617</v>
      </c>
      <c r="Q1432" s="28">
        <v>369604301</v>
      </c>
    </row>
    <row r="1433" spans="1:17" x14ac:dyDescent="0.35">
      <c r="A1433" t="s">
        <v>8520</v>
      </c>
      <c r="B1433" s="3" t="s">
        <v>102</v>
      </c>
      <c r="F1433">
        <v>5</v>
      </c>
      <c r="G1433" t="s">
        <v>8607</v>
      </c>
      <c r="H1433">
        <v>30</v>
      </c>
      <c r="I1433" t="s">
        <v>9299</v>
      </c>
      <c r="J1433" t="str">
        <f t="shared" si="22"/>
        <v>13F-HR-5.30.C4</v>
      </c>
      <c r="K1433" s="5" t="s">
        <v>8618</v>
      </c>
      <c r="L1433" t="s">
        <v>8619</v>
      </c>
      <c r="M1433" t="s">
        <v>8620</v>
      </c>
      <c r="N1433" t="s">
        <v>8621</v>
      </c>
      <c r="Q1433" s="28">
        <v>92069400</v>
      </c>
    </row>
    <row r="1434" spans="1:17" x14ac:dyDescent="0.35">
      <c r="A1434" t="s">
        <v>8520</v>
      </c>
      <c r="B1434" s="3" t="s">
        <v>102</v>
      </c>
      <c r="F1434">
        <v>5</v>
      </c>
      <c r="G1434" t="s">
        <v>8607</v>
      </c>
      <c r="H1434">
        <v>31</v>
      </c>
      <c r="I1434" t="s">
        <v>9300</v>
      </c>
      <c r="J1434" t="str">
        <f t="shared" si="22"/>
        <v>13F-HR-5.31.C5</v>
      </c>
      <c r="K1434" s="5" t="s">
        <v>8622</v>
      </c>
      <c r="L1434" t="s">
        <v>241</v>
      </c>
      <c r="M1434" t="s">
        <v>8623</v>
      </c>
      <c r="N1434" t="s">
        <v>8624</v>
      </c>
      <c r="Q1434" s="28">
        <v>460002</v>
      </c>
    </row>
    <row r="1435" spans="1:17" x14ac:dyDescent="0.35">
      <c r="A1435" t="s">
        <v>8520</v>
      </c>
      <c r="B1435" s="3" t="s">
        <v>102</v>
      </c>
      <c r="F1435">
        <v>5</v>
      </c>
      <c r="G1435" t="s">
        <v>8607</v>
      </c>
      <c r="H1435">
        <v>32</v>
      </c>
      <c r="I1435" t="s">
        <v>9301</v>
      </c>
      <c r="J1435" t="str">
        <f t="shared" si="22"/>
        <v>13F-HR-5.32.C6</v>
      </c>
      <c r="K1435" s="5" t="s">
        <v>8625</v>
      </c>
      <c r="L1435" t="s">
        <v>229</v>
      </c>
      <c r="M1435" t="s">
        <v>8626</v>
      </c>
      <c r="N1435" t="s">
        <v>8627</v>
      </c>
      <c r="Q1435" s="28" t="s">
        <v>8628</v>
      </c>
    </row>
    <row r="1436" spans="1:17" x14ac:dyDescent="0.35">
      <c r="A1436" t="s">
        <v>8520</v>
      </c>
      <c r="B1436" s="3" t="s">
        <v>102</v>
      </c>
      <c r="F1436">
        <v>5</v>
      </c>
      <c r="G1436" t="s">
        <v>8607</v>
      </c>
      <c r="H1436">
        <v>33</v>
      </c>
      <c r="I1436" t="s">
        <v>9302</v>
      </c>
      <c r="J1436" t="str">
        <f t="shared" si="22"/>
        <v>13F-HR-5.33.C7</v>
      </c>
      <c r="K1436" s="5" t="s">
        <v>8629</v>
      </c>
      <c r="L1436" t="s">
        <v>229</v>
      </c>
      <c r="M1436" t="s">
        <v>8630</v>
      </c>
      <c r="N1436" t="s">
        <v>8631</v>
      </c>
      <c r="Q1436" s="28" t="s">
        <v>8685</v>
      </c>
    </row>
    <row r="1437" spans="1:17" x14ac:dyDescent="0.35">
      <c r="A1437" t="s">
        <v>8520</v>
      </c>
      <c r="B1437" s="3" t="s">
        <v>102</v>
      </c>
      <c r="F1437">
        <v>5</v>
      </c>
      <c r="G1437" t="s">
        <v>8607</v>
      </c>
      <c r="H1437">
        <v>34</v>
      </c>
      <c r="I1437" t="s">
        <v>9303</v>
      </c>
      <c r="J1437" t="str">
        <f t="shared" si="22"/>
        <v>13F-HR-5.34.C8</v>
      </c>
      <c r="K1437" s="5" t="s">
        <v>8633</v>
      </c>
      <c r="L1437" t="s">
        <v>4735</v>
      </c>
      <c r="M1437" t="s">
        <v>8634</v>
      </c>
      <c r="N1437" t="s">
        <v>8635</v>
      </c>
      <c r="Q1437" s="28" t="s">
        <v>8632</v>
      </c>
    </row>
    <row r="1438" spans="1:17" x14ac:dyDescent="0.35">
      <c r="A1438" t="s">
        <v>8520</v>
      </c>
      <c r="B1438" s="3" t="s">
        <v>102</v>
      </c>
      <c r="F1438">
        <v>5</v>
      </c>
      <c r="G1438" t="s">
        <v>8607</v>
      </c>
      <c r="H1438">
        <v>35</v>
      </c>
      <c r="I1438" t="s">
        <v>9304</v>
      </c>
      <c r="J1438" t="str">
        <f t="shared" si="22"/>
        <v>13F-HR-5.35.C9</v>
      </c>
      <c r="K1438" s="5" t="s">
        <v>8637</v>
      </c>
      <c r="L1438" t="s">
        <v>229</v>
      </c>
      <c r="M1438" t="s">
        <v>8638</v>
      </c>
      <c r="N1438" t="s">
        <v>8639</v>
      </c>
      <c r="Q1438" s="28" t="s">
        <v>8636</v>
      </c>
    </row>
    <row r="1439" spans="1:17" x14ac:dyDescent="0.35">
      <c r="A1439" t="s">
        <v>8520</v>
      </c>
      <c r="B1439" s="3" t="s">
        <v>102</v>
      </c>
      <c r="F1439">
        <v>5</v>
      </c>
      <c r="G1439" t="s">
        <v>8607</v>
      </c>
      <c r="H1439">
        <v>36</v>
      </c>
      <c r="I1439" t="s">
        <v>9305</v>
      </c>
      <c r="J1439" t="str">
        <f t="shared" si="22"/>
        <v>13F-HR-5.36.C10</v>
      </c>
      <c r="K1439" s="5" t="s">
        <v>8640</v>
      </c>
      <c r="L1439" t="s">
        <v>241</v>
      </c>
      <c r="M1439" t="s">
        <v>8641</v>
      </c>
      <c r="N1439" t="s">
        <v>8642</v>
      </c>
      <c r="Q1439" s="28">
        <v>302998</v>
      </c>
    </row>
    <row r="1440" spans="1:17" x14ac:dyDescent="0.35">
      <c r="A1440" t="s">
        <v>8520</v>
      </c>
      <c r="B1440" s="3" t="s">
        <v>102</v>
      </c>
      <c r="F1440">
        <v>5</v>
      </c>
      <c r="G1440" t="s">
        <v>8607</v>
      </c>
      <c r="H1440">
        <v>37</v>
      </c>
      <c r="I1440" t="s">
        <v>9306</v>
      </c>
      <c r="J1440" t="str">
        <f t="shared" si="22"/>
        <v>13F-HR-5.37.C11</v>
      </c>
      <c r="K1440" s="5" t="s">
        <v>8643</v>
      </c>
      <c r="L1440" t="s">
        <v>241</v>
      </c>
      <c r="M1440" t="s">
        <v>8644</v>
      </c>
      <c r="N1440" t="s">
        <v>8645</v>
      </c>
      <c r="Q1440" s="28">
        <v>0</v>
      </c>
    </row>
    <row r="1441" spans="1:17" x14ac:dyDescent="0.35">
      <c r="A1441" t="s">
        <v>8520</v>
      </c>
      <c r="B1441" s="3" t="s">
        <v>102</v>
      </c>
      <c r="F1441">
        <v>5</v>
      </c>
      <c r="G1441" t="s">
        <v>8607</v>
      </c>
      <c r="H1441">
        <v>38</v>
      </c>
      <c r="I1441" t="s">
        <v>9307</v>
      </c>
      <c r="J1441" t="str">
        <f t="shared" si="22"/>
        <v>13F-HR-5.38.C12</v>
      </c>
      <c r="K1441" s="5" t="s">
        <v>8646</v>
      </c>
      <c r="L1441" t="s">
        <v>241</v>
      </c>
      <c r="M1441" t="s">
        <v>8647</v>
      </c>
      <c r="N1441" t="s">
        <v>8648</v>
      </c>
      <c r="Q1441" s="28">
        <v>157004</v>
      </c>
    </row>
    <row r="1442" spans="1:17" x14ac:dyDescent="0.35">
      <c r="A1442" t="s">
        <v>8520</v>
      </c>
      <c r="B1442" s="3" t="s">
        <v>102</v>
      </c>
      <c r="F1442">
        <v>5</v>
      </c>
      <c r="G1442" t="s">
        <v>8607</v>
      </c>
      <c r="H1442">
        <v>27</v>
      </c>
      <c r="I1442" t="s">
        <v>9296</v>
      </c>
      <c r="J1442" t="str">
        <f t="shared" si="22"/>
        <v>13F-HR-5.27.C1</v>
      </c>
      <c r="K1442" s="5" t="s">
        <v>8608</v>
      </c>
      <c r="L1442" t="s">
        <v>229</v>
      </c>
      <c r="M1442" t="s">
        <v>8609</v>
      </c>
      <c r="N1442" t="s">
        <v>8610</v>
      </c>
      <c r="Q1442" s="28" t="s">
        <v>8841</v>
      </c>
    </row>
    <row r="1443" spans="1:17" x14ac:dyDescent="0.35">
      <c r="A1443" t="s">
        <v>8520</v>
      </c>
      <c r="B1443" s="3" t="s">
        <v>102</v>
      </c>
      <c r="F1443">
        <v>5</v>
      </c>
      <c r="G1443" t="s">
        <v>8607</v>
      </c>
      <c r="H1443">
        <v>28</v>
      </c>
      <c r="I1443" t="s">
        <v>9297</v>
      </c>
      <c r="J1443" t="str">
        <f t="shared" si="22"/>
        <v>13F-HR-5.28.C2</v>
      </c>
      <c r="K1443" s="5" t="s">
        <v>8612</v>
      </c>
      <c r="L1443" t="s">
        <v>229</v>
      </c>
      <c r="M1443" t="s">
        <v>8613</v>
      </c>
      <c r="N1443" t="s">
        <v>8614</v>
      </c>
      <c r="Q1443" s="28" t="s">
        <v>8615</v>
      </c>
    </row>
    <row r="1444" spans="1:17" x14ac:dyDescent="0.35">
      <c r="A1444" t="s">
        <v>8520</v>
      </c>
      <c r="B1444" s="3" t="s">
        <v>102</v>
      </c>
      <c r="F1444">
        <v>5</v>
      </c>
      <c r="G1444" t="s">
        <v>8607</v>
      </c>
      <c r="H1444">
        <v>29</v>
      </c>
      <c r="I1444" t="s">
        <v>9298</v>
      </c>
      <c r="J1444" t="str">
        <f t="shared" si="22"/>
        <v>13F-HR-5.29.C3</v>
      </c>
      <c r="K1444" s="5" t="s">
        <v>8616</v>
      </c>
      <c r="L1444" t="s">
        <v>229</v>
      </c>
      <c r="M1444" t="s">
        <v>7927</v>
      </c>
      <c r="N1444" t="s">
        <v>8617</v>
      </c>
      <c r="Q1444" s="28" t="s">
        <v>8842</v>
      </c>
    </row>
    <row r="1445" spans="1:17" x14ac:dyDescent="0.35">
      <c r="A1445" t="s">
        <v>8520</v>
      </c>
      <c r="B1445" s="3" t="s">
        <v>102</v>
      </c>
      <c r="F1445">
        <v>5</v>
      </c>
      <c r="G1445" t="s">
        <v>8607</v>
      </c>
      <c r="H1445">
        <v>30</v>
      </c>
      <c r="I1445" t="s">
        <v>9299</v>
      </c>
      <c r="J1445" t="str">
        <f t="shared" si="22"/>
        <v>13F-HR-5.30.C4</v>
      </c>
      <c r="K1445" s="5" t="s">
        <v>8618</v>
      </c>
      <c r="L1445" t="s">
        <v>8619</v>
      </c>
      <c r="M1445" t="s">
        <v>8620</v>
      </c>
      <c r="N1445" t="s">
        <v>8621</v>
      </c>
      <c r="Q1445" s="28">
        <v>9640256</v>
      </c>
    </row>
    <row r="1446" spans="1:17" x14ac:dyDescent="0.35">
      <c r="A1446" t="s">
        <v>8520</v>
      </c>
      <c r="B1446" s="3" t="s">
        <v>102</v>
      </c>
      <c r="F1446">
        <v>5</v>
      </c>
      <c r="G1446" t="s">
        <v>8607</v>
      </c>
      <c r="H1446">
        <v>31</v>
      </c>
      <c r="I1446" t="s">
        <v>9300</v>
      </c>
      <c r="J1446" t="str">
        <f t="shared" si="22"/>
        <v>13F-HR-5.31.C5</v>
      </c>
      <c r="K1446" s="5" t="s">
        <v>8622</v>
      </c>
      <c r="L1446" t="s">
        <v>241</v>
      </c>
      <c r="M1446" t="s">
        <v>8623</v>
      </c>
      <c r="N1446" t="s">
        <v>8624</v>
      </c>
      <c r="Q1446" s="28">
        <v>204981</v>
      </c>
    </row>
    <row r="1447" spans="1:17" x14ac:dyDescent="0.35">
      <c r="A1447" t="s">
        <v>8520</v>
      </c>
      <c r="B1447" s="3" t="s">
        <v>102</v>
      </c>
      <c r="F1447">
        <v>5</v>
      </c>
      <c r="G1447" t="s">
        <v>8607</v>
      </c>
      <c r="H1447">
        <v>32</v>
      </c>
      <c r="I1447" t="s">
        <v>9301</v>
      </c>
      <c r="J1447" t="str">
        <f t="shared" si="22"/>
        <v>13F-HR-5.32.C6</v>
      </c>
      <c r="K1447" s="5" t="s">
        <v>8625</v>
      </c>
      <c r="L1447" t="s">
        <v>229</v>
      </c>
      <c r="M1447" t="s">
        <v>8626</v>
      </c>
      <c r="N1447" t="s">
        <v>8627</v>
      </c>
      <c r="Q1447" s="28" t="s">
        <v>8628</v>
      </c>
    </row>
    <row r="1448" spans="1:17" x14ac:dyDescent="0.35">
      <c r="A1448" t="s">
        <v>8520</v>
      </c>
      <c r="B1448" s="3" t="s">
        <v>102</v>
      </c>
      <c r="F1448">
        <v>5</v>
      </c>
      <c r="G1448" t="s">
        <v>8607</v>
      </c>
      <c r="H1448">
        <v>33</v>
      </c>
      <c r="I1448" t="s">
        <v>9302</v>
      </c>
      <c r="J1448" t="str">
        <f t="shared" si="22"/>
        <v>13F-HR-5.33.C7</v>
      </c>
      <c r="K1448" s="5" t="s">
        <v>8629</v>
      </c>
      <c r="L1448" t="s">
        <v>229</v>
      </c>
      <c r="M1448" t="s">
        <v>8630</v>
      </c>
      <c r="N1448" t="s">
        <v>8631</v>
      </c>
      <c r="Q1448" s="28" t="s">
        <v>8685</v>
      </c>
    </row>
    <row r="1449" spans="1:17" x14ac:dyDescent="0.35">
      <c r="A1449" t="s">
        <v>8520</v>
      </c>
      <c r="B1449" s="3" t="s">
        <v>102</v>
      </c>
      <c r="F1449">
        <v>5</v>
      </c>
      <c r="G1449" t="s">
        <v>8607</v>
      </c>
      <c r="H1449">
        <v>34</v>
      </c>
      <c r="I1449" t="s">
        <v>9303</v>
      </c>
      <c r="J1449" t="str">
        <f t="shared" si="22"/>
        <v>13F-HR-5.34.C8</v>
      </c>
      <c r="K1449" s="5" t="s">
        <v>8633</v>
      </c>
      <c r="L1449" t="s">
        <v>4735</v>
      </c>
      <c r="M1449" t="s">
        <v>8634</v>
      </c>
      <c r="N1449" t="s">
        <v>8635</v>
      </c>
      <c r="Q1449" s="28" t="s">
        <v>8632</v>
      </c>
    </row>
    <row r="1450" spans="1:17" x14ac:dyDescent="0.35">
      <c r="A1450" t="s">
        <v>8520</v>
      </c>
      <c r="B1450" s="3" t="s">
        <v>102</v>
      </c>
      <c r="F1450">
        <v>5</v>
      </c>
      <c r="G1450" t="s">
        <v>8607</v>
      </c>
      <c r="H1450">
        <v>35</v>
      </c>
      <c r="I1450" t="s">
        <v>9304</v>
      </c>
      <c r="J1450" t="str">
        <f t="shared" si="22"/>
        <v>13F-HR-5.35.C9</v>
      </c>
      <c r="K1450" s="5" t="s">
        <v>8637</v>
      </c>
      <c r="L1450" t="s">
        <v>229</v>
      </c>
      <c r="M1450" t="s">
        <v>8638</v>
      </c>
      <c r="N1450" t="s">
        <v>8639</v>
      </c>
      <c r="Q1450" s="28" t="s">
        <v>8636</v>
      </c>
    </row>
    <row r="1451" spans="1:17" x14ac:dyDescent="0.35">
      <c r="A1451" t="s">
        <v>8520</v>
      </c>
      <c r="B1451" s="3" t="s">
        <v>102</v>
      </c>
      <c r="F1451">
        <v>5</v>
      </c>
      <c r="G1451" t="s">
        <v>8607</v>
      </c>
      <c r="H1451">
        <v>36</v>
      </c>
      <c r="I1451" t="s">
        <v>9305</v>
      </c>
      <c r="J1451" t="str">
        <f t="shared" si="22"/>
        <v>13F-HR-5.36.C10</v>
      </c>
      <c r="K1451" s="5" t="s">
        <v>8640</v>
      </c>
      <c r="L1451" t="s">
        <v>241</v>
      </c>
      <c r="M1451" t="s">
        <v>8641</v>
      </c>
      <c r="N1451" t="s">
        <v>8642</v>
      </c>
      <c r="Q1451" s="28">
        <v>151385</v>
      </c>
    </row>
    <row r="1452" spans="1:17" x14ac:dyDescent="0.35">
      <c r="A1452" t="s">
        <v>8520</v>
      </c>
      <c r="B1452" s="3" t="s">
        <v>102</v>
      </c>
      <c r="F1452">
        <v>5</v>
      </c>
      <c r="G1452" t="s">
        <v>8607</v>
      </c>
      <c r="H1452">
        <v>37</v>
      </c>
      <c r="I1452" t="s">
        <v>9306</v>
      </c>
      <c r="J1452" t="str">
        <f t="shared" si="22"/>
        <v>13F-HR-5.37.C11</v>
      </c>
      <c r="K1452" s="5" t="s">
        <v>8643</v>
      </c>
      <c r="L1452" t="s">
        <v>241</v>
      </c>
      <c r="M1452" t="s">
        <v>8644</v>
      </c>
      <c r="N1452" t="s">
        <v>8645</v>
      </c>
      <c r="Q1452" s="28">
        <v>0</v>
      </c>
    </row>
    <row r="1453" spans="1:17" x14ac:dyDescent="0.35">
      <c r="A1453" t="s">
        <v>8520</v>
      </c>
      <c r="B1453" s="3" t="s">
        <v>102</v>
      </c>
      <c r="F1453">
        <v>5</v>
      </c>
      <c r="G1453" t="s">
        <v>8607</v>
      </c>
      <c r="H1453">
        <v>38</v>
      </c>
      <c r="I1453" t="s">
        <v>9307</v>
      </c>
      <c r="J1453" t="str">
        <f t="shared" si="22"/>
        <v>13F-HR-5.38.C12</v>
      </c>
      <c r="K1453" s="5" t="s">
        <v>8646</v>
      </c>
      <c r="L1453" t="s">
        <v>241</v>
      </c>
      <c r="M1453" t="s">
        <v>8647</v>
      </c>
      <c r="N1453" t="s">
        <v>8648</v>
      </c>
      <c r="Q1453" s="28">
        <v>53596</v>
      </c>
    </row>
    <row r="1454" spans="1:17" x14ac:dyDescent="0.35">
      <c r="A1454" t="s">
        <v>8520</v>
      </c>
      <c r="B1454" s="3" t="s">
        <v>102</v>
      </c>
      <c r="F1454">
        <v>5</v>
      </c>
      <c r="G1454" t="s">
        <v>8607</v>
      </c>
      <c r="H1454">
        <v>27</v>
      </c>
      <c r="I1454" t="s">
        <v>9296</v>
      </c>
      <c r="J1454" t="str">
        <f t="shared" si="22"/>
        <v>13F-HR-5.27.C1</v>
      </c>
      <c r="K1454" s="5" t="s">
        <v>8608</v>
      </c>
      <c r="L1454" t="s">
        <v>229</v>
      </c>
      <c r="M1454" t="s">
        <v>8609</v>
      </c>
      <c r="N1454" t="s">
        <v>8610</v>
      </c>
      <c r="Q1454" s="28" t="s">
        <v>8843</v>
      </c>
    </row>
    <row r="1455" spans="1:17" x14ac:dyDescent="0.35">
      <c r="A1455" t="s">
        <v>8520</v>
      </c>
      <c r="B1455" s="3" t="s">
        <v>102</v>
      </c>
      <c r="F1455">
        <v>5</v>
      </c>
      <c r="G1455" t="s">
        <v>8607</v>
      </c>
      <c r="H1455">
        <v>28</v>
      </c>
      <c r="I1455" t="s">
        <v>9297</v>
      </c>
      <c r="J1455" t="str">
        <f t="shared" si="22"/>
        <v>13F-HR-5.28.C2</v>
      </c>
      <c r="K1455" s="5" t="s">
        <v>8612</v>
      </c>
      <c r="L1455" t="s">
        <v>229</v>
      </c>
      <c r="M1455" t="s">
        <v>8613</v>
      </c>
      <c r="N1455" t="s">
        <v>8614</v>
      </c>
      <c r="Q1455" s="28" t="s">
        <v>8844</v>
      </c>
    </row>
    <row r="1456" spans="1:17" x14ac:dyDescent="0.35">
      <c r="A1456" t="s">
        <v>8520</v>
      </c>
      <c r="B1456" s="3" t="s">
        <v>102</v>
      </c>
      <c r="F1456">
        <v>5</v>
      </c>
      <c r="G1456" t="s">
        <v>8607</v>
      </c>
      <c r="H1456">
        <v>29</v>
      </c>
      <c r="I1456" t="s">
        <v>9298</v>
      </c>
      <c r="J1456" t="str">
        <f t="shared" si="22"/>
        <v>13F-HR-5.29.C3</v>
      </c>
      <c r="K1456" s="5" t="s">
        <v>8616</v>
      </c>
      <c r="L1456" t="s">
        <v>229</v>
      </c>
      <c r="M1456" t="s">
        <v>7927</v>
      </c>
      <c r="N1456" t="s">
        <v>8617</v>
      </c>
      <c r="Q1456" s="28">
        <v>373737105</v>
      </c>
    </row>
    <row r="1457" spans="1:17" x14ac:dyDescent="0.35">
      <c r="A1457" t="s">
        <v>8520</v>
      </c>
      <c r="B1457" s="3" t="s">
        <v>102</v>
      </c>
      <c r="F1457">
        <v>5</v>
      </c>
      <c r="G1457" t="s">
        <v>8607</v>
      </c>
      <c r="H1457">
        <v>30</v>
      </c>
      <c r="I1457" t="s">
        <v>9299</v>
      </c>
      <c r="J1457" t="str">
        <f t="shared" si="22"/>
        <v>13F-HR-5.30.C4</v>
      </c>
      <c r="K1457" s="5" t="s">
        <v>8618</v>
      </c>
      <c r="L1457" t="s">
        <v>8619</v>
      </c>
      <c r="M1457" t="s">
        <v>8620</v>
      </c>
      <c r="N1457" t="s">
        <v>8621</v>
      </c>
      <c r="Q1457" s="28">
        <v>1834560</v>
      </c>
    </row>
    <row r="1458" spans="1:17" x14ac:dyDescent="0.35">
      <c r="A1458" t="s">
        <v>8520</v>
      </c>
      <c r="B1458" s="3" t="s">
        <v>102</v>
      </c>
      <c r="F1458">
        <v>5</v>
      </c>
      <c r="G1458" t="s">
        <v>8607</v>
      </c>
      <c r="H1458">
        <v>31</v>
      </c>
      <c r="I1458" t="s">
        <v>9300</v>
      </c>
      <c r="J1458" t="str">
        <f t="shared" si="22"/>
        <v>13F-HR-5.31.C5</v>
      </c>
      <c r="K1458" s="5" t="s">
        <v>8622</v>
      </c>
      <c r="L1458" t="s">
        <v>241</v>
      </c>
      <c r="M1458" t="s">
        <v>8623</v>
      </c>
      <c r="N1458" t="s">
        <v>8624</v>
      </c>
      <c r="Q1458" s="28">
        <v>645972</v>
      </c>
    </row>
    <row r="1459" spans="1:17" x14ac:dyDescent="0.35">
      <c r="A1459" t="s">
        <v>8520</v>
      </c>
      <c r="B1459" s="3" t="s">
        <v>102</v>
      </c>
      <c r="F1459">
        <v>5</v>
      </c>
      <c r="G1459" t="s">
        <v>8607</v>
      </c>
      <c r="H1459">
        <v>32</v>
      </c>
      <c r="I1459" t="s">
        <v>9301</v>
      </c>
      <c r="J1459" t="str">
        <f t="shared" si="22"/>
        <v>13F-HR-5.32.C6</v>
      </c>
      <c r="K1459" s="5" t="s">
        <v>8625</v>
      </c>
      <c r="L1459" t="s">
        <v>229</v>
      </c>
      <c r="M1459" t="s">
        <v>8626</v>
      </c>
      <c r="N1459" t="s">
        <v>8627</v>
      </c>
      <c r="Q1459" s="28" t="s">
        <v>8628</v>
      </c>
    </row>
    <row r="1460" spans="1:17" x14ac:dyDescent="0.35">
      <c r="A1460" t="s">
        <v>8520</v>
      </c>
      <c r="B1460" s="3" t="s">
        <v>102</v>
      </c>
      <c r="F1460">
        <v>5</v>
      </c>
      <c r="G1460" t="s">
        <v>8607</v>
      </c>
      <c r="H1460">
        <v>33</v>
      </c>
      <c r="I1460" t="s">
        <v>9302</v>
      </c>
      <c r="J1460" t="str">
        <f t="shared" si="22"/>
        <v>13F-HR-5.33.C7</v>
      </c>
      <c r="K1460" s="5" t="s">
        <v>8629</v>
      </c>
      <c r="L1460" t="s">
        <v>229</v>
      </c>
      <c r="M1460" t="s">
        <v>8630</v>
      </c>
      <c r="N1460" t="s">
        <v>8631</v>
      </c>
      <c r="Q1460" s="28" t="s">
        <v>8685</v>
      </c>
    </row>
    <row r="1461" spans="1:17" x14ac:dyDescent="0.35">
      <c r="A1461" t="s">
        <v>8520</v>
      </c>
      <c r="B1461" s="3" t="s">
        <v>102</v>
      </c>
      <c r="F1461">
        <v>5</v>
      </c>
      <c r="G1461" t="s">
        <v>8607</v>
      </c>
      <c r="H1461">
        <v>34</v>
      </c>
      <c r="I1461" t="s">
        <v>9303</v>
      </c>
      <c r="J1461" t="str">
        <f t="shared" si="22"/>
        <v>13F-HR-5.34.C8</v>
      </c>
      <c r="K1461" s="5" t="s">
        <v>8633</v>
      </c>
      <c r="L1461" t="s">
        <v>4735</v>
      </c>
      <c r="M1461" t="s">
        <v>8634</v>
      </c>
      <c r="N1461" t="s">
        <v>8635</v>
      </c>
      <c r="Q1461" s="28" t="s">
        <v>8632</v>
      </c>
    </row>
    <row r="1462" spans="1:17" x14ac:dyDescent="0.35">
      <c r="A1462" t="s">
        <v>8520</v>
      </c>
      <c r="B1462" s="3" t="s">
        <v>102</v>
      </c>
      <c r="F1462">
        <v>5</v>
      </c>
      <c r="G1462" t="s">
        <v>8607</v>
      </c>
      <c r="H1462">
        <v>35</v>
      </c>
      <c r="I1462" t="s">
        <v>9304</v>
      </c>
      <c r="J1462" t="str">
        <f t="shared" si="22"/>
        <v>13F-HR-5.35.C9</v>
      </c>
      <c r="K1462" s="5" t="s">
        <v>8637</v>
      </c>
      <c r="L1462" t="s">
        <v>229</v>
      </c>
      <c r="M1462" t="s">
        <v>8638</v>
      </c>
      <c r="N1462" t="s">
        <v>8639</v>
      </c>
      <c r="Q1462" s="28" t="s">
        <v>8636</v>
      </c>
    </row>
    <row r="1463" spans="1:17" x14ac:dyDescent="0.35">
      <c r="A1463" t="s">
        <v>8520</v>
      </c>
      <c r="B1463" s="3" t="s">
        <v>102</v>
      </c>
      <c r="F1463">
        <v>5</v>
      </c>
      <c r="G1463" t="s">
        <v>8607</v>
      </c>
      <c r="H1463">
        <v>36</v>
      </c>
      <c r="I1463" t="s">
        <v>9305</v>
      </c>
      <c r="J1463" t="str">
        <f t="shared" si="22"/>
        <v>13F-HR-5.36.C10</v>
      </c>
      <c r="K1463" s="5" t="s">
        <v>8640</v>
      </c>
      <c r="L1463" t="s">
        <v>241</v>
      </c>
      <c r="M1463" t="s">
        <v>8641</v>
      </c>
      <c r="N1463" t="s">
        <v>8642</v>
      </c>
      <c r="Q1463" s="28">
        <v>633869</v>
      </c>
    </row>
    <row r="1464" spans="1:17" x14ac:dyDescent="0.35">
      <c r="A1464" t="s">
        <v>8520</v>
      </c>
      <c r="B1464" s="3" t="s">
        <v>102</v>
      </c>
      <c r="F1464">
        <v>5</v>
      </c>
      <c r="G1464" t="s">
        <v>8607</v>
      </c>
      <c r="H1464">
        <v>37</v>
      </c>
      <c r="I1464" t="s">
        <v>9306</v>
      </c>
      <c r="J1464" t="str">
        <f t="shared" si="22"/>
        <v>13F-HR-5.37.C11</v>
      </c>
      <c r="K1464" s="5" t="s">
        <v>8643</v>
      </c>
      <c r="L1464" t="s">
        <v>241</v>
      </c>
      <c r="M1464" t="s">
        <v>8644</v>
      </c>
      <c r="N1464" t="s">
        <v>8645</v>
      </c>
      <c r="Q1464" s="28">
        <v>0</v>
      </c>
    </row>
    <row r="1465" spans="1:17" x14ac:dyDescent="0.35">
      <c r="A1465" t="s">
        <v>8520</v>
      </c>
      <c r="B1465" s="3" t="s">
        <v>102</v>
      </c>
      <c r="F1465">
        <v>5</v>
      </c>
      <c r="G1465" t="s">
        <v>8607</v>
      </c>
      <c r="H1465">
        <v>38</v>
      </c>
      <c r="I1465" t="s">
        <v>9307</v>
      </c>
      <c r="J1465" t="str">
        <f t="shared" si="22"/>
        <v>13F-HR-5.38.C12</v>
      </c>
      <c r="K1465" s="5" t="s">
        <v>8646</v>
      </c>
      <c r="L1465" t="s">
        <v>241</v>
      </c>
      <c r="M1465" t="s">
        <v>8647</v>
      </c>
      <c r="N1465" t="s">
        <v>8648</v>
      </c>
      <c r="Q1465" s="28">
        <v>12103</v>
      </c>
    </row>
    <row r="1466" spans="1:17" x14ac:dyDescent="0.35">
      <c r="A1466" t="s">
        <v>8520</v>
      </c>
      <c r="B1466" s="3" t="s">
        <v>102</v>
      </c>
      <c r="F1466">
        <v>5</v>
      </c>
      <c r="G1466" t="s">
        <v>8607</v>
      </c>
      <c r="H1466">
        <v>27</v>
      </c>
      <c r="I1466" t="s">
        <v>9296</v>
      </c>
      <c r="J1466" t="str">
        <f t="shared" si="22"/>
        <v>13F-HR-5.27.C1</v>
      </c>
      <c r="K1466" s="5" t="s">
        <v>8608</v>
      </c>
      <c r="L1466" t="s">
        <v>229</v>
      </c>
      <c r="M1466" t="s">
        <v>8609</v>
      </c>
      <c r="N1466" t="s">
        <v>8610</v>
      </c>
      <c r="Q1466" s="28" t="s">
        <v>8845</v>
      </c>
    </row>
    <row r="1467" spans="1:17" x14ac:dyDescent="0.35">
      <c r="A1467" t="s">
        <v>8520</v>
      </c>
      <c r="B1467" s="3" t="s">
        <v>102</v>
      </c>
      <c r="F1467">
        <v>5</v>
      </c>
      <c r="G1467" t="s">
        <v>8607</v>
      </c>
      <c r="H1467">
        <v>28</v>
      </c>
      <c r="I1467" t="s">
        <v>9297</v>
      </c>
      <c r="J1467" t="str">
        <f t="shared" si="22"/>
        <v>13F-HR-5.28.C2</v>
      </c>
      <c r="K1467" s="5" t="s">
        <v>8612</v>
      </c>
      <c r="L1467" t="s">
        <v>229</v>
      </c>
      <c r="M1467" t="s">
        <v>8613</v>
      </c>
      <c r="N1467" t="s">
        <v>8614</v>
      </c>
      <c r="Q1467" s="28" t="s">
        <v>8615</v>
      </c>
    </row>
    <row r="1468" spans="1:17" x14ac:dyDescent="0.35">
      <c r="A1468" t="s">
        <v>8520</v>
      </c>
      <c r="B1468" s="3" t="s">
        <v>102</v>
      </c>
      <c r="F1468">
        <v>5</v>
      </c>
      <c r="G1468" t="s">
        <v>8607</v>
      </c>
      <c r="H1468">
        <v>29</v>
      </c>
      <c r="I1468" t="s">
        <v>9298</v>
      </c>
      <c r="J1468" t="str">
        <f t="shared" si="22"/>
        <v>13F-HR-5.29.C3</v>
      </c>
      <c r="K1468" s="5" t="s">
        <v>8616</v>
      </c>
      <c r="L1468" t="s">
        <v>229</v>
      </c>
      <c r="M1468" t="s">
        <v>7927</v>
      </c>
      <c r="N1468" t="s">
        <v>8617</v>
      </c>
      <c r="Q1468" s="28">
        <v>375558103</v>
      </c>
    </row>
    <row r="1469" spans="1:17" x14ac:dyDescent="0.35">
      <c r="A1469" t="s">
        <v>8520</v>
      </c>
      <c r="B1469" s="3" t="s">
        <v>102</v>
      </c>
      <c r="F1469">
        <v>5</v>
      </c>
      <c r="G1469" t="s">
        <v>8607</v>
      </c>
      <c r="H1469">
        <v>30</v>
      </c>
      <c r="I1469" t="s">
        <v>9299</v>
      </c>
      <c r="J1469" t="str">
        <f t="shared" si="22"/>
        <v>13F-HR-5.30.C4</v>
      </c>
      <c r="K1469" s="5" t="s">
        <v>8618</v>
      </c>
      <c r="L1469" t="s">
        <v>8619</v>
      </c>
      <c r="M1469" t="s">
        <v>8620</v>
      </c>
      <c r="N1469" t="s">
        <v>8621</v>
      </c>
      <c r="Q1469" s="28">
        <v>27943589</v>
      </c>
    </row>
    <row r="1470" spans="1:17" x14ac:dyDescent="0.35">
      <c r="A1470" t="s">
        <v>8520</v>
      </c>
      <c r="B1470" s="3" t="s">
        <v>102</v>
      </c>
      <c r="F1470">
        <v>5</v>
      </c>
      <c r="G1470" t="s">
        <v>8607</v>
      </c>
      <c r="H1470">
        <v>31</v>
      </c>
      <c r="I1470" t="s">
        <v>9300</v>
      </c>
      <c r="J1470" t="str">
        <f t="shared" si="22"/>
        <v>13F-HR-5.31.C5</v>
      </c>
      <c r="K1470" s="5" t="s">
        <v>8622</v>
      </c>
      <c r="L1470" t="s">
        <v>241</v>
      </c>
      <c r="M1470" t="s">
        <v>8623</v>
      </c>
      <c r="N1470" t="s">
        <v>8624</v>
      </c>
      <c r="Q1470" s="28">
        <v>249385</v>
      </c>
    </row>
    <row r="1471" spans="1:17" x14ac:dyDescent="0.35">
      <c r="A1471" t="s">
        <v>8520</v>
      </c>
      <c r="B1471" s="3" t="s">
        <v>102</v>
      </c>
      <c r="F1471">
        <v>5</v>
      </c>
      <c r="G1471" t="s">
        <v>8607</v>
      </c>
      <c r="H1471">
        <v>32</v>
      </c>
      <c r="I1471" t="s">
        <v>9301</v>
      </c>
      <c r="J1471" t="str">
        <f t="shared" si="22"/>
        <v>13F-HR-5.32.C6</v>
      </c>
      <c r="K1471" s="5" t="s">
        <v>8625</v>
      </c>
      <c r="L1471" t="s">
        <v>229</v>
      </c>
      <c r="M1471" t="s">
        <v>8626</v>
      </c>
      <c r="N1471" t="s">
        <v>8627</v>
      </c>
      <c r="Q1471" s="28" t="s">
        <v>8628</v>
      </c>
    </row>
    <row r="1472" spans="1:17" x14ac:dyDescent="0.35">
      <c r="A1472" t="s">
        <v>8520</v>
      </c>
      <c r="B1472" s="3" t="s">
        <v>102</v>
      </c>
      <c r="F1472">
        <v>5</v>
      </c>
      <c r="G1472" t="s">
        <v>8607</v>
      </c>
      <c r="H1472">
        <v>33</v>
      </c>
      <c r="I1472" t="s">
        <v>9302</v>
      </c>
      <c r="J1472" t="str">
        <f t="shared" si="22"/>
        <v>13F-HR-5.33.C7</v>
      </c>
      <c r="K1472" s="5" t="s">
        <v>8629</v>
      </c>
      <c r="L1472" t="s">
        <v>229</v>
      </c>
      <c r="M1472" t="s">
        <v>8630</v>
      </c>
      <c r="N1472" t="s">
        <v>8631</v>
      </c>
      <c r="Q1472" s="28" t="s">
        <v>8685</v>
      </c>
    </row>
    <row r="1473" spans="1:17" x14ac:dyDescent="0.35">
      <c r="A1473" t="s">
        <v>8520</v>
      </c>
      <c r="B1473" s="3" t="s">
        <v>102</v>
      </c>
      <c r="F1473">
        <v>5</v>
      </c>
      <c r="G1473" t="s">
        <v>8607</v>
      </c>
      <c r="H1473">
        <v>34</v>
      </c>
      <c r="I1473" t="s">
        <v>9303</v>
      </c>
      <c r="J1473" t="str">
        <f t="shared" si="22"/>
        <v>13F-HR-5.34.C8</v>
      </c>
      <c r="K1473" s="5" t="s">
        <v>8633</v>
      </c>
      <c r="L1473" t="s">
        <v>4735</v>
      </c>
      <c r="M1473" t="s">
        <v>8634</v>
      </c>
      <c r="N1473" t="s">
        <v>8635</v>
      </c>
      <c r="Q1473" s="28" t="s">
        <v>8632</v>
      </c>
    </row>
    <row r="1474" spans="1:17" x14ac:dyDescent="0.35">
      <c r="A1474" t="s">
        <v>8520</v>
      </c>
      <c r="B1474" s="3" t="s">
        <v>102</v>
      </c>
      <c r="F1474">
        <v>5</v>
      </c>
      <c r="G1474" t="s">
        <v>8607</v>
      </c>
      <c r="H1474">
        <v>35</v>
      </c>
      <c r="I1474" t="s">
        <v>9304</v>
      </c>
      <c r="J1474" t="str">
        <f t="shared" si="22"/>
        <v>13F-HR-5.35.C9</v>
      </c>
      <c r="K1474" s="5" t="s">
        <v>8637</v>
      </c>
      <c r="L1474" t="s">
        <v>229</v>
      </c>
      <c r="M1474" t="s">
        <v>8638</v>
      </c>
      <c r="N1474" t="s">
        <v>8639</v>
      </c>
      <c r="Q1474" s="28" t="s">
        <v>8636</v>
      </c>
    </row>
    <row r="1475" spans="1:17" x14ac:dyDescent="0.35">
      <c r="A1475" t="s">
        <v>8520</v>
      </c>
      <c r="B1475" s="3" t="s">
        <v>102</v>
      </c>
      <c r="F1475">
        <v>5</v>
      </c>
      <c r="G1475" t="s">
        <v>8607</v>
      </c>
      <c r="H1475">
        <v>36</v>
      </c>
      <c r="I1475" t="s">
        <v>9305</v>
      </c>
      <c r="J1475" t="str">
        <f t="shared" ref="J1475:J1538" si="23">_xlfn.CONCAT(A1475,"-",F1475,".",H1475,".",I1475)</f>
        <v>13F-HR-5.36.C10</v>
      </c>
      <c r="K1475" s="5" t="s">
        <v>8640</v>
      </c>
      <c r="L1475" t="s">
        <v>241</v>
      </c>
      <c r="M1475" t="s">
        <v>8641</v>
      </c>
      <c r="N1475" t="s">
        <v>8642</v>
      </c>
      <c r="Q1475" s="28">
        <v>0</v>
      </c>
    </row>
    <row r="1476" spans="1:17" x14ac:dyDescent="0.35">
      <c r="A1476" t="s">
        <v>8520</v>
      </c>
      <c r="B1476" s="3" t="s">
        <v>102</v>
      </c>
      <c r="F1476">
        <v>5</v>
      </c>
      <c r="G1476" t="s">
        <v>8607</v>
      </c>
      <c r="H1476">
        <v>37</v>
      </c>
      <c r="I1476" t="s">
        <v>9306</v>
      </c>
      <c r="J1476" t="str">
        <f t="shared" si="23"/>
        <v>13F-HR-5.37.C11</v>
      </c>
      <c r="K1476" s="5" t="s">
        <v>8643</v>
      </c>
      <c r="L1476" t="s">
        <v>241</v>
      </c>
      <c r="M1476" t="s">
        <v>8644</v>
      </c>
      <c r="N1476" t="s">
        <v>8645</v>
      </c>
      <c r="Q1476" s="28">
        <v>0</v>
      </c>
    </row>
    <row r="1477" spans="1:17" x14ac:dyDescent="0.35">
      <c r="A1477" t="s">
        <v>8520</v>
      </c>
      <c r="B1477" s="3" t="s">
        <v>102</v>
      </c>
      <c r="F1477">
        <v>5</v>
      </c>
      <c r="G1477" t="s">
        <v>8607</v>
      </c>
      <c r="H1477">
        <v>38</v>
      </c>
      <c r="I1477" t="s">
        <v>9307</v>
      </c>
      <c r="J1477" t="str">
        <f t="shared" si="23"/>
        <v>13F-HR-5.38.C12</v>
      </c>
      <c r="K1477" s="5" t="s">
        <v>8646</v>
      </c>
      <c r="L1477" t="s">
        <v>241</v>
      </c>
      <c r="M1477" t="s">
        <v>8647</v>
      </c>
      <c r="N1477" t="s">
        <v>8648</v>
      </c>
      <c r="Q1477" s="28">
        <v>249385</v>
      </c>
    </row>
    <row r="1478" spans="1:17" x14ac:dyDescent="0.35">
      <c r="A1478" t="s">
        <v>8520</v>
      </c>
      <c r="B1478" s="3" t="s">
        <v>102</v>
      </c>
      <c r="F1478">
        <v>5</v>
      </c>
      <c r="G1478" t="s">
        <v>8607</v>
      </c>
      <c r="H1478">
        <v>27</v>
      </c>
      <c r="I1478" t="s">
        <v>9296</v>
      </c>
      <c r="J1478" t="str">
        <f t="shared" si="23"/>
        <v>13F-HR-5.27.C1</v>
      </c>
      <c r="K1478" s="5" t="s">
        <v>8608</v>
      </c>
      <c r="L1478" t="s">
        <v>229</v>
      </c>
      <c r="M1478" t="s">
        <v>8609</v>
      </c>
      <c r="N1478" t="s">
        <v>8610</v>
      </c>
      <c r="Q1478" s="28" t="s">
        <v>8846</v>
      </c>
    </row>
    <row r="1479" spans="1:17" x14ac:dyDescent="0.35">
      <c r="A1479" t="s">
        <v>8520</v>
      </c>
      <c r="B1479" s="3" t="s">
        <v>102</v>
      </c>
      <c r="F1479">
        <v>5</v>
      </c>
      <c r="G1479" t="s">
        <v>8607</v>
      </c>
      <c r="H1479">
        <v>28</v>
      </c>
      <c r="I1479" t="s">
        <v>9297</v>
      </c>
      <c r="J1479" t="str">
        <f t="shared" si="23"/>
        <v>13F-HR-5.28.C2</v>
      </c>
      <c r="K1479" s="5" t="s">
        <v>8612</v>
      </c>
      <c r="L1479" t="s">
        <v>229</v>
      </c>
      <c r="M1479" t="s">
        <v>8613</v>
      </c>
      <c r="N1479" t="s">
        <v>8614</v>
      </c>
      <c r="Q1479" s="28" t="s">
        <v>8706</v>
      </c>
    </row>
    <row r="1480" spans="1:17" x14ac:dyDescent="0.35">
      <c r="A1480" t="s">
        <v>8520</v>
      </c>
      <c r="B1480" s="3" t="s">
        <v>102</v>
      </c>
      <c r="F1480">
        <v>5</v>
      </c>
      <c r="G1480" t="s">
        <v>8607</v>
      </c>
      <c r="H1480">
        <v>29</v>
      </c>
      <c r="I1480" t="s">
        <v>9298</v>
      </c>
      <c r="J1480" t="str">
        <f t="shared" si="23"/>
        <v>13F-HR-5.29.C3</v>
      </c>
      <c r="K1480" s="5" t="s">
        <v>8616</v>
      </c>
      <c r="L1480" t="s">
        <v>229</v>
      </c>
      <c r="M1480" t="s">
        <v>7927</v>
      </c>
      <c r="N1480" t="s">
        <v>8617</v>
      </c>
      <c r="Q1480" s="28">
        <v>380237107</v>
      </c>
    </row>
    <row r="1481" spans="1:17" x14ac:dyDescent="0.35">
      <c r="A1481" t="s">
        <v>8520</v>
      </c>
      <c r="B1481" s="3" t="s">
        <v>102</v>
      </c>
      <c r="F1481">
        <v>5</v>
      </c>
      <c r="G1481" t="s">
        <v>8607</v>
      </c>
      <c r="H1481">
        <v>30</v>
      </c>
      <c r="I1481" t="s">
        <v>9299</v>
      </c>
      <c r="J1481" t="str">
        <f t="shared" si="23"/>
        <v>13F-HR-5.30.C4</v>
      </c>
      <c r="K1481" s="5" t="s">
        <v>8618</v>
      </c>
      <c r="L1481" t="s">
        <v>8619</v>
      </c>
      <c r="M1481" t="s">
        <v>8620</v>
      </c>
      <c r="N1481" t="s">
        <v>8621</v>
      </c>
      <c r="Q1481" s="28">
        <v>8045413</v>
      </c>
    </row>
    <row r="1482" spans="1:17" x14ac:dyDescent="0.35">
      <c r="A1482" t="s">
        <v>8520</v>
      </c>
      <c r="B1482" s="3" t="s">
        <v>102</v>
      </c>
      <c r="F1482">
        <v>5</v>
      </c>
      <c r="G1482" t="s">
        <v>8607</v>
      </c>
      <c r="H1482">
        <v>31</v>
      </c>
      <c r="I1482" t="s">
        <v>9300</v>
      </c>
      <c r="J1482" t="str">
        <f t="shared" si="23"/>
        <v>13F-HR-5.31.C5</v>
      </c>
      <c r="K1482" s="5" t="s">
        <v>8622</v>
      </c>
      <c r="L1482" t="s">
        <v>241</v>
      </c>
      <c r="M1482" t="s">
        <v>8623</v>
      </c>
      <c r="N1482" t="s">
        <v>8624</v>
      </c>
      <c r="Q1482" s="28">
        <v>44662</v>
      </c>
    </row>
    <row r="1483" spans="1:17" x14ac:dyDescent="0.35">
      <c r="A1483" t="s">
        <v>8520</v>
      </c>
      <c r="B1483" s="3" t="s">
        <v>102</v>
      </c>
      <c r="F1483">
        <v>5</v>
      </c>
      <c r="G1483" t="s">
        <v>8607</v>
      </c>
      <c r="H1483">
        <v>32</v>
      </c>
      <c r="I1483" t="s">
        <v>9301</v>
      </c>
      <c r="J1483" t="str">
        <f t="shared" si="23"/>
        <v>13F-HR-5.32.C6</v>
      </c>
      <c r="K1483" s="5" t="s">
        <v>8625</v>
      </c>
      <c r="L1483" t="s">
        <v>229</v>
      </c>
      <c r="M1483" t="s">
        <v>8626</v>
      </c>
      <c r="N1483" t="s">
        <v>8627</v>
      </c>
      <c r="Q1483" s="28" t="s">
        <v>8628</v>
      </c>
    </row>
    <row r="1484" spans="1:17" x14ac:dyDescent="0.35">
      <c r="A1484" t="s">
        <v>8520</v>
      </c>
      <c r="B1484" s="3" t="s">
        <v>102</v>
      </c>
      <c r="F1484">
        <v>5</v>
      </c>
      <c r="G1484" t="s">
        <v>8607</v>
      </c>
      <c r="H1484">
        <v>33</v>
      </c>
      <c r="I1484" t="s">
        <v>9302</v>
      </c>
      <c r="J1484" t="str">
        <f t="shared" si="23"/>
        <v>13F-HR-5.33.C7</v>
      </c>
      <c r="K1484" s="5" t="s">
        <v>8629</v>
      </c>
      <c r="L1484" t="s">
        <v>229</v>
      </c>
      <c r="M1484" t="s">
        <v>8630</v>
      </c>
      <c r="N1484" t="s">
        <v>8631</v>
      </c>
      <c r="Q1484" s="28" t="s">
        <v>8685</v>
      </c>
    </row>
    <row r="1485" spans="1:17" x14ac:dyDescent="0.35">
      <c r="A1485" t="s">
        <v>8520</v>
      </c>
      <c r="B1485" s="3" t="s">
        <v>102</v>
      </c>
      <c r="F1485">
        <v>5</v>
      </c>
      <c r="G1485" t="s">
        <v>8607</v>
      </c>
      <c r="H1485">
        <v>34</v>
      </c>
      <c r="I1485" t="s">
        <v>9303</v>
      </c>
      <c r="J1485" t="str">
        <f t="shared" si="23"/>
        <v>13F-HR-5.34.C8</v>
      </c>
      <c r="K1485" s="5" t="s">
        <v>8633</v>
      </c>
      <c r="L1485" t="s">
        <v>4735</v>
      </c>
      <c r="M1485" t="s">
        <v>8634</v>
      </c>
      <c r="N1485" t="s">
        <v>8635</v>
      </c>
      <c r="Q1485" s="28" t="s">
        <v>8632</v>
      </c>
    </row>
    <row r="1486" spans="1:17" x14ac:dyDescent="0.35">
      <c r="A1486" t="s">
        <v>8520</v>
      </c>
      <c r="B1486" s="3" t="s">
        <v>102</v>
      </c>
      <c r="F1486">
        <v>5</v>
      </c>
      <c r="G1486" t="s">
        <v>8607</v>
      </c>
      <c r="H1486">
        <v>35</v>
      </c>
      <c r="I1486" t="s">
        <v>9304</v>
      </c>
      <c r="J1486" t="str">
        <f t="shared" si="23"/>
        <v>13F-HR-5.35.C9</v>
      </c>
      <c r="K1486" s="5" t="s">
        <v>8637</v>
      </c>
      <c r="L1486" t="s">
        <v>229</v>
      </c>
      <c r="M1486" t="s">
        <v>8638</v>
      </c>
      <c r="N1486" t="s">
        <v>8639</v>
      </c>
      <c r="Q1486" s="28" t="s">
        <v>8636</v>
      </c>
    </row>
    <row r="1487" spans="1:17" x14ac:dyDescent="0.35">
      <c r="A1487" t="s">
        <v>8520</v>
      </c>
      <c r="B1487" s="3" t="s">
        <v>102</v>
      </c>
      <c r="F1487">
        <v>5</v>
      </c>
      <c r="G1487" t="s">
        <v>8607</v>
      </c>
      <c r="H1487">
        <v>36</v>
      </c>
      <c r="I1487" t="s">
        <v>9305</v>
      </c>
      <c r="J1487" t="str">
        <f t="shared" si="23"/>
        <v>13F-HR-5.36.C10</v>
      </c>
      <c r="K1487" s="5" t="s">
        <v>8640</v>
      </c>
      <c r="L1487" t="s">
        <v>241</v>
      </c>
      <c r="M1487" t="s">
        <v>8641</v>
      </c>
      <c r="N1487" t="s">
        <v>8642</v>
      </c>
      <c r="Q1487" s="28">
        <v>43393</v>
      </c>
    </row>
    <row r="1488" spans="1:17" x14ac:dyDescent="0.35">
      <c r="A1488" t="s">
        <v>8520</v>
      </c>
      <c r="B1488" s="3" t="s">
        <v>102</v>
      </c>
      <c r="F1488">
        <v>5</v>
      </c>
      <c r="G1488" t="s">
        <v>8607</v>
      </c>
      <c r="H1488">
        <v>37</v>
      </c>
      <c r="I1488" t="s">
        <v>9306</v>
      </c>
      <c r="J1488" t="str">
        <f t="shared" si="23"/>
        <v>13F-HR-5.37.C11</v>
      </c>
      <c r="K1488" s="5" t="s">
        <v>8643</v>
      </c>
      <c r="L1488" t="s">
        <v>241</v>
      </c>
      <c r="M1488" t="s">
        <v>8644</v>
      </c>
      <c r="N1488" t="s">
        <v>8645</v>
      </c>
      <c r="Q1488" s="28">
        <v>0</v>
      </c>
    </row>
    <row r="1489" spans="1:17" x14ac:dyDescent="0.35">
      <c r="A1489" t="s">
        <v>8520</v>
      </c>
      <c r="B1489" s="3" t="s">
        <v>102</v>
      </c>
      <c r="F1489">
        <v>5</v>
      </c>
      <c r="G1489" t="s">
        <v>8607</v>
      </c>
      <c r="H1489">
        <v>38</v>
      </c>
      <c r="I1489" t="s">
        <v>9307</v>
      </c>
      <c r="J1489" t="str">
        <f t="shared" si="23"/>
        <v>13F-HR-5.38.C12</v>
      </c>
      <c r="K1489" s="5" t="s">
        <v>8646</v>
      </c>
      <c r="L1489" t="s">
        <v>241</v>
      </c>
      <c r="M1489" t="s">
        <v>8647</v>
      </c>
      <c r="N1489" t="s">
        <v>8648</v>
      </c>
      <c r="Q1489" s="28">
        <v>1269</v>
      </c>
    </row>
    <row r="1490" spans="1:17" x14ac:dyDescent="0.35">
      <c r="A1490" t="s">
        <v>8520</v>
      </c>
      <c r="B1490" s="3" t="s">
        <v>102</v>
      </c>
      <c r="F1490">
        <v>5</v>
      </c>
      <c r="G1490" t="s">
        <v>8607</v>
      </c>
      <c r="H1490">
        <v>27</v>
      </c>
      <c r="I1490" t="s">
        <v>9296</v>
      </c>
      <c r="J1490" t="str">
        <f t="shared" si="23"/>
        <v>13F-HR-5.27.C1</v>
      </c>
      <c r="K1490" s="5" t="s">
        <v>8608</v>
      </c>
      <c r="L1490" t="s">
        <v>229</v>
      </c>
      <c r="M1490" t="s">
        <v>8609</v>
      </c>
      <c r="N1490" t="s">
        <v>8610</v>
      </c>
      <c r="Q1490" s="28" t="s">
        <v>8847</v>
      </c>
    </row>
    <row r="1491" spans="1:17" x14ac:dyDescent="0.35">
      <c r="A1491" t="s">
        <v>8520</v>
      </c>
      <c r="B1491" s="3" t="s">
        <v>102</v>
      </c>
      <c r="F1491">
        <v>5</v>
      </c>
      <c r="G1491" t="s">
        <v>8607</v>
      </c>
      <c r="H1491">
        <v>28</v>
      </c>
      <c r="I1491" t="s">
        <v>9297</v>
      </c>
      <c r="J1491" t="str">
        <f t="shared" si="23"/>
        <v>13F-HR-5.28.C2</v>
      </c>
      <c r="K1491" s="5" t="s">
        <v>8612</v>
      </c>
      <c r="L1491" t="s">
        <v>229</v>
      </c>
      <c r="M1491" t="s">
        <v>8613</v>
      </c>
      <c r="N1491" t="s">
        <v>8614</v>
      </c>
      <c r="Q1491" s="28" t="s">
        <v>8615</v>
      </c>
    </row>
    <row r="1492" spans="1:17" x14ac:dyDescent="0.35">
      <c r="A1492" t="s">
        <v>8520</v>
      </c>
      <c r="B1492" s="3" t="s">
        <v>102</v>
      </c>
      <c r="F1492">
        <v>5</v>
      </c>
      <c r="G1492" t="s">
        <v>8607</v>
      </c>
      <c r="H1492">
        <v>29</v>
      </c>
      <c r="I1492" t="s">
        <v>9298</v>
      </c>
      <c r="J1492" t="str">
        <f t="shared" si="23"/>
        <v>13F-HR-5.29.C3</v>
      </c>
      <c r="K1492" s="5" t="s">
        <v>8616</v>
      </c>
      <c r="L1492" t="s">
        <v>229</v>
      </c>
      <c r="M1492" t="s">
        <v>7927</v>
      </c>
      <c r="N1492" t="s">
        <v>8617</v>
      </c>
      <c r="Q1492" s="28" t="s">
        <v>8848</v>
      </c>
    </row>
    <row r="1493" spans="1:17" x14ac:dyDescent="0.35">
      <c r="A1493" t="s">
        <v>8520</v>
      </c>
      <c r="B1493" s="3" t="s">
        <v>102</v>
      </c>
      <c r="F1493">
        <v>5</v>
      </c>
      <c r="G1493" t="s">
        <v>8607</v>
      </c>
      <c r="H1493">
        <v>30</v>
      </c>
      <c r="I1493" t="s">
        <v>9299</v>
      </c>
      <c r="J1493" t="str">
        <f t="shared" si="23"/>
        <v>13F-HR-5.30.C4</v>
      </c>
      <c r="K1493" s="5" t="s">
        <v>8618</v>
      </c>
      <c r="L1493" t="s">
        <v>8619</v>
      </c>
      <c r="M1493" t="s">
        <v>8620</v>
      </c>
      <c r="N1493" t="s">
        <v>8621</v>
      </c>
      <c r="Q1493" s="28">
        <v>10159355</v>
      </c>
    </row>
    <row r="1494" spans="1:17" x14ac:dyDescent="0.35">
      <c r="A1494" t="s">
        <v>8520</v>
      </c>
      <c r="B1494" s="3" t="s">
        <v>102</v>
      </c>
      <c r="F1494">
        <v>5</v>
      </c>
      <c r="G1494" t="s">
        <v>8607</v>
      </c>
      <c r="H1494">
        <v>31</v>
      </c>
      <c r="I1494" t="s">
        <v>9300</v>
      </c>
      <c r="J1494" t="str">
        <f t="shared" si="23"/>
        <v>13F-HR-5.31.C5</v>
      </c>
      <c r="K1494" s="5" t="s">
        <v>8622</v>
      </c>
      <c r="L1494" t="s">
        <v>241</v>
      </c>
      <c r="M1494" t="s">
        <v>8623</v>
      </c>
      <c r="N1494" t="s">
        <v>8624</v>
      </c>
      <c r="Q1494" s="28">
        <v>18597</v>
      </c>
    </row>
    <row r="1495" spans="1:17" x14ac:dyDescent="0.35">
      <c r="A1495" t="s">
        <v>8520</v>
      </c>
      <c r="B1495" s="3" t="s">
        <v>102</v>
      </c>
      <c r="F1495">
        <v>5</v>
      </c>
      <c r="G1495" t="s">
        <v>8607</v>
      </c>
      <c r="H1495">
        <v>32</v>
      </c>
      <c r="I1495" t="s">
        <v>9301</v>
      </c>
      <c r="J1495" t="str">
        <f t="shared" si="23"/>
        <v>13F-HR-5.32.C6</v>
      </c>
      <c r="K1495" s="5" t="s">
        <v>8625</v>
      </c>
      <c r="L1495" t="s">
        <v>229</v>
      </c>
      <c r="M1495" t="s">
        <v>8626</v>
      </c>
      <c r="N1495" t="s">
        <v>8627</v>
      </c>
      <c r="Q1495" s="28" t="s">
        <v>8628</v>
      </c>
    </row>
    <row r="1496" spans="1:17" x14ac:dyDescent="0.35">
      <c r="A1496" t="s">
        <v>8520</v>
      </c>
      <c r="B1496" s="3" t="s">
        <v>102</v>
      </c>
      <c r="F1496">
        <v>5</v>
      </c>
      <c r="G1496" t="s">
        <v>8607</v>
      </c>
      <c r="H1496">
        <v>33</v>
      </c>
      <c r="I1496" t="s">
        <v>9302</v>
      </c>
      <c r="J1496" t="str">
        <f t="shared" si="23"/>
        <v>13F-HR-5.33.C7</v>
      </c>
      <c r="K1496" s="5" t="s">
        <v>8629</v>
      </c>
      <c r="L1496" t="s">
        <v>229</v>
      </c>
      <c r="M1496" t="s">
        <v>8630</v>
      </c>
      <c r="N1496" t="s">
        <v>8631</v>
      </c>
      <c r="Q1496" s="28" t="s">
        <v>8685</v>
      </c>
    </row>
    <row r="1497" spans="1:17" x14ac:dyDescent="0.35">
      <c r="A1497" t="s">
        <v>8520</v>
      </c>
      <c r="B1497" s="3" t="s">
        <v>102</v>
      </c>
      <c r="F1497">
        <v>5</v>
      </c>
      <c r="G1497" t="s">
        <v>8607</v>
      </c>
      <c r="H1497">
        <v>34</v>
      </c>
      <c r="I1497" t="s">
        <v>9303</v>
      </c>
      <c r="J1497" t="str">
        <f t="shared" si="23"/>
        <v>13F-HR-5.34.C8</v>
      </c>
      <c r="K1497" s="5" t="s">
        <v>8633</v>
      </c>
      <c r="L1497" t="s">
        <v>4735</v>
      </c>
      <c r="M1497" t="s">
        <v>8634</v>
      </c>
      <c r="N1497" t="s">
        <v>8635</v>
      </c>
      <c r="Q1497" s="28" t="s">
        <v>8632</v>
      </c>
    </row>
    <row r="1498" spans="1:17" x14ac:dyDescent="0.35">
      <c r="A1498" t="s">
        <v>8651</v>
      </c>
      <c r="B1498" s="3" t="s">
        <v>102</v>
      </c>
      <c r="F1498">
        <v>5</v>
      </c>
      <c r="G1498" t="s">
        <v>8607</v>
      </c>
      <c r="H1498">
        <v>35</v>
      </c>
      <c r="I1498" t="s">
        <v>9304</v>
      </c>
      <c r="J1498" t="str">
        <f t="shared" si="23"/>
        <v>135-HR-5.35.C9</v>
      </c>
      <c r="K1498" s="5" t="s">
        <v>8637</v>
      </c>
      <c r="L1498" t="s">
        <v>229</v>
      </c>
      <c r="M1498" t="s">
        <v>8638</v>
      </c>
      <c r="N1498" t="s">
        <v>8639</v>
      </c>
      <c r="Q1498" s="28" t="s">
        <v>8636</v>
      </c>
    </row>
    <row r="1499" spans="1:17" x14ac:dyDescent="0.35">
      <c r="A1499" t="s">
        <v>8520</v>
      </c>
      <c r="B1499" s="3" t="s">
        <v>102</v>
      </c>
      <c r="F1499">
        <v>5</v>
      </c>
      <c r="G1499" t="s">
        <v>8607</v>
      </c>
      <c r="H1499">
        <v>36</v>
      </c>
      <c r="I1499" t="s">
        <v>9305</v>
      </c>
      <c r="J1499" t="str">
        <f t="shared" si="23"/>
        <v>13F-HR-5.36.C10</v>
      </c>
      <c r="K1499" s="5" t="s">
        <v>8640</v>
      </c>
      <c r="L1499" t="s">
        <v>241</v>
      </c>
      <c r="M1499" t="s">
        <v>8641</v>
      </c>
      <c r="N1499" t="s">
        <v>8642</v>
      </c>
      <c r="Q1499" s="28">
        <v>9413</v>
      </c>
    </row>
    <row r="1500" spans="1:17" x14ac:dyDescent="0.35">
      <c r="A1500" t="s">
        <v>8520</v>
      </c>
      <c r="B1500" s="3" t="s">
        <v>102</v>
      </c>
      <c r="F1500">
        <v>5</v>
      </c>
      <c r="G1500" t="s">
        <v>8607</v>
      </c>
      <c r="H1500">
        <v>37</v>
      </c>
      <c r="I1500" t="s">
        <v>9306</v>
      </c>
      <c r="J1500" t="str">
        <f t="shared" si="23"/>
        <v>13F-HR-5.37.C11</v>
      </c>
      <c r="K1500" s="5" t="s">
        <v>8643</v>
      </c>
      <c r="L1500" t="s">
        <v>241</v>
      </c>
      <c r="M1500" t="s">
        <v>8644</v>
      </c>
      <c r="N1500" t="s">
        <v>8645</v>
      </c>
      <c r="Q1500" s="28">
        <v>0</v>
      </c>
    </row>
    <row r="1501" spans="1:17" x14ac:dyDescent="0.35">
      <c r="A1501" t="s">
        <v>8520</v>
      </c>
      <c r="B1501" s="3" t="s">
        <v>102</v>
      </c>
      <c r="F1501">
        <v>5</v>
      </c>
      <c r="G1501" t="s">
        <v>8607</v>
      </c>
      <c r="H1501">
        <v>38</v>
      </c>
      <c r="I1501" t="s">
        <v>9307</v>
      </c>
      <c r="J1501" t="str">
        <f t="shared" si="23"/>
        <v>13F-HR-5.38.C12</v>
      </c>
      <c r="K1501" s="5" t="s">
        <v>8646</v>
      </c>
      <c r="L1501" t="s">
        <v>241</v>
      </c>
      <c r="M1501" t="s">
        <v>8647</v>
      </c>
      <c r="N1501" t="s">
        <v>8648</v>
      </c>
      <c r="Q1501" s="28">
        <v>9184</v>
      </c>
    </row>
    <row r="1502" spans="1:17" x14ac:dyDescent="0.35">
      <c r="A1502" t="s">
        <v>8520</v>
      </c>
      <c r="B1502" s="3" t="s">
        <v>102</v>
      </c>
      <c r="F1502">
        <v>5</v>
      </c>
      <c r="G1502" t="s">
        <v>8607</v>
      </c>
      <c r="H1502">
        <v>27</v>
      </c>
      <c r="I1502" t="s">
        <v>9296</v>
      </c>
      <c r="J1502" t="str">
        <f t="shared" si="23"/>
        <v>13F-HR-5.27.C1</v>
      </c>
      <c r="K1502" s="5" t="s">
        <v>8608</v>
      </c>
      <c r="L1502" t="s">
        <v>229</v>
      </c>
      <c r="M1502" t="s">
        <v>8609</v>
      </c>
      <c r="N1502" t="s">
        <v>8610</v>
      </c>
      <c r="Q1502" s="28" t="s">
        <v>8849</v>
      </c>
    </row>
    <row r="1503" spans="1:17" x14ac:dyDescent="0.35">
      <c r="A1503" t="s">
        <v>8520</v>
      </c>
      <c r="B1503" s="3" t="s">
        <v>102</v>
      </c>
      <c r="F1503">
        <v>5</v>
      </c>
      <c r="G1503" t="s">
        <v>8607</v>
      </c>
      <c r="H1503">
        <v>28</v>
      </c>
      <c r="I1503" t="s">
        <v>9297</v>
      </c>
      <c r="J1503" t="str">
        <f t="shared" si="23"/>
        <v>13F-HR-5.28.C2</v>
      </c>
      <c r="K1503" s="5" t="s">
        <v>8612</v>
      </c>
      <c r="L1503" t="s">
        <v>229</v>
      </c>
      <c r="M1503" t="s">
        <v>8613</v>
      </c>
      <c r="N1503" t="s">
        <v>8614</v>
      </c>
      <c r="Q1503" s="28" t="s">
        <v>8850</v>
      </c>
    </row>
    <row r="1504" spans="1:17" x14ac:dyDescent="0.35">
      <c r="A1504" t="s">
        <v>8520</v>
      </c>
      <c r="B1504" s="3" t="s">
        <v>102</v>
      </c>
      <c r="F1504">
        <v>5</v>
      </c>
      <c r="G1504" t="s">
        <v>8607</v>
      </c>
      <c r="H1504">
        <v>29</v>
      </c>
      <c r="I1504" t="s">
        <v>9298</v>
      </c>
      <c r="J1504" t="str">
        <f t="shared" si="23"/>
        <v>13F-HR-5.29.C3</v>
      </c>
      <c r="K1504" s="5" t="s">
        <v>8616</v>
      </c>
      <c r="L1504" t="s">
        <v>229</v>
      </c>
      <c r="M1504" t="s">
        <v>7927</v>
      </c>
      <c r="N1504" t="s">
        <v>8617</v>
      </c>
      <c r="Q1504" s="28">
        <v>398438408</v>
      </c>
    </row>
    <row r="1505" spans="1:17" x14ac:dyDescent="0.35">
      <c r="A1505" t="s">
        <v>8520</v>
      </c>
      <c r="B1505" s="3" t="s">
        <v>102</v>
      </c>
      <c r="F1505">
        <v>5</v>
      </c>
      <c r="G1505" t="s">
        <v>8607</v>
      </c>
      <c r="H1505">
        <v>30</v>
      </c>
      <c r="I1505" t="s">
        <v>9299</v>
      </c>
      <c r="J1505" t="str">
        <f t="shared" si="23"/>
        <v>13F-HR-5.30.C4</v>
      </c>
      <c r="K1505" s="5" t="s">
        <v>8618</v>
      </c>
      <c r="L1505" t="s">
        <v>8619</v>
      </c>
      <c r="M1505" t="s">
        <v>8620</v>
      </c>
      <c r="N1505" t="s">
        <v>8621</v>
      </c>
      <c r="Q1505" s="28">
        <v>1374861</v>
      </c>
    </row>
    <row r="1506" spans="1:17" x14ac:dyDescent="0.35">
      <c r="A1506" t="s">
        <v>8520</v>
      </c>
      <c r="B1506" s="3" t="s">
        <v>102</v>
      </c>
      <c r="F1506">
        <v>5</v>
      </c>
      <c r="G1506" t="s">
        <v>8607</v>
      </c>
      <c r="H1506">
        <v>31</v>
      </c>
      <c r="I1506" t="s">
        <v>9300</v>
      </c>
      <c r="J1506" t="str">
        <f t="shared" si="23"/>
        <v>13F-HR-5.31.C5</v>
      </c>
      <c r="K1506" s="5" t="s">
        <v>8622</v>
      </c>
      <c r="L1506" t="s">
        <v>241</v>
      </c>
      <c r="M1506" t="s">
        <v>8623</v>
      </c>
      <c r="N1506" t="s">
        <v>8624</v>
      </c>
      <c r="Q1506" s="28">
        <v>193370</v>
      </c>
    </row>
    <row r="1507" spans="1:17" x14ac:dyDescent="0.35">
      <c r="A1507" t="s">
        <v>8520</v>
      </c>
      <c r="B1507" s="3" t="s">
        <v>102</v>
      </c>
      <c r="F1507">
        <v>5</v>
      </c>
      <c r="G1507" t="s">
        <v>8607</v>
      </c>
      <c r="H1507">
        <v>32</v>
      </c>
      <c r="I1507" t="s">
        <v>9301</v>
      </c>
      <c r="J1507" t="str">
        <f t="shared" si="23"/>
        <v>13F-HR-5.32.C6</v>
      </c>
      <c r="K1507" s="5" t="s">
        <v>8625</v>
      </c>
      <c r="L1507" t="s">
        <v>229</v>
      </c>
      <c r="M1507" t="s">
        <v>8626</v>
      </c>
      <c r="N1507" t="s">
        <v>8627</v>
      </c>
      <c r="Q1507" s="28" t="s">
        <v>8628</v>
      </c>
    </row>
    <row r="1508" spans="1:17" x14ac:dyDescent="0.35">
      <c r="A1508" t="s">
        <v>8520</v>
      </c>
      <c r="B1508" s="3" t="s">
        <v>102</v>
      </c>
      <c r="F1508">
        <v>5</v>
      </c>
      <c r="G1508" t="s">
        <v>8607</v>
      </c>
      <c r="H1508">
        <v>33</v>
      </c>
      <c r="I1508" t="s">
        <v>9302</v>
      </c>
      <c r="J1508" t="str">
        <f t="shared" si="23"/>
        <v>13F-HR-5.33.C7</v>
      </c>
      <c r="K1508" s="5" t="s">
        <v>8629</v>
      </c>
      <c r="L1508" t="s">
        <v>229</v>
      </c>
      <c r="M1508" t="s">
        <v>8630</v>
      </c>
      <c r="N1508" t="s">
        <v>8631</v>
      </c>
      <c r="Q1508" s="28" t="s">
        <v>8685</v>
      </c>
    </row>
    <row r="1509" spans="1:17" x14ac:dyDescent="0.35">
      <c r="A1509" t="s">
        <v>8520</v>
      </c>
      <c r="B1509" s="3" t="s">
        <v>102</v>
      </c>
      <c r="F1509">
        <v>5</v>
      </c>
      <c r="G1509" t="s">
        <v>8607</v>
      </c>
      <c r="H1509">
        <v>34</v>
      </c>
      <c r="I1509" t="s">
        <v>9303</v>
      </c>
      <c r="J1509" t="str">
        <f t="shared" si="23"/>
        <v>13F-HR-5.34.C8</v>
      </c>
      <c r="K1509" s="5" t="s">
        <v>8633</v>
      </c>
      <c r="L1509" t="s">
        <v>4735</v>
      </c>
      <c r="M1509" t="s">
        <v>8634</v>
      </c>
      <c r="N1509" t="s">
        <v>8635</v>
      </c>
      <c r="Q1509" s="28" t="s">
        <v>8632</v>
      </c>
    </row>
    <row r="1510" spans="1:17" x14ac:dyDescent="0.35">
      <c r="A1510" t="s">
        <v>8651</v>
      </c>
      <c r="B1510" s="3" t="s">
        <v>102</v>
      </c>
      <c r="F1510">
        <v>5</v>
      </c>
      <c r="G1510" t="s">
        <v>8607</v>
      </c>
      <c r="H1510">
        <v>35</v>
      </c>
      <c r="I1510" t="s">
        <v>9304</v>
      </c>
      <c r="J1510" t="str">
        <f t="shared" si="23"/>
        <v>135-HR-5.35.C9</v>
      </c>
      <c r="K1510" s="5" t="s">
        <v>8637</v>
      </c>
      <c r="L1510" t="s">
        <v>229</v>
      </c>
      <c r="M1510" t="s">
        <v>8638</v>
      </c>
      <c r="N1510" t="s">
        <v>8639</v>
      </c>
      <c r="Q1510" s="28" t="s">
        <v>8636</v>
      </c>
    </row>
    <row r="1511" spans="1:17" x14ac:dyDescent="0.35">
      <c r="A1511" t="s">
        <v>8520</v>
      </c>
      <c r="B1511" s="3" t="s">
        <v>102</v>
      </c>
      <c r="F1511">
        <v>5</v>
      </c>
      <c r="G1511" t="s">
        <v>8607</v>
      </c>
      <c r="H1511">
        <v>36</v>
      </c>
      <c r="I1511" t="s">
        <v>9305</v>
      </c>
      <c r="J1511" t="str">
        <f t="shared" si="23"/>
        <v>13F-HR-5.36.C10</v>
      </c>
      <c r="K1511" s="5" t="s">
        <v>8640</v>
      </c>
      <c r="L1511" t="s">
        <v>241</v>
      </c>
      <c r="M1511" t="s">
        <v>8641</v>
      </c>
      <c r="N1511" t="s">
        <v>8642</v>
      </c>
      <c r="Q1511" s="28">
        <v>183342</v>
      </c>
    </row>
    <row r="1512" spans="1:17" x14ac:dyDescent="0.35">
      <c r="A1512" t="s">
        <v>8520</v>
      </c>
      <c r="B1512" s="3" t="s">
        <v>102</v>
      </c>
      <c r="F1512">
        <v>5</v>
      </c>
      <c r="G1512" t="s">
        <v>8607</v>
      </c>
      <c r="H1512">
        <v>37</v>
      </c>
      <c r="I1512" t="s">
        <v>9306</v>
      </c>
      <c r="J1512" t="str">
        <f t="shared" si="23"/>
        <v>13F-HR-5.37.C11</v>
      </c>
      <c r="K1512" s="5" t="s">
        <v>8643</v>
      </c>
      <c r="L1512" t="s">
        <v>241</v>
      </c>
      <c r="M1512" t="s">
        <v>8644</v>
      </c>
      <c r="N1512" t="s">
        <v>8645</v>
      </c>
      <c r="Q1512" s="28">
        <v>0</v>
      </c>
    </row>
    <row r="1513" spans="1:17" x14ac:dyDescent="0.35">
      <c r="A1513" t="s">
        <v>8520</v>
      </c>
      <c r="B1513" s="3" t="s">
        <v>102</v>
      </c>
      <c r="F1513">
        <v>5</v>
      </c>
      <c r="G1513" t="s">
        <v>8607</v>
      </c>
      <c r="H1513">
        <v>38</v>
      </c>
      <c r="I1513" t="s">
        <v>9307</v>
      </c>
      <c r="J1513" t="str">
        <f t="shared" si="23"/>
        <v>13F-HR-5.38.C12</v>
      </c>
      <c r="K1513" s="5" t="s">
        <v>8646</v>
      </c>
      <c r="L1513" t="s">
        <v>241</v>
      </c>
      <c r="M1513" t="s">
        <v>8647</v>
      </c>
      <c r="N1513" t="s">
        <v>8648</v>
      </c>
      <c r="Q1513" s="28">
        <v>10028</v>
      </c>
    </row>
    <row r="1514" spans="1:17" x14ac:dyDescent="0.35">
      <c r="A1514" t="s">
        <v>8520</v>
      </c>
      <c r="B1514" s="3" t="s">
        <v>102</v>
      </c>
      <c r="F1514">
        <v>5</v>
      </c>
      <c r="G1514" t="s">
        <v>8607</v>
      </c>
      <c r="H1514">
        <v>27</v>
      </c>
      <c r="I1514" t="s">
        <v>9296</v>
      </c>
      <c r="J1514" t="str">
        <f t="shared" si="23"/>
        <v>13F-HR-5.27.C1</v>
      </c>
      <c r="K1514" s="5" t="s">
        <v>8608</v>
      </c>
      <c r="L1514" t="s">
        <v>229</v>
      </c>
      <c r="M1514" t="s">
        <v>8609</v>
      </c>
      <c r="N1514" t="s">
        <v>8610</v>
      </c>
      <c r="Q1514" s="28" t="s">
        <v>8851</v>
      </c>
    </row>
    <row r="1515" spans="1:17" x14ac:dyDescent="0.35">
      <c r="A1515" t="s">
        <v>8520</v>
      </c>
      <c r="B1515" s="3" t="s">
        <v>102</v>
      </c>
      <c r="F1515">
        <v>5</v>
      </c>
      <c r="G1515" t="s">
        <v>8607</v>
      </c>
      <c r="H1515">
        <v>28</v>
      </c>
      <c r="I1515" t="s">
        <v>9297</v>
      </c>
      <c r="J1515" t="str">
        <f t="shared" si="23"/>
        <v>13F-HR-5.28.C2</v>
      </c>
      <c r="K1515" s="5" t="s">
        <v>8612</v>
      </c>
      <c r="L1515" t="s">
        <v>229</v>
      </c>
      <c r="M1515" t="s">
        <v>8613</v>
      </c>
      <c r="N1515" t="s">
        <v>8614</v>
      </c>
      <c r="Q1515" s="28" t="s">
        <v>8615</v>
      </c>
    </row>
    <row r="1516" spans="1:17" x14ac:dyDescent="0.35">
      <c r="A1516" t="s">
        <v>8520</v>
      </c>
      <c r="B1516" s="3" t="s">
        <v>102</v>
      </c>
      <c r="F1516">
        <v>5</v>
      </c>
      <c r="G1516" t="s">
        <v>8607</v>
      </c>
      <c r="H1516">
        <v>29</v>
      </c>
      <c r="I1516" t="s">
        <v>9298</v>
      </c>
      <c r="J1516" t="str">
        <f t="shared" si="23"/>
        <v>13F-HR-5.29.C3</v>
      </c>
      <c r="K1516" s="5" t="s">
        <v>8616</v>
      </c>
      <c r="L1516" t="s">
        <v>229</v>
      </c>
      <c r="M1516" t="s">
        <v>7927</v>
      </c>
      <c r="N1516" t="s">
        <v>8617</v>
      </c>
      <c r="Q1516" s="28" t="s">
        <v>8852</v>
      </c>
    </row>
    <row r="1517" spans="1:17" x14ac:dyDescent="0.35">
      <c r="A1517" t="s">
        <v>8520</v>
      </c>
      <c r="B1517" s="3" t="s">
        <v>102</v>
      </c>
      <c r="F1517">
        <v>5</v>
      </c>
      <c r="G1517" t="s">
        <v>8607</v>
      </c>
      <c r="H1517">
        <v>30</v>
      </c>
      <c r="I1517" t="s">
        <v>9299</v>
      </c>
      <c r="J1517" t="str">
        <f t="shared" si="23"/>
        <v>13F-HR-5.30.C4</v>
      </c>
      <c r="K1517" s="5" t="s">
        <v>8618</v>
      </c>
      <c r="L1517" t="s">
        <v>8619</v>
      </c>
      <c r="M1517" t="s">
        <v>8620</v>
      </c>
      <c r="N1517" t="s">
        <v>8621</v>
      </c>
      <c r="Q1517" s="28">
        <v>505151</v>
      </c>
    </row>
    <row r="1518" spans="1:17" x14ac:dyDescent="0.35">
      <c r="A1518" t="s">
        <v>8520</v>
      </c>
      <c r="B1518" s="3" t="s">
        <v>102</v>
      </c>
      <c r="F1518">
        <v>5</v>
      </c>
      <c r="G1518" t="s">
        <v>8607</v>
      </c>
      <c r="H1518">
        <v>31</v>
      </c>
      <c r="I1518" t="s">
        <v>9300</v>
      </c>
      <c r="J1518" t="str">
        <f t="shared" si="23"/>
        <v>13F-HR-5.31.C5</v>
      </c>
      <c r="K1518" s="5" t="s">
        <v>8622</v>
      </c>
      <c r="L1518" t="s">
        <v>241</v>
      </c>
      <c r="M1518" t="s">
        <v>8623</v>
      </c>
      <c r="N1518" t="s">
        <v>8624</v>
      </c>
      <c r="Q1518" s="28">
        <v>11858</v>
      </c>
    </row>
    <row r="1519" spans="1:17" x14ac:dyDescent="0.35">
      <c r="A1519" t="s">
        <v>8520</v>
      </c>
      <c r="B1519" s="3" t="s">
        <v>102</v>
      </c>
      <c r="F1519">
        <v>5</v>
      </c>
      <c r="G1519" t="s">
        <v>8607</v>
      </c>
      <c r="H1519">
        <v>32</v>
      </c>
      <c r="I1519" t="s">
        <v>9301</v>
      </c>
      <c r="J1519" t="str">
        <f t="shared" si="23"/>
        <v>13F-HR-5.32.C6</v>
      </c>
      <c r="K1519" s="5" t="s">
        <v>8625</v>
      </c>
      <c r="L1519" t="s">
        <v>229</v>
      </c>
      <c r="M1519" t="s">
        <v>8626</v>
      </c>
      <c r="N1519" t="s">
        <v>8627</v>
      </c>
      <c r="Q1519" s="28" t="s">
        <v>8628</v>
      </c>
    </row>
    <row r="1520" spans="1:17" x14ac:dyDescent="0.35">
      <c r="A1520" t="s">
        <v>8520</v>
      </c>
      <c r="B1520" s="3" t="s">
        <v>102</v>
      </c>
      <c r="F1520">
        <v>5</v>
      </c>
      <c r="G1520" t="s">
        <v>8607</v>
      </c>
      <c r="H1520">
        <v>33</v>
      </c>
      <c r="I1520" t="s">
        <v>9302</v>
      </c>
      <c r="J1520" t="str">
        <f t="shared" si="23"/>
        <v>13F-HR-5.33.C7</v>
      </c>
      <c r="K1520" s="5" t="s">
        <v>8629</v>
      </c>
      <c r="L1520" t="s">
        <v>229</v>
      </c>
      <c r="M1520" t="s">
        <v>8630</v>
      </c>
      <c r="N1520" t="s">
        <v>8631</v>
      </c>
      <c r="Q1520" s="28" t="s">
        <v>8685</v>
      </c>
    </row>
    <row r="1521" spans="1:17" x14ac:dyDescent="0.35">
      <c r="A1521" t="s">
        <v>8520</v>
      </c>
      <c r="B1521" s="3" t="s">
        <v>102</v>
      </c>
      <c r="F1521">
        <v>5</v>
      </c>
      <c r="G1521" t="s">
        <v>8607</v>
      </c>
      <c r="H1521">
        <v>34</v>
      </c>
      <c r="I1521" t="s">
        <v>9303</v>
      </c>
      <c r="J1521" t="str">
        <f t="shared" si="23"/>
        <v>13F-HR-5.34.C8</v>
      </c>
      <c r="K1521" s="5" t="s">
        <v>8633</v>
      </c>
      <c r="L1521" t="s">
        <v>4735</v>
      </c>
      <c r="M1521" t="s">
        <v>8634</v>
      </c>
      <c r="N1521" t="s">
        <v>8635</v>
      </c>
      <c r="Q1521" s="28" t="s">
        <v>8632</v>
      </c>
    </row>
    <row r="1522" spans="1:17" x14ac:dyDescent="0.35">
      <c r="A1522" t="s">
        <v>8651</v>
      </c>
      <c r="B1522" s="3" t="s">
        <v>102</v>
      </c>
      <c r="F1522">
        <v>5</v>
      </c>
      <c r="G1522" t="s">
        <v>8607</v>
      </c>
      <c r="H1522">
        <v>35</v>
      </c>
      <c r="I1522" t="s">
        <v>9304</v>
      </c>
      <c r="J1522" t="str">
        <f t="shared" si="23"/>
        <v>135-HR-5.35.C9</v>
      </c>
      <c r="K1522" s="5" t="s">
        <v>8637</v>
      </c>
      <c r="L1522" t="s">
        <v>229</v>
      </c>
      <c r="M1522" t="s">
        <v>8638</v>
      </c>
      <c r="N1522" t="s">
        <v>8639</v>
      </c>
      <c r="Q1522" s="28" t="s">
        <v>8636</v>
      </c>
    </row>
    <row r="1523" spans="1:17" x14ac:dyDescent="0.35">
      <c r="A1523" t="s">
        <v>8520</v>
      </c>
      <c r="B1523" s="3" t="s">
        <v>102</v>
      </c>
      <c r="F1523">
        <v>5</v>
      </c>
      <c r="G1523" t="s">
        <v>8607</v>
      </c>
      <c r="H1523">
        <v>36</v>
      </c>
      <c r="I1523" t="s">
        <v>9305</v>
      </c>
      <c r="J1523" t="str">
        <f t="shared" si="23"/>
        <v>13F-HR-5.36.C10</v>
      </c>
      <c r="K1523" s="5" t="s">
        <v>8640</v>
      </c>
      <c r="L1523" t="s">
        <v>241</v>
      </c>
      <c r="M1523" t="s">
        <v>8641</v>
      </c>
      <c r="N1523" t="s">
        <v>8642</v>
      </c>
      <c r="Q1523" s="28">
        <v>11858</v>
      </c>
    </row>
    <row r="1524" spans="1:17" x14ac:dyDescent="0.35">
      <c r="A1524" t="s">
        <v>8520</v>
      </c>
      <c r="B1524" s="3" t="s">
        <v>102</v>
      </c>
      <c r="F1524">
        <v>5</v>
      </c>
      <c r="G1524" t="s">
        <v>8607</v>
      </c>
      <c r="H1524">
        <v>37</v>
      </c>
      <c r="I1524" t="s">
        <v>9306</v>
      </c>
      <c r="J1524" t="str">
        <f t="shared" si="23"/>
        <v>13F-HR-5.37.C11</v>
      </c>
      <c r="K1524" s="5" t="s">
        <v>8643</v>
      </c>
      <c r="L1524" t="s">
        <v>241</v>
      </c>
      <c r="M1524" t="s">
        <v>8644</v>
      </c>
      <c r="N1524" t="s">
        <v>8645</v>
      </c>
      <c r="Q1524" s="28">
        <v>0</v>
      </c>
    </row>
    <row r="1525" spans="1:17" x14ac:dyDescent="0.35">
      <c r="A1525" t="s">
        <v>8520</v>
      </c>
      <c r="B1525" s="3" t="s">
        <v>102</v>
      </c>
      <c r="F1525">
        <v>5</v>
      </c>
      <c r="G1525" t="s">
        <v>8607</v>
      </c>
      <c r="H1525">
        <v>38</v>
      </c>
      <c r="I1525" t="s">
        <v>9307</v>
      </c>
      <c r="J1525" t="str">
        <f t="shared" si="23"/>
        <v>13F-HR-5.38.C12</v>
      </c>
      <c r="K1525" s="5" t="s">
        <v>8646</v>
      </c>
      <c r="L1525" t="s">
        <v>241</v>
      </c>
      <c r="M1525" t="s">
        <v>8647</v>
      </c>
      <c r="N1525" t="s">
        <v>8648</v>
      </c>
      <c r="Q1525" s="28">
        <v>0</v>
      </c>
    </row>
    <row r="1526" spans="1:17" x14ac:dyDescent="0.35">
      <c r="A1526" t="s">
        <v>8520</v>
      </c>
      <c r="B1526" s="3" t="s">
        <v>102</v>
      </c>
      <c r="F1526">
        <v>5</v>
      </c>
      <c r="G1526" t="s">
        <v>8607</v>
      </c>
      <c r="H1526">
        <v>27</v>
      </c>
      <c r="I1526" t="s">
        <v>9296</v>
      </c>
      <c r="J1526" t="str">
        <f t="shared" si="23"/>
        <v>13F-HR-5.27.C1</v>
      </c>
      <c r="K1526" s="5" t="s">
        <v>8608</v>
      </c>
      <c r="L1526" t="s">
        <v>229</v>
      </c>
      <c r="M1526" t="s">
        <v>8609</v>
      </c>
      <c r="N1526" t="s">
        <v>8610</v>
      </c>
      <c r="Q1526" s="28" t="s">
        <v>8853</v>
      </c>
    </row>
    <row r="1527" spans="1:17" x14ac:dyDescent="0.35">
      <c r="A1527" t="s">
        <v>8520</v>
      </c>
      <c r="B1527" s="3" t="s">
        <v>102</v>
      </c>
      <c r="F1527">
        <v>5</v>
      </c>
      <c r="G1527" t="s">
        <v>8607</v>
      </c>
      <c r="H1527">
        <v>28</v>
      </c>
      <c r="I1527" t="s">
        <v>9297</v>
      </c>
      <c r="J1527" t="str">
        <f t="shared" si="23"/>
        <v>13F-HR-5.28.C2</v>
      </c>
      <c r="K1527" s="5" t="s">
        <v>8612</v>
      </c>
      <c r="L1527" t="s">
        <v>229</v>
      </c>
      <c r="M1527" t="s">
        <v>8613</v>
      </c>
      <c r="N1527" t="s">
        <v>8614</v>
      </c>
      <c r="Q1527" s="28" t="s">
        <v>8615</v>
      </c>
    </row>
    <row r="1528" spans="1:17" x14ac:dyDescent="0.35">
      <c r="A1528" t="s">
        <v>8520</v>
      </c>
      <c r="B1528" s="3" t="s">
        <v>102</v>
      </c>
      <c r="F1528">
        <v>5</v>
      </c>
      <c r="G1528" t="s">
        <v>8607</v>
      </c>
      <c r="H1528">
        <v>29</v>
      </c>
      <c r="I1528" t="s">
        <v>9298</v>
      </c>
      <c r="J1528" t="str">
        <f t="shared" si="23"/>
        <v>13F-HR-5.29.C3</v>
      </c>
      <c r="K1528" s="5" t="s">
        <v>8616</v>
      </c>
      <c r="L1528" t="s">
        <v>229</v>
      </c>
      <c r="M1528" t="s">
        <v>7927</v>
      </c>
      <c r="N1528" t="s">
        <v>8617</v>
      </c>
      <c r="Q1528" s="28">
        <v>406216101</v>
      </c>
    </row>
    <row r="1529" spans="1:17" x14ac:dyDescent="0.35">
      <c r="A1529" t="s">
        <v>8520</v>
      </c>
      <c r="B1529" s="3" t="s">
        <v>102</v>
      </c>
      <c r="F1529">
        <v>5</v>
      </c>
      <c r="G1529" t="s">
        <v>8607</v>
      </c>
      <c r="H1529">
        <v>30</v>
      </c>
      <c r="I1529" t="s">
        <v>9299</v>
      </c>
      <c r="J1529" t="str">
        <f t="shared" si="23"/>
        <v>13F-HR-5.30.C4</v>
      </c>
      <c r="K1529" s="5" t="s">
        <v>8618</v>
      </c>
      <c r="L1529" t="s">
        <v>8619</v>
      </c>
      <c r="M1529" t="s">
        <v>8620</v>
      </c>
      <c r="N1529" t="s">
        <v>8621</v>
      </c>
      <c r="Q1529" s="28">
        <v>2750412</v>
      </c>
    </row>
    <row r="1530" spans="1:17" x14ac:dyDescent="0.35">
      <c r="A1530" t="s">
        <v>8520</v>
      </c>
      <c r="B1530" s="3" t="s">
        <v>102</v>
      </c>
      <c r="F1530">
        <v>5</v>
      </c>
      <c r="G1530" t="s">
        <v>8607</v>
      </c>
      <c r="H1530">
        <v>31</v>
      </c>
      <c r="I1530" t="s">
        <v>9300</v>
      </c>
      <c r="J1530" t="str">
        <f t="shared" si="23"/>
        <v>13F-HR-5.31.C5</v>
      </c>
      <c r="K1530" s="5" t="s">
        <v>8622</v>
      </c>
      <c r="L1530" t="s">
        <v>241</v>
      </c>
      <c r="M1530" t="s">
        <v>8623</v>
      </c>
      <c r="N1530" t="s">
        <v>8624</v>
      </c>
      <c r="Q1530" s="28">
        <v>108412</v>
      </c>
    </row>
    <row r="1531" spans="1:17" x14ac:dyDescent="0.35">
      <c r="A1531" t="s">
        <v>8520</v>
      </c>
      <c r="B1531" s="3" t="s">
        <v>102</v>
      </c>
      <c r="F1531">
        <v>5</v>
      </c>
      <c r="G1531" t="s">
        <v>8607</v>
      </c>
      <c r="H1531">
        <v>32</v>
      </c>
      <c r="I1531" t="s">
        <v>9301</v>
      </c>
      <c r="J1531" t="str">
        <f t="shared" si="23"/>
        <v>13F-HR-5.32.C6</v>
      </c>
      <c r="K1531" s="5" t="s">
        <v>8625</v>
      </c>
      <c r="L1531" t="s">
        <v>229</v>
      </c>
      <c r="M1531" t="s">
        <v>8626</v>
      </c>
      <c r="N1531" t="s">
        <v>8627</v>
      </c>
      <c r="Q1531" s="28" t="s">
        <v>8628</v>
      </c>
    </row>
    <row r="1532" spans="1:17" x14ac:dyDescent="0.35">
      <c r="A1532" t="s">
        <v>8520</v>
      </c>
      <c r="B1532" s="3" t="s">
        <v>102</v>
      </c>
      <c r="F1532">
        <v>5</v>
      </c>
      <c r="G1532" t="s">
        <v>8607</v>
      </c>
      <c r="H1532">
        <v>33</v>
      </c>
      <c r="I1532" t="s">
        <v>9302</v>
      </c>
      <c r="J1532" t="str">
        <f t="shared" si="23"/>
        <v>13F-HR-5.33.C7</v>
      </c>
      <c r="K1532" s="5" t="s">
        <v>8629</v>
      </c>
      <c r="L1532" t="s">
        <v>229</v>
      </c>
      <c r="M1532" t="s">
        <v>8630</v>
      </c>
      <c r="N1532" t="s">
        <v>8631</v>
      </c>
      <c r="Q1532" s="28" t="s">
        <v>8685</v>
      </c>
    </row>
    <row r="1533" spans="1:17" x14ac:dyDescent="0.35">
      <c r="A1533" t="s">
        <v>8520</v>
      </c>
      <c r="B1533" s="3" t="s">
        <v>102</v>
      </c>
      <c r="F1533">
        <v>5</v>
      </c>
      <c r="G1533" t="s">
        <v>8607</v>
      </c>
      <c r="H1533">
        <v>34</v>
      </c>
      <c r="I1533" t="s">
        <v>9303</v>
      </c>
      <c r="J1533" t="str">
        <f t="shared" si="23"/>
        <v>13F-HR-5.34.C8</v>
      </c>
      <c r="K1533" s="5" t="s">
        <v>8633</v>
      </c>
      <c r="L1533" t="s">
        <v>4735</v>
      </c>
      <c r="M1533" t="s">
        <v>8634</v>
      </c>
      <c r="N1533" t="s">
        <v>8635</v>
      </c>
      <c r="Q1533" s="28" t="s">
        <v>8632</v>
      </c>
    </row>
    <row r="1534" spans="1:17" x14ac:dyDescent="0.35">
      <c r="A1534" t="s">
        <v>8651</v>
      </c>
      <c r="B1534" s="3" t="s">
        <v>102</v>
      </c>
      <c r="F1534">
        <v>5</v>
      </c>
      <c r="G1534" t="s">
        <v>8607</v>
      </c>
      <c r="H1534">
        <v>35</v>
      </c>
      <c r="I1534" t="s">
        <v>9304</v>
      </c>
      <c r="J1534" t="str">
        <f t="shared" si="23"/>
        <v>135-HR-5.35.C9</v>
      </c>
      <c r="K1534" s="5" t="s">
        <v>8637</v>
      </c>
      <c r="L1534" t="s">
        <v>229</v>
      </c>
      <c r="M1534" t="s">
        <v>8638</v>
      </c>
      <c r="N1534" t="s">
        <v>8639</v>
      </c>
      <c r="Q1534" s="28" t="s">
        <v>8636</v>
      </c>
    </row>
    <row r="1535" spans="1:17" x14ac:dyDescent="0.35">
      <c r="A1535" t="s">
        <v>8520</v>
      </c>
      <c r="B1535" s="3" t="s">
        <v>102</v>
      </c>
      <c r="F1535">
        <v>5</v>
      </c>
      <c r="G1535" t="s">
        <v>8607</v>
      </c>
      <c r="H1535">
        <v>36</v>
      </c>
      <c r="I1535" t="s">
        <v>9305</v>
      </c>
      <c r="J1535" t="str">
        <f t="shared" si="23"/>
        <v>13F-HR-5.36.C10</v>
      </c>
      <c r="K1535" s="5" t="s">
        <v>8640</v>
      </c>
      <c r="L1535" t="s">
        <v>241</v>
      </c>
      <c r="M1535" t="s">
        <v>8641</v>
      </c>
      <c r="N1535" t="s">
        <v>8642</v>
      </c>
      <c r="Q1535" s="28">
        <v>0</v>
      </c>
    </row>
    <row r="1536" spans="1:17" x14ac:dyDescent="0.35">
      <c r="A1536" t="s">
        <v>8520</v>
      </c>
      <c r="B1536" s="3" t="s">
        <v>102</v>
      </c>
      <c r="F1536">
        <v>5</v>
      </c>
      <c r="G1536" t="s">
        <v>8607</v>
      </c>
      <c r="H1536">
        <v>37</v>
      </c>
      <c r="I1536" t="s">
        <v>9306</v>
      </c>
      <c r="J1536" t="str">
        <f t="shared" si="23"/>
        <v>13F-HR-5.37.C11</v>
      </c>
      <c r="K1536" s="5" t="s">
        <v>8643</v>
      </c>
      <c r="L1536" t="s">
        <v>241</v>
      </c>
      <c r="M1536" t="s">
        <v>8644</v>
      </c>
      <c r="N1536" t="s">
        <v>8645</v>
      </c>
      <c r="Q1536" s="28">
        <v>0</v>
      </c>
    </row>
    <row r="1537" spans="1:17" x14ac:dyDescent="0.35">
      <c r="A1537" t="s">
        <v>8520</v>
      </c>
      <c r="B1537" s="3" t="s">
        <v>102</v>
      </c>
      <c r="F1537">
        <v>5</v>
      </c>
      <c r="G1537" t="s">
        <v>8607</v>
      </c>
      <c r="H1537">
        <v>38</v>
      </c>
      <c r="I1537" t="s">
        <v>9307</v>
      </c>
      <c r="J1537" t="str">
        <f t="shared" si="23"/>
        <v>13F-HR-5.38.C12</v>
      </c>
      <c r="K1537" s="5" t="s">
        <v>8646</v>
      </c>
      <c r="L1537" t="s">
        <v>241</v>
      </c>
      <c r="M1537" t="s">
        <v>8647</v>
      </c>
      <c r="N1537" t="s">
        <v>8648</v>
      </c>
      <c r="Q1537" s="28">
        <v>108412</v>
      </c>
    </row>
    <row r="1538" spans="1:17" x14ac:dyDescent="0.35">
      <c r="A1538" t="s">
        <v>8520</v>
      </c>
      <c r="B1538" s="3" t="s">
        <v>102</v>
      </c>
      <c r="F1538">
        <v>5</v>
      </c>
      <c r="G1538" t="s">
        <v>8607</v>
      </c>
      <c r="H1538">
        <v>27</v>
      </c>
      <c r="I1538" t="s">
        <v>9296</v>
      </c>
      <c r="J1538" t="str">
        <f t="shared" si="23"/>
        <v>13F-HR-5.27.C1</v>
      </c>
      <c r="K1538" s="5" t="s">
        <v>8608</v>
      </c>
      <c r="L1538" t="s">
        <v>229</v>
      </c>
      <c r="M1538" t="s">
        <v>8609</v>
      </c>
      <c r="N1538" t="s">
        <v>8610</v>
      </c>
      <c r="Q1538" s="28" t="s">
        <v>8854</v>
      </c>
    </row>
    <row r="1539" spans="1:17" x14ac:dyDescent="0.35">
      <c r="A1539" t="s">
        <v>8520</v>
      </c>
      <c r="B1539" s="3" t="s">
        <v>102</v>
      </c>
      <c r="F1539">
        <v>5</v>
      </c>
      <c r="G1539" t="s">
        <v>8607</v>
      </c>
      <c r="H1539">
        <v>28</v>
      </c>
      <c r="I1539" t="s">
        <v>9297</v>
      </c>
      <c r="J1539" t="str">
        <f t="shared" ref="J1539:J1602" si="24">_xlfn.CONCAT(A1539,"-",F1539,".",H1539,".",I1539)</f>
        <v>13F-HR-5.28.C2</v>
      </c>
      <c r="K1539" s="5" t="s">
        <v>8612</v>
      </c>
      <c r="L1539" t="s">
        <v>229</v>
      </c>
      <c r="M1539" t="s">
        <v>8613</v>
      </c>
      <c r="N1539" t="s">
        <v>8614</v>
      </c>
      <c r="Q1539" s="28" t="s">
        <v>8615</v>
      </c>
    </row>
    <row r="1540" spans="1:17" x14ac:dyDescent="0.35">
      <c r="A1540" t="s">
        <v>8520</v>
      </c>
      <c r="B1540" s="3" t="s">
        <v>102</v>
      </c>
      <c r="F1540">
        <v>5</v>
      </c>
      <c r="G1540" t="s">
        <v>8607</v>
      </c>
      <c r="H1540">
        <v>29</v>
      </c>
      <c r="I1540" t="s">
        <v>9298</v>
      </c>
      <c r="J1540" t="str">
        <f t="shared" si="24"/>
        <v>13F-HR-5.29.C3</v>
      </c>
      <c r="K1540" s="5" t="s">
        <v>8616</v>
      </c>
      <c r="L1540" t="s">
        <v>229</v>
      </c>
      <c r="M1540" t="s">
        <v>7927</v>
      </c>
      <c r="N1540" t="s">
        <v>8617</v>
      </c>
      <c r="Q1540" s="28">
        <v>422806109</v>
      </c>
    </row>
    <row r="1541" spans="1:17" x14ac:dyDescent="0.35">
      <c r="A1541" t="s">
        <v>8520</v>
      </c>
      <c r="B1541" s="3" t="s">
        <v>102</v>
      </c>
      <c r="F1541">
        <v>5</v>
      </c>
      <c r="G1541" t="s">
        <v>8607</v>
      </c>
      <c r="H1541">
        <v>30</v>
      </c>
      <c r="I1541" t="s">
        <v>9299</v>
      </c>
      <c r="J1541" t="str">
        <f t="shared" si="24"/>
        <v>13F-HR-5.30.C4</v>
      </c>
      <c r="K1541" s="5" t="s">
        <v>8618</v>
      </c>
      <c r="L1541" t="s">
        <v>8619</v>
      </c>
      <c r="M1541" t="s">
        <v>8620</v>
      </c>
      <c r="N1541" t="s">
        <v>8621</v>
      </c>
      <c r="Q1541" s="28">
        <v>13139068</v>
      </c>
    </row>
    <row r="1542" spans="1:17" x14ac:dyDescent="0.35">
      <c r="A1542" t="s">
        <v>8520</v>
      </c>
      <c r="B1542" s="3" t="s">
        <v>102</v>
      </c>
      <c r="F1542">
        <v>5</v>
      </c>
      <c r="G1542" t="s">
        <v>8607</v>
      </c>
      <c r="H1542">
        <v>31</v>
      </c>
      <c r="I1542" t="s">
        <v>9300</v>
      </c>
      <c r="J1542" t="str">
        <f t="shared" si="24"/>
        <v>13F-HR-5.31.C5</v>
      </c>
      <c r="K1542" s="5" t="s">
        <v>8622</v>
      </c>
      <c r="L1542" t="s">
        <v>241</v>
      </c>
      <c r="M1542" t="s">
        <v>8623</v>
      </c>
      <c r="N1542" t="s">
        <v>8624</v>
      </c>
      <c r="Q1542" s="28">
        <v>49175</v>
      </c>
    </row>
    <row r="1543" spans="1:17" x14ac:dyDescent="0.35">
      <c r="A1543" t="s">
        <v>8520</v>
      </c>
      <c r="B1543" s="3" t="s">
        <v>102</v>
      </c>
      <c r="F1543">
        <v>5</v>
      </c>
      <c r="G1543" t="s">
        <v>8607</v>
      </c>
      <c r="H1543">
        <v>32</v>
      </c>
      <c r="I1543" t="s">
        <v>9301</v>
      </c>
      <c r="J1543" t="str">
        <f t="shared" si="24"/>
        <v>13F-HR-5.32.C6</v>
      </c>
      <c r="K1543" s="5" t="s">
        <v>8625</v>
      </c>
      <c r="L1543" t="s">
        <v>229</v>
      </c>
      <c r="M1543" t="s">
        <v>8626</v>
      </c>
      <c r="N1543" t="s">
        <v>8627</v>
      </c>
      <c r="Q1543" s="28" t="s">
        <v>8628</v>
      </c>
    </row>
    <row r="1544" spans="1:17" x14ac:dyDescent="0.35">
      <c r="A1544" t="s">
        <v>8520</v>
      </c>
      <c r="B1544" s="3" t="s">
        <v>102</v>
      </c>
      <c r="F1544">
        <v>5</v>
      </c>
      <c r="G1544" t="s">
        <v>8607</v>
      </c>
      <c r="H1544">
        <v>33</v>
      </c>
      <c r="I1544" t="s">
        <v>9302</v>
      </c>
      <c r="J1544" t="str">
        <f t="shared" si="24"/>
        <v>13F-HR-5.33.C7</v>
      </c>
      <c r="K1544" s="5" t="s">
        <v>8629</v>
      </c>
      <c r="L1544" t="s">
        <v>229</v>
      </c>
      <c r="M1544" t="s">
        <v>8630</v>
      </c>
      <c r="N1544" t="s">
        <v>8631</v>
      </c>
      <c r="Q1544" s="28" t="s">
        <v>8685</v>
      </c>
    </row>
    <row r="1545" spans="1:17" x14ac:dyDescent="0.35">
      <c r="A1545" t="s">
        <v>8520</v>
      </c>
      <c r="B1545" s="3" t="s">
        <v>102</v>
      </c>
      <c r="F1545">
        <v>5</v>
      </c>
      <c r="G1545" t="s">
        <v>8607</v>
      </c>
      <c r="H1545">
        <v>34</v>
      </c>
      <c r="I1545" t="s">
        <v>9303</v>
      </c>
      <c r="J1545" t="str">
        <f t="shared" si="24"/>
        <v>13F-HR-5.34.C8</v>
      </c>
      <c r="K1545" s="5" t="s">
        <v>8633</v>
      </c>
      <c r="L1545" t="s">
        <v>4735</v>
      </c>
      <c r="M1545" t="s">
        <v>8634</v>
      </c>
      <c r="N1545" t="s">
        <v>8635</v>
      </c>
      <c r="Q1545" s="28" t="s">
        <v>8632</v>
      </c>
    </row>
    <row r="1546" spans="1:17" x14ac:dyDescent="0.35">
      <c r="A1546" t="s">
        <v>8651</v>
      </c>
      <c r="B1546" s="3" t="s">
        <v>102</v>
      </c>
      <c r="F1546">
        <v>5</v>
      </c>
      <c r="G1546" t="s">
        <v>8607</v>
      </c>
      <c r="H1546">
        <v>35</v>
      </c>
      <c r="I1546" t="s">
        <v>9304</v>
      </c>
      <c r="J1546" t="str">
        <f t="shared" si="24"/>
        <v>135-HR-5.35.C9</v>
      </c>
      <c r="K1546" s="5" t="s">
        <v>8637</v>
      </c>
      <c r="L1546" t="s">
        <v>229</v>
      </c>
      <c r="M1546" t="s">
        <v>8638</v>
      </c>
      <c r="N1546" t="s">
        <v>8639</v>
      </c>
      <c r="Q1546" s="28" t="s">
        <v>8636</v>
      </c>
    </row>
    <row r="1547" spans="1:17" x14ac:dyDescent="0.35">
      <c r="A1547" t="s">
        <v>8520</v>
      </c>
      <c r="B1547" s="3" t="s">
        <v>102</v>
      </c>
      <c r="F1547">
        <v>5</v>
      </c>
      <c r="G1547" t="s">
        <v>8607</v>
      </c>
      <c r="H1547">
        <v>36</v>
      </c>
      <c r="I1547" t="s">
        <v>9305</v>
      </c>
      <c r="J1547" t="str">
        <f t="shared" si="24"/>
        <v>13F-HR-5.36.C10</v>
      </c>
      <c r="K1547" s="5" t="s">
        <v>8640</v>
      </c>
      <c r="L1547" t="s">
        <v>241</v>
      </c>
      <c r="M1547" t="s">
        <v>8641</v>
      </c>
      <c r="N1547" t="s">
        <v>8642</v>
      </c>
      <c r="Q1547" s="28">
        <v>36854</v>
      </c>
    </row>
    <row r="1548" spans="1:17" x14ac:dyDescent="0.35">
      <c r="A1548" t="s">
        <v>8520</v>
      </c>
      <c r="B1548" s="3" t="s">
        <v>102</v>
      </c>
      <c r="F1548">
        <v>5</v>
      </c>
      <c r="G1548" t="s">
        <v>8607</v>
      </c>
      <c r="H1548">
        <v>37</v>
      </c>
      <c r="I1548" t="s">
        <v>9306</v>
      </c>
      <c r="J1548" t="str">
        <f t="shared" si="24"/>
        <v>13F-HR-5.37.C11</v>
      </c>
      <c r="K1548" s="5" t="s">
        <v>8643</v>
      </c>
      <c r="L1548" t="s">
        <v>241</v>
      </c>
      <c r="M1548" t="s">
        <v>8644</v>
      </c>
      <c r="N1548" t="s">
        <v>8645</v>
      </c>
      <c r="Q1548" s="28">
        <v>0</v>
      </c>
    </row>
    <row r="1549" spans="1:17" x14ac:dyDescent="0.35">
      <c r="A1549" t="s">
        <v>8520</v>
      </c>
      <c r="B1549" s="3" t="s">
        <v>102</v>
      </c>
      <c r="F1549">
        <v>5</v>
      </c>
      <c r="G1549" t="s">
        <v>8607</v>
      </c>
      <c r="H1549">
        <v>38</v>
      </c>
      <c r="I1549" t="s">
        <v>9307</v>
      </c>
      <c r="J1549" t="str">
        <f t="shared" si="24"/>
        <v>13F-HR-5.38.C12</v>
      </c>
      <c r="K1549" s="5" t="s">
        <v>8646</v>
      </c>
      <c r="L1549" t="s">
        <v>241</v>
      </c>
      <c r="M1549" t="s">
        <v>8647</v>
      </c>
      <c r="N1549" t="s">
        <v>8648</v>
      </c>
      <c r="Q1549" s="28">
        <v>12321</v>
      </c>
    </row>
    <row r="1550" spans="1:17" x14ac:dyDescent="0.35">
      <c r="A1550" t="s">
        <v>8520</v>
      </c>
      <c r="B1550" s="3" t="s">
        <v>102</v>
      </c>
      <c r="F1550">
        <v>5</v>
      </c>
      <c r="G1550" t="s">
        <v>8607</v>
      </c>
      <c r="H1550">
        <v>27</v>
      </c>
      <c r="I1550" t="s">
        <v>9296</v>
      </c>
      <c r="J1550" t="str">
        <f t="shared" si="24"/>
        <v>13F-HR-5.27.C1</v>
      </c>
      <c r="K1550" s="5" t="s">
        <v>8608</v>
      </c>
      <c r="L1550" t="s">
        <v>229</v>
      </c>
      <c r="M1550" t="s">
        <v>8609</v>
      </c>
      <c r="N1550" t="s">
        <v>8610</v>
      </c>
      <c r="Q1550" s="28" t="s">
        <v>8854</v>
      </c>
    </row>
    <row r="1551" spans="1:17" x14ac:dyDescent="0.35">
      <c r="A1551" t="s">
        <v>8520</v>
      </c>
      <c r="B1551" s="3" t="s">
        <v>102</v>
      </c>
      <c r="F1551">
        <v>5</v>
      </c>
      <c r="G1551" t="s">
        <v>8607</v>
      </c>
      <c r="H1551">
        <v>28</v>
      </c>
      <c r="I1551" t="s">
        <v>9297</v>
      </c>
      <c r="J1551" t="str">
        <f t="shared" si="24"/>
        <v>13F-HR-5.28.C2</v>
      </c>
      <c r="K1551" s="5" t="s">
        <v>8612</v>
      </c>
      <c r="L1551" t="s">
        <v>229</v>
      </c>
      <c r="M1551" t="s">
        <v>8613</v>
      </c>
      <c r="N1551" t="s">
        <v>8614</v>
      </c>
      <c r="Q1551" s="28" t="s">
        <v>8706</v>
      </c>
    </row>
    <row r="1552" spans="1:17" x14ac:dyDescent="0.35">
      <c r="A1552" t="s">
        <v>8520</v>
      </c>
      <c r="B1552" s="3" t="s">
        <v>102</v>
      </c>
      <c r="F1552">
        <v>5</v>
      </c>
      <c r="G1552" t="s">
        <v>8607</v>
      </c>
      <c r="H1552">
        <v>29</v>
      </c>
      <c r="I1552" t="s">
        <v>9298</v>
      </c>
      <c r="J1552" t="str">
        <f t="shared" si="24"/>
        <v>13F-HR-5.29.C3</v>
      </c>
      <c r="K1552" s="5" t="s">
        <v>8616</v>
      </c>
      <c r="L1552" t="s">
        <v>229</v>
      </c>
      <c r="M1552" t="s">
        <v>7927</v>
      </c>
      <c r="N1552" t="s">
        <v>8617</v>
      </c>
      <c r="Q1552" s="28">
        <v>422806208</v>
      </c>
    </row>
    <row r="1553" spans="1:17" x14ac:dyDescent="0.35">
      <c r="A1553" t="s">
        <v>8520</v>
      </c>
      <c r="B1553" s="3" t="s">
        <v>102</v>
      </c>
      <c r="F1553">
        <v>5</v>
      </c>
      <c r="G1553" t="s">
        <v>8607</v>
      </c>
      <c r="H1553">
        <v>30</v>
      </c>
      <c r="I1553" t="s">
        <v>9299</v>
      </c>
      <c r="J1553" t="str">
        <f t="shared" si="24"/>
        <v>13F-HR-5.30.C4</v>
      </c>
      <c r="K1553" s="5" t="s">
        <v>8618</v>
      </c>
      <c r="L1553" t="s">
        <v>8619</v>
      </c>
      <c r="M1553" t="s">
        <v>8620</v>
      </c>
      <c r="N1553" t="s">
        <v>8621</v>
      </c>
      <c r="Q1553" s="28">
        <v>8507576</v>
      </c>
    </row>
    <row r="1554" spans="1:17" x14ac:dyDescent="0.35">
      <c r="A1554" t="s">
        <v>8520</v>
      </c>
      <c r="B1554" s="3" t="s">
        <v>102</v>
      </c>
      <c r="F1554">
        <v>5</v>
      </c>
      <c r="G1554" t="s">
        <v>8607</v>
      </c>
      <c r="H1554">
        <v>31</v>
      </c>
      <c r="I1554" t="s">
        <v>9300</v>
      </c>
      <c r="J1554" t="str">
        <f t="shared" si="24"/>
        <v>13F-HR-5.31.C5</v>
      </c>
      <c r="K1554" s="5" t="s">
        <v>8622</v>
      </c>
      <c r="L1554" t="s">
        <v>241</v>
      </c>
      <c r="M1554" t="s">
        <v>8623</v>
      </c>
      <c r="N1554" t="s">
        <v>8624</v>
      </c>
      <c r="Q1554" s="28">
        <v>40326</v>
      </c>
    </row>
    <row r="1555" spans="1:17" x14ac:dyDescent="0.35">
      <c r="A1555" t="s">
        <v>8520</v>
      </c>
      <c r="B1555" s="3" t="s">
        <v>102</v>
      </c>
      <c r="F1555">
        <v>5</v>
      </c>
      <c r="G1555" t="s">
        <v>8607</v>
      </c>
      <c r="H1555">
        <v>32</v>
      </c>
      <c r="I1555" t="s">
        <v>9301</v>
      </c>
      <c r="J1555" t="str">
        <f t="shared" si="24"/>
        <v>13F-HR-5.32.C6</v>
      </c>
      <c r="K1555" s="5" t="s">
        <v>8625</v>
      </c>
      <c r="L1555" t="s">
        <v>229</v>
      </c>
      <c r="M1555" t="s">
        <v>8626</v>
      </c>
      <c r="N1555" t="s">
        <v>8627</v>
      </c>
      <c r="Q1555" s="28" t="s">
        <v>8628</v>
      </c>
    </row>
    <row r="1556" spans="1:17" x14ac:dyDescent="0.35">
      <c r="A1556" t="s">
        <v>8520</v>
      </c>
      <c r="B1556" s="3" t="s">
        <v>102</v>
      </c>
      <c r="F1556">
        <v>5</v>
      </c>
      <c r="G1556" t="s">
        <v>8607</v>
      </c>
      <c r="H1556">
        <v>33</v>
      </c>
      <c r="I1556" t="s">
        <v>9302</v>
      </c>
      <c r="J1556" t="str">
        <f t="shared" si="24"/>
        <v>13F-HR-5.33.C7</v>
      </c>
      <c r="K1556" s="5" t="s">
        <v>8629</v>
      </c>
      <c r="L1556" t="s">
        <v>229</v>
      </c>
      <c r="M1556" t="s">
        <v>8630</v>
      </c>
      <c r="N1556" t="s">
        <v>8631</v>
      </c>
      <c r="Q1556" s="28" t="s">
        <v>8685</v>
      </c>
    </row>
    <row r="1557" spans="1:17" x14ac:dyDescent="0.35">
      <c r="A1557" t="s">
        <v>8520</v>
      </c>
      <c r="B1557" s="3" t="s">
        <v>102</v>
      </c>
      <c r="F1557">
        <v>5</v>
      </c>
      <c r="G1557" t="s">
        <v>8607</v>
      </c>
      <c r="H1557">
        <v>34</v>
      </c>
      <c r="I1557" t="s">
        <v>9303</v>
      </c>
      <c r="J1557" t="str">
        <f t="shared" si="24"/>
        <v>13F-HR-5.34.C8</v>
      </c>
      <c r="K1557" s="5" t="s">
        <v>8633</v>
      </c>
      <c r="L1557" t="s">
        <v>4735</v>
      </c>
      <c r="M1557" t="s">
        <v>8634</v>
      </c>
      <c r="N1557" t="s">
        <v>8635</v>
      </c>
      <c r="Q1557" s="28" t="s">
        <v>8632</v>
      </c>
    </row>
    <row r="1558" spans="1:17" x14ac:dyDescent="0.35">
      <c r="A1558" t="s">
        <v>8651</v>
      </c>
      <c r="B1558" s="3" t="s">
        <v>102</v>
      </c>
      <c r="F1558">
        <v>5</v>
      </c>
      <c r="G1558" t="s">
        <v>8607</v>
      </c>
      <c r="H1558">
        <v>35</v>
      </c>
      <c r="I1558" t="s">
        <v>9304</v>
      </c>
      <c r="J1558" t="str">
        <f t="shared" si="24"/>
        <v>135-HR-5.35.C9</v>
      </c>
      <c r="K1558" s="5" t="s">
        <v>8637</v>
      </c>
      <c r="L1558" t="s">
        <v>229</v>
      </c>
      <c r="M1558" t="s">
        <v>8638</v>
      </c>
      <c r="N1558" t="s">
        <v>8639</v>
      </c>
      <c r="Q1558" s="28" t="s">
        <v>8636</v>
      </c>
    </row>
    <row r="1559" spans="1:17" x14ac:dyDescent="0.35">
      <c r="A1559" t="s">
        <v>8520</v>
      </c>
      <c r="B1559" s="3" t="s">
        <v>102</v>
      </c>
      <c r="F1559">
        <v>5</v>
      </c>
      <c r="G1559" t="s">
        <v>8607</v>
      </c>
      <c r="H1559">
        <v>36</v>
      </c>
      <c r="I1559" t="s">
        <v>9305</v>
      </c>
      <c r="J1559" t="str">
        <f t="shared" si="24"/>
        <v>13F-HR-5.36.C10</v>
      </c>
      <c r="K1559" s="5" t="s">
        <v>8640</v>
      </c>
      <c r="L1559" t="s">
        <v>241</v>
      </c>
      <c r="M1559" t="s">
        <v>8641</v>
      </c>
      <c r="N1559" t="s">
        <v>8642</v>
      </c>
      <c r="Q1559" s="28">
        <v>40326</v>
      </c>
    </row>
    <row r="1560" spans="1:17" x14ac:dyDescent="0.35">
      <c r="A1560" t="s">
        <v>8520</v>
      </c>
      <c r="B1560" s="3" t="s">
        <v>102</v>
      </c>
      <c r="F1560">
        <v>5</v>
      </c>
      <c r="G1560" t="s">
        <v>8607</v>
      </c>
      <c r="H1560">
        <v>37</v>
      </c>
      <c r="I1560" t="s">
        <v>9306</v>
      </c>
      <c r="J1560" t="str">
        <f t="shared" si="24"/>
        <v>13F-HR-5.37.C11</v>
      </c>
      <c r="K1560" s="5" t="s">
        <v>8643</v>
      </c>
      <c r="L1560" t="s">
        <v>241</v>
      </c>
      <c r="M1560" t="s">
        <v>8644</v>
      </c>
      <c r="N1560" t="s">
        <v>8645</v>
      </c>
      <c r="Q1560" s="28">
        <v>0</v>
      </c>
    </row>
    <row r="1561" spans="1:17" x14ac:dyDescent="0.35">
      <c r="A1561" t="s">
        <v>8520</v>
      </c>
      <c r="B1561" s="3" t="s">
        <v>102</v>
      </c>
      <c r="F1561">
        <v>5</v>
      </c>
      <c r="G1561" t="s">
        <v>8607</v>
      </c>
      <c r="H1561">
        <v>38</v>
      </c>
      <c r="I1561" t="s">
        <v>9307</v>
      </c>
      <c r="J1561" t="str">
        <f t="shared" si="24"/>
        <v>13F-HR-5.38.C12</v>
      </c>
      <c r="K1561" s="5" t="s">
        <v>8646</v>
      </c>
      <c r="L1561" t="s">
        <v>241</v>
      </c>
      <c r="M1561" t="s">
        <v>8647</v>
      </c>
      <c r="N1561" t="s">
        <v>8648</v>
      </c>
      <c r="Q1561" s="28">
        <v>0</v>
      </c>
    </row>
    <row r="1562" spans="1:17" x14ac:dyDescent="0.35">
      <c r="A1562" t="s">
        <v>8520</v>
      </c>
      <c r="B1562" s="3" t="s">
        <v>102</v>
      </c>
      <c r="F1562">
        <v>5</v>
      </c>
      <c r="G1562" t="s">
        <v>8607</v>
      </c>
      <c r="H1562">
        <v>27</v>
      </c>
      <c r="I1562" t="s">
        <v>9296</v>
      </c>
      <c r="J1562" t="str">
        <f t="shared" si="24"/>
        <v>13F-HR-5.27.C1</v>
      </c>
      <c r="K1562" s="5" t="s">
        <v>8608</v>
      </c>
      <c r="L1562" t="s">
        <v>229</v>
      </c>
      <c r="M1562" t="s">
        <v>8609</v>
      </c>
      <c r="N1562" t="s">
        <v>8610</v>
      </c>
      <c r="Q1562" s="28" t="s">
        <v>8855</v>
      </c>
    </row>
    <row r="1563" spans="1:17" x14ac:dyDescent="0.35">
      <c r="A1563" t="s">
        <v>8520</v>
      </c>
      <c r="B1563" s="3" t="s">
        <v>102</v>
      </c>
      <c r="F1563">
        <v>5</v>
      </c>
      <c r="G1563" t="s">
        <v>8607</v>
      </c>
      <c r="H1563">
        <v>28</v>
      </c>
      <c r="I1563" t="s">
        <v>9297</v>
      </c>
      <c r="J1563" t="str">
        <f t="shared" si="24"/>
        <v>13F-HR-5.28.C2</v>
      </c>
      <c r="K1563" s="5" t="s">
        <v>8612</v>
      </c>
      <c r="L1563" t="s">
        <v>229</v>
      </c>
      <c r="M1563" t="s">
        <v>8613</v>
      </c>
      <c r="N1563" t="s">
        <v>8614</v>
      </c>
      <c r="Q1563" s="28" t="s">
        <v>8615</v>
      </c>
    </row>
    <row r="1564" spans="1:17" x14ac:dyDescent="0.35">
      <c r="A1564" t="s">
        <v>8520</v>
      </c>
      <c r="B1564" s="3" t="s">
        <v>102</v>
      </c>
      <c r="F1564">
        <v>5</v>
      </c>
      <c r="G1564" t="s">
        <v>8607</v>
      </c>
      <c r="H1564">
        <v>29</v>
      </c>
      <c r="I1564" t="s">
        <v>9298</v>
      </c>
      <c r="J1564" t="str">
        <f t="shared" si="24"/>
        <v>13F-HR-5.29.C3</v>
      </c>
      <c r="K1564" s="5" t="s">
        <v>8616</v>
      </c>
      <c r="L1564" t="s">
        <v>229</v>
      </c>
      <c r="M1564" t="s">
        <v>7927</v>
      </c>
      <c r="N1564" t="s">
        <v>8617</v>
      </c>
      <c r="Q1564" s="28">
        <v>427866108</v>
      </c>
    </row>
    <row r="1565" spans="1:17" x14ac:dyDescent="0.35">
      <c r="A1565" t="s">
        <v>8520</v>
      </c>
      <c r="B1565" s="3" t="s">
        <v>102</v>
      </c>
      <c r="F1565">
        <v>5</v>
      </c>
      <c r="G1565" t="s">
        <v>8607</v>
      </c>
      <c r="H1565">
        <v>30</v>
      </c>
      <c r="I1565" t="s">
        <v>9299</v>
      </c>
      <c r="J1565" t="str">
        <f t="shared" si="24"/>
        <v>13F-HR-5.30.C4</v>
      </c>
      <c r="K1565" s="5" t="s">
        <v>8618</v>
      </c>
      <c r="L1565" t="s">
        <v>8619</v>
      </c>
      <c r="M1565" t="s">
        <v>8620</v>
      </c>
      <c r="N1565" t="s">
        <v>8621</v>
      </c>
      <c r="Q1565" s="28">
        <v>10705965</v>
      </c>
    </row>
    <row r="1566" spans="1:17" x14ac:dyDescent="0.35">
      <c r="A1566" t="s">
        <v>8520</v>
      </c>
      <c r="B1566" s="3" t="s">
        <v>102</v>
      </c>
      <c r="F1566">
        <v>5</v>
      </c>
      <c r="G1566" t="s">
        <v>8607</v>
      </c>
      <c r="H1566">
        <v>31</v>
      </c>
      <c r="I1566" t="s">
        <v>9300</v>
      </c>
      <c r="J1566" t="str">
        <f t="shared" si="24"/>
        <v>13F-HR-5.31.C5</v>
      </c>
      <c r="K1566" s="5" t="s">
        <v>8622</v>
      </c>
      <c r="L1566" t="s">
        <v>241</v>
      </c>
      <c r="M1566" t="s">
        <v>8623</v>
      </c>
      <c r="N1566" t="s">
        <v>8624</v>
      </c>
      <c r="Q1566" s="28">
        <v>62597</v>
      </c>
    </row>
    <row r="1567" spans="1:17" x14ac:dyDescent="0.35">
      <c r="A1567" t="s">
        <v>8520</v>
      </c>
      <c r="B1567" s="3" t="s">
        <v>102</v>
      </c>
      <c r="F1567">
        <v>5</v>
      </c>
      <c r="G1567" t="s">
        <v>8607</v>
      </c>
      <c r="H1567">
        <v>32</v>
      </c>
      <c r="I1567" t="s">
        <v>9301</v>
      </c>
      <c r="J1567" t="str">
        <f t="shared" si="24"/>
        <v>13F-HR-5.32.C6</v>
      </c>
      <c r="K1567" s="5" t="s">
        <v>8625</v>
      </c>
      <c r="L1567" t="s">
        <v>229</v>
      </c>
      <c r="M1567" t="s">
        <v>8626</v>
      </c>
      <c r="N1567" t="s">
        <v>8627</v>
      </c>
      <c r="Q1567" s="28" t="s">
        <v>8628</v>
      </c>
    </row>
    <row r="1568" spans="1:17" x14ac:dyDescent="0.35">
      <c r="A1568" t="s">
        <v>8520</v>
      </c>
      <c r="B1568" s="3" t="s">
        <v>102</v>
      </c>
      <c r="F1568">
        <v>5</v>
      </c>
      <c r="G1568" t="s">
        <v>8607</v>
      </c>
      <c r="H1568">
        <v>33</v>
      </c>
      <c r="I1568" t="s">
        <v>9302</v>
      </c>
      <c r="J1568" t="str">
        <f t="shared" si="24"/>
        <v>13F-HR-5.33.C7</v>
      </c>
      <c r="K1568" s="5" t="s">
        <v>8629</v>
      </c>
      <c r="L1568" t="s">
        <v>229</v>
      </c>
      <c r="M1568" t="s">
        <v>8630</v>
      </c>
      <c r="N1568" t="s">
        <v>8631</v>
      </c>
      <c r="Q1568" s="28" t="s">
        <v>8685</v>
      </c>
    </row>
    <row r="1569" spans="1:17" x14ac:dyDescent="0.35">
      <c r="A1569" t="s">
        <v>8520</v>
      </c>
      <c r="B1569" s="3" t="s">
        <v>102</v>
      </c>
      <c r="F1569">
        <v>5</v>
      </c>
      <c r="G1569" t="s">
        <v>8607</v>
      </c>
      <c r="H1569">
        <v>34</v>
      </c>
      <c r="I1569" t="s">
        <v>9303</v>
      </c>
      <c r="J1569" t="str">
        <f t="shared" si="24"/>
        <v>13F-HR-5.34.C8</v>
      </c>
      <c r="K1569" s="5" t="s">
        <v>8633</v>
      </c>
      <c r="L1569" t="s">
        <v>4735</v>
      </c>
      <c r="M1569" t="s">
        <v>8634</v>
      </c>
      <c r="N1569" t="s">
        <v>8635</v>
      </c>
      <c r="Q1569" s="28" t="s">
        <v>8632</v>
      </c>
    </row>
    <row r="1570" spans="1:17" x14ac:dyDescent="0.35">
      <c r="A1570" t="s">
        <v>8651</v>
      </c>
      <c r="B1570" s="3" t="s">
        <v>102</v>
      </c>
      <c r="F1570">
        <v>5</v>
      </c>
      <c r="G1570" t="s">
        <v>8607</v>
      </c>
      <c r="H1570">
        <v>35</v>
      </c>
      <c r="I1570" t="s">
        <v>9304</v>
      </c>
      <c r="J1570" t="str">
        <f t="shared" si="24"/>
        <v>135-HR-5.35.C9</v>
      </c>
      <c r="K1570" s="5" t="s">
        <v>8637</v>
      </c>
      <c r="L1570" t="s">
        <v>229</v>
      </c>
      <c r="M1570" t="s">
        <v>8638</v>
      </c>
      <c r="N1570" t="s">
        <v>8639</v>
      </c>
      <c r="Q1570" s="28" t="s">
        <v>8636</v>
      </c>
    </row>
    <row r="1571" spans="1:17" x14ac:dyDescent="0.35">
      <c r="A1571" t="s">
        <v>8520</v>
      </c>
      <c r="B1571" s="3" t="s">
        <v>102</v>
      </c>
      <c r="F1571">
        <v>5</v>
      </c>
      <c r="G1571" t="s">
        <v>8607</v>
      </c>
      <c r="H1571">
        <v>36</v>
      </c>
      <c r="I1571" t="s">
        <v>9305</v>
      </c>
      <c r="J1571" t="str">
        <f t="shared" si="24"/>
        <v>13F-HR-5.36.C10</v>
      </c>
      <c r="K1571" s="5" t="s">
        <v>8640</v>
      </c>
      <c r="L1571" t="s">
        <v>241</v>
      </c>
      <c r="M1571" t="s">
        <v>8641</v>
      </c>
      <c r="N1571" t="s">
        <v>8642</v>
      </c>
      <c r="Q1571" s="28">
        <v>6019</v>
      </c>
    </row>
    <row r="1572" spans="1:17" x14ac:dyDescent="0.35">
      <c r="A1572" t="s">
        <v>8520</v>
      </c>
      <c r="B1572" s="3" t="s">
        <v>102</v>
      </c>
      <c r="F1572">
        <v>5</v>
      </c>
      <c r="G1572" t="s">
        <v>8607</v>
      </c>
      <c r="H1572">
        <v>37</v>
      </c>
      <c r="I1572" t="s">
        <v>9306</v>
      </c>
      <c r="J1572" t="str">
        <f t="shared" si="24"/>
        <v>13F-HR-5.37.C11</v>
      </c>
      <c r="K1572" s="5" t="s">
        <v>8643</v>
      </c>
      <c r="L1572" t="s">
        <v>241</v>
      </c>
      <c r="M1572" t="s">
        <v>8644</v>
      </c>
      <c r="N1572" t="s">
        <v>8645</v>
      </c>
      <c r="Q1572" s="28">
        <v>0</v>
      </c>
    </row>
    <row r="1573" spans="1:17" x14ac:dyDescent="0.35">
      <c r="A1573" t="s">
        <v>8520</v>
      </c>
      <c r="B1573" s="3" t="s">
        <v>102</v>
      </c>
      <c r="F1573">
        <v>5</v>
      </c>
      <c r="G1573" t="s">
        <v>8607</v>
      </c>
      <c r="H1573">
        <v>38</v>
      </c>
      <c r="I1573" t="s">
        <v>9307</v>
      </c>
      <c r="J1573" t="str">
        <f t="shared" si="24"/>
        <v>13F-HR-5.38.C12</v>
      </c>
      <c r="K1573" s="5" t="s">
        <v>8646</v>
      </c>
      <c r="L1573" t="s">
        <v>241</v>
      </c>
      <c r="M1573" t="s">
        <v>8647</v>
      </c>
      <c r="N1573" t="s">
        <v>8648</v>
      </c>
      <c r="Q1573" s="28">
        <v>56578</v>
      </c>
    </row>
    <row r="1574" spans="1:17" x14ac:dyDescent="0.35">
      <c r="A1574" t="s">
        <v>8520</v>
      </c>
      <c r="B1574" s="3" t="s">
        <v>102</v>
      </c>
      <c r="G1574" t="s">
        <v>8607</v>
      </c>
      <c r="H1574">
        <v>27</v>
      </c>
      <c r="I1574" t="s">
        <v>9296</v>
      </c>
      <c r="J1574" t="str">
        <f t="shared" si="24"/>
        <v>13F-HR-.27.C1</v>
      </c>
      <c r="K1574" s="5" t="s">
        <v>8608</v>
      </c>
      <c r="L1574" t="s">
        <v>229</v>
      </c>
      <c r="M1574" t="s">
        <v>8609</v>
      </c>
      <c r="N1574" t="s">
        <v>8610</v>
      </c>
      <c r="Q1574" s="28" t="s">
        <v>8856</v>
      </c>
    </row>
    <row r="1575" spans="1:17" x14ac:dyDescent="0.35">
      <c r="A1575" t="s">
        <v>8520</v>
      </c>
      <c r="B1575" s="3" t="s">
        <v>102</v>
      </c>
      <c r="G1575" t="s">
        <v>8607</v>
      </c>
      <c r="H1575">
        <v>28</v>
      </c>
      <c r="I1575" t="s">
        <v>9297</v>
      </c>
      <c r="J1575" t="str">
        <f t="shared" si="24"/>
        <v>13F-HR-.28.C2</v>
      </c>
      <c r="K1575" s="5" t="s">
        <v>8612</v>
      </c>
      <c r="L1575" t="s">
        <v>229</v>
      </c>
      <c r="M1575" t="s">
        <v>8613</v>
      </c>
      <c r="N1575" t="s">
        <v>8614</v>
      </c>
      <c r="Q1575" s="28" t="s">
        <v>8615</v>
      </c>
    </row>
    <row r="1576" spans="1:17" x14ac:dyDescent="0.35">
      <c r="A1576" t="s">
        <v>8520</v>
      </c>
      <c r="B1576" s="3" t="s">
        <v>102</v>
      </c>
      <c r="G1576" t="s">
        <v>8607</v>
      </c>
      <c r="H1576">
        <v>29</v>
      </c>
      <c r="I1576" t="s">
        <v>9298</v>
      </c>
      <c r="J1576" t="str">
        <f t="shared" si="24"/>
        <v>13F-HR-.29.C3</v>
      </c>
      <c r="K1576" s="5" t="s">
        <v>8616</v>
      </c>
      <c r="L1576" t="s">
        <v>229</v>
      </c>
      <c r="M1576" t="s">
        <v>7927</v>
      </c>
      <c r="N1576" t="s">
        <v>8617</v>
      </c>
      <c r="Q1576" s="28" t="s">
        <v>8857</v>
      </c>
    </row>
    <row r="1577" spans="1:17" x14ac:dyDescent="0.35">
      <c r="A1577" t="s">
        <v>8520</v>
      </c>
      <c r="B1577" s="3" t="s">
        <v>102</v>
      </c>
      <c r="G1577" t="s">
        <v>8607</v>
      </c>
      <c r="H1577">
        <v>30</v>
      </c>
      <c r="I1577" t="s">
        <v>9299</v>
      </c>
      <c r="J1577" t="str">
        <f t="shared" si="24"/>
        <v>13F-HR-.30.C4</v>
      </c>
      <c r="K1577" s="5" t="s">
        <v>8618</v>
      </c>
      <c r="L1577" t="s">
        <v>8619</v>
      </c>
      <c r="M1577" t="s">
        <v>8620</v>
      </c>
      <c r="N1577" t="s">
        <v>8621</v>
      </c>
      <c r="Q1577" s="28">
        <v>25979384</v>
      </c>
    </row>
    <row r="1578" spans="1:17" x14ac:dyDescent="0.35">
      <c r="A1578" t="s">
        <v>8520</v>
      </c>
      <c r="B1578" s="3" t="s">
        <v>102</v>
      </c>
      <c r="G1578" t="s">
        <v>8607</v>
      </c>
      <c r="H1578">
        <v>31</v>
      </c>
      <c r="I1578" t="s">
        <v>9300</v>
      </c>
      <c r="J1578" t="str">
        <f t="shared" si="24"/>
        <v>13F-HR-.31.C5</v>
      </c>
      <c r="K1578" s="5" t="s">
        <v>8622</v>
      </c>
      <c r="L1578" t="s">
        <v>241</v>
      </c>
      <c r="M1578" t="s">
        <v>8623</v>
      </c>
      <c r="N1578" t="s">
        <v>8624</v>
      </c>
      <c r="Q1578" s="28">
        <v>114170</v>
      </c>
    </row>
    <row r="1579" spans="1:17" x14ac:dyDescent="0.35">
      <c r="A1579" t="s">
        <v>8520</v>
      </c>
      <c r="B1579" s="3" t="s">
        <v>102</v>
      </c>
      <c r="G1579" t="s">
        <v>8607</v>
      </c>
      <c r="H1579">
        <v>32</v>
      </c>
      <c r="I1579" t="s">
        <v>9301</v>
      </c>
      <c r="J1579" t="str">
        <f t="shared" si="24"/>
        <v>13F-HR-.32.C6</v>
      </c>
      <c r="K1579" s="5" t="s">
        <v>8625</v>
      </c>
      <c r="L1579" t="s">
        <v>229</v>
      </c>
      <c r="M1579" t="s">
        <v>8626</v>
      </c>
      <c r="N1579" t="s">
        <v>8627</v>
      </c>
      <c r="Q1579" s="28" t="s">
        <v>8628</v>
      </c>
    </row>
    <row r="1580" spans="1:17" x14ac:dyDescent="0.35">
      <c r="A1580" t="s">
        <v>8520</v>
      </c>
      <c r="B1580" s="3" t="s">
        <v>102</v>
      </c>
      <c r="G1580" t="s">
        <v>8607</v>
      </c>
      <c r="H1580">
        <v>33</v>
      </c>
      <c r="I1580" t="s">
        <v>9302</v>
      </c>
      <c r="J1580" t="str">
        <f t="shared" si="24"/>
        <v>13F-HR-.33.C7</v>
      </c>
      <c r="K1580" s="5" t="s">
        <v>8629</v>
      </c>
      <c r="L1580" t="s">
        <v>229</v>
      </c>
      <c r="M1580" t="s">
        <v>8630</v>
      </c>
      <c r="N1580" t="s">
        <v>8631</v>
      </c>
      <c r="Q1580" s="28" t="s">
        <v>8685</v>
      </c>
    </row>
    <row r="1581" spans="1:17" x14ac:dyDescent="0.35">
      <c r="A1581" t="s">
        <v>8520</v>
      </c>
      <c r="B1581" s="3" t="s">
        <v>102</v>
      </c>
      <c r="G1581" t="s">
        <v>8607</v>
      </c>
      <c r="H1581">
        <v>34</v>
      </c>
      <c r="I1581" t="s">
        <v>9303</v>
      </c>
      <c r="J1581" t="str">
        <f t="shared" si="24"/>
        <v>13F-HR-.34.C8</v>
      </c>
      <c r="K1581" s="5" t="s">
        <v>8633</v>
      </c>
      <c r="L1581" t="s">
        <v>4735</v>
      </c>
      <c r="M1581" t="s">
        <v>8634</v>
      </c>
      <c r="N1581" t="s">
        <v>8635</v>
      </c>
      <c r="Q1581" s="28" t="s">
        <v>8632</v>
      </c>
    </row>
    <row r="1582" spans="1:17" x14ac:dyDescent="0.35">
      <c r="A1582" t="s">
        <v>8651</v>
      </c>
      <c r="B1582" s="3" t="s">
        <v>102</v>
      </c>
      <c r="G1582" t="s">
        <v>8607</v>
      </c>
      <c r="H1582">
        <v>35</v>
      </c>
      <c r="I1582" t="s">
        <v>9304</v>
      </c>
      <c r="J1582" t="str">
        <f t="shared" si="24"/>
        <v>135-HR-.35.C9</v>
      </c>
      <c r="K1582" s="5" t="s">
        <v>8637</v>
      </c>
      <c r="L1582" t="s">
        <v>229</v>
      </c>
      <c r="M1582" t="s">
        <v>8638</v>
      </c>
      <c r="N1582" t="s">
        <v>8639</v>
      </c>
      <c r="Q1582" s="28" t="s">
        <v>8636</v>
      </c>
    </row>
    <row r="1583" spans="1:17" x14ac:dyDescent="0.35">
      <c r="A1583" t="s">
        <v>8520</v>
      </c>
      <c r="B1583" s="3" t="s">
        <v>102</v>
      </c>
      <c r="G1583" t="s">
        <v>8607</v>
      </c>
      <c r="H1583">
        <v>36</v>
      </c>
      <c r="I1583" t="s">
        <v>9305</v>
      </c>
      <c r="J1583" t="str">
        <f t="shared" si="24"/>
        <v>13F-HR-.36.C10</v>
      </c>
      <c r="K1583" s="5" t="s">
        <v>8640</v>
      </c>
      <c r="L1583" t="s">
        <v>241</v>
      </c>
      <c r="M1583" t="s">
        <v>8641</v>
      </c>
      <c r="N1583" t="s">
        <v>8642</v>
      </c>
      <c r="Q1583" s="28">
        <v>112620</v>
      </c>
    </row>
    <row r="1584" spans="1:17" x14ac:dyDescent="0.35">
      <c r="A1584" t="s">
        <v>8520</v>
      </c>
      <c r="B1584" s="3" t="s">
        <v>102</v>
      </c>
      <c r="G1584" t="s">
        <v>8607</v>
      </c>
      <c r="H1584">
        <v>37</v>
      </c>
      <c r="I1584" t="s">
        <v>9306</v>
      </c>
      <c r="J1584" t="str">
        <f t="shared" si="24"/>
        <v>13F-HR-.37.C11</v>
      </c>
      <c r="K1584" s="5" t="s">
        <v>8643</v>
      </c>
      <c r="L1584" t="s">
        <v>241</v>
      </c>
      <c r="M1584" t="s">
        <v>8644</v>
      </c>
      <c r="N1584" t="s">
        <v>8645</v>
      </c>
      <c r="Q1584" s="28">
        <v>0</v>
      </c>
    </row>
    <row r="1585" spans="1:17" x14ac:dyDescent="0.35">
      <c r="A1585" t="s">
        <v>8520</v>
      </c>
      <c r="B1585" s="3" t="s">
        <v>102</v>
      </c>
      <c r="G1585" t="s">
        <v>8607</v>
      </c>
      <c r="H1585">
        <v>38</v>
      </c>
      <c r="I1585" t="s">
        <v>9307</v>
      </c>
      <c r="J1585" t="str">
        <f t="shared" si="24"/>
        <v>13F-HR-.38.C12</v>
      </c>
      <c r="K1585" s="5" t="s">
        <v>8646</v>
      </c>
      <c r="L1585" t="s">
        <v>241</v>
      </c>
      <c r="M1585" t="s">
        <v>8647</v>
      </c>
      <c r="N1585" t="s">
        <v>8648</v>
      </c>
      <c r="Q1585" s="28">
        <v>1550</v>
      </c>
    </row>
    <row r="1586" spans="1:17" x14ac:dyDescent="0.35">
      <c r="A1586" t="s">
        <v>8520</v>
      </c>
      <c r="B1586" s="3" t="s">
        <v>102</v>
      </c>
      <c r="G1586" t="s">
        <v>8607</v>
      </c>
      <c r="H1586">
        <v>27</v>
      </c>
      <c r="I1586" t="s">
        <v>9296</v>
      </c>
      <c r="J1586" t="str">
        <f t="shared" si="24"/>
        <v>13F-HR-.27.C1</v>
      </c>
      <c r="K1586" s="5" t="s">
        <v>8608</v>
      </c>
      <c r="L1586" t="s">
        <v>229</v>
      </c>
      <c r="M1586" t="s">
        <v>8609</v>
      </c>
      <c r="N1586" t="s">
        <v>8610</v>
      </c>
      <c r="Q1586" s="28" t="s">
        <v>8858</v>
      </c>
    </row>
    <row r="1587" spans="1:17" x14ac:dyDescent="0.35">
      <c r="A1587" t="s">
        <v>8520</v>
      </c>
      <c r="B1587" s="3" t="s">
        <v>102</v>
      </c>
      <c r="G1587" t="s">
        <v>8607</v>
      </c>
      <c r="H1587">
        <v>28</v>
      </c>
      <c r="I1587" t="s">
        <v>9297</v>
      </c>
      <c r="J1587" t="str">
        <f t="shared" si="24"/>
        <v>13F-HR-.28.C2</v>
      </c>
      <c r="K1587" s="5" t="s">
        <v>8612</v>
      </c>
      <c r="L1587" t="s">
        <v>229</v>
      </c>
      <c r="M1587" t="s">
        <v>8613</v>
      </c>
      <c r="N1587" t="s">
        <v>8614</v>
      </c>
      <c r="Q1587" s="28" t="s">
        <v>8615</v>
      </c>
    </row>
    <row r="1588" spans="1:17" x14ac:dyDescent="0.35">
      <c r="A1588" t="s">
        <v>8520</v>
      </c>
      <c r="B1588" s="3" t="s">
        <v>102</v>
      </c>
      <c r="G1588" t="s">
        <v>8607</v>
      </c>
      <c r="H1588">
        <v>29</v>
      </c>
      <c r="I1588" t="s">
        <v>9298</v>
      </c>
      <c r="J1588" t="str">
        <f t="shared" si="24"/>
        <v>13F-HR-.29.C3</v>
      </c>
      <c r="K1588" s="5" t="s">
        <v>8616</v>
      </c>
      <c r="L1588" t="s">
        <v>229</v>
      </c>
      <c r="M1588" t="s">
        <v>7927</v>
      </c>
      <c r="N1588" t="s">
        <v>8617</v>
      </c>
      <c r="Q1588" s="28">
        <v>437076102</v>
      </c>
    </row>
    <row r="1589" spans="1:17" x14ac:dyDescent="0.35">
      <c r="A1589" t="s">
        <v>8520</v>
      </c>
      <c r="B1589" s="3" t="s">
        <v>102</v>
      </c>
      <c r="G1589" t="s">
        <v>8607</v>
      </c>
      <c r="H1589">
        <v>30</v>
      </c>
      <c r="I1589" t="s">
        <v>9299</v>
      </c>
      <c r="J1589" t="str">
        <f t="shared" si="24"/>
        <v>13F-HR-.30.C4</v>
      </c>
      <c r="K1589" s="5" t="s">
        <v>8618</v>
      </c>
      <c r="L1589" t="s">
        <v>8619</v>
      </c>
      <c r="M1589" t="s">
        <v>8620</v>
      </c>
      <c r="N1589" t="s">
        <v>8621</v>
      </c>
      <c r="Q1589" s="28">
        <v>32470281</v>
      </c>
    </row>
    <row r="1590" spans="1:17" x14ac:dyDescent="0.35">
      <c r="A1590" t="s">
        <v>8520</v>
      </c>
      <c r="B1590" s="3" t="s">
        <v>102</v>
      </c>
      <c r="G1590" t="s">
        <v>8607</v>
      </c>
      <c r="H1590">
        <v>31</v>
      </c>
      <c r="I1590" t="s">
        <v>9300</v>
      </c>
      <c r="J1590" t="str">
        <f t="shared" si="24"/>
        <v>13F-HR-.31.C5</v>
      </c>
      <c r="K1590" s="5" t="s">
        <v>8622</v>
      </c>
      <c r="L1590" t="s">
        <v>241</v>
      </c>
      <c r="M1590" t="s">
        <v>8623</v>
      </c>
      <c r="N1590" t="s">
        <v>8624</v>
      </c>
      <c r="Q1590" s="28">
        <v>88598</v>
      </c>
    </row>
    <row r="1591" spans="1:17" x14ac:dyDescent="0.35">
      <c r="A1591" t="s">
        <v>8520</v>
      </c>
      <c r="B1591" s="3" t="s">
        <v>102</v>
      </c>
      <c r="G1591" t="s">
        <v>8607</v>
      </c>
      <c r="H1591">
        <v>32</v>
      </c>
      <c r="I1591" t="s">
        <v>9301</v>
      </c>
      <c r="J1591" t="str">
        <f t="shared" si="24"/>
        <v>13F-HR-.32.C6</v>
      </c>
      <c r="K1591" s="5" t="s">
        <v>8625</v>
      </c>
      <c r="L1591" t="s">
        <v>229</v>
      </c>
      <c r="M1591" t="s">
        <v>8626</v>
      </c>
      <c r="N1591" t="s">
        <v>8627</v>
      </c>
      <c r="Q1591" s="28" t="s">
        <v>8628</v>
      </c>
    </row>
    <row r="1592" spans="1:17" x14ac:dyDescent="0.35">
      <c r="A1592" t="s">
        <v>8520</v>
      </c>
      <c r="B1592" s="3" t="s">
        <v>102</v>
      </c>
      <c r="G1592" t="s">
        <v>8607</v>
      </c>
      <c r="H1592">
        <v>33</v>
      </c>
      <c r="I1592" t="s">
        <v>9302</v>
      </c>
      <c r="J1592" t="str">
        <f t="shared" si="24"/>
        <v>13F-HR-.33.C7</v>
      </c>
      <c r="K1592" s="5" t="s">
        <v>8629</v>
      </c>
      <c r="L1592" t="s">
        <v>229</v>
      </c>
      <c r="M1592" t="s">
        <v>8630</v>
      </c>
      <c r="N1592" t="s">
        <v>8631</v>
      </c>
      <c r="Q1592" s="28" t="s">
        <v>8685</v>
      </c>
    </row>
    <row r="1593" spans="1:17" x14ac:dyDescent="0.35">
      <c r="A1593" t="s">
        <v>8520</v>
      </c>
      <c r="B1593" s="3" t="s">
        <v>102</v>
      </c>
      <c r="G1593" t="s">
        <v>8607</v>
      </c>
      <c r="H1593">
        <v>34</v>
      </c>
      <c r="I1593" t="s">
        <v>9303</v>
      </c>
      <c r="J1593" t="str">
        <f t="shared" si="24"/>
        <v>13F-HR-.34.C8</v>
      </c>
      <c r="K1593" s="5" t="s">
        <v>8633</v>
      </c>
      <c r="L1593" t="s">
        <v>4735</v>
      </c>
      <c r="M1593" t="s">
        <v>8634</v>
      </c>
      <c r="N1593" t="s">
        <v>8635</v>
      </c>
      <c r="Q1593" s="28" t="s">
        <v>8632</v>
      </c>
    </row>
    <row r="1594" spans="1:17" x14ac:dyDescent="0.35">
      <c r="A1594" t="s">
        <v>8651</v>
      </c>
      <c r="B1594" s="3" t="s">
        <v>102</v>
      </c>
      <c r="G1594" t="s">
        <v>8607</v>
      </c>
      <c r="H1594">
        <v>35</v>
      </c>
      <c r="I1594" t="s">
        <v>9304</v>
      </c>
      <c r="J1594" t="str">
        <f t="shared" si="24"/>
        <v>135-HR-.35.C9</v>
      </c>
      <c r="K1594" s="5" t="s">
        <v>8637</v>
      </c>
      <c r="L1594" t="s">
        <v>229</v>
      </c>
      <c r="M1594" t="s">
        <v>8638</v>
      </c>
      <c r="N1594" t="s">
        <v>8639</v>
      </c>
      <c r="Q1594" s="28" t="s">
        <v>8636</v>
      </c>
    </row>
    <row r="1595" spans="1:17" x14ac:dyDescent="0.35">
      <c r="A1595" t="s">
        <v>8520</v>
      </c>
      <c r="B1595" s="3" t="s">
        <v>102</v>
      </c>
      <c r="G1595" t="s">
        <v>8607</v>
      </c>
      <c r="H1595">
        <v>36</v>
      </c>
      <c r="I1595" t="s">
        <v>9305</v>
      </c>
      <c r="J1595" t="str">
        <f t="shared" si="24"/>
        <v>13F-HR-.36.C10</v>
      </c>
      <c r="K1595" s="5" t="s">
        <v>8640</v>
      </c>
      <c r="L1595" t="s">
        <v>241</v>
      </c>
      <c r="M1595" t="s">
        <v>8641</v>
      </c>
      <c r="N1595" t="s">
        <v>8642</v>
      </c>
      <c r="Q1595" s="28">
        <v>28583</v>
      </c>
    </row>
    <row r="1596" spans="1:17" x14ac:dyDescent="0.35">
      <c r="A1596" t="s">
        <v>8520</v>
      </c>
      <c r="B1596" s="3" t="s">
        <v>102</v>
      </c>
      <c r="G1596" t="s">
        <v>8607</v>
      </c>
      <c r="H1596">
        <v>37</v>
      </c>
      <c r="I1596" t="s">
        <v>9306</v>
      </c>
      <c r="J1596" t="str">
        <f t="shared" si="24"/>
        <v>13F-HR-.37.C11</v>
      </c>
      <c r="K1596" s="5" t="s">
        <v>8643</v>
      </c>
      <c r="L1596" t="s">
        <v>241</v>
      </c>
      <c r="M1596" t="s">
        <v>8644</v>
      </c>
      <c r="N1596" t="s">
        <v>8645</v>
      </c>
      <c r="Q1596" s="28">
        <v>0</v>
      </c>
    </row>
    <row r="1597" spans="1:17" x14ac:dyDescent="0.35">
      <c r="A1597" t="s">
        <v>8520</v>
      </c>
      <c r="B1597" s="3" t="s">
        <v>102</v>
      </c>
      <c r="G1597" t="s">
        <v>8607</v>
      </c>
      <c r="H1597">
        <v>38</v>
      </c>
      <c r="I1597" t="s">
        <v>9307</v>
      </c>
      <c r="J1597" t="str">
        <f t="shared" si="24"/>
        <v>13F-HR-.38.C12</v>
      </c>
      <c r="K1597" s="5" t="s">
        <v>8646</v>
      </c>
      <c r="L1597" t="s">
        <v>241</v>
      </c>
      <c r="M1597" t="s">
        <v>8647</v>
      </c>
      <c r="N1597" t="s">
        <v>8648</v>
      </c>
      <c r="Q1597" s="28">
        <v>60015</v>
      </c>
    </row>
    <row r="1598" spans="1:17" x14ac:dyDescent="0.35">
      <c r="A1598" t="s">
        <v>8520</v>
      </c>
      <c r="B1598" s="3" t="s">
        <v>102</v>
      </c>
      <c r="G1598" t="s">
        <v>8607</v>
      </c>
      <c r="H1598">
        <v>27</v>
      </c>
      <c r="I1598" t="s">
        <v>9296</v>
      </c>
      <c r="J1598" t="str">
        <f t="shared" si="24"/>
        <v>13F-HR-.27.C1</v>
      </c>
      <c r="K1598" s="5" t="s">
        <v>8608</v>
      </c>
      <c r="L1598" t="s">
        <v>229</v>
      </c>
      <c r="M1598" t="s">
        <v>8609</v>
      </c>
      <c r="N1598" t="s">
        <v>8610</v>
      </c>
      <c r="Q1598" s="28" t="s">
        <v>8859</v>
      </c>
    </row>
    <row r="1599" spans="1:17" x14ac:dyDescent="0.35">
      <c r="A1599" t="s">
        <v>8520</v>
      </c>
      <c r="B1599" s="3" t="s">
        <v>102</v>
      </c>
      <c r="G1599" t="s">
        <v>8607</v>
      </c>
      <c r="H1599">
        <v>28</v>
      </c>
      <c r="I1599" t="s">
        <v>9297</v>
      </c>
      <c r="J1599" t="str">
        <f t="shared" si="24"/>
        <v>13F-HR-.28.C2</v>
      </c>
      <c r="K1599" s="5" t="s">
        <v>8612</v>
      </c>
      <c r="L1599" t="s">
        <v>229</v>
      </c>
      <c r="M1599" t="s">
        <v>8613</v>
      </c>
      <c r="N1599" t="s">
        <v>8614</v>
      </c>
      <c r="Q1599" s="28" t="s">
        <v>8615</v>
      </c>
    </row>
    <row r="1600" spans="1:17" x14ac:dyDescent="0.35">
      <c r="A1600" t="s">
        <v>8520</v>
      </c>
      <c r="B1600" s="3" t="s">
        <v>102</v>
      </c>
      <c r="G1600" t="s">
        <v>8607</v>
      </c>
      <c r="H1600">
        <v>29</v>
      </c>
      <c r="I1600" t="s">
        <v>9298</v>
      </c>
      <c r="J1600" t="str">
        <f t="shared" si="24"/>
        <v>13F-HR-.29.C3</v>
      </c>
      <c r="K1600" s="5" t="s">
        <v>8616</v>
      </c>
      <c r="L1600" t="s">
        <v>229</v>
      </c>
      <c r="M1600" t="s">
        <v>7927</v>
      </c>
      <c r="N1600" t="s">
        <v>8617</v>
      </c>
      <c r="Q1600" s="28">
        <v>438516106</v>
      </c>
    </row>
    <row r="1601" spans="1:17" x14ac:dyDescent="0.35">
      <c r="A1601" t="s">
        <v>8520</v>
      </c>
      <c r="B1601" s="3" t="s">
        <v>102</v>
      </c>
      <c r="G1601" t="s">
        <v>8607</v>
      </c>
      <c r="H1601">
        <v>30</v>
      </c>
      <c r="I1601" t="s">
        <v>9299</v>
      </c>
      <c r="J1601" t="str">
        <f t="shared" si="24"/>
        <v>13F-HR-.30.C4</v>
      </c>
      <c r="K1601" s="5" t="s">
        <v>8618</v>
      </c>
      <c r="L1601" t="s">
        <v>8619</v>
      </c>
      <c r="M1601" t="s">
        <v>8620</v>
      </c>
      <c r="N1601" t="s">
        <v>8621</v>
      </c>
      <c r="Q1601" s="28">
        <v>22102677</v>
      </c>
    </row>
    <row r="1602" spans="1:17" x14ac:dyDescent="0.35">
      <c r="A1602" t="s">
        <v>8520</v>
      </c>
      <c r="B1602" s="3" t="s">
        <v>102</v>
      </c>
      <c r="G1602" t="s">
        <v>8607</v>
      </c>
      <c r="H1602">
        <v>31</v>
      </c>
      <c r="I1602" t="s">
        <v>9300</v>
      </c>
      <c r="J1602" t="str">
        <f t="shared" si="24"/>
        <v>13F-HR-.31.C5</v>
      </c>
      <c r="K1602" s="5" t="s">
        <v>8622</v>
      </c>
      <c r="L1602" t="s">
        <v>241</v>
      </c>
      <c r="M1602" t="s">
        <v>8623</v>
      </c>
      <c r="N1602" t="s">
        <v>8624</v>
      </c>
      <c r="Q1602" s="28">
        <v>104381</v>
      </c>
    </row>
    <row r="1603" spans="1:17" x14ac:dyDescent="0.35">
      <c r="A1603" t="s">
        <v>8520</v>
      </c>
      <c r="B1603" s="3" t="s">
        <v>102</v>
      </c>
      <c r="G1603" t="s">
        <v>8607</v>
      </c>
      <c r="H1603">
        <v>32</v>
      </c>
      <c r="I1603" t="s">
        <v>9301</v>
      </c>
      <c r="J1603" t="str">
        <f t="shared" ref="J1603:J1666" si="25">_xlfn.CONCAT(A1603,"-",F1603,".",H1603,".",I1603)</f>
        <v>13F-HR-.32.C6</v>
      </c>
      <c r="K1603" s="5" t="s">
        <v>8625</v>
      </c>
      <c r="L1603" t="s">
        <v>229</v>
      </c>
      <c r="M1603" t="s">
        <v>8626</v>
      </c>
      <c r="N1603" t="s">
        <v>8627</v>
      </c>
      <c r="Q1603" s="28" t="s">
        <v>8628</v>
      </c>
    </row>
    <row r="1604" spans="1:17" x14ac:dyDescent="0.35">
      <c r="A1604" t="s">
        <v>8520</v>
      </c>
      <c r="B1604" s="3" t="s">
        <v>102</v>
      </c>
      <c r="G1604" t="s">
        <v>8607</v>
      </c>
      <c r="H1604">
        <v>33</v>
      </c>
      <c r="I1604" t="s">
        <v>9302</v>
      </c>
      <c r="J1604" t="str">
        <f t="shared" si="25"/>
        <v>13F-HR-.33.C7</v>
      </c>
      <c r="K1604" s="5" t="s">
        <v>8629</v>
      </c>
      <c r="L1604" t="s">
        <v>229</v>
      </c>
      <c r="M1604" t="s">
        <v>8630</v>
      </c>
      <c r="N1604" t="s">
        <v>8631</v>
      </c>
      <c r="Q1604" s="28" t="s">
        <v>8685</v>
      </c>
    </row>
    <row r="1605" spans="1:17" x14ac:dyDescent="0.35">
      <c r="A1605" t="s">
        <v>8520</v>
      </c>
      <c r="B1605" s="3" t="s">
        <v>102</v>
      </c>
      <c r="G1605" t="s">
        <v>8607</v>
      </c>
      <c r="H1605">
        <v>34</v>
      </c>
      <c r="I1605" t="s">
        <v>9303</v>
      </c>
      <c r="J1605" t="str">
        <f t="shared" si="25"/>
        <v>13F-HR-.34.C8</v>
      </c>
      <c r="K1605" s="5" t="s">
        <v>8633</v>
      </c>
      <c r="L1605" t="s">
        <v>4735</v>
      </c>
      <c r="M1605" t="s">
        <v>8634</v>
      </c>
      <c r="N1605" t="s">
        <v>8635</v>
      </c>
      <c r="Q1605" s="28" t="s">
        <v>8632</v>
      </c>
    </row>
    <row r="1606" spans="1:17" x14ac:dyDescent="0.35">
      <c r="A1606" t="s">
        <v>8651</v>
      </c>
      <c r="B1606" s="3" t="s">
        <v>102</v>
      </c>
      <c r="G1606" t="s">
        <v>8607</v>
      </c>
      <c r="H1606">
        <v>35</v>
      </c>
      <c r="I1606" t="s">
        <v>9304</v>
      </c>
      <c r="J1606" t="str">
        <f t="shared" si="25"/>
        <v>135-HR-.35.C9</v>
      </c>
      <c r="K1606" s="5" t="s">
        <v>8637</v>
      </c>
      <c r="L1606" t="s">
        <v>229</v>
      </c>
      <c r="M1606" t="s">
        <v>8638</v>
      </c>
      <c r="N1606" t="s">
        <v>8639</v>
      </c>
      <c r="Q1606" s="28" t="s">
        <v>8636</v>
      </c>
    </row>
    <row r="1607" spans="1:17" x14ac:dyDescent="0.35">
      <c r="A1607" t="s">
        <v>8520</v>
      </c>
      <c r="B1607" s="3" t="s">
        <v>102</v>
      </c>
      <c r="G1607" t="s">
        <v>8607</v>
      </c>
      <c r="H1607">
        <v>36</v>
      </c>
      <c r="I1607" t="s">
        <v>9305</v>
      </c>
      <c r="J1607" t="str">
        <f t="shared" si="25"/>
        <v>13F-HR-.36.C10</v>
      </c>
      <c r="K1607" s="5" t="s">
        <v>8640</v>
      </c>
      <c r="L1607" t="s">
        <v>241</v>
      </c>
      <c r="M1607" t="s">
        <v>8641</v>
      </c>
      <c r="N1607" t="s">
        <v>8642</v>
      </c>
      <c r="Q1607" s="28">
        <v>56111</v>
      </c>
    </row>
    <row r="1608" spans="1:17" x14ac:dyDescent="0.35">
      <c r="A1608" t="s">
        <v>8520</v>
      </c>
      <c r="B1608" s="3" t="s">
        <v>102</v>
      </c>
      <c r="G1608" t="s">
        <v>8607</v>
      </c>
      <c r="H1608">
        <v>37</v>
      </c>
      <c r="I1608" t="s">
        <v>9306</v>
      </c>
      <c r="J1608" t="str">
        <f t="shared" si="25"/>
        <v>13F-HR-.37.C11</v>
      </c>
      <c r="K1608" s="5" t="s">
        <v>8643</v>
      </c>
      <c r="L1608" t="s">
        <v>241</v>
      </c>
      <c r="M1608" t="s">
        <v>8644</v>
      </c>
      <c r="N1608" t="s">
        <v>8645</v>
      </c>
      <c r="Q1608" s="28">
        <v>0</v>
      </c>
    </row>
    <row r="1609" spans="1:17" x14ac:dyDescent="0.35">
      <c r="A1609" t="s">
        <v>8520</v>
      </c>
      <c r="B1609" s="3" t="s">
        <v>102</v>
      </c>
      <c r="G1609" t="s">
        <v>8607</v>
      </c>
      <c r="H1609">
        <v>38</v>
      </c>
      <c r="I1609" t="s">
        <v>9307</v>
      </c>
      <c r="J1609" t="str">
        <f t="shared" si="25"/>
        <v>13F-HR-.38.C12</v>
      </c>
      <c r="K1609" s="5" t="s">
        <v>8646</v>
      </c>
      <c r="L1609" t="s">
        <v>241</v>
      </c>
      <c r="M1609" t="s">
        <v>8647</v>
      </c>
      <c r="N1609" t="s">
        <v>8648</v>
      </c>
      <c r="Q1609" s="28">
        <v>48270</v>
      </c>
    </row>
    <row r="1610" spans="1:17" x14ac:dyDescent="0.35">
      <c r="A1610" t="s">
        <v>8520</v>
      </c>
      <c r="B1610" s="3" t="s">
        <v>102</v>
      </c>
      <c r="G1610" t="s">
        <v>8607</v>
      </c>
      <c r="H1610">
        <v>27</v>
      </c>
      <c r="I1610" t="s">
        <v>9296</v>
      </c>
      <c r="J1610" t="str">
        <f t="shared" si="25"/>
        <v>13F-HR-.27.C1</v>
      </c>
      <c r="K1610" s="5" t="s">
        <v>8608</v>
      </c>
      <c r="L1610" t="s">
        <v>229</v>
      </c>
      <c r="M1610" t="s">
        <v>8609</v>
      </c>
      <c r="N1610" t="s">
        <v>8610</v>
      </c>
      <c r="Q1610" s="28" t="s">
        <v>8860</v>
      </c>
    </row>
    <row r="1611" spans="1:17" x14ac:dyDescent="0.35">
      <c r="A1611" t="s">
        <v>8520</v>
      </c>
      <c r="B1611" s="3" t="s">
        <v>102</v>
      </c>
      <c r="G1611" t="s">
        <v>8607</v>
      </c>
      <c r="H1611">
        <v>28</v>
      </c>
      <c r="I1611" t="s">
        <v>9297</v>
      </c>
      <c r="J1611" t="str">
        <f t="shared" si="25"/>
        <v>13F-HR-.28.C2</v>
      </c>
      <c r="K1611" s="5" t="s">
        <v>8612</v>
      </c>
      <c r="L1611" t="s">
        <v>229</v>
      </c>
      <c r="M1611" t="s">
        <v>8613</v>
      </c>
      <c r="N1611" t="s">
        <v>8614</v>
      </c>
      <c r="Q1611" s="28" t="s">
        <v>8615</v>
      </c>
    </row>
    <row r="1612" spans="1:17" x14ac:dyDescent="0.35">
      <c r="A1612" t="s">
        <v>8520</v>
      </c>
      <c r="B1612" s="3" t="s">
        <v>102</v>
      </c>
      <c r="G1612" t="s">
        <v>8607</v>
      </c>
      <c r="H1612">
        <v>29</v>
      </c>
      <c r="I1612" t="s">
        <v>9298</v>
      </c>
      <c r="J1612" t="str">
        <f t="shared" si="25"/>
        <v>13F-HR-.29.C3</v>
      </c>
      <c r="K1612" s="5" t="s">
        <v>8616</v>
      </c>
      <c r="L1612" t="s">
        <v>229</v>
      </c>
      <c r="M1612" t="s">
        <v>7927</v>
      </c>
      <c r="N1612" t="s">
        <v>8617</v>
      </c>
      <c r="Q1612" s="28">
        <v>443201108</v>
      </c>
    </row>
    <row r="1613" spans="1:17" x14ac:dyDescent="0.35">
      <c r="A1613" t="s">
        <v>8520</v>
      </c>
      <c r="B1613" s="3" t="s">
        <v>102</v>
      </c>
      <c r="G1613" t="s">
        <v>8607</v>
      </c>
      <c r="H1613">
        <v>30</v>
      </c>
      <c r="I1613" t="s">
        <v>9299</v>
      </c>
      <c r="J1613" t="str">
        <f t="shared" si="25"/>
        <v>13F-HR-.30.C4</v>
      </c>
      <c r="K1613" s="5" t="s">
        <v>8618</v>
      </c>
      <c r="L1613" t="s">
        <v>8619</v>
      </c>
      <c r="M1613" t="s">
        <v>8620</v>
      </c>
      <c r="N1613" t="s">
        <v>8621</v>
      </c>
      <c r="Q1613" s="28">
        <v>9103024</v>
      </c>
    </row>
    <row r="1614" spans="1:17" x14ac:dyDescent="0.35">
      <c r="A1614" t="s">
        <v>8520</v>
      </c>
      <c r="B1614" s="3" t="s">
        <v>102</v>
      </c>
      <c r="G1614" t="s">
        <v>8607</v>
      </c>
      <c r="H1614">
        <v>31</v>
      </c>
      <c r="I1614" t="s">
        <v>9300</v>
      </c>
      <c r="J1614" t="str">
        <f t="shared" si="25"/>
        <v>13F-HR-.31.C5</v>
      </c>
      <c r="K1614" s="5" t="s">
        <v>8622</v>
      </c>
      <c r="L1614" t="s">
        <v>241</v>
      </c>
      <c r="M1614" t="s">
        <v>8623</v>
      </c>
      <c r="N1614" t="s">
        <v>8624</v>
      </c>
      <c r="Q1614" s="28">
        <v>70169</v>
      </c>
    </row>
    <row r="1615" spans="1:17" x14ac:dyDescent="0.35">
      <c r="A1615" t="s">
        <v>8520</v>
      </c>
      <c r="B1615" s="3" t="s">
        <v>102</v>
      </c>
      <c r="G1615" t="s">
        <v>8607</v>
      </c>
      <c r="H1615">
        <v>32</v>
      </c>
      <c r="I1615" t="s">
        <v>9301</v>
      </c>
      <c r="J1615" t="str">
        <f t="shared" si="25"/>
        <v>13F-HR-.32.C6</v>
      </c>
      <c r="K1615" s="5" t="s">
        <v>8625</v>
      </c>
      <c r="L1615" t="s">
        <v>229</v>
      </c>
      <c r="M1615" t="s">
        <v>8626</v>
      </c>
      <c r="N1615" t="s">
        <v>8627</v>
      </c>
      <c r="Q1615" s="28" t="s">
        <v>8628</v>
      </c>
    </row>
    <row r="1616" spans="1:17" x14ac:dyDescent="0.35">
      <c r="A1616" t="s">
        <v>8520</v>
      </c>
      <c r="B1616" s="3" t="s">
        <v>102</v>
      </c>
      <c r="G1616" t="s">
        <v>8607</v>
      </c>
      <c r="H1616">
        <v>33</v>
      </c>
      <c r="I1616" t="s">
        <v>9302</v>
      </c>
      <c r="J1616" t="str">
        <f t="shared" si="25"/>
        <v>13F-HR-.33.C7</v>
      </c>
      <c r="K1616" s="5" t="s">
        <v>8629</v>
      </c>
      <c r="L1616" t="s">
        <v>229</v>
      </c>
      <c r="M1616" t="s">
        <v>8630</v>
      </c>
      <c r="N1616" t="s">
        <v>8631</v>
      </c>
      <c r="Q1616" s="28" t="s">
        <v>8685</v>
      </c>
    </row>
    <row r="1617" spans="1:17" x14ac:dyDescent="0.35">
      <c r="A1617" t="s">
        <v>8520</v>
      </c>
      <c r="B1617" s="3" t="s">
        <v>102</v>
      </c>
      <c r="G1617" t="s">
        <v>8607</v>
      </c>
      <c r="H1617">
        <v>34</v>
      </c>
      <c r="I1617" t="s">
        <v>9303</v>
      </c>
      <c r="J1617" t="str">
        <f t="shared" si="25"/>
        <v>13F-HR-.34.C8</v>
      </c>
      <c r="K1617" s="5" t="s">
        <v>8633</v>
      </c>
      <c r="L1617" t="s">
        <v>4735</v>
      </c>
      <c r="M1617" t="s">
        <v>8634</v>
      </c>
      <c r="N1617" t="s">
        <v>8635</v>
      </c>
      <c r="Q1617" s="28" t="s">
        <v>8632</v>
      </c>
    </row>
    <row r="1618" spans="1:17" x14ac:dyDescent="0.35">
      <c r="A1618" t="s">
        <v>8651</v>
      </c>
      <c r="B1618" s="3" t="s">
        <v>102</v>
      </c>
      <c r="G1618" t="s">
        <v>8607</v>
      </c>
      <c r="H1618">
        <v>35</v>
      </c>
      <c r="I1618" t="s">
        <v>9304</v>
      </c>
      <c r="J1618" t="str">
        <f t="shared" si="25"/>
        <v>135-HR-.35.C9</v>
      </c>
      <c r="K1618" s="5" t="s">
        <v>8637</v>
      </c>
      <c r="L1618" t="s">
        <v>229</v>
      </c>
      <c r="M1618" t="s">
        <v>8638</v>
      </c>
      <c r="N1618" t="s">
        <v>8639</v>
      </c>
      <c r="Q1618" s="28" t="s">
        <v>8636</v>
      </c>
    </row>
    <row r="1619" spans="1:17" x14ac:dyDescent="0.35">
      <c r="A1619" t="s">
        <v>8520</v>
      </c>
      <c r="B1619" s="3" t="s">
        <v>102</v>
      </c>
      <c r="G1619" t="s">
        <v>8607</v>
      </c>
      <c r="H1619">
        <v>36</v>
      </c>
      <c r="I1619" t="s">
        <v>9305</v>
      </c>
      <c r="J1619" t="str">
        <f t="shared" si="25"/>
        <v>13F-HR-.36.C10</v>
      </c>
      <c r="K1619" s="5" t="s">
        <v>8640</v>
      </c>
      <c r="L1619" t="s">
        <v>241</v>
      </c>
      <c r="M1619" t="s">
        <v>8641</v>
      </c>
      <c r="N1619" t="s">
        <v>8642</v>
      </c>
      <c r="Q1619" s="28">
        <v>67613</v>
      </c>
    </row>
    <row r="1620" spans="1:17" x14ac:dyDescent="0.35">
      <c r="A1620" t="s">
        <v>8520</v>
      </c>
      <c r="B1620" s="3" t="s">
        <v>102</v>
      </c>
      <c r="G1620" t="s">
        <v>8607</v>
      </c>
      <c r="H1620">
        <v>37</v>
      </c>
      <c r="I1620" t="s">
        <v>9306</v>
      </c>
      <c r="J1620" t="str">
        <f t="shared" si="25"/>
        <v>13F-HR-.37.C11</v>
      </c>
      <c r="K1620" s="5" t="s">
        <v>8643</v>
      </c>
      <c r="L1620" t="s">
        <v>241</v>
      </c>
      <c r="M1620" t="s">
        <v>8644</v>
      </c>
      <c r="N1620" t="s">
        <v>8645</v>
      </c>
      <c r="Q1620" s="28">
        <v>0</v>
      </c>
    </row>
    <row r="1621" spans="1:17" x14ac:dyDescent="0.35">
      <c r="A1621" t="s">
        <v>8520</v>
      </c>
      <c r="B1621" s="3" t="s">
        <v>102</v>
      </c>
      <c r="G1621" t="s">
        <v>8607</v>
      </c>
      <c r="H1621">
        <v>38</v>
      </c>
      <c r="I1621" t="s">
        <v>9307</v>
      </c>
      <c r="J1621" t="str">
        <f t="shared" si="25"/>
        <v>13F-HR-.38.C12</v>
      </c>
      <c r="K1621" s="5" t="s">
        <v>8646</v>
      </c>
      <c r="L1621" t="s">
        <v>241</v>
      </c>
      <c r="M1621" t="s">
        <v>8647</v>
      </c>
      <c r="N1621" t="s">
        <v>8648</v>
      </c>
      <c r="Q1621" s="28">
        <v>2556</v>
      </c>
    </row>
    <row r="1622" spans="1:17" x14ac:dyDescent="0.35">
      <c r="A1622" t="s">
        <v>8520</v>
      </c>
      <c r="B1622" s="3" t="s">
        <v>102</v>
      </c>
      <c r="G1622" t="s">
        <v>8607</v>
      </c>
      <c r="H1622">
        <v>27</v>
      </c>
      <c r="I1622" t="s">
        <v>9296</v>
      </c>
      <c r="J1622" t="str">
        <f t="shared" si="25"/>
        <v>13F-HR-.27.C1</v>
      </c>
      <c r="K1622" s="5" t="s">
        <v>8608</v>
      </c>
      <c r="L1622" t="s">
        <v>229</v>
      </c>
      <c r="M1622" t="s">
        <v>8609</v>
      </c>
      <c r="N1622" t="s">
        <v>8610</v>
      </c>
      <c r="Q1622" s="28" t="s">
        <v>8861</v>
      </c>
    </row>
    <row r="1623" spans="1:17" x14ac:dyDescent="0.35">
      <c r="A1623" t="s">
        <v>8520</v>
      </c>
      <c r="B1623" s="3" t="s">
        <v>102</v>
      </c>
      <c r="G1623" t="s">
        <v>8607</v>
      </c>
      <c r="H1623">
        <v>28</v>
      </c>
      <c r="I1623" t="s">
        <v>9297</v>
      </c>
      <c r="J1623" t="str">
        <f t="shared" si="25"/>
        <v>13F-HR-.28.C2</v>
      </c>
      <c r="K1623" s="5" t="s">
        <v>8612</v>
      </c>
      <c r="L1623" t="s">
        <v>229</v>
      </c>
      <c r="M1623" t="s">
        <v>8613</v>
      </c>
      <c r="N1623" t="s">
        <v>8614</v>
      </c>
      <c r="Q1623" s="28" t="s">
        <v>8698</v>
      </c>
    </row>
    <row r="1624" spans="1:17" x14ac:dyDescent="0.35">
      <c r="A1624" t="s">
        <v>8520</v>
      </c>
      <c r="B1624" s="3" t="s">
        <v>102</v>
      </c>
      <c r="G1624" t="s">
        <v>8607</v>
      </c>
      <c r="H1624">
        <v>29</v>
      </c>
      <c r="I1624" t="s">
        <v>9298</v>
      </c>
      <c r="J1624" t="str">
        <f t="shared" si="25"/>
        <v>13F-HR-.29.C3</v>
      </c>
      <c r="K1624" s="5" t="s">
        <v>8616</v>
      </c>
      <c r="L1624" t="s">
        <v>229</v>
      </c>
      <c r="M1624" t="s">
        <v>7927</v>
      </c>
      <c r="N1624" t="s">
        <v>8617</v>
      </c>
      <c r="Q1624" s="28" t="s">
        <v>8862</v>
      </c>
    </row>
    <row r="1625" spans="1:17" x14ac:dyDescent="0.35">
      <c r="A1625" t="s">
        <v>8520</v>
      </c>
      <c r="B1625" s="3" t="s">
        <v>102</v>
      </c>
      <c r="G1625" t="s">
        <v>8607</v>
      </c>
      <c r="H1625">
        <v>30</v>
      </c>
      <c r="I1625" t="s">
        <v>9299</v>
      </c>
      <c r="J1625" t="str">
        <f t="shared" si="25"/>
        <v>13F-HR-.30.C4</v>
      </c>
      <c r="K1625" s="5" t="s">
        <v>8618</v>
      </c>
      <c r="L1625" t="s">
        <v>8619</v>
      </c>
      <c r="M1625" t="s">
        <v>8620</v>
      </c>
      <c r="N1625" t="s">
        <v>8621</v>
      </c>
      <c r="Q1625" s="28">
        <v>50001509</v>
      </c>
    </row>
    <row r="1626" spans="1:17" x14ac:dyDescent="0.35">
      <c r="A1626" t="s">
        <v>8520</v>
      </c>
      <c r="B1626" s="3" t="s">
        <v>102</v>
      </c>
      <c r="G1626" t="s">
        <v>8607</v>
      </c>
      <c r="H1626">
        <v>31</v>
      </c>
      <c r="I1626" t="s">
        <v>9300</v>
      </c>
      <c r="J1626" t="str">
        <f t="shared" si="25"/>
        <v>13F-HR-.31.C5</v>
      </c>
      <c r="K1626" s="5" t="s">
        <v>8622</v>
      </c>
      <c r="L1626" t="s">
        <v>241</v>
      </c>
      <c r="M1626" t="s">
        <v>8623</v>
      </c>
      <c r="N1626" t="s">
        <v>8624</v>
      </c>
      <c r="Q1626" s="28">
        <v>1351027</v>
      </c>
    </row>
    <row r="1627" spans="1:17" x14ac:dyDescent="0.35">
      <c r="A1627" t="s">
        <v>8520</v>
      </c>
      <c r="B1627" s="3" t="s">
        <v>102</v>
      </c>
      <c r="G1627" t="s">
        <v>8607</v>
      </c>
      <c r="H1627">
        <v>32</v>
      </c>
      <c r="I1627" t="s">
        <v>9301</v>
      </c>
      <c r="J1627" t="str">
        <f t="shared" si="25"/>
        <v>13F-HR-.32.C6</v>
      </c>
      <c r="K1627" s="5" t="s">
        <v>8625</v>
      </c>
      <c r="L1627" t="s">
        <v>229</v>
      </c>
      <c r="M1627" t="s">
        <v>8626</v>
      </c>
      <c r="N1627" t="s">
        <v>8627</v>
      </c>
      <c r="Q1627" s="28" t="s">
        <v>8628</v>
      </c>
    </row>
    <row r="1628" spans="1:17" x14ac:dyDescent="0.35">
      <c r="A1628" t="s">
        <v>8520</v>
      </c>
      <c r="B1628" s="3" t="s">
        <v>102</v>
      </c>
      <c r="G1628" t="s">
        <v>8607</v>
      </c>
      <c r="H1628">
        <v>33</v>
      </c>
      <c r="I1628" t="s">
        <v>9302</v>
      </c>
      <c r="J1628" t="str">
        <f t="shared" si="25"/>
        <v>13F-HR-.33.C7</v>
      </c>
      <c r="K1628" s="5" t="s">
        <v>8629</v>
      </c>
      <c r="L1628" t="s">
        <v>229</v>
      </c>
      <c r="M1628" t="s">
        <v>8630</v>
      </c>
      <c r="N1628" t="s">
        <v>8631</v>
      </c>
      <c r="Q1628" s="28" t="s">
        <v>8685</v>
      </c>
    </row>
    <row r="1629" spans="1:17" x14ac:dyDescent="0.35">
      <c r="A1629" t="s">
        <v>8520</v>
      </c>
      <c r="B1629" s="3" t="s">
        <v>102</v>
      </c>
      <c r="G1629" t="s">
        <v>8607</v>
      </c>
      <c r="H1629">
        <v>34</v>
      </c>
      <c r="I1629" t="s">
        <v>9303</v>
      </c>
      <c r="J1629" t="str">
        <f t="shared" si="25"/>
        <v>13F-HR-.34.C8</v>
      </c>
      <c r="K1629" s="5" t="s">
        <v>8633</v>
      </c>
      <c r="L1629" t="s">
        <v>4735</v>
      </c>
      <c r="M1629" t="s">
        <v>8634</v>
      </c>
      <c r="N1629" t="s">
        <v>8635</v>
      </c>
      <c r="Q1629" s="28" t="s">
        <v>8632</v>
      </c>
    </row>
    <row r="1630" spans="1:17" x14ac:dyDescent="0.35">
      <c r="A1630" t="s">
        <v>8651</v>
      </c>
      <c r="B1630" s="3" t="s">
        <v>102</v>
      </c>
      <c r="G1630" t="s">
        <v>8607</v>
      </c>
      <c r="H1630">
        <v>35</v>
      </c>
      <c r="I1630" t="s">
        <v>9304</v>
      </c>
      <c r="J1630" t="str">
        <f t="shared" si="25"/>
        <v>135-HR-.35.C9</v>
      </c>
      <c r="K1630" s="5" t="s">
        <v>8637</v>
      </c>
      <c r="L1630" t="s">
        <v>229</v>
      </c>
      <c r="M1630" t="s">
        <v>8638</v>
      </c>
      <c r="N1630" t="s">
        <v>8639</v>
      </c>
      <c r="Q1630" s="28" t="s">
        <v>8636</v>
      </c>
    </row>
    <row r="1631" spans="1:17" x14ac:dyDescent="0.35">
      <c r="A1631" t="s">
        <v>8520</v>
      </c>
      <c r="B1631" s="3" t="s">
        <v>102</v>
      </c>
      <c r="G1631" t="s">
        <v>8607</v>
      </c>
      <c r="H1631">
        <v>36</v>
      </c>
      <c r="I1631" t="s">
        <v>9305</v>
      </c>
      <c r="J1631" t="str">
        <f t="shared" si="25"/>
        <v>13F-HR-.36.C10</v>
      </c>
      <c r="K1631" s="5" t="s">
        <v>8640</v>
      </c>
      <c r="L1631" t="s">
        <v>241</v>
      </c>
      <c r="M1631" t="s">
        <v>8641</v>
      </c>
      <c r="N1631" t="s">
        <v>8642</v>
      </c>
      <c r="Q1631" s="28">
        <v>1331574</v>
      </c>
    </row>
    <row r="1632" spans="1:17" x14ac:dyDescent="0.35">
      <c r="A1632" t="s">
        <v>8520</v>
      </c>
      <c r="B1632" s="3" t="s">
        <v>102</v>
      </c>
      <c r="G1632" t="s">
        <v>8607</v>
      </c>
      <c r="H1632">
        <v>37</v>
      </c>
      <c r="I1632" t="s">
        <v>9306</v>
      </c>
      <c r="J1632" t="str">
        <f t="shared" si="25"/>
        <v>13F-HR-.37.C11</v>
      </c>
      <c r="K1632" s="5" t="s">
        <v>8643</v>
      </c>
      <c r="L1632" t="s">
        <v>241</v>
      </c>
      <c r="M1632" t="s">
        <v>8644</v>
      </c>
      <c r="N1632" t="s">
        <v>8645</v>
      </c>
      <c r="Q1632" s="28">
        <v>0</v>
      </c>
    </row>
    <row r="1633" spans="1:17" x14ac:dyDescent="0.35">
      <c r="A1633" t="s">
        <v>8520</v>
      </c>
      <c r="B1633" s="3" t="s">
        <v>102</v>
      </c>
      <c r="G1633" t="s">
        <v>8607</v>
      </c>
      <c r="H1633">
        <v>38</v>
      </c>
      <c r="I1633" t="s">
        <v>9307</v>
      </c>
      <c r="J1633" t="str">
        <f t="shared" si="25"/>
        <v>13F-HR-.38.C12</v>
      </c>
      <c r="K1633" s="5" t="s">
        <v>8646</v>
      </c>
      <c r="L1633" t="s">
        <v>241</v>
      </c>
      <c r="M1633" t="s">
        <v>8647</v>
      </c>
      <c r="N1633" t="s">
        <v>8648</v>
      </c>
      <c r="Q1633" s="28">
        <v>19453</v>
      </c>
    </row>
    <row r="1634" spans="1:17" x14ac:dyDescent="0.35">
      <c r="A1634" t="s">
        <v>8520</v>
      </c>
      <c r="B1634" s="3" t="s">
        <v>102</v>
      </c>
      <c r="G1634" t="s">
        <v>8607</v>
      </c>
      <c r="H1634">
        <v>27</v>
      </c>
      <c r="I1634" t="s">
        <v>9296</v>
      </c>
      <c r="J1634" t="str">
        <f t="shared" si="25"/>
        <v>13F-HR-.27.C1</v>
      </c>
      <c r="K1634" s="5" t="s">
        <v>8608</v>
      </c>
      <c r="L1634" t="s">
        <v>229</v>
      </c>
      <c r="M1634" t="s">
        <v>8609</v>
      </c>
      <c r="N1634" t="s">
        <v>8610</v>
      </c>
      <c r="Q1634" s="28" t="s">
        <v>8863</v>
      </c>
    </row>
    <row r="1635" spans="1:17" x14ac:dyDescent="0.35">
      <c r="A1635" t="s">
        <v>8520</v>
      </c>
      <c r="B1635" s="3" t="s">
        <v>102</v>
      </c>
      <c r="G1635" t="s">
        <v>8607</v>
      </c>
      <c r="H1635">
        <v>28</v>
      </c>
      <c r="I1635" t="s">
        <v>9297</v>
      </c>
      <c r="J1635" t="str">
        <f t="shared" si="25"/>
        <v>13F-HR-.28.C2</v>
      </c>
      <c r="K1635" s="5" t="s">
        <v>8612</v>
      </c>
      <c r="L1635" t="s">
        <v>229</v>
      </c>
      <c r="M1635" t="s">
        <v>8613</v>
      </c>
      <c r="N1635" t="s">
        <v>8614</v>
      </c>
      <c r="Q1635" s="28" t="s">
        <v>8615</v>
      </c>
    </row>
    <row r="1636" spans="1:17" x14ac:dyDescent="0.35">
      <c r="A1636" t="s">
        <v>8520</v>
      </c>
      <c r="B1636" s="3" t="s">
        <v>102</v>
      </c>
      <c r="G1636" t="s">
        <v>8607</v>
      </c>
      <c r="H1636">
        <v>29</v>
      </c>
      <c r="I1636" t="s">
        <v>9298</v>
      </c>
      <c r="J1636" t="str">
        <f t="shared" si="25"/>
        <v>13F-HR-.29.C3</v>
      </c>
      <c r="K1636" s="5" t="s">
        <v>8616</v>
      </c>
      <c r="L1636" t="s">
        <v>229</v>
      </c>
      <c r="M1636" t="s">
        <v>7927</v>
      </c>
      <c r="N1636" t="s">
        <v>8617</v>
      </c>
      <c r="Q1636" s="28">
        <v>444859102</v>
      </c>
    </row>
    <row r="1637" spans="1:17" x14ac:dyDescent="0.35">
      <c r="A1637" t="s">
        <v>8520</v>
      </c>
      <c r="B1637" s="3" t="s">
        <v>102</v>
      </c>
      <c r="G1637" t="s">
        <v>8607</v>
      </c>
      <c r="H1637">
        <v>30</v>
      </c>
      <c r="I1637" t="s">
        <v>9299</v>
      </c>
      <c r="J1637" t="str">
        <f t="shared" si="25"/>
        <v>13F-HR-.30.C4</v>
      </c>
      <c r="K1637" s="5" t="s">
        <v>8618</v>
      </c>
      <c r="L1637" t="s">
        <v>8619</v>
      </c>
      <c r="M1637" t="s">
        <v>8620</v>
      </c>
      <c r="N1637" t="s">
        <v>8621</v>
      </c>
      <c r="Q1637" s="28">
        <v>1951690</v>
      </c>
    </row>
    <row r="1638" spans="1:17" x14ac:dyDescent="0.35">
      <c r="A1638" t="s">
        <v>8520</v>
      </c>
      <c r="B1638" s="3" t="s">
        <v>102</v>
      </c>
      <c r="G1638" t="s">
        <v>8607</v>
      </c>
      <c r="H1638">
        <v>31</v>
      </c>
      <c r="I1638" t="s">
        <v>9300</v>
      </c>
      <c r="J1638" t="str">
        <f t="shared" si="25"/>
        <v>13F-HR-.31.C5</v>
      </c>
      <c r="K1638" s="5" t="s">
        <v>8622</v>
      </c>
      <c r="L1638" t="s">
        <v>241</v>
      </c>
      <c r="M1638" t="s">
        <v>8623</v>
      </c>
      <c r="N1638" t="s">
        <v>8624</v>
      </c>
      <c r="Q1638" s="28">
        <v>7376</v>
      </c>
    </row>
    <row r="1639" spans="1:17" x14ac:dyDescent="0.35">
      <c r="A1639" t="s">
        <v>8520</v>
      </c>
      <c r="B1639" s="3" t="s">
        <v>102</v>
      </c>
      <c r="G1639" t="s">
        <v>8607</v>
      </c>
      <c r="H1639">
        <v>32</v>
      </c>
      <c r="I1639" t="s">
        <v>9301</v>
      </c>
      <c r="J1639" t="str">
        <f t="shared" si="25"/>
        <v>13F-HR-.32.C6</v>
      </c>
      <c r="K1639" s="5" t="s">
        <v>8625</v>
      </c>
      <c r="L1639" t="s">
        <v>229</v>
      </c>
      <c r="M1639" t="s">
        <v>8626</v>
      </c>
      <c r="N1639" t="s">
        <v>8627</v>
      </c>
      <c r="Q1639" s="28" t="s">
        <v>8628</v>
      </c>
    </row>
    <row r="1640" spans="1:17" x14ac:dyDescent="0.35">
      <c r="A1640" t="s">
        <v>8520</v>
      </c>
      <c r="B1640" s="3" t="s">
        <v>102</v>
      </c>
      <c r="G1640" t="s">
        <v>8607</v>
      </c>
      <c r="H1640">
        <v>33</v>
      </c>
      <c r="I1640" t="s">
        <v>9302</v>
      </c>
      <c r="J1640" t="str">
        <f t="shared" si="25"/>
        <v>13F-HR-.33.C7</v>
      </c>
      <c r="K1640" s="5" t="s">
        <v>8629</v>
      </c>
      <c r="L1640" t="s">
        <v>229</v>
      </c>
      <c r="M1640" t="s">
        <v>8630</v>
      </c>
      <c r="N1640" t="s">
        <v>8631</v>
      </c>
      <c r="Q1640" s="28" t="s">
        <v>8685</v>
      </c>
    </row>
    <row r="1641" spans="1:17" x14ac:dyDescent="0.35">
      <c r="A1641" t="s">
        <v>8520</v>
      </c>
      <c r="B1641" s="3" t="s">
        <v>102</v>
      </c>
      <c r="G1641" t="s">
        <v>8607</v>
      </c>
      <c r="H1641">
        <v>34</v>
      </c>
      <c r="I1641" t="s">
        <v>9303</v>
      </c>
      <c r="J1641" t="str">
        <f t="shared" si="25"/>
        <v>13F-HR-.34.C8</v>
      </c>
      <c r="K1641" s="5" t="s">
        <v>8633</v>
      </c>
      <c r="L1641" t="s">
        <v>4735</v>
      </c>
      <c r="M1641" t="s">
        <v>8634</v>
      </c>
      <c r="N1641" t="s">
        <v>8635</v>
      </c>
      <c r="Q1641" s="28" t="s">
        <v>8632</v>
      </c>
    </row>
    <row r="1642" spans="1:17" x14ac:dyDescent="0.35">
      <c r="A1642" t="s">
        <v>8651</v>
      </c>
      <c r="B1642" s="3" t="s">
        <v>102</v>
      </c>
      <c r="G1642" t="s">
        <v>8607</v>
      </c>
      <c r="H1642">
        <v>35</v>
      </c>
      <c r="I1642" t="s">
        <v>9304</v>
      </c>
      <c r="J1642" t="str">
        <f t="shared" si="25"/>
        <v>135-HR-.35.C9</v>
      </c>
      <c r="K1642" s="5" t="s">
        <v>8637</v>
      </c>
      <c r="L1642" t="s">
        <v>229</v>
      </c>
      <c r="M1642" t="s">
        <v>8638</v>
      </c>
      <c r="N1642" t="s">
        <v>8639</v>
      </c>
      <c r="Q1642" s="28" t="s">
        <v>8636</v>
      </c>
    </row>
    <row r="1643" spans="1:17" x14ac:dyDescent="0.35">
      <c r="A1643" t="s">
        <v>8520</v>
      </c>
      <c r="B1643" s="3" t="s">
        <v>102</v>
      </c>
      <c r="G1643" t="s">
        <v>8607</v>
      </c>
      <c r="H1643">
        <v>36</v>
      </c>
      <c r="I1643" t="s">
        <v>9305</v>
      </c>
      <c r="J1643" t="str">
        <f t="shared" si="25"/>
        <v>13F-HR-.36.C10</v>
      </c>
      <c r="K1643" s="5" t="s">
        <v>8640</v>
      </c>
      <c r="L1643" t="s">
        <v>241</v>
      </c>
      <c r="M1643" t="s">
        <v>8641</v>
      </c>
      <c r="N1643" t="s">
        <v>8642</v>
      </c>
      <c r="Q1643" s="28">
        <v>0</v>
      </c>
    </row>
    <row r="1644" spans="1:17" x14ac:dyDescent="0.35">
      <c r="A1644" t="s">
        <v>8520</v>
      </c>
      <c r="B1644" s="3" t="s">
        <v>102</v>
      </c>
      <c r="G1644" t="s">
        <v>8607</v>
      </c>
      <c r="H1644">
        <v>37</v>
      </c>
      <c r="I1644" t="s">
        <v>9306</v>
      </c>
      <c r="J1644" t="str">
        <f t="shared" si="25"/>
        <v>13F-HR-.37.C11</v>
      </c>
      <c r="K1644" s="5" t="s">
        <v>8643</v>
      </c>
      <c r="L1644" t="s">
        <v>241</v>
      </c>
      <c r="M1644" t="s">
        <v>8644</v>
      </c>
      <c r="N1644" t="s">
        <v>8645</v>
      </c>
      <c r="Q1644" s="28">
        <v>0</v>
      </c>
    </row>
    <row r="1645" spans="1:17" x14ac:dyDescent="0.35">
      <c r="A1645" t="s">
        <v>8520</v>
      </c>
      <c r="B1645" s="3" t="s">
        <v>102</v>
      </c>
      <c r="G1645" t="s">
        <v>8607</v>
      </c>
      <c r="H1645">
        <v>38</v>
      </c>
      <c r="I1645" t="s">
        <v>9307</v>
      </c>
      <c r="J1645" t="str">
        <f t="shared" si="25"/>
        <v>13F-HR-.38.C12</v>
      </c>
      <c r="K1645" s="5" t="s">
        <v>8646</v>
      </c>
      <c r="L1645" t="s">
        <v>241</v>
      </c>
      <c r="M1645" t="s">
        <v>8647</v>
      </c>
      <c r="N1645" t="s">
        <v>8648</v>
      </c>
      <c r="Q1645" s="28">
        <v>7376</v>
      </c>
    </row>
    <row r="1646" spans="1:17" x14ac:dyDescent="0.35">
      <c r="A1646" t="s">
        <v>8520</v>
      </c>
      <c r="B1646" s="3" t="s">
        <v>102</v>
      </c>
      <c r="G1646" t="s">
        <v>8607</v>
      </c>
      <c r="H1646">
        <v>27</v>
      </c>
      <c r="I1646" t="s">
        <v>9296</v>
      </c>
      <c r="J1646" t="str">
        <f t="shared" si="25"/>
        <v>13F-HR-.27.C1</v>
      </c>
      <c r="K1646" s="5" t="s">
        <v>8608</v>
      </c>
      <c r="L1646" t="s">
        <v>229</v>
      </c>
      <c r="M1646" t="s">
        <v>8609</v>
      </c>
      <c r="N1646" t="s">
        <v>8610</v>
      </c>
      <c r="Q1646" s="28" t="s">
        <v>8864</v>
      </c>
    </row>
    <row r="1647" spans="1:17" x14ac:dyDescent="0.35">
      <c r="A1647" t="s">
        <v>8520</v>
      </c>
      <c r="B1647" s="3" t="s">
        <v>102</v>
      </c>
      <c r="G1647" t="s">
        <v>8607</v>
      </c>
      <c r="H1647">
        <v>28</v>
      </c>
      <c r="I1647" t="s">
        <v>9297</v>
      </c>
      <c r="J1647" t="str">
        <f t="shared" si="25"/>
        <v>13F-HR-.28.C2</v>
      </c>
      <c r="K1647" s="5" t="s">
        <v>8612</v>
      </c>
      <c r="L1647" t="s">
        <v>229</v>
      </c>
      <c r="M1647" t="s">
        <v>8613</v>
      </c>
      <c r="N1647" t="s">
        <v>8614</v>
      </c>
      <c r="Q1647" s="28" t="s">
        <v>8615</v>
      </c>
    </row>
    <row r="1648" spans="1:17" x14ac:dyDescent="0.35">
      <c r="A1648" t="s">
        <v>8520</v>
      </c>
      <c r="B1648" s="3" t="s">
        <v>102</v>
      </c>
      <c r="G1648" t="s">
        <v>8607</v>
      </c>
      <c r="H1648">
        <v>29</v>
      </c>
      <c r="I1648" t="s">
        <v>9298</v>
      </c>
      <c r="J1648" t="str">
        <f t="shared" si="25"/>
        <v>13F-HR-.29.C3</v>
      </c>
      <c r="K1648" s="5" t="s">
        <v>8616</v>
      </c>
      <c r="L1648" t="s">
        <v>229</v>
      </c>
      <c r="M1648" t="s">
        <v>7927</v>
      </c>
      <c r="N1648" t="s">
        <v>8617</v>
      </c>
      <c r="Q1648" s="28" t="s">
        <v>8865</v>
      </c>
    </row>
    <row r="1649" spans="1:17" x14ac:dyDescent="0.35">
      <c r="A1649" t="s">
        <v>8520</v>
      </c>
      <c r="B1649" s="3" t="s">
        <v>102</v>
      </c>
      <c r="G1649" t="s">
        <v>8607</v>
      </c>
      <c r="H1649">
        <v>30</v>
      </c>
      <c r="I1649" t="s">
        <v>9299</v>
      </c>
      <c r="J1649" t="str">
        <f t="shared" si="25"/>
        <v>13F-HR-.30.C4</v>
      </c>
      <c r="K1649" s="5" t="s">
        <v>8618</v>
      </c>
      <c r="L1649" t="s">
        <v>8619</v>
      </c>
      <c r="M1649" t="s">
        <v>8620</v>
      </c>
      <c r="N1649" t="s">
        <v>8621</v>
      </c>
      <c r="Q1649" s="28">
        <v>1796874</v>
      </c>
    </row>
    <row r="1650" spans="1:17" x14ac:dyDescent="0.35">
      <c r="A1650" t="s">
        <v>8520</v>
      </c>
      <c r="B1650" s="3" t="s">
        <v>102</v>
      </c>
      <c r="G1650" t="s">
        <v>8607</v>
      </c>
      <c r="H1650">
        <v>31</v>
      </c>
      <c r="I1650" t="s">
        <v>9300</v>
      </c>
      <c r="J1650" t="str">
        <f t="shared" si="25"/>
        <v>13F-HR-.31.C5</v>
      </c>
      <c r="K1650" s="5" t="s">
        <v>8622</v>
      </c>
      <c r="L1650" t="s">
        <v>241</v>
      </c>
      <c r="M1650" t="s">
        <v>8623</v>
      </c>
      <c r="N1650" t="s">
        <v>8624</v>
      </c>
      <c r="Q1650" s="28">
        <v>13912</v>
      </c>
    </row>
    <row r="1651" spans="1:17" x14ac:dyDescent="0.35">
      <c r="A1651" t="s">
        <v>8520</v>
      </c>
      <c r="B1651" s="3" t="s">
        <v>102</v>
      </c>
      <c r="G1651" t="s">
        <v>8607</v>
      </c>
      <c r="H1651">
        <v>32</v>
      </c>
      <c r="I1651" t="s">
        <v>9301</v>
      </c>
      <c r="J1651" t="str">
        <f t="shared" si="25"/>
        <v>13F-HR-.32.C6</v>
      </c>
      <c r="K1651" s="5" t="s">
        <v>8625</v>
      </c>
      <c r="L1651" t="s">
        <v>229</v>
      </c>
      <c r="M1651" t="s">
        <v>8626</v>
      </c>
      <c r="N1651" t="s">
        <v>8627</v>
      </c>
      <c r="Q1651" s="28" t="s">
        <v>8628</v>
      </c>
    </row>
    <row r="1652" spans="1:17" x14ac:dyDescent="0.35">
      <c r="A1652" t="s">
        <v>8520</v>
      </c>
      <c r="B1652" s="3" t="s">
        <v>102</v>
      </c>
      <c r="G1652" t="s">
        <v>8607</v>
      </c>
      <c r="H1652">
        <v>33</v>
      </c>
      <c r="I1652" t="s">
        <v>9302</v>
      </c>
      <c r="J1652" t="str">
        <f t="shared" si="25"/>
        <v>13F-HR-.33.C7</v>
      </c>
      <c r="K1652" s="5" t="s">
        <v>8629</v>
      </c>
      <c r="L1652" t="s">
        <v>229</v>
      </c>
      <c r="M1652" t="s">
        <v>8630</v>
      </c>
      <c r="N1652" t="s">
        <v>8631</v>
      </c>
      <c r="Q1652" s="28" t="s">
        <v>8685</v>
      </c>
    </row>
    <row r="1653" spans="1:17" x14ac:dyDescent="0.35">
      <c r="A1653" t="s">
        <v>8520</v>
      </c>
      <c r="B1653" s="3" t="s">
        <v>102</v>
      </c>
      <c r="G1653" t="s">
        <v>8607</v>
      </c>
      <c r="H1653">
        <v>34</v>
      </c>
      <c r="I1653" t="s">
        <v>9303</v>
      </c>
      <c r="J1653" t="str">
        <f t="shared" si="25"/>
        <v>13F-HR-.34.C8</v>
      </c>
      <c r="K1653" s="5" t="s">
        <v>8633</v>
      </c>
      <c r="L1653" t="s">
        <v>4735</v>
      </c>
      <c r="M1653" t="s">
        <v>8634</v>
      </c>
      <c r="N1653" t="s">
        <v>8635</v>
      </c>
      <c r="Q1653" s="28" t="s">
        <v>8632</v>
      </c>
    </row>
    <row r="1654" spans="1:17" x14ac:dyDescent="0.35">
      <c r="A1654" t="s">
        <v>8651</v>
      </c>
      <c r="B1654" s="3" t="s">
        <v>102</v>
      </c>
      <c r="G1654" t="s">
        <v>8607</v>
      </c>
      <c r="H1654">
        <v>35</v>
      </c>
      <c r="I1654" t="s">
        <v>9304</v>
      </c>
      <c r="J1654" t="str">
        <f t="shared" si="25"/>
        <v>135-HR-.35.C9</v>
      </c>
      <c r="K1654" s="5" t="s">
        <v>8637</v>
      </c>
      <c r="L1654" t="s">
        <v>229</v>
      </c>
      <c r="M1654" t="s">
        <v>8638</v>
      </c>
      <c r="N1654" t="s">
        <v>8639</v>
      </c>
      <c r="Q1654" s="28" t="s">
        <v>8636</v>
      </c>
    </row>
    <row r="1655" spans="1:17" x14ac:dyDescent="0.35">
      <c r="A1655" t="s">
        <v>8520</v>
      </c>
      <c r="B1655" s="3" t="s">
        <v>102</v>
      </c>
      <c r="G1655" t="s">
        <v>8607</v>
      </c>
      <c r="H1655">
        <v>36</v>
      </c>
      <c r="I1655" t="s">
        <v>9305</v>
      </c>
      <c r="J1655" t="str">
        <f t="shared" si="25"/>
        <v>13F-HR-.36.C10</v>
      </c>
      <c r="K1655" s="5" t="s">
        <v>8640</v>
      </c>
      <c r="L1655" t="s">
        <v>241</v>
      </c>
      <c r="M1655" t="s">
        <v>8641</v>
      </c>
      <c r="N1655" t="s">
        <v>8642</v>
      </c>
      <c r="Q1655" s="28">
        <v>12813</v>
      </c>
    </row>
    <row r="1656" spans="1:17" x14ac:dyDescent="0.35">
      <c r="A1656" t="s">
        <v>8520</v>
      </c>
      <c r="B1656" s="3" t="s">
        <v>102</v>
      </c>
      <c r="G1656" t="s">
        <v>8607</v>
      </c>
      <c r="H1656">
        <v>37</v>
      </c>
      <c r="I1656" t="s">
        <v>9306</v>
      </c>
      <c r="J1656" t="str">
        <f t="shared" si="25"/>
        <v>13F-HR-.37.C11</v>
      </c>
      <c r="K1656" s="5" t="s">
        <v>8643</v>
      </c>
      <c r="L1656" t="s">
        <v>241</v>
      </c>
      <c r="M1656" t="s">
        <v>8644</v>
      </c>
      <c r="N1656" t="s">
        <v>8645</v>
      </c>
      <c r="Q1656" s="28">
        <v>0</v>
      </c>
    </row>
    <row r="1657" spans="1:17" x14ac:dyDescent="0.35">
      <c r="A1657" t="s">
        <v>8520</v>
      </c>
      <c r="B1657" s="3" t="s">
        <v>102</v>
      </c>
      <c r="G1657" t="s">
        <v>8607</v>
      </c>
      <c r="H1657">
        <v>38</v>
      </c>
      <c r="I1657" t="s">
        <v>9307</v>
      </c>
      <c r="J1657" t="str">
        <f t="shared" si="25"/>
        <v>13F-HR-.38.C12</v>
      </c>
      <c r="K1657" s="5" t="s">
        <v>8646</v>
      </c>
      <c r="L1657" t="s">
        <v>241</v>
      </c>
      <c r="M1657" t="s">
        <v>8647</v>
      </c>
      <c r="N1657" t="s">
        <v>8648</v>
      </c>
      <c r="Q1657" s="28">
        <v>1099</v>
      </c>
    </row>
    <row r="1658" spans="1:17" x14ac:dyDescent="0.35">
      <c r="A1658" t="s">
        <v>8520</v>
      </c>
      <c r="B1658" s="3" t="s">
        <v>102</v>
      </c>
      <c r="G1658" t="s">
        <v>8607</v>
      </c>
      <c r="H1658">
        <v>27</v>
      </c>
      <c r="I1658" t="s">
        <v>9296</v>
      </c>
      <c r="J1658" t="str">
        <f t="shared" si="25"/>
        <v>13F-HR-.27.C1</v>
      </c>
      <c r="K1658" s="5" t="s">
        <v>8608</v>
      </c>
      <c r="L1658" t="s">
        <v>229</v>
      </c>
      <c r="M1658" t="s">
        <v>8609</v>
      </c>
      <c r="N1658" t="s">
        <v>8610</v>
      </c>
      <c r="Q1658" s="28" t="s">
        <v>8866</v>
      </c>
    </row>
    <row r="1659" spans="1:17" x14ac:dyDescent="0.35">
      <c r="A1659" t="s">
        <v>8520</v>
      </c>
      <c r="B1659" s="3" t="s">
        <v>102</v>
      </c>
      <c r="G1659" t="s">
        <v>8607</v>
      </c>
      <c r="H1659">
        <v>28</v>
      </c>
      <c r="I1659" t="s">
        <v>9297</v>
      </c>
      <c r="J1659" t="str">
        <f t="shared" si="25"/>
        <v>13F-HR-.28.C2</v>
      </c>
      <c r="K1659" s="5" t="s">
        <v>8612</v>
      </c>
      <c r="L1659" t="s">
        <v>229</v>
      </c>
      <c r="M1659" t="s">
        <v>8613</v>
      </c>
      <c r="N1659" t="s">
        <v>8614</v>
      </c>
      <c r="Q1659" s="28" t="s">
        <v>8867</v>
      </c>
    </row>
    <row r="1660" spans="1:17" x14ac:dyDescent="0.35">
      <c r="A1660" t="s">
        <v>8520</v>
      </c>
      <c r="B1660" s="3" t="s">
        <v>102</v>
      </c>
      <c r="G1660" t="s">
        <v>8607</v>
      </c>
      <c r="H1660">
        <v>29</v>
      </c>
      <c r="I1660" t="s">
        <v>9298</v>
      </c>
      <c r="J1660" t="str">
        <f t="shared" si="25"/>
        <v>13F-HR-.29.C3</v>
      </c>
      <c r="K1660" s="5" t="s">
        <v>8616</v>
      </c>
      <c r="L1660" t="s">
        <v>229</v>
      </c>
      <c r="M1660" t="s">
        <v>7927</v>
      </c>
      <c r="N1660" t="s">
        <v>8617</v>
      </c>
      <c r="Q1660" s="28" t="s">
        <v>8868</v>
      </c>
    </row>
    <row r="1661" spans="1:17" x14ac:dyDescent="0.35">
      <c r="A1661" t="s">
        <v>8520</v>
      </c>
      <c r="B1661" s="3" t="s">
        <v>102</v>
      </c>
      <c r="G1661" t="s">
        <v>8607</v>
      </c>
      <c r="H1661">
        <v>30</v>
      </c>
      <c r="I1661" t="s">
        <v>9299</v>
      </c>
      <c r="J1661" t="str">
        <f t="shared" si="25"/>
        <v>13F-HR-.30.C4</v>
      </c>
      <c r="K1661" s="5" t="s">
        <v>8618</v>
      </c>
      <c r="L1661" t="s">
        <v>8619</v>
      </c>
      <c r="M1661" t="s">
        <v>8620</v>
      </c>
      <c r="N1661" t="s">
        <v>8621</v>
      </c>
      <c r="Q1661" s="28">
        <v>19707754</v>
      </c>
    </row>
    <row r="1662" spans="1:17" x14ac:dyDescent="0.35">
      <c r="A1662" t="s">
        <v>8520</v>
      </c>
      <c r="B1662" s="3" t="s">
        <v>102</v>
      </c>
      <c r="G1662" t="s">
        <v>8607</v>
      </c>
      <c r="H1662">
        <v>31</v>
      </c>
      <c r="I1662" t="s">
        <v>9300</v>
      </c>
      <c r="J1662" t="str">
        <f t="shared" si="25"/>
        <v>13F-HR-.31.C5</v>
      </c>
      <c r="K1662" s="5" t="s">
        <v>8622</v>
      </c>
      <c r="L1662" t="s">
        <v>241</v>
      </c>
      <c r="M1662" t="s">
        <v>8623</v>
      </c>
      <c r="N1662" t="s">
        <v>8624</v>
      </c>
      <c r="Q1662" s="28">
        <v>625246</v>
      </c>
    </row>
    <row r="1663" spans="1:17" x14ac:dyDescent="0.35">
      <c r="A1663" t="s">
        <v>8520</v>
      </c>
      <c r="B1663" s="3" t="s">
        <v>102</v>
      </c>
      <c r="G1663" t="s">
        <v>8607</v>
      </c>
      <c r="H1663">
        <v>32</v>
      </c>
      <c r="I1663" t="s">
        <v>9301</v>
      </c>
      <c r="J1663" t="str">
        <f t="shared" si="25"/>
        <v>13F-HR-.32.C6</v>
      </c>
      <c r="K1663" s="5" t="s">
        <v>8625</v>
      </c>
      <c r="L1663" t="s">
        <v>229</v>
      </c>
      <c r="M1663" t="s">
        <v>8626</v>
      </c>
      <c r="N1663" t="s">
        <v>8627</v>
      </c>
      <c r="Q1663" s="28" t="s">
        <v>8628</v>
      </c>
    </row>
    <row r="1664" spans="1:17" x14ac:dyDescent="0.35">
      <c r="A1664" t="s">
        <v>8520</v>
      </c>
      <c r="B1664" s="3" t="s">
        <v>102</v>
      </c>
      <c r="G1664" t="s">
        <v>8607</v>
      </c>
      <c r="H1664">
        <v>33</v>
      </c>
      <c r="I1664" t="s">
        <v>9302</v>
      </c>
      <c r="J1664" t="str">
        <f t="shared" si="25"/>
        <v>13F-HR-.33.C7</v>
      </c>
      <c r="K1664" s="5" t="s">
        <v>8629</v>
      </c>
      <c r="L1664" t="s">
        <v>229</v>
      </c>
      <c r="M1664" t="s">
        <v>8630</v>
      </c>
      <c r="N1664" t="s">
        <v>8631</v>
      </c>
      <c r="Q1664" s="28" t="s">
        <v>8685</v>
      </c>
    </row>
    <row r="1665" spans="1:17" x14ac:dyDescent="0.35">
      <c r="A1665" t="s">
        <v>8520</v>
      </c>
      <c r="B1665" s="3" t="s">
        <v>102</v>
      </c>
      <c r="G1665" t="s">
        <v>8607</v>
      </c>
      <c r="H1665">
        <v>34</v>
      </c>
      <c r="I1665" t="s">
        <v>9303</v>
      </c>
      <c r="J1665" t="str">
        <f t="shared" si="25"/>
        <v>13F-HR-.34.C8</v>
      </c>
      <c r="K1665" s="5" t="s">
        <v>8633</v>
      </c>
      <c r="L1665" t="s">
        <v>4735</v>
      </c>
      <c r="M1665" t="s">
        <v>8634</v>
      </c>
      <c r="N1665" t="s">
        <v>8635</v>
      </c>
      <c r="Q1665" s="28" t="s">
        <v>8632</v>
      </c>
    </row>
    <row r="1666" spans="1:17" x14ac:dyDescent="0.35">
      <c r="A1666" t="s">
        <v>8651</v>
      </c>
      <c r="B1666" s="3" t="s">
        <v>102</v>
      </c>
      <c r="G1666" t="s">
        <v>8607</v>
      </c>
      <c r="H1666">
        <v>35</v>
      </c>
      <c r="I1666" t="s">
        <v>9304</v>
      </c>
      <c r="J1666" t="str">
        <f t="shared" si="25"/>
        <v>135-HR-.35.C9</v>
      </c>
      <c r="K1666" s="5" t="s">
        <v>8637</v>
      </c>
      <c r="L1666" t="s">
        <v>229</v>
      </c>
      <c r="M1666" t="s">
        <v>8638</v>
      </c>
      <c r="N1666" t="s">
        <v>8639</v>
      </c>
      <c r="Q1666" s="28" t="s">
        <v>8636</v>
      </c>
    </row>
    <row r="1667" spans="1:17" x14ac:dyDescent="0.35">
      <c r="A1667" t="s">
        <v>8520</v>
      </c>
      <c r="B1667" s="3" t="s">
        <v>102</v>
      </c>
      <c r="G1667" t="s">
        <v>8607</v>
      </c>
      <c r="H1667">
        <v>36</v>
      </c>
      <c r="I1667" t="s">
        <v>9305</v>
      </c>
      <c r="J1667" t="str">
        <f t="shared" ref="J1667:J1730" si="26">_xlfn.CONCAT(A1667,"-",F1667,".",H1667,".",I1667)</f>
        <v>13F-HR-.36.C10</v>
      </c>
      <c r="K1667" s="5" t="s">
        <v>8640</v>
      </c>
      <c r="L1667" t="s">
        <v>241</v>
      </c>
      <c r="M1667" t="s">
        <v>8641</v>
      </c>
      <c r="N1667" t="s">
        <v>8642</v>
      </c>
      <c r="Q1667" s="28">
        <v>493728</v>
      </c>
    </row>
    <row r="1668" spans="1:17" x14ac:dyDescent="0.35">
      <c r="A1668" t="s">
        <v>8520</v>
      </c>
      <c r="B1668" s="3" t="s">
        <v>102</v>
      </c>
      <c r="G1668" t="s">
        <v>8607</v>
      </c>
      <c r="H1668">
        <v>37</v>
      </c>
      <c r="I1668" t="s">
        <v>9306</v>
      </c>
      <c r="J1668" t="str">
        <f t="shared" si="26"/>
        <v>13F-HR-.37.C11</v>
      </c>
      <c r="K1668" s="5" t="s">
        <v>8643</v>
      </c>
      <c r="L1668" t="s">
        <v>241</v>
      </c>
      <c r="M1668" t="s">
        <v>8644</v>
      </c>
      <c r="N1668" t="s">
        <v>8645</v>
      </c>
      <c r="Q1668" s="28">
        <v>0</v>
      </c>
    </row>
    <row r="1669" spans="1:17" x14ac:dyDescent="0.35">
      <c r="A1669" t="s">
        <v>8520</v>
      </c>
      <c r="B1669" s="3" t="s">
        <v>102</v>
      </c>
      <c r="G1669" t="s">
        <v>8607</v>
      </c>
      <c r="H1669">
        <v>38</v>
      </c>
      <c r="I1669" t="s">
        <v>9307</v>
      </c>
      <c r="J1669" t="str">
        <f t="shared" si="26"/>
        <v>13F-HR-.38.C12</v>
      </c>
      <c r="K1669" s="5" t="s">
        <v>8646</v>
      </c>
      <c r="L1669" t="s">
        <v>241</v>
      </c>
      <c r="M1669" t="s">
        <v>8647</v>
      </c>
      <c r="N1669" t="s">
        <v>8648</v>
      </c>
      <c r="Q1669" s="28">
        <v>131518</v>
      </c>
    </row>
    <row r="1670" spans="1:17" x14ac:dyDescent="0.35">
      <c r="A1670" t="s">
        <v>8520</v>
      </c>
      <c r="B1670" s="3" t="s">
        <v>102</v>
      </c>
      <c r="G1670" t="s">
        <v>8607</v>
      </c>
      <c r="H1670">
        <v>27</v>
      </c>
      <c r="I1670" t="s">
        <v>9296</v>
      </c>
      <c r="J1670" t="str">
        <f t="shared" si="26"/>
        <v>13F-HR-.27.C1</v>
      </c>
      <c r="K1670" s="5" t="s">
        <v>8608</v>
      </c>
      <c r="L1670" t="s">
        <v>229</v>
      </c>
      <c r="M1670" t="s">
        <v>8609</v>
      </c>
      <c r="N1670" t="s">
        <v>8610</v>
      </c>
      <c r="Q1670" s="28" t="s">
        <v>8869</v>
      </c>
    </row>
    <row r="1671" spans="1:17" x14ac:dyDescent="0.35">
      <c r="A1671" t="s">
        <v>8520</v>
      </c>
      <c r="B1671" s="3" t="s">
        <v>102</v>
      </c>
      <c r="G1671" t="s">
        <v>8607</v>
      </c>
      <c r="H1671">
        <v>28</v>
      </c>
      <c r="I1671" t="s">
        <v>9297</v>
      </c>
      <c r="J1671" t="str">
        <f t="shared" si="26"/>
        <v>13F-HR-.28.C2</v>
      </c>
      <c r="K1671" s="5" t="s">
        <v>8612</v>
      </c>
      <c r="L1671" t="s">
        <v>229</v>
      </c>
      <c r="M1671" t="s">
        <v>8613</v>
      </c>
      <c r="N1671" t="s">
        <v>8614</v>
      </c>
      <c r="Q1671" s="28" t="s">
        <v>8615</v>
      </c>
    </row>
    <row r="1672" spans="1:17" x14ac:dyDescent="0.35">
      <c r="A1672" t="s">
        <v>8520</v>
      </c>
      <c r="B1672" s="3" t="s">
        <v>102</v>
      </c>
      <c r="G1672" t="s">
        <v>8607</v>
      </c>
      <c r="H1672">
        <v>29</v>
      </c>
      <c r="I1672" t="s">
        <v>9298</v>
      </c>
      <c r="J1672" t="str">
        <f t="shared" si="26"/>
        <v>13F-HR-.29.C3</v>
      </c>
      <c r="K1672" s="5" t="s">
        <v>8616</v>
      </c>
      <c r="L1672" t="s">
        <v>229</v>
      </c>
      <c r="M1672" t="s">
        <v>7927</v>
      </c>
      <c r="N1672" t="s">
        <v>8617</v>
      </c>
      <c r="Q1672" s="28">
        <v>452327109</v>
      </c>
    </row>
    <row r="1673" spans="1:17" x14ac:dyDescent="0.35">
      <c r="A1673" t="s">
        <v>8520</v>
      </c>
      <c r="B1673" s="3" t="s">
        <v>102</v>
      </c>
      <c r="G1673" t="s">
        <v>8607</v>
      </c>
      <c r="H1673">
        <v>30</v>
      </c>
      <c r="I1673" t="s">
        <v>9299</v>
      </c>
      <c r="J1673" t="str">
        <f t="shared" si="26"/>
        <v>13F-HR-.30.C4</v>
      </c>
      <c r="K1673" s="5" t="s">
        <v>8618</v>
      </c>
      <c r="L1673" t="s">
        <v>8619</v>
      </c>
      <c r="M1673" t="s">
        <v>8620</v>
      </c>
      <c r="N1673" t="s">
        <v>8621</v>
      </c>
      <c r="Q1673" s="28">
        <v>2996037</v>
      </c>
    </row>
    <row r="1674" spans="1:17" x14ac:dyDescent="0.35">
      <c r="A1674" t="s">
        <v>8520</v>
      </c>
      <c r="B1674" s="3" t="s">
        <v>102</v>
      </c>
      <c r="G1674" t="s">
        <v>8607</v>
      </c>
      <c r="H1674">
        <v>31</v>
      </c>
      <c r="I1674" t="s">
        <v>9300</v>
      </c>
      <c r="J1674" t="str">
        <f t="shared" si="26"/>
        <v>13F-HR-.31.C5</v>
      </c>
      <c r="K1674" s="5" t="s">
        <v>8622</v>
      </c>
      <c r="L1674" t="s">
        <v>241</v>
      </c>
      <c r="M1674" t="s">
        <v>8623</v>
      </c>
      <c r="N1674" t="s">
        <v>8624</v>
      </c>
      <c r="Q1674" s="28">
        <v>37762</v>
      </c>
    </row>
    <row r="1675" spans="1:17" x14ac:dyDescent="0.35">
      <c r="A1675" t="s">
        <v>8520</v>
      </c>
      <c r="B1675" s="3" t="s">
        <v>102</v>
      </c>
      <c r="G1675" t="s">
        <v>8607</v>
      </c>
      <c r="H1675">
        <v>32</v>
      </c>
      <c r="I1675" t="s">
        <v>9301</v>
      </c>
      <c r="J1675" t="str">
        <f t="shared" si="26"/>
        <v>13F-HR-.32.C6</v>
      </c>
      <c r="K1675" s="5" t="s">
        <v>8625</v>
      </c>
      <c r="L1675" t="s">
        <v>229</v>
      </c>
      <c r="M1675" t="s">
        <v>8626</v>
      </c>
      <c r="N1675" t="s">
        <v>8627</v>
      </c>
      <c r="Q1675" s="28" t="s">
        <v>8628</v>
      </c>
    </row>
    <row r="1676" spans="1:17" x14ac:dyDescent="0.35">
      <c r="A1676" t="s">
        <v>8520</v>
      </c>
      <c r="B1676" s="3" t="s">
        <v>102</v>
      </c>
      <c r="G1676" t="s">
        <v>8607</v>
      </c>
      <c r="H1676">
        <v>33</v>
      </c>
      <c r="I1676" t="s">
        <v>9302</v>
      </c>
      <c r="J1676" t="str">
        <f t="shared" si="26"/>
        <v>13F-HR-.33.C7</v>
      </c>
      <c r="K1676" s="5" t="s">
        <v>8629</v>
      </c>
      <c r="L1676" t="s">
        <v>229</v>
      </c>
      <c r="M1676" t="s">
        <v>8630</v>
      </c>
      <c r="N1676" t="s">
        <v>8631</v>
      </c>
      <c r="Q1676" s="28" t="s">
        <v>8685</v>
      </c>
    </row>
    <row r="1677" spans="1:17" x14ac:dyDescent="0.35">
      <c r="A1677" t="s">
        <v>8520</v>
      </c>
      <c r="B1677" s="3" t="s">
        <v>102</v>
      </c>
      <c r="G1677" t="s">
        <v>8607</v>
      </c>
      <c r="H1677">
        <v>34</v>
      </c>
      <c r="I1677" t="s">
        <v>9303</v>
      </c>
      <c r="J1677" t="str">
        <f t="shared" si="26"/>
        <v>13F-HR-.34.C8</v>
      </c>
      <c r="K1677" s="5" t="s">
        <v>8633</v>
      </c>
      <c r="L1677" t="s">
        <v>4735</v>
      </c>
      <c r="M1677" t="s">
        <v>8634</v>
      </c>
      <c r="N1677" t="s">
        <v>8635</v>
      </c>
      <c r="Q1677" s="28" t="s">
        <v>8632</v>
      </c>
    </row>
    <row r="1678" spans="1:17" x14ac:dyDescent="0.35">
      <c r="A1678" t="s">
        <v>8651</v>
      </c>
      <c r="B1678" s="3" t="s">
        <v>102</v>
      </c>
      <c r="G1678" t="s">
        <v>8607</v>
      </c>
      <c r="H1678">
        <v>35</v>
      </c>
      <c r="I1678" t="s">
        <v>9304</v>
      </c>
      <c r="J1678" t="str">
        <f t="shared" si="26"/>
        <v>135-HR-.35.C9</v>
      </c>
      <c r="K1678" s="5" t="s">
        <v>8637</v>
      </c>
      <c r="L1678" t="s">
        <v>229</v>
      </c>
      <c r="M1678" t="s">
        <v>8638</v>
      </c>
      <c r="N1678" t="s">
        <v>8639</v>
      </c>
      <c r="Q1678" s="28" t="s">
        <v>8636</v>
      </c>
    </row>
    <row r="1679" spans="1:17" x14ac:dyDescent="0.35">
      <c r="A1679" t="s">
        <v>8520</v>
      </c>
      <c r="B1679" s="3" t="s">
        <v>102</v>
      </c>
      <c r="G1679" t="s">
        <v>8607</v>
      </c>
      <c r="H1679">
        <v>36</v>
      </c>
      <c r="I1679" t="s">
        <v>9305</v>
      </c>
      <c r="J1679" t="str">
        <f t="shared" si="26"/>
        <v>13F-HR-.36.C10</v>
      </c>
      <c r="K1679" s="5" t="s">
        <v>8640</v>
      </c>
      <c r="L1679" t="s">
        <v>241</v>
      </c>
      <c r="M1679" t="s">
        <v>8641</v>
      </c>
      <c r="N1679" t="s">
        <v>8642</v>
      </c>
      <c r="Q1679" s="28">
        <v>26715</v>
      </c>
    </row>
    <row r="1680" spans="1:17" x14ac:dyDescent="0.35">
      <c r="A1680" t="s">
        <v>8520</v>
      </c>
      <c r="B1680" s="3" t="s">
        <v>102</v>
      </c>
      <c r="G1680" t="s">
        <v>8607</v>
      </c>
      <c r="H1680">
        <v>37</v>
      </c>
      <c r="I1680" t="s">
        <v>9306</v>
      </c>
      <c r="J1680" t="str">
        <f t="shared" si="26"/>
        <v>13F-HR-.37.C11</v>
      </c>
      <c r="K1680" s="5" t="s">
        <v>8643</v>
      </c>
      <c r="L1680" t="s">
        <v>241</v>
      </c>
      <c r="M1680" t="s">
        <v>8644</v>
      </c>
      <c r="N1680" t="s">
        <v>8645</v>
      </c>
      <c r="Q1680" s="28">
        <v>0</v>
      </c>
    </row>
    <row r="1681" spans="1:17" x14ac:dyDescent="0.35">
      <c r="A1681" t="s">
        <v>8520</v>
      </c>
      <c r="B1681" s="3" t="s">
        <v>102</v>
      </c>
      <c r="G1681" t="s">
        <v>8607</v>
      </c>
      <c r="H1681">
        <v>38</v>
      </c>
      <c r="I1681" t="s">
        <v>9307</v>
      </c>
      <c r="J1681" t="str">
        <f t="shared" si="26"/>
        <v>13F-HR-.38.C12</v>
      </c>
      <c r="K1681" s="5" t="s">
        <v>8646</v>
      </c>
      <c r="L1681" t="s">
        <v>241</v>
      </c>
      <c r="M1681" t="s">
        <v>8647</v>
      </c>
      <c r="N1681" t="s">
        <v>8648</v>
      </c>
      <c r="Q1681" s="28">
        <v>11047</v>
      </c>
    </row>
    <row r="1682" spans="1:17" x14ac:dyDescent="0.35">
      <c r="A1682" t="s">
        <v>8520</v>
      </c>
      <c r="B1682" s="3" t="s">
        <v>102</v>
      </c>
      <c r="G1682" t="s">
        <v>8607</v>
      </c>
      <c r="H1682">
        <v>27</v>
      </c>
      <c r="I1682" t="s">
        <v>9296</v>
      </c>
      <c r="J1682" t="str">
        <f t="shared" si="26"/>
        <v>13F-HR-.27.C1</v>
      </c>
      <c r="K1682" s="5" t="s">
        <v>8608</v>
      </c>
      <c r="L1682" t="s">
        <v>229</v>
      </c>
      <c r="M1682" t="s">
        <v>8609</v>
      </c>
      <c r="N1682" t="s">
        <v>8610</v>
      </c>
      <c r="Q1682" s="28" t="s">
        <v>8870</v>
      </c>
    </row>
    <row r="1683" spans="1:17" x14ac:dyDescent="0.35">
      <c r="A1683" t="s">
        <v>8520</v>
      </c>
      <c r="B1683" s="3" t="s">
        <v>102</v>
      </c>
      <c r="G1683" t="s">
        <v>8607</v>
      </c>
      <c r="H1683">
        <v>28</v>
      </c>
      <c r="I1683" t="s">
        <v>9297</v>
      </c>
      <c r="J1683" t="str">
        <f t="shared" si="26"/>
        <v>13F-HR-.28.C2</v>
      </c>
      <c r="K1683" s="5" t="s">
        <v>8612</v>
      </c>
      <c r="L1683" t="s">
        <v>229</v>
      </c>
      <c r="M1683" t="s">
        <v>8613</v>
      </c>
      <c r="N1683" t="s">
        <v>8614</v>
      </c>
      <c r="Q1683" s="28" t="s">
        <v>8615</v>
      </c>
    </row>
    <row r="1684" spans="1:17" x14ac:dyDescent="0.35">
      <c r="A1684" t="s">
        <v>8520</v>
      </c>
      <c r="B1684" s="3" t="s">
        <v>102</v>
      </c>
      <c r="G1684" t="s">
        <v>8607</v>
      </c>
      <c r="H1684">
        <v>29</v>
      </c>
      <c r="I1684" t="s">
        <v>9298</v>
      </c>
      <c r="J1684" t="str">
        <f t="shared" si="26"/>
        <v>13F-HR-.29.C3</v>
      </c>
      <c r="K1684" s="5" t="s">
        <v>8616</v>
      </c>
      <c r="L1684" t="s">
        <v>229</v>
      </c>
      <c r="M1684" t="s">
        <v>7927</v>
      </c>
      <c r="N1684" t="s">
        <v>8617</v>
      </c>
      <c r="Q1684" s="28" t="s">
        <v>8871</v>
      </c>
    </row>
    <row r="1685" spans="1:17" x14ac:dyDescent="0.35">
      <c r="A1685" t="s">
        <v>8520</v>
      </c>
      <c r="B1685" s="3" t="s">
        <v>102</v>
      </c>
      <c r="G1685" t="s">
        <v>8607</v>
      </c>
      <c r="H1685">
        <v>30</v>
      </c>
      <c r="I1685" t="s">
        <v>9299</v>
      </c>
      <c r="J1685" t="str">
        <f t="shared" si="26"/>
        <v>13F-HR-.30.C4</v>
      </c>
      <c r="K1685" s="5" t="s">
        <v>8618</v>
      </c>
      <c r="L1685" t="s">
        <v>8619</v>
      </c>
      <c r="M1685" t="s">
        <v>8620</v>
      </c>
      <c r="N1685" t="s">
        <v>8621</v>
      </c>
      <c r="Q1685" s="28">
        <v>36039350</v>
      </c>
    </row>
    <row r="1686" spans="1:17" x14ac:dyDescent="0.35">
      <c r="A1686" t="s">
        <v>8520</v>
      </c>
      <c r="B1686" s="3" t="s">
        <v>102</v>
      </c>
      <c r="G1686" t="s">
        <v>8607</v>
      </c>
      <c r="H1686">
        <v>31</v>
      </c>
      <c r="I1686" t="s">
        <v>9300</v>
      </c>
      <c r="J1686" t="str">
        <f t="shared" si="26"/>
        <v>13F-HR-.31.C5</v>
      </c>
      <c r="K1686" s="5" t="s">
        <v>8622</v>
      </c>
      <c r="L1686" t="s">
        <v>241</v>
      </c>
      <c r="M1686" t="s">
        <v>8623</v>
      </c>
      <c r="N1686" t="s">
        <v>8624</v>
      </c>
      <c r="Q1686" s="28">
        <v>450323</v>
      </c>
    </row>
    <row r="1687" spans="1:17" x14ac:dyDescent="0.35">
      <c r="A1687" t="s">
        <v>8520</v>
      </c>
      <c r="B1687" s="3" t="s">
        <v>102</v>
      </c>
      <c r="G1687" t="s">
        <v>8607</v>
      </c>
      <c r="H1687">
        <v>32</v>
      </c>
      <c r="I1687" t="s">
        <v>9301</v>
      </c>
      <c r="J1687" t="str">
        <f t="shared" si="26"/>
        <v>13F-HR-.32.C6</v>
      </c>
      <c r="K1687" s="5" t="s">
        <v>8625</v>
      </c>
      <c r="L1687" t="s">
        <v>229</v>
      </c>
      <c r="M1687" t="s">
        <v>8626</v>
      </c>
      <c r="N1687" t="s">
        <v>8627</v>
      </c>
      <c r="Q1687" s="28" t="s">
        <v>8628</v>
      </c>
    </row>
    <row r="1688" spans="1:17" x14ac:dyDescent="0.35">
      <c r="A1688" t="s">
        <v>8520</v>
      </c>
      <c r="B1688" s="3" t="s">
        <v>102</v>
      </c>
      <c r="G1688" t="s">
        <v>8607</v>
      </c>
      <c r="H1688">
        <v>33</v>
      </c>
      <c r="I1688" t="s">
        <v>9302</v>
      </c>
      <c r="J1688" t="str">
        <f t="shared" si="26"/>
        <v>13F-HR-.33.C7</v>
      </c>
      <c r="K1688" s="5" t="s">
        <v>8629</v>
      </c>
      <c r="L1688" t="s">
        <v>229</v>
      </c>
      <c r="M1688" t="s">
        <v>8630</v>
      </c>
      <c r="N1688" t="s">
        <v>8631</v>
      </c>
      <c r="Q1688" s="28" t="s">
        <v>8685</v>
      </c>
    </row>
    <row r="1689" spans="1:17" x14ac:dyDescent="0.35">
      <c r="A1689" t="s">
        <v>8520</v>
      </c>
      <c r="B1689" s="3" t="s">
        <v>102</v>
      </c>
      <c r="G1689" t="s">
        <v>8607</v>
      </c>
      <c r="H1689">
        <v>34</v>
      </c>
      <c r="I1689" t="s">
        <v>9303</v>
      </c>
      <c r="J1689" t="str">
        <f t="shared" si="26"/>
        <v>13F-HR-.34.C8</v>
      </c>
      <c r="K1689" s="5" t="s">
        <v>8633</v>
      </c>
      <c r="L1689" t="s">
        <v>4735</v>
      </c>
      <c r="M1689" t="s">
        <v>8634</v>
      </c>
      <c r="N1689" t="s">
        <v>8635</v>
      </c>
      <c r="Q1689" s="28" t="s">
        <v>8632</v>
      </c>
    </row>
    <row r="1690" spans="1:17" x14ac:dyDescent="0.35">
      <c r="A1690" t="s">
        <v>8651</v>
      </c>
      <c r="B1690" s="3" t="s">
        <v>102</v>
      </c>
      <c r="G1690" t="s">
        <v>8607</v>
      </c>
      <c r="H1690">
        <v>35</v>
      </c>
      <c r="I1690" t="s">
        <v>9304</v>
      </c>
      <c r="J1690" t="str">
        <f t="shared" si="26"/>
        <v>135-HR-.35.C9</v>
      </c>
      <c r="K1690" s="5" t="s">
        <v>8637</v>
      </c>
      <c r="L1690" t="s">
        <v>229</v>
      </c>
      <c r="M1690" t="s">
        <v>8638</v>
      </c>
      <c r="N1690" t="s">
        <v>8639</v>
      </c>
      <c r="Q1690" s="28" t="s">
        <v>8636</v>
      </c>
    </row>
    <row r="1691" spans="1:17" x14ac:dyDescent="0.35">
      <c r="A1691" t="s">
        <v>8520</v>
      </c>
      <c r="B1691" s="3" t="s">
        <v>102</v>
      </c>
      <c r="G1691" t="s">
        <v>8607</v>
      </c>
      <c r="H1691">
        <v>36</v>
      </c>
      <c r="I1691" t="s">
        <v>9305</v>
      </c>
      <c r="J1691" t="str">
        <f t="shared" si="26"/>
        <v>13F-HR-.36.C10</v>
      </c>
      <c r="K1691" s="5" t="s">
        <v>8640</v>
      </c>
      <c r="L1691" t="s">
        <v>241</v>
      </c>
      <c r="M1691" t="s">
        <v>8641</v>
      </c>
      <c r="N1691" t="s">
        <v>8642</v>
      </c>
      <c r="Q1691" s="28">
        <v>400505</v>
      </c>
    </row>
    <row r="1692" spans="1:17" x14ac:dyDescent="0.35">
      <c r="A1692" t="s">
        <v>8520</v>
      </c>
      <c r="B1692" s="3" t="s">
        <v>102</v>
      </c>
      <c r="G1692" t="s">
        <v>8607</v>
      </c>
      <c r="H1692">
        <v>37</v>
      </c>
      <c r="I1692" t="s">
        <v>9306</v>
      </c>
      <c r="J1692" t="str">
        <f t="shared" si="26"/>
        <v>13F-HR-.37.C11</v>
      </c>
      <c r="K1692" s="5" t="s">
        <v>8643</v>
      </c>
      <c r="L1692" t="s">
        <v>241</v>
      </c>
      <c r="M1692" t="s">
        <v>8644</v>
      </c>
      <c r="N1692" t="s">
        <v>8645</v>
      </c>
      <c r="Q1692" s="28">
        <v>0</v>
      </c>
    </row>
    <row r="1693" spans="1:17" x14ac:dyDescent="0.35">
      <c r="A1693" t="s">
        <v>8520</v>
      </c>
      <c r="B1693" s="3" t="s">
        <v>102</v>
      </c>
      <c r="G1693" t="s">
        <v>8607</v>
      </c>
      <c r="H1693">
        <v>38</v>
      </c>
      <c r="I1693" t="s">
        <v>9307</v>
      </c>
      <c r="J1693" t="str">
        <f t="shared" si="26"/>
        <v>13F-HR-.38.C12</v>
      </c>
      <c r="K1693" s="5" t="s">
        <v>8646</v>
      </c>
      <c r="L1693" t="s">
        <v>241</v>
      </c>
      <c r="M1693" t="s">
        <v>8647</v>
      </c>
      <c r="N1693" t="s">
        <v>8648</v>
      </c>
      <c r="Q1693" s="28">
        <v>49818</v>
      </c>
    </row>
    <row r="1694" spans="1:17" x14ac:dyDescent="0.35">
      <c r="A1694" t="s">
        <v>8520</v>
      </c>
      <c r="B1694" s="3" t="s">
        <v>102</v>
      </c>
      <c r="G1694" t="s">
        <v>8607</v>
      </c>
      <c r="H1694">
        <v>27</v>
      </c>
      <c r="I1694" t="s">
        <v>9296</v>
      </c>
      <c r="J1694" t="str">
        <f t="shared" si="26"/>
        <v>13F-HR-.27.C1</v>
      </c>
      <c r="K1694" t="s">
        <v>8608</v>
      </c>
      <c r="L1694" t="s">
        <v>229</v>
      </c>
      <c r="M1694" t="s">
        <v>8609</v>
      </c>
      <c r="N1694" t="s">
        <v>8610</v>
      </c>
      <c r="Q1694" s="28" t="s">
        <v>8872</v>
      </c>
    </row>
    <row r="1695" spans="1:17" x14ac:dyDescent="0.35">
      <c r="A1695" t="s">
        <v>8520</v>
      </c>
      <c r="B1695" s="3" t="s">
        <v>102</v>
      </c>
      <c r="G1695" t="s">
        <v>8607</v>
      </c>
      <c r="H1695">
        <v>28</v>
      </c>
      <c r="I1695" t="s">
        <v>9297</v>
      </c>
      <c r="J1695" t="str">
        <f t="shared" si="26"/>
        <v>13F-HR-.28.C2</v>
      </c>
      <c r="K1695" t="s">
        <v>8612</v>
      </c>
      <c r="L1695" t="s">
        <v>229</v>
      </c>
      <c r="M1695" t="s">
        <v>8613</v>
      </c>
      <c r="N1695" t="s">
        <v>8614</v>
      </c>
      <c r="Q1695" s="28" t="s">
        <v>8615</v>
      </c>
    </row>
    <row r="1696" spans="1:17" x14ac:dyDescent="0.35">
      <c r="A1696" t="s">
        <v>8520</v>
      </c>
      <c r="B1696" s="3" t="s">
        <v>102</v>
      </c>
      <c r="G1696" t="s">
        <v>8607</v>
      </c>
      <c r="H1696">
        <v>29</v>
      </c>
      <c r="I1696" t="s">
        <v>9298</v>
      </c>
      <c r="J1696" t="str">
        <f t="shared" si="26"/>
        <v>13F-HR-.29.C3</v>
      </c>
      <c r="K1696" t="s">
        <v>8616</v>
      </c>
      <c r="L1696" t="s">
        <v>229</v>
      </c>
      <c r="M1696" t="s">
        <v>7927</v>
      </c>
      <c r="N1696" t="s">
        <v>8617</v>
      </c>
      <c r="Q1696" s="28">
        <v>458140100</v>
      </c>
    </row>
    <row r="1697" spans="1:17" x14ac:dyDescent="0.35">
      <c r="A1697" t="s">
        <v>8520</v>
      </c>
      <c r="B1697" s="3" t="s">
        <v>102</v>
      </c>
      <c r="G1697" t="s">
        <v>8607</v>
      </c>
      <c r="H1697">
        <v>30</v>
      </c>
      <c r="I1697" t="s">
        <v>9299</v>
      </c>
      <c r="J1697" t="str">
        <f t="shared" si="26"/>
        <v>13F-HR-.30.C4</v>
      </c>
      <c r="K1697" t="s">
        <v>8618</v>
      </c>
      <c r="L1697" t="s">
        <v>8619</v>
      </c>
      <c r="M1697" t="s">
        <v>8620</v>
      </c>
      <c r="N1697" t="s">
        <v>8621</v>
      </c>
      <c r="Q1697" s="28">
        <v>2774799</v>
      </c>
    </row>
    <row r="1698" spans="1:17" x14ac:dyDescent="0.35">
      <c r="A1698" t="s">
        <v>8520</v>
      </c>
      <c r="B1698" s="3" t="s">
        <v>102</v>
      </c>
      <c r="G1698" t="s">
        <v>8607</v>
      </c>
      <c r="H1698">
        <v>31</v>
      </c>
      <c r="I1698" t="s">
        <v>9300</v>
      </c>
      <c r="J1698" t="str">
        <f t="shared" si="26"/>
        <v>13F-HR-.31.C5</v>
      </c>
      <c r="K1698" t="s">
        <v>8622</v>
      </c>
      <c r="L1698" t="s">
        <v>241</v>
      </c>
      <c r="M1698" t="s">
        <v>8623</v>
      </c>
      <c r="N1698" t="s">
        <v>8624</v>
      </c>
      <c r="Q1698" s="28">
        <v>122184</v>
      </c>
    </row>
    <row r="1699" spans="1:17" x14ac:dyDescent="0.35">
      <c r="A1699" t="s">
        <v>8520</v>
      </c>
      <c r="B1699" s="3" t="s">
        <v>102</v>
      </c>
      <c r="G1699" t="s">
        <v>8607</v>
      </c>
      <c r="H1699">
        <v>32</v>
      </c>
      <c r="I1699" t="s">
        <v>9301</v>
      </c>
      <c r="J1699" t="str">
        <f t="shared" si="26"/>
        <v>13F-HR-.32.C6</v>
      </c>
      <c r="K1699" t="s">
        <v>8625</v>
      </c>
      <c r="L1699" t="s">
        <v>229</v>
      </c>
      <c r="M1699" t="s">
        <v>8626</v>
      </c>
      <c r="N1699" t="s">
        <v>8627</v>
      </c>
      <c r="Q1699" s="28" t="s">
        <v>8628</v>
      </c>
    </row>
    <row r="1700" spans="1:17" x14ac:dyDescent="0.35">
      <c r="A1700" t="s">
        <v>8520</v>
      </c>
      <c r="B1700" s="3" t="s">
        <v>102</v>
      </c>
      <c r="G1700" t="s">
        <v>8607</v>
      </c>
      <c r="H1700">
        <v>33</v>
      </c>
      <c r="I1700" t="s">
        <v>9302</v>
      </c>
      <c r="J1700" t="str">
        <f t="shared" si="26"/>
        <v>13F-HR-.33.C7</v>
      </c>
      <c r="K1700" t="s">
        <v>8629</v>
      </c>
      <c r="L1700" t="s">
        <v>229</v>
      </c>
      <c r="M1700" t="s">
        <v>8630</v>
      </c>
      <c r="N1700" t="s">
        <v>8631</v>
      </c>
      <c r="Q1700" s="28" t="s">
        <v>8685</v>
      </c>
    </row>
    <row r="1701" spans="1:17" x14ac:dyDescent="0.35">
      <c r="A1701" t="s">
        <v>8520</v>
      </c>
      <c r="B1701" s="3" t="s">
        <v>102</v>
      </c>
      <c r="G1701" t="s">
        <v>8607</v>
      </c>
      <c r="H1701">
        <v>34</v>
      </c>
      <c r="I1701" t="s">
        <v>9303</v>
      </c>
      <c r="J1701" t="str">
        <f t="shared" si="26"/>
        <v>13F-HR-.34.C8</v>
      </c>
      <c r="K1701" t="s">
        <v>8633</v>
      </c>
      <c r="L1701" t="s">
        <v>4735</v>
      </c>
      <c r="M1701" t="s">
        <v>8634</v>
      </c>
      <c r="N1701" t="s">
        <v>8635</v>
      </c>
      <c r="Q1701" s="28" t="s">
        <v>8632</v>
      </c>
    </row>
    <row r="1702" spans="1:17" x14ac:dyDescent="0.35">
      <c r="A1702" t="s">
        <v>8651</v>
      </c>
      <c r="B1702" s="3" t="s">
        <v>102</v>
      </c>
      <c r="G1702" t="s">
        <v>8607</v>
      </c>
      <c r="H1702">
        <v>35</v>
      </c>
      <c r="I1702" t="s">
        <v>9304</v>
      </c>
      <c r="J1702" t="str">
        <f t="shared" si="26"/>
        <v>135-HR-.35.C9</v>
      </c>
      <c r="K1702" t="s">
        <v>8637</v>
      </c>
      <c r="L1702" t="s">
        <v>229</v>
      </c>
      <c r="M1702" t="s">
        <v>8638</v>
      </c>
      <c r="N1702" t="s">
        <v>8639</v>
      </c>
      <c r="Q1702" s="28" t="s">
        <v>8636</v>
      </c>
    </row>
    <row r="1703" spans="1:17" x14ac:dyDescent="0.35">
      <c r="A1703" t="s">
        <v>8520</v>
      </c>
      <c r="B1703" s="3" t="s">
        <v>102</v>
      </c>
      <c r="G1703" t="s">
        <v>8607</v>
      </c>
      <c r="H1703">
        <v>36</v>
      </c>
      <c r="I1703" t="s">
        <v>9305</v>
      </c>
      <c r="J1703" t="str">
        <f t="shared" si="26"/>
        <v>13F-HR-.36.C10</v>
      </c>
      <c r="K1703" t="s">
        <v>8640</v>
      </c>
      <c r="L1703" t="s">
        <v>241</v>
      </c>
      <c r="M1703" t="s">
        <v>8641</v>
      </c>
      <c r="N1703" t="s">
        <v>8642</v>
      </c>
      <c r="Q1703" s="28">
        <v>0</v>
      </c>
    </row>
    <row r="1704" spans="1:17" x14ac:dyDescent="0.35">
      <c r="A1704" t="s">
        <v>8520</v>
      </c>
      <c r="B1704" s="3" t="s">
        <v>102</v>
      </c>
      <c r="G1704" t="s">
        <v>8607</v>
      </c>
      <c r="H1704">
        <v>37</v>
      </c>
      <c r="I1704" t="s">
        <v>9306</v>
      </c>
      <c r="J1704" t="str">
        <f t="shared" si="26"/>
        <v>13F-HR-.37.C11</v>
      </c>
      <c r="K1704" t="s">
        <v>8643</v>
      </c>
      <c r="L1704" t="s">
        <v>241</v>
      </c>
      <c r="M1704" t="s">
        <v>8644</v>
      </c>
      <c r="N1704" t="s">
        <v>8645</v>
      </c>
      <c r="Q1704" s="28">
        <v>0</v>
      </c>
    </row>
    <row r="1705" spans="1:17" x14ac:dyDescent="0.35">
      <c r="A1705" t="s">
        <v>8520</v>
      </c>
      <c r="B1705" s="3" t="s">
        <v>102</v>
      </c>
      <c r="G1705" t="s">
        <v>8607</v>
      </c>
      <c r="H1705">
        <v>38</v>
      </c>
      <c r="I1705" t="s">
        <v>9307</v>
      </c>
      <c r="J1705" t="str">
        <f t="shared" si="26"/>
        <v>13F-HR-.38.C12</v>
      </c>
      <c r="K1705" t="s">
        <v>8646</v>
      </c>
      <c r="L1705" t="s">
        <v>241</v>
      </c>
      <c r="M1705" t="s">
        <v>8647</v>
      </c>
      <c r="N1705" t="s">
        <v>8648</v>
      </c>
      <c r="Q1705" s="28">
        <v>122184</v>
      </c>
    </row>
    <row r="1706" spans="1:17" x14ac:dyDescent="0.35">
      <c r="A1706" t="s">
        <v>8520</v>
      </c>
      <c r="B1706" s="3" t="s">
        <v>102</v>
      </c>
      <c r="G1706" t="s">
        <v>8607</v>
      </c>
      <c r="H1706">
        <v>27</v>
      </c>
      <c r="I1706" t="s">
        <v>9296</v>
      </c>
      <c r="J1706" t="str">
        <f t="shared" si="26"/>
        <v>13F-HR-.27.C1</v>
      </c>
      <c r="K1706" s="5" t="s">
        <v>8608</v>
      </c>
      <c r="L1706" t="s">
        <v>229</v>
      </c>
      <c r="M1706" t="s">
        <v>8609</v>
      </c>
      <c r="N1706" t="s">
        <v>8610</v>
      </c>
      <c r="Q1706" s="28" t="s">
        <v>8873</v>
      </c>
    </row>
    <row r="1707" spans="1:17" x14ac:dyDescent="0.35">
      <c r="A1707" t="s">
        <v>8520</v>
      </c>
      <c r="B1707" s="3" t="s">
        <v>102</v>
      </c>
      <c r="G1707" t="s">
        <v>8607</v>
      </c>
      <c r="H1707">
        <v>28</v>
      </c>
      <c r="I1707" t="s">
        <v>9297</v>
      </c>
      <c r="J1707" t="str">
        <f t="shared" si="26"/>
        <v>13F-HR-.28.C2</v>
      </c>
      <c r="K1707" s="5" t="s">
        <v>8612</v>
      </c>
      <c r="L1707" t="s">
        <v>229</v>
      </c>
      <c r="M1707" t="s">
        <v>8613</v>
      </c>
      <c r="N1707" t="s">
        <v>8614</v>
      </c>
      <c r="Q1707" s="28" t="s">
        <v>8615</v>
      </c>
    </row>
    <row r="1708" spans="1:17" x14ac:dyDescent="0.35">
      <c r="A1708" t="s">
        <v>8520</v>
      </c>
      <c r="B1708" s="3" t="s">
        <v>102</v>
      </c>
      <c r="G1708" t="s">
        <v>8607</v>
      </c>
      <c r="H1708">
        <v>29</v>
      </c>
      <c r="I1708" t="s">
        <v>9298</v>
      </c>
      <c r="J1708" t="str">
        <f t="shared" si="26"/>
        <v>13F-HR-.29.C3</v>
      </c>
      <c r="K1708" s="5" t="s">
        <v>8616</v>
      </c>
      <c r="L1708" t="s">
        <v>229</v>
      </c>
      <c r="M1708" t="s">
        <v>7927</v>
      </c>
      <c r="N1708" t="s">
        <v>8617</v>
      </c>
      <c r="Q1708" s="28" t="s">
        <v>8874</v>
      </c>
    </row>
    <row r="1709" spans="1:17" x14ac:dyDescent="0.35">
      <c r="A1709" t="s">
        <v>8520</v>
      </c>
      <c r="B1709" s="3" t="s">
        <v>102</v>
      </c>
      <c r="G1709" t="s">
        <v>8607</v>
      </c>
      <c r="H1709">
        <v>30</v>
      </c>
      <c r="I1709" t="s">
        <v>9299</v>
      </c>
      <c r="J1709" t="str">
        <f t="shared" si="26"/>
        <v>13F-HR-.30.C4</v>
      </c>
      <c r="K1709" s="5" t="s">
        <v>8618</v>
      </c>
      <c r="L1709" t="s">
        <v>8619</v>
      </c>
      <c r="M1709" t="s">
        <v>8620</v>
      </c>
      <c r="N1709" t="s">
        <v>8621</v>
      </c>
      <c r="Q1709" s="28">
        <v>2133308</v>
      </c>
    </row>
    <row r="1710" spans="1:17" x14ac:dyDescent="0.35">
      <c r="A1710" t="s">
        <v>8520</v>
      </c>
      <c r="B1710" s="3" t="s">
        <v>102</v>
      </c>
      <c r="G1710" t="s">
        <v>8607</v>
      </c>
      <c r="H1710">
        <v>31</v>
      </c>
      <c r="I1710" t="s">
        <v>9300</v>
      </c>
      <c r="J1710" t="str">
        <f t="shared" si="26"/>
        <v>13F-HR-.31.C5</v>
      </c>
      <c r="K1710" s="5" t="s">
        <v>8622</v>
      </c>
      <c r="L1710" t="s">
        <v>241</v>
      </c>
      <c r="M1710" t="s">
        <v>8623</v>
      </c>
      <c r="N1710" t="s">
        <v>8624</v>
      </c>
      <c r="Q1710" s="28">
        <v>12367</v>
      </c>
    </row>
    <row r="1711" spans="1:17" x14ac:dyDescent="0.35">
      <c r="A1711" t="s">
        <v>8520</v>
      </c>
      <c r="B1711" s="3" t="s">
        <v>102</v>
      </c>
      <c r="G1711" t="s">
        <v>8607</v>
      </c>
      <c r="H1711">
        <v>32</v>
      </c>
      <c r="I1711" t="s">
        <v>9301</v>
      </c>
      <c r="J1711" t="str">
        <f t="shared" si="26"/>
        <v>13F-HR-.32.C6</v>
      </c>
      <c r="K1711" s="5" t="s">
        <v>8625</v>
      </c>
      <c r="L1711" t="s">
        <v>229</v>
      </c>
      <c r="M1711" t="s">
        <v>8626</v>
      </c>
      <c r="N1711" t="s">
        <v>8627</v>
      </c>
      <c r="Q1711" s="28" t="s">
        <v>8628</v>
      </c>
    </row>
    <row r="1712" spans="1:17" x14ac:dyDescent="0.35">
      <c r="A1712" t="s">
        <v>8520</v>
      </c>
      <c r="B1712" s="3" t="s">
        <v>102</v>
      </c>
      <c r="G1712" t="s">
        <v>8607</v>
      </c>
      <c r="H1712">
        <v>33</v>
      </c>
      <c r="I1712" t="s">
        <v>9302</v>
      </c>
      <c r="J1712" t="str">
        <f t="shared" si="26"/>
        <v>13F-HR-.33.C7</v>
      </c>
      <c r="K1712" s="5" t="s">
        <v>8629</v>
      </c>
      <c r="L1712" t="s">
        <v>229</v>
      </c>
      <c r="M1712" t="s">
        <v>8630</v>
      </c>
      <c r="N1712" t="s">
        <v>8631</v>
      </c>
      <c r="Q1712" s="28" t="s">
        <v>8685</v>
      </c>
    </row>
    <row r="1713" spans="1:17" x14ac:dyDescent="0.35">
      <c r="A1713" t="s">
        <v>8520</v>
      </c>
      <c r="B1713" s="3" t="s">
        <v>102</v>
      </c>
      <c r="G1713" t="s">
        <v>8607</v>
      </c>
      <c r="H1713">
        <v>34</v>
      </c>
      <c r="I1713" t="s">
        <v>9303</v>
      </c>
      <c r="J1713" t="str">
        <f t="shared" si="26"/>
        <v>13F-HR-.34.C8</v>
      </c>
      <c r="K1713" s="5" t="s">
        <v>8633</v>
      </c>
      <c r="L1713" t="s">
        <v>4735</v>
      </c>
      <c r="M1713" t="s">
        <v>8634</v>
      </c>
      <c r="N1713" t="s">
        <v>8635</v>
      </c>
      <c r="Q1713" s="28" t="s">
        <v>8632</v>
      </c>
    </row>
    <row r="1714" spans="1:17" x14ac:dyDescent="0.35">
      <c r="A1714" t="s">
        <v>8651</v>
      </c>
      <c r="B1714" s="3" t="s">
        <v>102</v>
      </c>
      <c r="G1714" t="s">
        <v>8607</v>
      </c>
      <c r="H1714">
        <v>35</v>
      </c>
      <c r="I1714" t="s">
        <v>9304</v>
      </c>
      <c r="J1714" t="str">
        <f t="shared" si="26"/>
        <v>135-HR-.35.C9</v>
      </c>
      <c r="K1714" s="5" t="s">
        <v>8637</v>
      </c>
      <c r="L1714" t="s">
        <v>229</v>
      </c>
      <c r="M1714" t="s">
        <v>8638</v>
      </c>
      <c r="N1714" t="s">
        <v>8639</v>
      </c>
      <c r="Q1714" s="28" t="s">
        <v>8636</v>
      </c>
    </row>
    <row r="1715" spans="1:17" x14ac:dyDescent="0.35">
      <c r="A1715" t="s">
        <v>8520</v>
      </c>
      <c r="B1715" s="3" t="s">
        <v>102</v>
      </c>
      <c r="G1715" t="s">
        <v>8607</v>
      </c>
      <c r="H1715">
        <v>36</v>
      </c>
      <c r="I1715" t="s">
        <v>9305</v>
      </c>
      <c r="J1715" t="str">
        <f t="shared" si="26"/>
        <v>13F-HR-.36.C10</v>
      </c>
      <c r="K1715" s="5" t="s">
        <v>8640</v>
      </c>
      <c r="L1715" t="s">
        <v>241</v>
      </c>
      <c r="M1715" t="s">
        <v>8641</v>
      </c>
      <c r="N1715" t="s">
        <v>8642</v>
      </c>
      <c r="Q1715" s="28">
        <v>0</v>
      </c>
    </row>
    <row r="1716" spans="1:17" x14ac:dyDescent="0.35">
      <c r="A1716" t="s">
        <v>8520</v>
      </c>
      <c r="B1716" s="3" t="s">
        <v>102</v>
      </c>
      <c r="G1716" t="s">
        <v>8607</v>
      </c>
      <c r="H1716">
        <v>37</v>
      </c>
      <c r="I1716" t="s">
        <v>9306</v>
      </c>
      <c r="J1716" t="str">
        <f t="shared" si="26"/>
        <v>13F-HR-.37.C11</v>
      </c>
      <c r="K1716" s="5" t="s">
        <v>8643</v>
      </c>
      <c r="L1716" t="s">
        <v>241</v>
      </c>
      <c r="M1716" t="s">
        <v>8644</v>
      </c>
      <c r="N1716" t="s">
        <v>8645</v>
      </c>
      <c r="Q1716" s="28">
        <v>0</v>
      </c>
    </row>
    <row r="1717" spans="1:17" x14ac:dyDescent="0.35">
      <c r="A1717" t="s">
        <v>8520</v>
      </c>
      <c r="B1717" s="3" t="s">
        <v>102</v>
      </c>
      <c r="G1717" t="s">
        <v>8607</v>
      </c>
      <c r="H1717">
        <v>38</v>
      </c>
      <c r="I1717" t="s">
        <v>9307</v>
      </c>
      <c r="J1717" t="str">
        <f t="shared" si="26"/>
        <v>13F-HR-.38.C12</v>
      </c>
      <c r="K1717" s="5" t="s">
        <v>8646</v>
      </c>
      <c r="L1717" t="s">
        <v>241</v>
      </c>
      <c r="M1717" t="s">
        <v>8647</v>
      </c>
      <c r="N1717" t="s">
        <v>8648</v>
      </c>
      <c r="Q1717" s="28">
        <v>12367</v>
      </c>
    </row>
    <row r="1718" spans="1:17" x14ac:dyDescent="0.35">
      <c r="A1718" t="s">
        <v>8520</v>
      </c>
      <c r="B1718" s="3" t="s">
        <v>102</v>
      </c>
      <c r="F1718">
        <v>5</v>
      </c>
      <c r="G1718" t="s">
        <v>8607</v>
      </c>
      <c r="H1718">
        <v>27</v>
      </c>
      <c r="I1718" t="s">
        <v>9296</v>
      </c>
      <c r="J1718" t="str">
        <f t="shared" si="26"/>
        <v>13F-HR-5.27.C1</v>
      </c>
      <c r="K1718" s="5" t="s">
        <v>8608</v>
      </c>
      <c r="L1718" t="s">
        <v>229</v>
      </c>
      <c r="M1718" t="s">
        <v>8609</v>
      </c>
      <c r="N1718" t="s">
        <v>8610</v>
      </c>
      <c r="Q1718" s="28" t="s">
        <v>8875</v>
      </c>
    </row>
    <row r="1719" spans="1:17" x14ac:dyDescent="0.35">
      <c r="A1719" t="s">
        <v>8520</v>
      </c>
      <c r="B1719" s="3" t="s">
        <v>102</v>
      </c>
      <c r="F1719">
        <v>5</v>
      </c>
      <c r="G1719" t="s">
        <v>8607</v>
      </c>
      <c r="H1719">
        <v>28</v>
      </c>
      <c r="I1719" t="s">
        <v>9297</v>
      </c>
      <c r="J1719" t="str">
        <f t="shared" si="26"/>
        <v>13F-HR-5.28.C2</v>
      </c>
      <c r="K1719" s="5" t="s">
        <v>8612</v>
      </c>
      <c r="L1719" t="s">
        <v>229</v>
      </c>
      <c r="M1719" t="s">
        <v>8613</v>
      </c>
      <c r="N1719" t="s">
        <v>8614</v>
      </c>
      <c r="Q1719" s="28" t="s">
        <v>8615</v>
      </c>
    </row>
    <row r="1720" spans="1:17" x14ac:dyDescent="0.35">
      <c r="A1720" t="s">
        <v>8520</v>
      </c>
      <c r="B1720" s="3" t="s">
        <v>102</v>
      </c>
      <c r="F1720">
        <v>5</v>
      </c>
      <c r="G1720" t="s">
        <v>8607</v>
      </c>
      <c r="H1720">
        <v>29</v>
      </c>
      <c r="I1720" t="s">
        <v>9298</v>
      </c>
      <c r="J1720" t="str">
        <f t="shared" si="26"/>
        <v>13F-HR-5.29.C3</v>
      </c>
      <c r="K1720" s="5" t="s">
        <v>8616</v>
      </c>
      <c r="L1720" t="s">
        <v>229</v>
      </c>
      <c r="M1720" t="s">
        <v>7927</v>
      </c>
      <c r="N1720" t="s">
        <v>8617</v>
      </c>
      <c r="Q1720" s="28">
        <v>459200101</v>
      </c>
    </row>
    <row r="1721" spans="1:17" x14ac:dyDescent="0.35">
      <c r="A1721" t="s">
        <v>8520</v>
      </c>
      <c r="B1721" s="3" t="s">
        <v>102</v>
      </c>
      <c r="F1721">
        <v>5</v>
      </c>
      <c r="G1721" t="s">
        <v>8607</v>
      </c>
      <c r="H1721">
        <v>30</v>
      </c>
      <c r="I1721" t="s">
        <v>9299</v>
      </c>
      <c r="J1721" t="str">
        <f t="shared" si="26"/>
        <v>13F-HR-5.30.C4</v>
      </c>
      <c r="K1721" s="5" t="s">
        <v>8618</v>
      </c>
      <c r="L1721" t="s">
        <v>8619</v>
      </c>
      <c r="M1721" t="s">
        <v>8620</v>
      </c>
      <c r="N1721" t="s">
        <v>8621</v>
      </c>
      <c r="Q1721" s="28">
        <v>12422805</v>
      </c>
    </row>
    <row r="1722" spans="1:17" x14ac:dyDescent="0.35">
      <c r="A1722" t="s">
        <v>8520</v>
      </c>
      <c r="B1722" s="3" t="s">
        <v>102</v>
      </c>
      <c r="F1722">
        <v>5</v>
      </c>
      <c r="G1722" t="s">
        <v>8607</v>
      </c>
      <c r="H1722">
        <v>31</v>
      </c>
      <c r="I1722" t="s">
        <v>9300</v>
      </c>
      <c r="J1722" t="str">
        <f t="shared" si="26"/>
        <v>13F-HR-5.31.C5</v>
      </c>
      <c r="K1722" s="5" t="s">
        <v>8622</v>
      </c>
      <c r="L1722" t="s">
        <v>241</v>
      </c>
      <c r="M1722" t="s">
        <v>8623</v>
      </c>
      <c r="N1722" t="s">
        <v>8624</v>
      </c>
      <c r="Q1722" s="28">
        <v>49959</v>
      </c>
    </row>
    <row r="1723" spans="1:17" x14ac:dyDescent="0.35">
      <c r="A1723" t="s">
        <v>8520</v>
      </c>
      <c r="B1723" s="3" t="s">
        <v>102</v>
      </c>
      <c r="F1723">
        <v>5</v>
      </c>
      <c r="G1723" t="s">
        <v>8607</v>
      </c>
      <c r="H1723">
        <v>32</v>
      </c>
      <c r="I1723" t="s">
        <v>9301</v>
      </c>
      <c r="J1723" t="str">
        <f t="shared" si="26"/>
        <v>13F-HR-5.32.C6</v>
      </c>
      <c r="K1723" s="5" t="s">
        <v>8625</v>
      </c>
      <c r="L1723" t="s">
        <v>229</v>
      </c>
      <c r="M1723" t="s">
        <v>8626</v>
      </c>
      <c r="N1723" t="s">
        <v>8627</v>
      </c>
      <c r="Q1723" s="28" t="s">
        <v>8628</v>
      </c>
    </row>
    <row r="1724" spans="1:17" x14ac:dyDescent="0.35">
      <c r="A1724" t="s">
        <v>8520</v>
      </c>
      <c r="B1724" s="3" t="s">
        <v>102</v>
      </c>
      <c r="F1724">
        <v>5</v>
      </c>
      <c r="G1724" t="s">
        <v>8607</v>
      </c>
      <c r="H1724">
        <v>33</v>
      </c>
      <c r="I1724" t="s">
        <v>9302</v>
      </c>
      <c r="J1724" t="str">
        <f t="shared" si="26"/>
        <v>13F-HR-5.33.C7</v>
      </c>
      <c r="K1724" s="5" t="s">
        <v>8629</v>
      </c>
      <c r="L1724" t="s">
        <v>229</v>
      </c>
      <c r="M1724" t="s">
        <v>8630</v>
      </c>
      <c r="N1724" t="s">
        <v>8631</v>
      </c>
      <c r="Q1724" s="28" t="s">
        <v>8685</v>
      </c>
    </row>
    <row r="1725" spans="1:17" x14ac:dyDescent="0.35">
      <c r="A1725" t="s">
        <v>8520</v>
      </c>
      <c r="B1725" s="3" t="s">
        <v>102</v>
      </c>
      <c r="F1725">
        <v>5</v>
      </c>
      <c r="G1725" t="s">
        <v>8607</v>
      </c>
      <c r="H1725">
        <v>34</v>
      </c>
      <c r="I1725" t="s">
        <v>9303</v>
      </c>
      <c r="J1725" t="str">
        <f t="shared" si="26"/>
        <v>13F-HR-5.34.C8</v>
      </c>
      <c r="K1725" s="5" t="s">
        <v>8633</v>
      </c>
      <c r="L1725" t="s">
        <v>4735</v>
      </c>
      <c r="M1725" t="s">
        <v>8634</v>
      </c>
      <c r="N1725" t="s">
        <v>8635</v>
      </c>
      <c r="Q1725" s="28" t="s">
        <v>8632</v>
      </c>
    </row>
    <row r="1726" spans="1:17" x14ac:dyDescent="0.35">
      <c r="A1726" t="s">
        <v>8520</v>
      </c>
      <c r="B1726" s="3" t="s">
        <v>102</v>
      </c>
      <c r="F1726">
        <v>5</v>
      </c>
      <c r="G1726" t="s">
        <v>8607</v>
      </c>
      <c r="H1726">
        <v>35</v>
      </c>
      <c r="I1726" t="s">
        <v>9304</v>
      </c>
      <c r="J1726" t="str">
        <f t="shared" si="26"/>
        <v>13F-HR-5.35.C9</v>
      </c>
      <c r="K1726" s="5" t="s">
        <v>8637</v>
      </c>
      <c r="L1726" t="s">
        <v>229</v>
      </c>
      <c r="M1726" t="s">
        <v>8638</v>
      </c>
      <c r="N1726" t="s">
        <v>8639</v>
      </c>
      <c r="Q1726" s="28" t="s">
        <v>8636</v>
      </c>
    </row>
    <row r="1727" spans="1:17" x14ac:dyDescent="0.35">
      <c r="A1727" t="s">
        <v>8520</v>
      </c>
      <c r="B1727" s="3" t="s">
        <v>102</v>
      </c>
      <c r="F1727">
        <v>5</v>
      </c>
      <c r="G1727" t="s">
        <v>8607</v>
      </c>
      <c r="H1727">
        <v>36</v>
      </c>
      <c r="I1727" t="s">
        <v>9305</v>
      </c>
      <c r="J1727" t="str">
        <f t="shared" si="26"/>
        <v>13F-HR-5.36.C10</v>
      </c>
      <c r="K1727" s="5" t="s">
        <v>8640</v>
      </c>
      <c r="L1727" t="s">
        <v>241</v>
      </c>
      <c r="M1727" t="s">
        <v>8641</v>
      </c>
      <c r="N1727" t="s">
        <v>8642</v>
      </c>
      <c r="Q1727" s="28">
        <v>0</v>
      </c>
    </row>
    <row r="1728" spans="1:17" x14ac:dyDescent="0.35">
      <c r="A1728" t="s">
        <v>8520</v>
      </c>
      <c r="B1728" s="3" t="s">
        <v>102</v>
      </c>
      <c r="F1728">
        <v>5</v>
      </c>
      <c r="G1728" t="s">
        <v>8607</v>
      </c>
      <c r="H1728">
        <v>37</v>
      </c>
      <c r="I1728" t="s">
        <v>9306</v>
      </c>
      <c r="J1728" t="str">
        <f t="shared" si="26"/>
        <v>13F-HR-5.37.C11</v>
      </c>
      <c r="K1728" s="5" t="s">
        <v>8643</v>
      </c>
      <c r="L1728" t="s">
        <v>241</v>
      </c>
      <c r="M1728" t="s">
        <v>8644</v>
      </c>
      <c r="N1728" t="s">
        <v>8645</v>
      </c>
      <c r="Q1728" s="28">
        <v>0</v>
      </c>
    </row>
    <row r="1729" spans="1:17" x14ac:dyDescent="0.35">
      <c r="A1729" t="s">
        <v>8520</v>
      </c>
      <c r="B1729" s="3" t="s">
        <v>102</v>
      </c>
      <c r="F1729">
        <v>5</v>
      </c>
      <c r="G1729" t="s">
        <v>8607</v>
      </c>
      <c r="H1729">
        <v>38</v>
      </c>
      <c r="I1729" t="s">
        <v>9307</v>
      </c>
      <c r="J1729" t="str">
        <f t="shared" si="26"/>
        <v>13F-HR-5.38.C12</v>
      </c>
      <c r="K1729" s="5" t="s">
        <v>8646</v>
      </c>
      <c r="L1729" t="s">
        <v>241</v>
      </c>
      <c r="M1729" t="s">
        <v>8647</v>
      </c>
      <c r="N1729" t="s">
        <v>8648</v>
      </c>
      <c r="Q1729" s="28">
        <v>49959</v>
      </c>
    </row>
    <row r="1730" spans="1:17" x14ac:dyDescent="0.35">
      <c r="A1730" t="s">
        <v>8520</v>
      </c>
      <c r="B1730" s="3" t="s">
        <v>102</v>
      </c>
      <c r="F1730">
        <v>5</v>
      </c>
      <c r="G1730" t="s">
        <v>8607</v>
      </c>
      <c r="H1730">
        <v>27</v>
      </c>
      <c r="I1730" t="s">
        <v>9296</v>
      </c>
      <c r="J1730" t="str">
        <f t="shared" si="26"/>
        <v>13F-HR-5.27.C1</v>
      </c>
      <c r="K1730" s="5" t="s">
        <v>8608</v>
      </c>
      <c r="L1730" t="s">
        <v>229</v>
      </c>
      <c r="M1730" t="s">
        <v>8609</v>
      </c>
      <c r="N1730" t="s">
        <v>8610</v>
      </c>
      <c r="Q1730" s="28" t="s">
        <v>8876</v>
      </c>
    </row>
    <row r="1731" spans="1:17" x14ac:dyDescent="0.35">
      <c r="A1731" t="s">
        <v>8520</v>
      </c>
      <c r="B1731" s="3" t="s">
        <v>102</v>
      </c>
      <c r="F1731">
        <v>5</v>
      </c>
      <c r="G1731" t="s">
        <v>8607</v>
      </c>
      <c r="H1731">
        <v>28</v>
      </c>
      <c r="I1731" t="s">
        <v>9297</v>
      </c>
      <c r="J1731" t="str">
        <f t="shared" ref="J1731:J1794" si="27">_xlfn.CONCAT(A1731,"-",F1731,".",H1731,".",I1731)</f>
        <v>13F-HR-5.28.C2</v>
      </c>
      <c r="K1731" s="5" t="s">
        <v>8612</v>
      </c>
      <c r="L1731" t="s">
        <v>229</v>
      </c>
      <c r="M1731" t="s">
        <v>8613</v>
      </c>
      <c r="N1731" t="s">
        <v>8614</v>
      </c>
      <c r="Q1731" s="28" t="s">
        <v>8615</v>
      </c>
    </row>
    <row r="1732" spans="1:17" x14ac:dyDescent="0.35">
      <c r="A1732" t="s">
        <v>8520</v>
      </c>
      <c r="B1732" s="3" t="s">
        <v>102</v>
      </c>
      <c r="F1732">
        <v>5</v>
      </c>
      <c r="G1732" t="s">
        <v>8607</v>
      </c>
      <c r="H1732">
        <v>29</v>
      </c>
      <c r="I1732" t="s">
        <v>9298</v>
      </c>
      <c r="J1732" t="str">
        <f t="shared" si="27"/>
        <v>13F-HR-5.29.C3</v>
      </c>
      <c r="K1732" s="5" t="s">
        <v>8616</v>
      </c>
      <c r="L1732" t="s">
        <v>229</v>
      </c>
      <c r="M1732" t="s">
        <v>7927</v>
      </c>
      <c r="N1732" t="s">
        <v>8617</v>
      </c>
      <c r="Q1732" s="28">
        <v>460146103</v>
      </c>
    </row>
    <row r="1733" spans="1:17" x14ac:dyDescent="0.35">
      <c r="A1733" t="s">
        <v>8520</v>
      </c>
      <c r="B1733" s="3" t="s">
        <v>102</v>
      </c>
      <c r="F1733">
        <v>5</v>
      </c>
      <c r="G1733" t="s">
        <v>8607</v>
      </c>
      <c r="H1733">
        <v>30</v>
      </c>
      <c r="I1733" t="s">
        <v>9299</v>
      </c>
      <c r="J1733" t="str">
        <f t="shared" si="27"/>
        <v>13F-HR-5.30.C4</v>
      </c>
      <c r="K1733" s="5" t="s">
        <v>8618</v>
      </c>
      <c r="L1733" t="s">
        <v>8619</v>
      </c>
      <c r="M1733" t="s">
        <v>8620</v>
      </c>
      <c r="N1733" t="s">
        <v>8621</v>
      </c>
      <c r="Q1733" s="28">
        <v>8995557</v>
      </c>
    </row>
    <row r="1734" spans="1:17" x14ac:dyDescent="0.35">
      <c r="A1734" t="s">
        <v>8520</v>
      </c>
      <c r="B1734" s="3" t="s">
        <v>102</v>
      </c>
      <c r="F1734">
        <v>5</v>
      </c>
      <c r="G1734" t="s">
        <v>8607</v>
      </c>
      <c r="H1734">
        <v>31</v>
      </c>
      <c r="I1734" t="s">
        <v>9300</v>
      </c>
      <c r="J1734" t="str">
        <f t="shared" si="27"/>
        <v>13F-HR-5.31.C5</v>
      </c>
      <c r="K1734" s="5" t="s">
        <v>8622</v>
      </c>
      <c r="L1734" t="s">
        <v>241</v>
      </c>
      <c r="M1734" t="s">
        <v>8623</v>
      </c>
      <c r="N1734" t="s">
        <v>8624</v>
      </c>
      <c r="Q1734" s="28">
        <v>168614</v>
      </c>
    </row>
    <row r="1735" spans="1:17" x14ac:dyDescent="0.35">
      <c r="A1735" t="s">
        <v>8520</v>
      </c>
      <c r="B1735" s="3" t="s">
        <v>102</v>
      </c>
      <c r="F1735">
        <v>5</v>
      </c>
      <c r="G1735" t="s">
        <v>8607</v>
      </c>
      <c r="H1735">
        <v>32</v>
      </c>
      <c r="I1735" t="s">
        <v>9301</v>
      </c>
      <c r="J1735" t="str">
        <f t="shared" si="27"/>
        <v>13F-HR-5.32.C6</v>
      </c>
      <c r="K1735" s="5" t="s">
        <v>8625</v>
      </c>
      <c r="L1735" t="s">
        <v>229</v>
      </c>
      <c r="M1735" t="s">
        <v>8626</v>
      </c>
      <c r="N1735" t="s">
        <v>8627</v>
      </c>
      <c r="Q1735" s="28" t="s">
        <v>8628</v>
      </c>
    </row>
    <row r="1736" spans="1:17" x14ac:dyDescent="0.35">
      <c r="A1736" t="s">
        <v>8520</v>
      </c>
      <c r="B1736" s="3" t="s">
        <v>102</v>
      </c>
      <c r="F1736">
        <v>5</v>
      </c>
      <c r="G1736" t="s">
        <v>8607</v>
      </c>
      <c r="H1736">
        <v>33</v>
      </c>
      <c r="I1736" t="s">
        <v>9302</v>
      </c>
      <c r="J1736" t="str">
        <f t="shared" si="27"/>
        <v>13F-HR-5.33.C7</v>
      </c>
      <c r="K1736" s="5" t="s">
        <v>8629</v>
      </c>
      <c r="L1736" t="s">
        <v>229</v>
      </c>
      <c r="M1736" t="s">
        <v>8630</v>
      </c>
      <c r="N1736" t="s">
        <v>8631</v>
      </c>
      <c r="Q1736" s="28" t="s">
        <v>8685</v>
      </c>
    </row>
    <row r="1737" spans="1:17" x14ac:dyDescent="0.35">
      <c r="A1737" t="s">
        <v>8520</v>
      </c>
      <c r="B1737" s="3" t="s">
        <v>102</v>
      </c>
      <c r="F1737">
        <v>5</v>
      </c>
      <c r="G1737" t="s">
        <v>8607</v>
      </c>
      <c r="H1737">
        <v>34</v>
      </c>
      <c r="I1737" t="s">
        <v>9303</v>
      </c>
      <c r="J1737" t="str">
        <f t="shared" si="27"/>
        <v>13F-HR-5.34.C8</v>
      </c>
      <c r="K1737" s="5" t="s">
        <v>8633</v>
      </c>
      <c r="L1737" t="s">
        <v>4735</v>
      </c>
      <c r="M1737" t="s">
        <v>8634</v>
      </c>
      <c r="N1737" t="s">
        <v>8635</v>
      </c>
      <c r="Q1737" s="28" t="s">
        <v>8632</v>
      </c>
    </row>
    <row r="1738" spans="1:17" x14ac:dyDescent="0.35">
      <c r="A1738" t="s">
        <v>8520</v>
      </c>
      <c r="B1738" s="3" t="s">
        <v>102</v>
      </c>
      <c r="F1738">
        <v>5</v>
      </c>
      <c r="G1738" t="s">
        <v>8607</v>
      </c>
      <c r="H1738">
        <v>35</v>
      </c>
      <c r="I1738" t="s">
        <v>9304</v>
      </c>
      <c r="J1738" t="str">
        <f t="shared" si="27"/>
        <v>13F-HR-5.35.C9</v>
      </c>
      <c r="K1738" s="5" t="s">
        <v>8637</v>
      </c>
      <c r="L1738" t="s">
        <v>229</v>
      </c>
      <c r="M1738" t="s">
        <v>8638</v>
      </c>
      <c r="N1738" t="s">
        <v>8639</v>
      </c>
      <c r="Q1738" s="28" t="s">
        <v>8636</v>
      </c>
    </row>
    <row r="1739" spans="1:17" x14ac:dyDescent="0.35">
      <c r="A1739" t="s">
        <v>8520</v>
      </c>
      <c r="B1739" s="3" t="s">
        <v>102</v>
      </c>
      <c r="F1739">
        <v>5</v>
      </c>
      <c r="G1739" t="s">
        <v>8607</v>
      </c>
      <c r="H1739">
        <v>36</v>
      </c>
      <c r="I1739" t="s">
        <v>9305</v>
      </c>
      <c r="J1739" t="str">
        <f t="shared" si="27"/>
        <v>13F-HR-5.36.C10</v>
      </c>
      <c r="K1739" s="5" t="s">
        <v>8640</v>
      </c>
      <c r="L1739" t="s">
        <v>241</v>
      </c>
      <c r="M1739" t="s">
        <v>8641</v>
      </c>
      <c r="N1739" t="s">
        <v>8642</v>
      </c>
      <c r="Q1739" s="28">
        <v>21478</v>
      </c>
    </row>
    <row r="1740" spans="1:17" x14ac:dyDescent="0.35">
      <c r="A1740" t="s">
        <v>8520</v>
      </c>
      <c r="B1740" s="3" t="s">
        <v>102</v>
      </c>
      <c r="F1740">
        <v>5</v>
      </c>
      <c r="G1740" t="s">
        <v>8607</v>
      </c>
      <c r="H1740">
        <v>37</v>
      </c>
      <c r="I1740" t="s">
        <v>9306</v>
      </c>
      <c r="J1740" t="str">
        <f t="shared" si="27"/>
        <v>13F-HR-5.37.C11</v>
      </c>
      <c r="K1740" s="5" t="s">
        <v>8643</v>
      </c>
      <c r="L1740" t="s">
        <v>241</v>
      </c>
      <c r="M1740" t="s">
        <v>8644</v>
      </c>
      <c r="N1740" t="s">
        <v>8645</v>
      </c>
      <c r="Q1740" s="28">
        <v>0</v>
      </c>
    </row>
    <row r="1741" spans="1:17" x14ac:dyDescent="0.35">
      <c r="A1741" t="s">
        <v>8520</v>
      </c>
      <c r="B1741" s="3" t="s">
        <v>102</v>
      </c>
      <c r="F1741">
        <v>5</v>
      </c>
      <c r="G1741" t="s">
        <v>8607</v>
      </c>
      <c r="H1741">
        <v>38</v>
      </c>
      <c r="I1741" t="s">
        <v>9307</v>
      </c>
      <c r="J1741" t="str">
        <f t="shared" si="27"/>
        <v>13F-HR-5.38.C12</v>
      </c>
      <c r="K1741" s="5" t="s">
        <v>8646</v>
      </c>
      <c r="L1741" t="s">
        <v>241</v>
      </c>
      <c r="M1741" t="s">
        <v>8647</v>
      </c>
      <c r="N1741" t="s">
        <v>8648</v>
      </c>
      <c r="Q1741" s="28">
        <v>147136</v>
      </c>
    </row>
    <row r="1742" spans="1:17" x14ac:dyDescent="0.35">
      <c r="A1742" t="s">
        <v>8520</v>
      </c>
      <c r="B1742" s="3" t="s">
        <v>102</v>
      </c>
      <c r="F1742">
        <v>5</v>
      </c>
      <c r="G1742" t="s">
        <v>8607</v>
      </c>
      <c r="H1742">
        <v>27</v>
      </c>
      <c r="I1742" t="s">
        <v>9296</v>
      </c>
      <c r="J1742" t="str">
        <f t="shared" si="27"/>
        <v>13F-HR-5.27.C1</v>
      </c>
      <c r="K1742" s="5" t="s">
        <v>8608</v>
      </c>
      <c r="L1742" t="s">
        <v>229</v>
      </c>
      <c r="M1742" t="s">
        <v>8609</v>
      </c>
      <c r="N1742" t="s">
        <v>8610</v>
      </c>
      <c r="Q1742" s="28" t="s">
        <v>8877</v>
      </c>
    </row>
    <row r="1743" spans="1:17" x14ac:dyDescent="0.35">
      <c r="A1743" t="s">
        <v>8520</v>
      </c>
      <c r="B1743" s="3" t="s">
        <v>102</v>
      </c>
      <c r="F1743">
        <v>5</v>
      </c>
      <c r="G1743" t="s">
        <v>8607</v>
      </c>
      <c r="H1743">
        <v>28</v>
      </c>
      <c r="I1743" t="s">
        <v>9297</v>
      </c>
      <c r="J1743" t="str">
        <f t="shared" si="27"/>
        <v>13F-HR-5.28.C2</v>
      </c>
      <c r="K1743" s="5" t="s">
        <v>8612</v>
      </c>
      <c r="L1743" t="s">
        <v>229</v>
      </c>
      <c r="M1743" t="s">
        <v>8613</v>
      </c>
      <c r="N1743" t="s">
        <v>8614</v>
      </c>
      <c r="Q1743" s="28" t="s">
        <v>8768</v>
      </c>
    </row>
    <row r="1744" spans="1:17" x14ac:dyDescent="0.35">
      <c r="A1744" t="s">
        <v>8520</v>
      </c>
      <c r="B1744" s="3" t="s">
        <v>102</v>
      </c>
      <c r="F1744">
        <v>5</v>
      </c>
      <c r="G1744" t="s">
        <v>8607</v>
      </c>
      <c r="H1744">
        <v>29</v>
      </c>
      <c r="I1744" t="s">
        <v>9298</v>
      </c>
      <c r="J1744" t="str">
        <f t="shared" si="27"/>
        <v>13F-HR-5.29.C3</v>
      </c>
      <c r="K1744" s="5" t="s">
        <v>8616</v>
      </c>
      <c r="L1744" t="s">
        <v>229</v>
      </c>
      <c r="M1744" t="s">
        <v>7927</v>
      </c>
      <c r="N1744" t="s">
        <v>8617</v>
      </c>
      <c r="Q1744" s="28" t="s">
        <v>8878</v>
      </c>
    </row>
    <row r="1745" spans="1:17" x14ac:dyDescent="0.35">
      <c r="A1745" t="s">
        <v>8520</v>
      </c>
      <c r="B1745" s="3" t="s">
        <v>102</v>
      </c>
      <c r="F1745">
        <v>5</v>
      </c>
      <c r="G1745" t="s">
        <v>8607</v>
      </c>
      <c r="H1745">
        <v>30</v>
      </c>
      <c r="I1745" t="s">
        <v>9299</v>
      </c>
      <c r="J1745" t="str">
        <f t="shared" si="27"/>
        <v>13F-HR-5.30.C4</v>
      </c>
      <c r="K1745" s="5" t="s">
        <v>8618</v>
      </c>
      <c r="L1745" t="s">
        <v>8619</v>
      </c>
      <c r="M1745" t="s">
        <v>8620</v>
      </c>
      <c r="N1745" t="s">
        <v>8621</v>
      </c>
      <c r="Q1745" s="28">
        <v>25620812</v>
      </c>
    </row>
    <row r="1746" spans="1:17" x14ac:dyDescent="0.35">
      <c r="A1746" t="s">
        <v>8520</v>
      </c>
      <c r="B1746" s="3" t="s">
        <v>102</v>
      </c>
      <c r="F1746">
        <v>5</v>
      </c>
      <c r="G1746" t="s">
        <v>8607</v>
      </c>
      <c r="H1746">
        <v>31</v>
      </c>
      <c r="I1746" t="s">
        <v>9300</v>
      </c>
      <c r="J1746" t="str">
        <f t="shared" si="27"/>
        <v>13F-HR-5.31.C5</v>
      </c>
      <c r="K1746" s="5" t="s">
        <v>8622</v>
      </c>
      <c r="L1746" t="s">
        <v>241</v>
      </c>
      <c r="M1746" t="s">
        <v>8623</v>
      </c>
      <c r="N1746" t="s">
        <v>8624</v>
      </c>
      <c r="Q1746" s="28">
        <v>51731</v>
      </c>
    </row>
    <row r="1747" spans="1:17" x14ac:dyDescent="0.35">
      <c r="A1747" t="s">
        <v>8520</v>
      </c>
      <c r="B1747" s="3" t="s">
        <v>102</v>
      </c>
      <c r="F1747">
        <v>5</v>
      </c>
      <c r="G1747" t="s">
        <v>8607</v>
      </c>
      <c r="H1747">
        <v>32</v>
      </c>
      <c r="I1747" t="s">
        <v>9301</v>
      </c>
      <c r="J1747" t="str">
        <f t="shared" si="27"/>
        <v>13F-HR-5.32.C6</v>
      </c>
      <c r="K1747" s="5" t="s">
        <v>8625</v>
      </c>
      <c r="L1747" t="s">
        <v>229</v>
      </c>
      <c r="M1747" t="s">
        <v>8626</v>
      </c>
      <c r="N1747" t="s">
        <v>8627</v>
      </c>
      <c r="Q1747" s="28" t="s">
        <v>8628</v>
      </c>
    </row>
    <row r="1748" spans="1:17" x14ac:dyDescent="0.35">
      <c r="A1748" t="s">
        <v>8520</v>
      </c>
      <c r="B1748" s="3" t="s">
        <v>102</v>
      </c>
      <c r="F1748">
        <v>5</v>
      </c>
      <c r="G1748" t="s">
        <v>8607</v>
      </c>
      <c r="H1748">
        <v>33</v>
      </c>
      <c r="I1748" t="s">
        <v>9302</v>
      </c>
      <c r="J1748" t="str">
        <f t="shared" si="27"/>
        <v>13F-HR-5.33.C7</v>
      </c>
      <c r="K1748" s="5" t="s">
        <v>8629</v>
      </c>
      <c r="L1748" t="s">
        <v>229</v>
      </c>
      <c r="M1748" t="s">
        <v>8630</v>
      </c>
      <c r="N1748" t="s">
        <v>8631</v>
      </c>
      <c r="Q1748" s="28" t="s">
        <v>8685</v>
      </c>
    </row>
    <row r="1749" spans="1:17" x14ac:dyDescent="0.35">
      <c r="A1749" t="s">
        <v>8520</v>
      </c>
      <c r="B1749" s="3" t="s">
        <v>102</v>
      </c>
      <c r="F1749">
        <v>5</v>
      </c>
      <c r="G1749" t="s">
        <v>8607</v>
      </c>
      <c r="H1749">
        <v>34</v>
      </c>
      <c r="I1749" t="s">
        <v>9303</v>
      </c>
      <c r="J1749" t="str">
        <f t="shared" si="27"/>
        <v>13F-HR-5.34.C8</v>
      </c>
      <c r="K1749" s="5" t="s">
        <v>8633</v>
      </c>
      <c r="L1749" t="s">
        <v>4735</v>
      </c>
      <c r="M1749" t="s">
        <v>8634</v>
      </c>
      <c r="N1749" t="s">
        <v>8635</v>
      </c>
      <c r="Q1749" s="28" t="s">
        <v>8632</v>
      </c>
    </row>
    <row r="1750" spans="1:17" x14ac:dyDescent="0.35">
      <c r="A1750" t="s">
        <v>8520</v>
      </c>
      <c r="B1750" s="3" t="s">
        <v>102</v>
      </c>
      <c r="F1750">
        <v>5</v>
      </c>
      <c r="G1750" t="s">
        <v>8607</v>
      </c>
      <c r="H1750">
        <v>35</v>
      </c>
      <c r="I1750" t="s">
        <v>9304</v>
      </c>
      <c r="J1750" t="str">
        <f t="shared" si="27"/>
        <v>13F-HR-5.35.C9</v>
      </c>
      <c r="K1750" s="5" t="s">
        <v>8637</v>
      </c>
      <c r="L1750" t="s">
        <v>229</v>
      </c>
      <c r="M1750" t="s">
        <v>8638</v>
      </c>
      <c r="N1750" t="s">
        <v>8639</v>
      </c>
      <c r="Q1750" s="28" t="s">
        <v>8636</v>
      </c>
    </row>
    <row r="1751" spans="1:17" x14ac:dyDescent="0.35">
      <c r="A1751" t="s">
        <v>8520</v>
      </c>
      <c r="B1751" s="3" t="s">
        <v>102</v>
      </c>
      <c r="F1751">
        <v>5</v>
      </c>
      <c r="G1751" t="s">
        <v>8607</v>
      </c>
      <c r="H1751">
        <v>36</v>
      </c>
      <c r="I1751" t="s">
        <v>9305</v>
      </c>
      <c r="J1751" t="str">
        <f t="shared" si="27"/>
        <v>13F-HR-5.36.C10</v>
      </c>
      <c r="K1751" s="5" t="s">
        <v>8640</v>
      </c>
      <c r="L1751" t="s">
        <v>241</v>
      </c>
      <c r="M1751" t="s">
        <v>8641</v>
      </c>
      <c r="N1751" t="s">
        <v>8642</v>
      </c>
      <c r="Q1751" s="28">
        <v>50240</v>
      </c>
    </row>
    <row r="1752" spans="1:17" x14ac:dyDescent="0.35">
      <c r="A1752" t="s">
        <v>8520</v>
      </c>
      <c r="B1752" s="3" t="s">
        <v>102</v>
      </c>
      <c r="F1752">
        <v>5</v>
      </c>
      <c r="G1752" t="s">
        <v>8607</v>
      </c>
      <c r="H1752">
        <v>37</v>
      </c>
      <c r="I1752" t="s">
        <v>9306</v>
      </c>
      <c r="J1752" t="str">
        <f t="shared" si="27"/>
        <v>13F-HR-5.37.C11</v>
      </c>
      <c r="K1752" s="5" t="s">
        <v>8643</v>
      </c>
      <c r="L1752" t="s">
        <v>241</v>
      </c>
      <c r="M1752" t="s">
        <v>8644</v>
      </c>
      <c r="N1752" t="s">
        <v>8645</v>
      </c>
      <c r="Q1752" s="28">
        <v>0</v>
      </c>
    </row>
    <row r="1753" spans="1:17" x14ac:dyDescent="0.35">
      <c r="A1753" t="s">
        <v>8520</v>
      </c>
      <c r="B1753" s="3" t="s">
        <v>102</v>
      </c>
      <c r="F1753">
        <v>5</v>
      </c>
      <c r="G1753" t="s">
        <v>8607</v>
      </c>
      <c r="H1753">
        <v>38</v>
      </c>
      <c r="I1753" t="s">
        <v>9307</v>
      </c>
      <c r="J1753" t="str">
        <f t="shared" si="27"/>
        <v>13F-HR-5.38.C12</v>
      </c>
      <c r="K1753" s="5" t="s">
        <v>8646</v>
      </c>
      <c r="L1753" t="s">
        <v>241</v>
      </c>
      <c r="M1753" t="s">
        <v>8647</v>
      </c>
      <c r="N1753" t="s">
        <v>8648</v>
      </c>
      <c r="Q1753" s="28">
        <v>1491</v>
      </c>
    </row>
    <row r="1754" spans="1:17" x14ac:dyDescent="0.35">
      <c r="A1754" t="s">
        <v>8520</v>
      </c>
      <c r="B1754" s="3" t="s">
        <v>102</v>
      </c>
      <c r="F1754">
        <v>5</v>
      </c>
      <c r="G1754" t="s">
        <v>8607</v>
      </c>
      <c r="H1754">
        <v>27</v>
      </c>
      <c r="I1754" t="s">
        <v>9296</v>
      </c>
      <c r="J1754" t="str">
        <f t="shared" si="27"/>
        <v>13F-HR-5.27.C1</v>
      </c>
      <c r="K1754" s="5" t="s">
        <v>8608</v>
      </c>
      <c r="L1754" t="s">
        <v>229</v>
      </c>
      <c r="M1754" t="s">
        <v>8609</v>
      </c>
      <c r="N1754" t="s">
        <v>8610</v>
      </c>
      <c r="Q1754" s="28" t="s">
        <v>8879</v>
      </c>
    </row>
    <row r="1755" spans="1:17" x14ac:dyDescent="0.35">
      <c r="A1755" t="s">
        <v>8520</v>
      </c>
      <c r="B1755" s="3" t="s">
        <v>102</v>
      </c>
      <c r="F1755">
        <v>5</v>
      </c>
      <c r="G1755" t="s">
        <v>8607</v>
      </c>
      <c r="H1755">
        <v>28</v>
      </c>
      <c r="I1755" t="s">
        <v>9297</v>
      </c>
      <c r="J1755" t="str">
        <f t="shared" si="27"/>
        <v>13F-HR-5.28.C2</v>
      </c>
      <c r="K1755" s="5" t="s">
        <v>8612</v>
      </c>
      <c r="L1755" t="s">
        <v>229</v>
      </c>
      <c r="M1755" t="s">
        <v>8613</v>
      </c>
      <c r="N1755" t="s">
        <v>8614</v>
      </c>
      <c r="Q1755" s="28" t="s">
        <v>8615</v>
      </c>
    </row>
    <row r="1756" spans="1:17" x14ac:dyDescent="0.35">
      <c r="A1756" t="s">
        <v>8520</v>
      </c>
      <c r="B1756" s="3" t="s">
        <v>102</v>
      </c>
      <c r="F1756">
        <v>5</v>
      </c>
      <c r="G1756" t="s">
        <v>8607</v>
      </c>
      <c r="H1756">
        <v>29</v>
      </c>
      <c r="I1756" t="s">
        <v>9298</v>
      </c>
      <c r="J1756" t="str">
        <f t="shared" si="27"/>
        <v>13F-HR-5.29.C3</v>
      </c>
      <c r="K1756" s="5" t="s">
        <v>8616</v>
      </c>
      <c r="L1756" t="s">
        <v>229</v>
      </c>
      <c r="M1756" t="s">
        <v>7927</v>
      </c>
      <c r="N1756" t="s">
        <v>8617</v>
      </c>
      <c r="Q1756" s="28" t="s">
        <v>8880</v>
      </c>
    </row>
    <row r="1757" spans="1:17" x14ac:dyDescent="0.35">
      <c r="A1757" t="s">
        <v>8520</v>
      </c>
      <c r="B1757" s="3" t="s">
        <v>102</v>
      </c>
      <c r="F1757">
        <v>5</v>
      </c>
      <c r="G1757" t="s">
        <v>8607</v>
      </c>
      <c r="H1757">
        <v>30</v>
      </c>
      <c r="I1757" t="s">
        <v>9299</v>
      </c>
      <c r="J1757" t="str">
        <f t="shared" si="27"/>
        <v>13F-HR-5.30.C4</v>
      </c>
      <c r="K1757" s="5" t="s">
        <v>8618</v>
      </c>
      <c r="L1757" t="s">
        <v>8619</v>
      </c>
      <c r="M1757" t="s">
        <v>8620</v>
      </c>
      <c r="N1757" t="s">
        <v>8621</v>
      </c>
      <c r="Q1757" s="28">
        <v>136842322</v>
      </c>
    </row>
    <row r="1758" spans="1:17" x14ac:dyDescent="0.35">
      <c r="A1758" t="s">
        <v>8520</v>
      </c>
      <c r="B1758" s="3" t="s">
        <v>102</v>
      </c>
      <c r="F1758">
        <v>5</v>
      </c>
      <c r="G1758" t="s">
        <v>8607</v>
      </c>
      <c r="H1758">
        <v>31</v>
      </c>
      <c r="I1758" t="s">
        <v>9300</v>
      </c>
      <c r="J1758" t="str">
        <f t="shared" si="27"/>
        <v>13F-HR-5.31.C5</v>
      </c>
      <c r="K1758" s="5" t="s">
        <v>8622</v>
      </c>
      <c r="L1758" t="s">
        <v>241</v>
      </c>
      <c r="M1758" t="s">
        <v>8623</v>
      </c>
      <c r="N1758" t="s">
        <v>8624</v>
      </c>
      <c r="Q1758" s="28">
        <v>557857</v>
      </c>
    </row>
    <row r="1759" spans="1:17" x14ac:dyDescent="0.35">
      <c r="A1759" t="s">
        <v>8520</v>
      </c>
      <c r="B1759" s="3" t="s">
        <v>102</v>
      </c>
      <c r="F1759">
        <v>5</v>
      </c>
      <c r="G1759" t="s">
        <v>8607</v>
      </c>
      <c r="H1759">
        <v>32</v>
      </c>
      <c r="I1759" t="s">
        <v>9301</v>
      </c>
      <c r="J1759" t="str">
        <f t="shared" si="27"/>
        <v>13F-HR-5.32.C6</v>
      </c>
      <c r="K1759" s="5" t="s">
        <v>8625</v>
      </c>
      <c r="L1759" t="s">
        <v>229</v>
      </c>
      <c r="M1759" t="s">
        <v>8626</v>
      </c>
      <c r="N1759" t="s">
        <v>8627</v>
      </c>
      <c r="Q1759" s="28" t="s">
        <v>8628</v>
      </c>
    </row>
    <row r="1760" spans="1:17" x14ac:dyDescent="0.35">
      <c r="A1760" t="s">
        <v>8520</v>
      </c>
      <c r="B1760" s="3" t="s">
        <v>102</v>
      </c>
      <c r="F1760">
        <v>5</v>
      </c>
      <c r="G1760" t="s">
        <v>8607</v>
      </c>
      <c r="H1760">
        <v>33</v>
      </c>
      <c r="I1760" t="s">
        <v>9302</v>
      </c>
      <c r="J1760" t="str">
        <f t="shared" si="27"/>
        <v>13F-HR-5.33.C7</v>
      </c>
      <c r="K1760" s="5" t="s">
        <v>8629</v>
      </c>
      <c r="L1760" t="s">
        <v>229</v>
      </c>
      <c r="M1760" t="s">
        <v>8630</v>
      </c>
      <c r="N1760" t="s">
        <v>8631</v>
      </c>
      <c r="Q1760" s="28" t="s">
        <v>8685</v>
      </c>
    </row>
    <row r="1761" spans="1:17" x14ac:dyDescent="0.35">
      <c r="A1761" t="s">
        <v>8520</v>
      </c>
      <c r="B1761" s="3" t="s">
        <v>102</v>
      </c>
      <c r="F1761">
        <v>5</v>
      </c>
      <c r="G1761" t="s">
        <v>8607</v>
      </c>
      <c r="H1761">
        <v>34</v>
      </c>
      <c r="I1761" t="s">
        <v>9303</v>
      </c>
      <c r="J1761" t="str">
        <f t="shared" si="27"/>
        <v>13F-HR-5.34.C8</v>
      </c>
      <c r="K1761" s="5" t="s">
        <v>8633</v>
      </c>
      <c r="L1761" t="s">
        <v>4735</v>
      </c>
      <c r="M1761" t="s">
        <v>8634</v>
      </c>
      <c r="N1761" t="s">
        <v>8635</v>
      </c>
      <c r="Q1761" s="28" t="s">
        <v>8632</v>
      </c>
    </row>
    <row r="1762" spans="1:17" x14ac:dyDescent="0.35">
      <c r="A1762" t="s">
        <v>8520</v>
      </c>
      <c r="B1762" s="3" t="s">
        <v>102</v>
      </c>
      <c r="F1762">
        <v>5</v>
      </c>
      <c r="G1762" t="s">
        <v>8607</v>
      </c>
      <c r="H1762">
        <v>35</v>
      </c>
      <c r="I1762" t="s">
        <v>9304</v>
      </c>
      <c r="J1762" t="str">
        <f t="shared" si="27"/>
        <v>13F-HR-5.35.C9</v>
      </c>
      <c r="K1762" s="5" t="s">
        <v>8637</v>
      </c>
      <c r="L1762" t="s">
        <v>229</v>
      </c>
      <c r="M1762" t="s">
        <v>8638</v>
      </c>
      <c r="N1762" t="s">
        <v>8639</v>
      </c>
      <c r="Q1762" s="28" t="s">
        <v>8636</v>
      </c>
    </row>
    <row r="1763" spans="1:17" x14ac:dyDescent="0.35">
      <c r="A1763" t="s">
        <v>8520</v>
      </c>
      <c r="B1763" s="3" t="s">
        <v>102</v>
      </c>
      <c r="F1763">
        <v>5</v>
      </c>
      <c r="G1763" t="s">
        <v>8607</v>
      </c>
      <c r="H1763">
        <v>36</v>
      </c>
      <c r="I1763" t="s">
        <v>9305</v>
      </c>
      <c r="J1763" t="str">
        <f t="shared" si="27"/>
        <v>13F-HR-5.36.C10</v>
      </c>
      <c r="K1763" s="5" t="s">
        <v>8640</v>
      </c>
      <c r="L1763" t="s">
        <v>241</v>
      </c>
      <c r="M1763" t="s">
        <v>8641</v>
      </c>
      <c r="N1763" t="s">
        <v>8642</v>
      </c>
      <c r="Q1763" s="28">
        <v>388984</v>
      </c>
    </row>
    <row r="1764" spans="1:17" x14ac:dyDescent="0.35">
      <c r="A1764" t="s">
        <v>8520</v>
      </c>
      <c r="B1764" s="3" t="s">
        <v>102</v>
      </c>
      <c r="F1764">
        <v>5</v>
      </c>
      <c r="G1764" t="s">
        <v>8607</v>
      </c>
      <c r="H1764">
        <v>37</v>
      </c>
      <c r="I1764" t="s">
        <v>9306</v>
      </c>
      <c r="J1764" t="str">
        <f t="shared" si="27"/>
        <v>13F-HR-5.37.C11</v>
      </c>
      <c r="K1764" s="5" t="s">
        <v>8643</v>
      </c>
      <c r="L1764" t="s">
        <v>241</v>
      </c>
      <c r="M1764" t="s">
        <v>8644</v>
      </c>
      <c r="N1764" t="s">
        <v>8645</v>
      </c>
      <c r="Q1764" s="28">
        <v>0</v>
      </c>
    </row>
    <row r="1765" spans="1:17" x14ac:dyDescent="0.35">
      <c r="A1765" t="s">
        <v>8520</v>
      </c>
      <c r="B1765" s="3" t="s">
        <v>102</v>
      </c>
      <c r="F1765">
        <v>5</v>
      </c>
      <c r="G1765" t="s">
        <v>8607</v>
      </c>
      <c r="H1765">
        <v>38</v>
      </c>
      <c r="I1765" t="s">
        <v>9307</v>
      </c>
      <c r="J1765" t="str">
        <f t="shared" si="27"/>
        <v>13F-HR-5.38.C12</v>
      </c>
      <c r="K1765" s="5" t="s">
        <v>8646</v>
      </c>
      <c r="L1765" t="s">
        <v>241</v>
      </c>
      <c r="M1765" t="s">
        <v>8647</v>
      </c>
      <c r="N1765" t="s">
        <v>8648</v>
      </c>
      <c r="Q1765" s="28">
        <v>168873</v>
      </c>
    </row>
    <row r="1766" spans="1:17" x14ac:dyDescent="0.35">
      <c r="A1766" t="s">
        <v>8520</v>
      </c>
      <c r="B1766" s="3" t="s">
        <v>102</v>
      </c>
      <c r="F1766">
        <v>5</v>
      </c>
      <c r="G1766" t="s">
        <v>8607</v>
      </c>
      <c r="H1766">
        <v>27</v>
      </c>
      <c r="I1766" t="s">
        <v>9296</v>
      </c>
      <c r="J1766" t="str">
        <f t="shared" si="27"/>
        <v>13F-HR-5.27.C1</v>
      </c>
      <c r="K1766" s="5" t="s">
        <v>8608</v>
      </c>
      <c r="L1766" t="s">
        <v>229</v>
      </c>
      <c r="M1766" t="s">
        <v>8609</v>
      </c>
      <c r="N1766" t="s">
        <v>8610</v>
      </c>
      <c r="Q1766" s="28" t="s">
        <v>8881</v>
      </c>
    </row>
    <row r="1767" spans="1:17" x14ac:dyDescent="0.35">
      <c r="A1767" t="s">
        <v>8520</v>
      </c>
      <c r="B1767" s="3" t="s">
        <v>102</v>
      </c>
      <c r="F1767">
        <v>5</v>
      </c>
      <c r="G1767" t="s">
        <v>8607</v>
      </c>
      <c r="H1767">
        <v>28</v>
      </c>
      <c r="I1767" t="s">
        <v>9297</v>
      </c>
      <c r="J1767" t="str">
        <f t="shared" si="27"/>
        <v>13F-HR-5.28.C2</v>
      </c>
      <c r="K1767" s="5" t="s">
        <v>8612</v>
      </c>
      <c r="L1767" t="s">
        <v>229</v>
      </c>
      <c r="M1767" t="s">
        <v>8613</v>
      </c>
      <c r="N1767" t="s">
        <v>8614</v>
      </c>
      <c r="Q1767" s="28" t="s">
        <v>8615</v>
      </c>
    </row>
    <row r="1768" spans="1:17" x14ac:dyDescent="0.35">
      <c r="A1768" t="s">
        <v>8520</v>
      </c>
      <c r="B1768" s="3" t="s">
        <v>102</v>
      </c>
      <c r="F1768">
        <v>5</v>
      </c>
      <c r="G1768" t="s">
        <v>8607</v>
      </c>
      <c r="H1768">
        <v>29</v>
      </c>
      <c r="I1768" t="s">
        <v>9298</v>
      </c>
      <c r="J1768" t="str">
        <f t="shared" si="27"/>
        <v>13F-HR-5.29.C3</v>
      </c>
      <c r="K1768" s="5" t="s">
        <v>8616</v>
      </c>
      <c r="L1768" t="s">
        <v>229</v>
      </c>
      <c r="M1768" t="s">
        <v>7927</v>
      </c>
      <c r="N1768" t="s">
        <v>8617</v>
      </c>
      <c r="Q1768" s="28">
        <v>478160104</v>
      </c>
    </row>
    <row r="1769" spans="1:17" x14ac:dyDescent="0.35">
      <c r="A1769" t="s">
        <v>8520</v>
      </c>
      <c r="B1769" s="3" t="s">
        <v>102</v>
      </c>
      <c r="F1769">
        <v>5</v>
      </c>
      <c r="G1769" t="s">
        <v>8607</v>
      </c>
      <c r="H1769">
        <v>30</v>
      </c>
      <c r="I1769" t="s">
        <v>9299</v>
      </c>
      <c r="J1769" t="str">
        <f t="shared" si="27"/>
        <v>13F-HR-5.30.C4</v>
      </c>
      <c r="K1769" s="5" t="s">
        <v>8618</v>
      </c>
      <c r="L1769" t="s">
        <v>8619</v>
      </c>
      <c r="M1769" t="s">
        <v>8620</v>
      </c>
      <c r="N1769" t="s">
        <v>8621</v>
      </c>
      <c r="Q1769" s="28">
        <v>4578511</v>
      </c>
    </row>
    <row r="1770" spans="1:17" x14ac:dyDescent="0.35">
      <c r="A1770" t="s">
        <v>8520</v>
      </c>
      <c r="B1770" s="3" t="s">
        <v>102</v>
      </c>
      <c r="F1770">
        <v>5</v>
      </c>
      <c r="G1770" t="s">
        <v>8607</v>
      </c>
      <c r="H1770">
        <v>31</v>
      </c>
      <c r="I1770" t="s">
        <v>9300</v>
      </c>
      <c r="J1770" t="str">
        <f t="shared" si="27"/>
        <v>13F-HR-5.31.C5</v>
      </c>
      <c r="K1770" s="5" t="s">
        <v>8622</v>
      </c>
      <c r="L1770" t="s">
        <v>241</v>
      </c>
      <c r="M1770" t="s">
        <v>8623</v>
      </c>
      <c r="N1770" t="s">
        <v>8624</v>
      </c>
      <c r="Q1770" s="28">
        <v>27608</v>
      </c>
    </row>
    <row r="1771" spans="1:17" x14ac:dyDescent="0.35">
      <c r="A1771" t="s">
        <v>8520</v>
      </c>
      <c r="B1771" s="3" t="s">
        <v>102</v>
      </c>
      <c r="F1771">
        <v>5</v>
      </c>
      <c r="G1771" t="s">
        <v>8607</v>
      </c>
      <c r="H1771">
        <v>32</v>
      </c>
      <c r="I1771" t="s">
        <v>9301</v>
      </c>
      <c r="J1771" t="str">
        <f t="shared" si="27"/>
        <v>13F-HR-5.32.C6</v>
      </c>
      <c r="K1771" s="5" t="s">
        <v>8625</v>
      </c>
      <c r="L1771" t="s">
        <v>229</v>
      </c>
      <c r="M1771" t="s">
        <v>8626</v>
      </c>
      <c r="N1771" t="s">
        <v>8627</v>
      </c>
      <c r="Q1771" s="28" t="s">
        <v>8628</v>
      </c>
    </row>
    <row r="1772" spans="1:17" x14ac:dyDescent="0.35">
      <c r="A1772" t="s">
        <v>8520</v>
      </c>
      <c r="B1772" s="3" t="s">
        <v>102</v>
      </c>
      <c r="F1772">
        <v>5</v>
      </c>
      <c r="G1772" t="s">
        <v>8607</v>
      </c>
      <c r="H1772">
        <v>33</v>
      </c>
      <c r="I1772" t="s">
        <v>9302</v>
      </c>
      <c r="J1772" t="str">
        <f t="shared" si="27"/>
        <v>13F-HR-5.33.C7</v>
      </c>
      <c r="K1772" s="5" t="s">
        <v>8629</v>
      </c>
      <c r="L1772" t="s">
        <v>229</v>
      </c>
      <c r="M1772" t="s">
        <v>8630</v>
      </c>
      <c r="N1772" t="s">
        <v>8631</v>
      </c>
      <c r="Q1772" s="28" t="s">
        <v>8685</v>
      </c>
    </row>
    <row r="1773" spans="1:17" x14ac:dyDescent="0.35">
      <c r="A1773" t="s">
        <v>8520</v>
      </c>
      <c r="B1773" s="3" t="s">
        <v>102</v>
      </c>
      <c r="F1773">
        <v>5</v>
      </c>
      <c r="G1773" t="s">
        <v>8607</v>
      </c>
      <c r="H1773">
        <v>34</v>
      </c>
      <c r="I1773" t="s">
        <v>9303</v>
      </c>
      <c r="J1773" t="str">
        <f t="shared" si="27"/>
        <v>13F-HR-5.34.C8</v>
      </c>
      <c r="K1773" s="5" t="s">
        <v>8633</v>
      </c>
      <c r="L1773" t="s">
        <v>4735</v>
      </c>
      <c r="M1773" t="s">
        <v>8634</v>
      </c>
      <c r="N1773" t="s">
        <v>8635</v>
      </c>
      <c r="Q1773" s="28" t="s">
        <v>8632</v>
      </c>
    </row>
    <row r="1774" spans="1:17" x14ac:dyDescent="0.35">
      <c r="A1774" t="s">
        <v>8520</v>
      </c>
      <c r="B1774" s="3" t="s">
        <v>102</v>
      </c>
      <c r="F1774">
        <v>5</v>
      </c>
      <c r="G1774" t="s">
        <v>8607</v>
      </c>
      <c r="H1774">
        <v>35</v>
      </c>
      <c r="I1774" t="s">
        <v>9304</v>
      </c>
      <c r="J1774" t="str">
        <f t="shared" si="27"/>
        <v>13F-HR-5.35.C9</v>
      </c>
      <c r="K1774" s="5" t="s">
        <v>8637</v>
      </c>
      <c r="L1774" t="s">
        <v>229</v>
      </c>
      <c r="M1774" t="s">
        <v>8638</v>
      </c>
      <c r="N1774" t="s">
        <v>8639</v>
      </c>
      <c r="Q1774" s="28" t="s">
        <v>8636</v>
      </c>
    </row>
    <row r="1775" spans="1:17" x14ac:dyDescent="0.35">
      <c r="A1775" t="s">
        <v>8520</v>
      </c>
      <c r="B1775" s="3" t="s">
        <v>102</v>
      </c>
      <c r="F1775">
        <v>5</v>
      </c>
      <c r="G1775" t="s">
        <v>8607</v>
      </c>
      <c r="H1775">
        <v>36</v>
      </c>
      <c r="I1775" t="s">
        <v>9305</v>
      </c>
      <c r="J1775" t="str">
        <f t="shared" si="27"/>
        <v>13F-HR-5.36.C10</v>
      </c>
      <c r="K1775" s="5" t="s">
        <v>8640</v>
      </c>
      <c r="L1775" t="s">
        <v>241</v>
      </c>
      <c r="M1775" t="s">
        <v>8641</v>
      </c>
      <c r="N1775" t="s">
        <v>8642</v>
      </c>
      <c r="Q1775" s="28">
        <v>8829</v>
      </c>
    </row>
    <row r="1776" spans="1:17" x14ac:dyDescent="0.35">
      <c r="A1776" t="s">
        <v>8520</v>
      </c>
      <c r="B1776" s="3" t="s">
        <v>102</v>
      </c>
      <c r="F1776">
        <v>5</v>
      </c>
      <c r="G1776" t="s">
        <v>8607</v>
      </c>
      <c r="H1776">
        <v>37</v>
      </c>
      <c r="I1776" t="s">
        <v>9306</v>
      </c>
      <c r="J1776" t="str">
        <f t="shared" si="27"/>
        <v>13F-HR-5.37.C11</v>
      </c>
      <c r="K1776" s="5" t="s">
        <v>8643</v>
      </c>
      <c r="L1776" t="s">
        <v>241</v>
      </c>
      <c r="M1776" t="s">
        <v>8644</v>
      </c>
      <c r="N1776" t="s">
        <v>8645</v>
      </c>
      <c r="Q1776" s="28">
        <v>0</v>
      </c>
    </row>
    <row r="1777" spans="1:17" x14ac:dyDescent="0.35">
      <c r="A1777" t="s">
        <v>8520</v>
      </c>
      <c r="B1777" s="3" t="s">
        <v>102</v>
      </c>
      <c r="F1777">
        <v>5</v>
      </c>
      <c r="G1777" t="s">
        <v>8607</v>
      </c>
      <c r="H1777">
        <v>38</v>
      </c>
      <c r="I1777" t="s">
        <v>9307</v>
      </c>
      <c r="J1777" t="str">
        <f t="shared" si="27"/>
        <v>13F-HR-5.38.C12</v>
      </c>
      <c r="K1777" s="5" t="s">
        <v>8646</v>
      </c>
      <c r="L1777" t="s">
        <v>241</v>
      </c>
      <c r="M1777" t="s">
        <v>8647</v>
      </c>
      <c r="N1777" t="s">
        <v>8648</v>
      </c>
      <c r="Q1777" s="28">
        <v>18779</v>
      </c>
    </row>
    <row r="1778" spans="1:17" x14ac:dyDescent="0.35">
      <c r="A1778" t="s">
        <v>8520</v>
      </c>
      <c r="B1778" s="3" t="s">
        <v>102</v>
      </c>
      <c r="F1778">
        <v>5</v>
      </c>
      <c r="G1778" t="s">
        <v>8607</v>
      </c>
      <c r="H1778">
        <v>27</v>
      </c>
      <c r="I1778" t="s">
        <v>9296</v>
      </c>
      <c r="J1778" t="str">
        <f t="shared" si="27"/>
        <v>13F-HR-5.27.C1</v>
      </c>
      <c r="K1778" s="5" t="s">
        <v>8608</v>
      </c>
      <c r="L1778" t="s">
        <v>229</v>
      </c>
      <c r="M1778" t="s">
        <v>8609</v>
      </c>
      <c r="N1778" t="s">
        <v>8610</v>
      </c>
      <c r="Q1778" s="28" t="s">
        <v>8882</v>
      </c>
    </row>
    <row r="1779" spans="1:17" x14ac:dyDescent="0.35">
      <c r="A1779" t="s">
        <v>8520</v>
      </c>
      <c r="B1779" s="3" t="s">
        <v>102</v>
      </c>
      <c r="F1779">
        <v>5</v>
      </c>
      <c r="G1779" t="s">
        <v>8607</v>
      </c>
      <c r="H1779">
        <v>28</v>
      </c>
      <c r="I1779" t="s">
        <v>9297</v>
      </c>
      <c r="J1779" t="str">
        <f t="shared" si="27"/>
        <v>13F-HR-5.28.C2</v>
      </c>
      <c r="K1779" s="5" t="s">
        <v>8612</v>
      </c>
      <c r="L1779" t="s">
        <v>229</v>
      </c>
      <c r="M1779" t="s">
        <v>8613</v>
      </c>
      <c r="N1779" t="s">
        <v>8614</v>
      </c>
      <c r="Q1779" s="28" t="s">
        <v>8702</v>
      </c>
    </row>
    <row r="1780" spans="1:17" x14ac:dyDescent="0.35">
      <c r="A1780" t="s">
        <v>8520</v>
      </c>
      <c r="B1780" s="3" t="s">
        <v>102</v>
      </c>
      <c r="F1780">
        <v>5</v>
      </c>
      <c r="G1780" t="s">
        <v>8607</v>
      </c>
      <c r="H1780">
        <v>29</v>
      </c>
      <c r="I1780" t="s">
        <v>9298</v>
      </c>
      <c r="J1780" t="str">
        <f t="shared" si="27"/>
        <v>13F-HR-5.29.C3</v>
      </c>
      <c r="K1780" s="5" t="s">
        <v>8616</v>
      </c>
      <c r="L1780" t="s">
        <v>229</v>
      </c>
      <c r="M1780" t="s">
        <v>7927</v>
      </c>
      <c r="N1780" t="s">
        <v>8617</v>
      </c>
      <c r="Q1780" s="28" t="s">
        <v>8883</v>
      </c>
    </row>
    <row r="1781" spans="1:17" x14ac:dyDescent="0.35">
      <c r="A1781" t="s">
        <v>8520</v>
      </c>
      <c r="B1781" s="3" t="s">
        <v>102</v>
      </c>
      <c r="F1781">
        <v>5</v>
      </c>
      <c r="G1781" t="s">
        <v>8607</v>
      </c>
      <c r="H1781">
        <v>30</v>
      </c>
      <c r="I1781" t="s">
        <v>9299</v>
      </c>
      <c r="J1781" t="str">
        <f t="shared" si="27"/>
        <v>13F-HR-5.30.C4</v>
      </c>
      <c r="K1781" s="5" t="s">
        <v>8618</v>
      </c>
      <c r="L1781" t="s">
        <v>8619</v>
      </c>
      <c r="M1781" t="s">
        <v>8620</v>
      </c>
      <c r="N1781" t="s">
        <v>8621</v>
      </c>
      <c r="Q1781" s="28">
        <v>2021171</v>
      </c>
    </row>
    <row r="1782" spans="1:17" x14ac:dyDescent="0.35">
      <c r="A1782" t="s">
        <v>8520</v>
      </c>
      <c r="B1782" s="3" t="s">
        <v>102</v>
      </c>
      <c r="F1782">
        <v>5</v>
      </c>
      <c r="G1782" t="s">
        <v>8607</v>
      </c>
      <c r="H1782">
        <v>31</v>
      </c>
      <c r="I1782" t="s">
        <v>9300</v>
      </c>
      <c r="J1782" t="str">
        <f t="shared" si="27"/>
        <v>13F-HR-5.31.C5</v>
      </c>
      <c r="K1782" s="5" t="s">
        <v>8622</v>
      </c>
      <c r="L1782" t="s">
        <v>241</v>
      </c>
      <c r="M1782" t="s">
        <v>8623</v>
      </c>
      <c r="N1782" t="s">
        <v>8624</v>
      </c>
      <c r="Q1782" s="28">
        <v>37353</v>
      </c>
    </row>
    <row r="1783" spans="1:17" x14ac:dyDescent="0.35">
      <c r="A1783" t="s">
        <v>8520</v>
      </c>
      <c r="B1783" s="3" t="s">
        <v>102</v>
      </c>
      <c r="F1783">
        <v>5</v>
      </c>
      <c r="G1783" t="s">
        <v>8607</v>
      </c>
      <c r="H1783">
        <v>32</v>
      </c>
      <c r="I1783" t="s">
        <v>9301</v>
      </c>
      <c r="J1783" t="str">
        <f t="shared" si="27"/>
        <v>13F-HR-5.32.C6</v>
      </c>
      <c r="K1783" s="5" t="s">
        <v>8625</v>
      </c>
      <c r="L1783" t="s">
        <v>229</v>
      </c>
      <c r="M1783" t="s">
        <v>8626</v>
      </c>
      <c r="N1783" t="s">
        <v>8627</v>
      </c>
      <c r="Q1783" s="28" t="s">
        <v>8628</v>
      </c>
    </row>
    <row r="1784" spans="1:17" x14ac:dyDescent="0.35">
      <c r="A1784" t="s">
        <v>8520</v>
      </c>
      <c r="B1784" s="3" t="s">
        <v>102</v>
      </c>
      <c r="F1784">
        <v>5</v>
      </c>
      <c r="G1784" t="s">
        <v>8607</v>
      </c>
      <c r="H1784">
        <v>33</v>
      </c>
      <c r="I1784" t="s">
        <v>9302</v>
      </c>
      <c r="J1784" t="str">
        <f t="shared" si="27"/>
        <v>13F-HR-5.33.C7</v>
      </c>
      <c r="K1784" s="5" t="s">
        <v>8629</v>
      </c>
      <c r="L1784" t="s">
        <v>229</v>
      </c>
      <c r="M1784" t="s">
        <v>8630</v>
      </c>
      <c r="N1784" t="s">
        <v>8631</v>
      </c>
      <c r="Q1784" s="28" t="s">
        <v>8685</v>
      </c>
    </row>
    <row r="1785" spans="1:17" x14ac:dyDescent="0.35">
      <c r="A1785" t="s">
        <v>8520</v>
      </c>
      <c r="B1785" s="3" t="s">
        <v>102</v>
      </c>
      <c r="F1785">
        <v>5</v>
      </c>
      <c r="G1785" t="s">
        <v>8607</v>
      </c>
      <c r="H1785">
        <v>34</v>
      </c>
      <c r="I1785" t="s">
        <v>9303</v>
      </c>
      <c r="J1785" t="str">
        <f t="shared" si="27"/>
        <v>13F-HR-5.34.C8</v>
      </c>
      <c r="K1785" s="5" t="s">
        <v>8633</v>
      </c>
      <c r="L1785" t="s">
        <v>4735</v>
      </c>
      <c r="M1785" t="s">
        <v>8634</v>
      </c>
      <c r="N1785" t="s">
        <v>8635</v>
      </c>
      <c r="Q1785" s="28" t="s">
        <v>8632</v>
      </c>
    </row>
    <row r="1786" spans="1:17" x14ac:dyDescent="0.35">
      <c r="A1786" t="s">
        <v>8520</v>
      </c>
      <c r="B1786" s="3" t="s">
        <v>102</v>
      </c>
      <c r="F1786">
        <v>5</v>
      </c>
      <c r="G1786" t="s">
        <v>8607</v>
      </c>
      <c r="H1786">
        <v>35</v>
      </c>
      <c r="I1786" t="s">
        <v>9304</v>
      </c>
      <c r="J1786" t="str">
        <f t="shared" si="27"/>
        <v>13F-HR-5.35.C9</v>
      </c>
      <c r="K1786" s="5" t="s">
        <v>8637</v>
      </c>
      <c r="L1786" t="s">
        <v>229</v>
      </c>
      <c r="M1786" t="s">
        <v>8638</v>
      </c>
      <c r="N1786" t="s">
        <v>8639</v>
      </c>
      <c r="Q1786" s="28" t="s">
        <v>8636</v>
      </c>
    </row>
    <row r="1787" spans="1:17" x14ac:dyDescent="0.35">
      <c r="A1787" t="s">
        <v>8520</v>
      </c>
      <c r="B1787" s="3" t="s">
        <v>102</v>
      </c>
      <c r="F1787">
        <v>5</v>
      </c>
      <c r="G1787" t="s">
        <v>8607</v>
      </c>
      <c r="H1787">
        <v>36</v>
      </c>
      <c r="I1787" t="s">
        <v>9305</v>
      </c>
      <c r="J1787" t="str">
        <f t="shared" si="27"/>
        <v>13F-HR-5.36.C10</v>
      </c>
      <c r="K1787" s="5" t="s">
        <v>8640</v>
      </c>
      <c r="L1787" t="s">
        <v>241</v>
      </c>
      <c r="M1787" t="s">
        <v>8641</v>
      </c>
      <c r="N1787" t="s">
        <v>8642</v>
      </c>
      <c r="Q1787" s="28">
        <v>37353</v>
      </c>
    </row>
    <row r="1788" spans="1:17" x14ac:dyDescent="0.35">
      <c r="A1788" t="s">
        <v>8520</v>
      </c>
      <c r="B1788" s="3" t="s">
        <v>102</v>
      </c>
      <c r="F1788">
        <v>5</v>
      </c>
      <c r="G1788" t="s">
        <v>8607</v>
      </c>
      <c r="H1788">
        <v>37</v>
      </c>
      <c r="I1788" t="s">
        <v>9306</v>
      </c>
      <c r="J1788" t="str">
        <f t="shared" si="27"/>
        <v>13F-HR-5.37.C11</v>
      </c>
      <c r="K1788" s="5" t="s">
        <v>8643</v>
      </c>
      <c r="L1788" t="s">
        <v>241</v>
      </c>
      <c r="M1788" t="s">
        <v>8644</v>
      </c>
      <c r="N1788" t="s">
        <v>8645</v>
      </c>
      <c r="Q1788" s="28">
        <v>0</v>
      </c>
    </row>
    <row r="1789" spans="1:17" x14ac:dyDescent="0.35">
      <c r="A1789" t="s">
        <v>8520</v>
      </c>
      <c r="B1789" s="3" t="s">
        <v>102</v>
      </c>
      <c r="F1789">
        <v>5</v>
      </c>
      <c r="G1789" t="s">
        <v>8607</v>
      </c>
      <c r="H1789">
        <v>38</v>
      </c>
      <c r="I1789" t="s">
        <v>9307</v>
      </c>
      <c r="J1789" t="str">
        <f t="shared" si="27"/>
        <v>13F-HR-5.38.C12</v>
      </c>
      <c r="K1789" s="5" t="s">
        <v>8646</v>
      </c>
      <c r="L1789" t="s">
        <v>241</v>
      </c>
      <c r="M1789" t="s">
        <v>8647</v>
      </c>
      <c r="N1789" t="s">
        <v>8648</v>
      </c>
      <c r="Q1789" s="28">
        <v>0</v>
      </c>
    </row>
    <row r="1790" spans="1:17" x14ac:dyDescent="0.35">
      <c r="A1790" t="s">
        <v>8520</v>
      </c>
      <c r="B1790" s="3" t="s">
        <v>102</v>
      </c>
      <c r="F1790">
        <v>5</v>
      </c>
      <c r="G1790" t="s">
        <v>8607</v>
      </c>
      <c r="H1790">
        <v>27</v>
      </c>
      <c r="I1790" t="s">
        <v>9296</v>
      </c>
      <c r="J1790" t="str">
        <f t="shared" si="27"/>
        <v>13F-HR-5.27.C1</v>
      </c>
      <c r="K1790" s="5" t="s">
        <v>8608</v>
      </c>
      <c r="L1790" t="s">
        <v>229</v>
      </c>
      <c r="M1790" t="s">
        <v>8609</v>
      </c>
      <c r="N1790" t="s">
        <v>8610</v>
      </c>
      <c r="Q1790" s="28" t="s">
        <v>8884</v>
      </c>
    </row>
    <row r="1791" spans="1:17" x14ac:dyDescent="0.35">
      <c r="A1791" t="s">
        <v>8520</v>
      </c>
      <c r="B1791" s="3" t="s">
        <v>102</v>
      </c>
      <c r="F1791">
        <v>5</v>
      </c>
      <c r="G1791" t="s">
        <v>8607</v>
      </c>
      <c r="H1791">
        <v>28</v>
      </c>
      <c r="I1791" t="s">
        <v>9297</v>
      </c>
      <c r="J1791" t="str">
        <f t="shared" si="27"/>
        <v>13F-HR-5.28.C2</v>
      </c>
      <c r="K1791" s="5" t="s">
        <v>8612</v>
      </c>
      <c r="L1791" t="s">
        <v>229</v>
      </c>
      <c r="M1791" t="s">
        <v>8613</v>
      </c>
      <c r="N1791" t="s">
        <v>8614</v>
      </c>
      <c r="Q1791" s="28" t="s">
        <v>8768</v>
      </c>
    </row>
    <row r="1792" spans="1:17" x14ac:dyDescent="0.35">
      <c r="A1792" t="s">
        <v>8520</v>
      </c>
      <c r="B1792" s="3" t="s">
        <v>102</v>
      </c>
      <c r="F1792">
        <v>5</v>
      </c>
      <c r="G1792" t="s">
        <v>8607</v>
      </c>
      <c r="H1792">
        <v>29</v>
      </c>
      <c r="I1792" t="s">
        <v>9298</v>
      </c>
      <c r="J1792" t="str">
        <f t="shared" si="27"/>
        <v>13F-HR-5.29.C3</v>
      </c>
      <c r="K1792" s="5" t="s">
        <v>8616</v>
      </c>
      <c r="L1792" t="s">
        <v>229</v>
      </c>
      <c r="M1792" t="s">
        <v>7927</v>
      </c>
      <c r="N1792" t="s">
        <v>8617</v>
      </c>
      <c r="Q1792" s="28">
        <v>482480100</v>
      </c>
    </row>
    <row r="1793" spans="1:17" x14ac:dyDescent="0.35">
      <c r="A1793" t="s">
        <v>8520</v>
      </c>
      <c r="B1793" s="3" t="s">
        <v>102</v>
      </c>
      <c r="F1793">
        <v>5</v>
      </c>
      <c r="G1793" t="s">
        <v>8607</v>
      </c>
      <c r="H1793">
        <v>30</v>
      </c>
      <c r="I1793" t="s">
        <v>9299</v>
      </c>
      <c r="J1793" t="str">
        <f t="shared" si="27"/>
        <v>13F-HR-5.30.C4</v>
      </c>
      <c r="K1793" s="5" t="s">
        <v>8618</v>
      </c>
      <c r="L1793" t="s">
        <v>8619</v>
      </c>
      <c r="M1793" t="s">
        <v>8620</v>
      </c>
      <c r="N1793" t="s">
        <v>8621</v>
      </c>
      <c r="Q1793" s="28">
        <v>41524903</v>
      </c>
    </row>
    <row r="1794" spans="1:17" x14ac:dyDescent="0.35">
      <c r="A1794" t="s">
        <v>8520</v>
      </c>
      <c r="B1794" s="3" t="s">
        <v>102</v>
      </c>
      <c r="F1794">
        <v>5</v>
      </c>
      <c r="G1794" t="s">
        <v>8607</v>
      </c>
      <c r="H1794">
        <v>31</v>
      </c>
      <c r="I1794" t="s">
        <v>9300</v>
      </c>
      <c r="J1794" t="str">
        <f t="shared" si="27"/>
        <v>13F-HR-5.31.C5</v>
      </c>
      <c r="K1794" s="5" t="s">
        <v>8622</v>
      </c>
      <c r="L1794" t="s">
        <v>241</v>
      </c>
      <c r="M1794" t="s">
        <v>8623</v>
      </c>
      <c r="N1794" t="s">
        <v>8624</v>
      </c>
      <c r="Q1794" s="28">
        <v>61084</v>
      </c>
    </row>
    <row r="1795" spans="1:17" x14ac:dyDescent="0.35">
      <c r="A1795" t="s">
        <v>8520</v>
      </c>
      <c r="B1795" s="3" t="s">
        <v>102</v>
      </c>
      <c r="F1795">
        <v>5</v>
      </c>
      <c r="G1795" t="s">
        <v>8607</v>
      </c>
      <c r="H1795">
        <v>32</v>
      </c>
      <c r="I1795" t="s">
        <v>9301</v>
      </c>
      <c r="J1795" t="str">
        <f t="shared" ref="J1795:J1858" si="28">_xlfn.CONCAT(A1795,"-",F1795,".",H1795,".",I1795)</f>
        <v>13F-HR-5.32.C6</v>
      </c>
      <c r="K1795" s="5" t="s">
        <v>8625</v>
      </c>
      <c r="L1795" t="s">
        <v>229</v>
      </c>
      <c r="M1795" t="s">
        <v>8626</v>
      </c>
      <c r="N1795" t="s">
        <v>8627</v>
      </c>
      <c r="Q1795" s="28" t="s">
        <v>8628</v>
      </c>
    </row>
    <row r="1796" spans="1:17" x14ac:dyDescent="0.35">
      <c r="A1796" t="s">
        <v>8520</v>
      </c>
      <c r="B1796" s="3" t="s">
        <v>102</v>
      </c>
      <c r="F1796">
        <v>5</v>
      </c>
      <c r="G1796" t="s">
        <v>8607</v>
      </c>
      <c r="H1796">
        <v>33</v>
      </c>
      <c r="I1796" t="s">
        <v>9302</v>
      </c>
      <c r="J1796" t="str">
        <f t="shared" si="28"/>
        <v>13F-HR-5.33.C7</v>
      </c>
      <c r="K1796" s="5" t="s">
        <v>8629</v>
      </c>
      <c r="L1796" t="s">
        <v>229</v>
      </c>
      <c r="M1796" t="s">
        <v>8630</v>
      </c>
      <c r="N1796" t="s">
        <v>8631</v>
      </c>
      <c r="Q1796" s="28" t="s">
        <v>8685</v>
      </c>
    </row>
    <row r="1797" spans="1:17" x14ac:dyDescent="0.35">
      <c r="A1797" t="s">
        <v>8520</v>
      </c>
      <c r="B1797" s="3" t="s">
        <v>102</v>
      </c>
      <c r="F1797">
        <v>5</v>
      </c>
      <c r="G1797" t="s">
        <v>8607</v>
      </c>
      <c r="H1797">
        <v>34</v>
      </c>
      <c r="I1797" t="s">
        <v>9303</v>
      </c>
      <c r="J1797" t="str">
        <f t="shared" si="28"/>
        <v>13F-HR-5.34.C8</v>
      </c>
      <c r="K1797" s="5" t="s">
        <v>8633</v>
      </c>
      <c r="L1797" t="s">
        <v>4735</v>
      </c>
      <c r="M1797" t="s">
        <v>8634</v>
      </c>
      <c r="N1797" t="s">
        <v>8635</v>
      </c>
      <c r="Q1797" s="28" t="s">
        <v>8632</v>
      </c>
    </row>
    <row r="1798" spans="1:17" x14ac:dyDescent="0.35">
      <c r="A1798" t="s">
        <v>8520</v>
      </c>
      <c r="B1798" s="3" t="s">
        <v>102</v>
      </c>
      <c r="F1798">
        <v>5</v>
      </c>
      <c r="G1798" t="s">
        <v>8607</v>
      </c>
      <c r="H1798">
        <v>35</v>
      </c>
      <c r="I1798" t="s">
        <v>9304</v>
      </c>
      <c r="J1798" t="str">
        <f t="shared" si="28"/>
        <v>13F-HR-5.35.C9</v>
      </c>
      <c r="K1798" s="5" t="s">
        <v>8637</v>
      </c>
      <c r="L1798" t="s">
        <v>229</v>
      </c>
      <c r="M1798" t="s">
        <v>8638</v>
      </c>
      <c r="N1798" t="s">
        <v>8639</v>
      </c>
      <c r="Q1798" s="28" t="s">
        <v>8636</v>
      </c>
    </row>
    <row r="1799" spans="1:17" x14ac:dyDescent="0.35">
      <c r="A1799" t="s">
        <v>8520</v>
      </c>
      <c r="B1799" s="3" t="s">
        <v>102</v>
      </c>
      <c r="F1799">
        <v>5</v>
      </c>
      <c r="G1799" t="s">
        <v>8607</v>
      </c>
      <c r="H1799">
        <v>36</v>
      </c>
      <c r="I1799" t="s">
        <v>9305</v>
      </c>
      <c r="J1799" t="str">
        <f t="shared" si="28"/>
        <v>13F-HR-5.36.C10</v>
      </c>
      <c r="K1799" s="5" t="s">
        <v>8640</v>
      </c>
      <c r="L1799" t="s">
        <v>241</v>
      </c>
      <c r="M1799" t="s">
        <v>8641</v>
      </c>
      <c r="N1799" t="s">
        <v>8642</v>
      </c>
      <c r="Q1799" s="28">
        <v>49071</v>
      </c>
    </row>
    <row r="1800" spans="1:17" x14ac:dyDescent="0.35">
      <c r="A1800" t="s">
        <v>8520</v>
      </c>
      <c r="B1800" s="3" t="s">
        <v>102</v>
      </c>
      <c r="F1800">
        <v>5</v>
      </c>
      <c r="G1800" t="s">
        <v>8607</v>
      </c>
      <c r="H1800">
        <v>37</v>
      </c>
      <c r="I1800" t="s">
        <v>9306</v>
      </c>
      <c r="J1800" t="str">
        <f t="shared" si="28"/>
        <v>13F-HR-5.37.C11</v>
      </c>
      <c r="K1800" s="5" t="s">
        <v>8643</v>
      </c>
      <c r="L1800" t="s">
        <v>241</v>
      </c>
      <c r="M1800" t="s">
        <v>8644</v>
      </c>
      <c r="N1800" t="s">
        <v>8645</v>
      </c>
      <c r="Q1800" s="28">
        <v>0</v>
      </c>
    </row>
    <row r="1801" spans="1:17" x14ac:dyDescent="0.35">
      <c r="A1801" t="s">
        <v>8520</v>
      </c>
      <c r="B1801" s="3" t="s">
        <v>102</v>
      </c>
      <c r="F1801">
        <v>5</v>
      </c>
      <c r="G1801" t="s">
        <v>8607</v>
      </c>
      <c r="H1801">
        <v>38</v>
      </c>
      <c r="I1801" t="s">
        <v>9307</v>
      </c>
      <c r="J1801" t="str">
        <f t="shared" si="28"/>
        <v>13F-HR-5.38.C12</v>
      </c>
      <c r="K1801" s="5" t="s">
        <v>8646</v>
      </c>
      <c r="L1801" t="s">
        <v>241</v>
      </c>
      <c r="M1801" t="s">
        <v>8647</v>
      </c>
      <c r="N1801" t="s">
        <v>8648</v>
      </c>
      <c r="Q1801" s="28">
        <v>12013</v>
      </c>
    </row>
    <row r="1802" spans="1:17" x14ac:dyDescent="0.35">
      <c r="A1802" t="s">
        <v>8520</v>
      </c>
      <c r="B1802" s="3" t="s">
        <v>102</v>
      </c>
      <c r="F1802">
        <v>5</v>
      </c>
      <c r="G1802" t="s">
        <v>8607</v>
      </c>
      <c r="H1802">
        <v>27</v>
      </c>
      <c r="I1802" t="s">
        <v>9296</v>
      </c>
      <c r="J1802" t="str">
        <f t="shared" si="28"/>
        <v>13F-HR-5.27.C1</v>
      </c>
      <c r="K1802" s="5" t="s">
        <v>8608</v>
      </c>
      <c r="L1802" t="s">
        <v>229</v>
      </c>
      <c r="M1802" t="s">
        <v>8609</v>
      </c>
      <c r="N1802" t="s">
        <v>8610</v>
      </c>
      <c r="Q1802" s="28" t="s">
        <v>8885</v>
      </c>
    </row>
    <row r="1803" spans="1:17" x14ac:dyDescent="0.35">
      <c r="A1803" t="s">
        <v>8520</v>
      </c>
      <c r="B1803" s="3" t="s">
        <v>102</v>
      </c>
      <c r="F1803">
        <v>5</v>
      </c>
      <c r="G1803" t="s">
        <v>8607</v>
      </c>
      <c r="H1803">
        <v>28</v>
      </c>
      <c r="I1803" t="s">
        <v>9297</v>
      </c>
      <c r="J1803" t="str">
        <f t="shared" si="28"/>
        <v>13F-HR-5.28.C2</v>
      </c>
      <c r="K1803" s="5" t="s">
        <v>8612</v>
      </c>
      <c r="L1803" t="s">
        <v>229</v>
      </c>
      <c r="M1803" t="s">
        <v>8613</v>
      </c>
      <c r="N1803" t="s">
        <v>8614</v>
      </c>
      <c r="Q1803" s="28" t="s">
        <v>8615</v>
      </c>
    </row>
    <row r="1804" spans="1:17" x14ac:dyDescent="0.35">
      <c r="A1804" t="s">
        <v>8520</v>
      </c>
      <c r="B1804" s="3" t="s">
        <v>102</v>
      </c>
      <c r="F1804">
        <v>5</v>
      </c>
      <c r="G1804" t="s">
        <v>8607</v>
      </c>
      <c r="H1804">
        <v>29</v>
      </c>
      <c r="I1804" t="s">
        <v>9298</v>
      </c>
      <c r="J1804" t="str">
        <f t="shared" si="28"/>
        <v>13F-HR-5.29.C3</v>
      </c>
      <c r="K1804" s="5" t="s">
        <v>8616</v>
      </c>
      <c r="L1804" t="s">
        <v>229</v>
      </c>
      <c r="M1804" t="s">
        <v>7927</v>
      </c>
      <c r="N1804" t="s">
        <v>8617</v>
      </c>
      <c r="Q1804" s="28" t="s">
        <v>8886</v>
      </c>
    </row>
    <row r="1805" spans="1:17" x14ac:dyDescent="0.35">
      <c r="A1805" t="s">
        <v>8520</v>
      </c>
      <c r="B1805" s="3" t="s">
        <v>102</v>
      </c>
      <c r="F1805">
        <v>5</v>
      </c>
      <c r="G1805" t="s">
        <v>8607</v>
      </c>
      <c r="H1805">
        <v>30</v>
      </c>
      <c r="I1805" t="s">
        <v>9299</v>
      </c>
      <c r="J1805" t="str">
        <f t="shared" si="28"/>
        <v>13F-HR-5.30.C4</v>
      </c>
      <c r="K1805" s="5" t="s">
        <v>8618</v>
      </c>
      <c r="L1805" t="s">
        <v>8619</v>
      </c>
      <c r="M1805" t="s">
        <v>8620</v>
      </c>
      <c r="N1805" t="s">
        <v>8621</v>
      </c>
      <c r="Q1805" s="28">
        <v>32765724</v>
      </c>
    </row>
    <row r="1806" spans="1:17" x14ac:dyDescent="0.35">
      <c r="A1806" t="s">
        <v>8520</v>
      </c>
      <c r="B1806" s="3" t="s">
        <v>102</v>
      </c>
      <c r="F1806">
        <v>5</v>
      </c>
      <c r="G1806" t="s">
        <v>8607</v>
      </c>
      <c r="H1806">
        <v>31</v>
      </c>
      <c r="I1806" t="s">
        <v>9300</v>
      </c>
      <c r="J1806" t="str">
        <f t="shared" si="28"/>
        <v>13F-HR-5.31.C5</v>
      </c>
      <c r="K1806" s="5" t="s">
        <v>8622</v>
      </c>
      <c r="L1806" t="s">
        <v>241</v>
      </c>
      <c r="M1806" t="s">
        <v>8623</v>
      </c>
      <c r="N1806" t="s">
        <v>8624</v>
      </c>
      <c r="Q1806" s="28">
        <v>283416</v>
      </c>
    </row>
    <row r="1807" spans="1:17" x14ac:dyDescent="0.35">
      <c r="A1807" t="s">
        <v>8520</v>
      </c>
      <c r="B1807" s="3" t="s">
        <v>102</v>
      </c>
      <c r="F1807">
        <v>5</v>
      </c>
      <c r="G1807" t="s">
        <v>8607</v>
      </c>
      <c r="H1807">
        <v>32</v>
      </c>
      <c r="I1807" t="s">
        <v>9301</v>
      </c>
      <c r="J1807" t="str">
        <f t="shared" si="28"/>
        <v>13F-HR-5.32.C6</v>
      </c>
      <c r="K1807" s="5" t="s">
        <v>8625</v>
      </c>
      <c r="L1807" t="s">
        <v>229</v>
      </c>
      <c r="M1807" t="s">
        <v>8626</v>
      </c>
      <c r="N1807" t="s">
        <v>8627</v>
      </c>
      <c r="Q1807" s="28" t="s">
        <v>8628</v>
      </c>
    </row>
    <row r="1808" spans="1:17" x14ac:dyDescent="0.35">
      <c r="A1808" t="s">
        <v>8520</v>
      </c>
      <c r="B1808" s="3" t="s">
        <v>102</v>
      </c>
      <c r="F1808">
        <v>5</v>
      </c>
      <c r="G1808" t="s">
        <v>8607</v>
      </c>
      <c r="H1808">
        <v>33</v>
      </c>
      <c r="I1808" t="s">
        <v>9302</v>
      </c>
      <c r="J1808" t="str">
        <f t="shared" si="28"/>
        <v>13F-HR-5.33.C7</v>
      </c>
      <c r="K1808" s="5" t="s">
        <v>8629</v>
      </c>
      <c r="L1808" t="s">
        <v>229</v>
      </c>
      <c r="M1808" t="s">
        <v>8630</v>
      </c>
      <c r="N1808" t="s">
        <v>8631</v>
      </c>
      <c r="Q1808" s="28" t="s">
        <v>8685</v>
      </c>
    </row>
    <row r="1809" spans="1:17" x14ac:dyDescent="0.35">
      <c r="A1809" t="s">
        <v>8520</v>
      </c>
      <c r="B1809" s="3" t="s">
        <v>102</v>
      </c>
      <c r="F1809">
        <v>5</v>
      </c>
      <c r="G1809" t="s">
        <v>8607</v>
      </c>
      <c r="H1809">
        <v>34</v>
      </c>
      <c r="I1809" t="s">
        <v>9303</v>
      </c>
      <c r="J1809" t="str">
        <f t="shared" si="28"/>
        <v>13F-HR-5.34.C8</v>
      </c>
      <c r="K1809" s="5" t="s">
        <v>8633</v>
      </c>
      <c r="L1809" t="s">
        <v>4735</v>
      </c>
      <c r="M1809" t="s">
        <v>8634</v>
      </c>
      <c r="N1809" t="s">
        <v>8635</v>
      </c>
      <c r="Q1809" s="28" t="s">
        <v>8632</v>
      </c>
    </row>
    <row r="1810" spans="1:17" x14ac:dyDescent="0.35">
      <c r="A1810" t="s">
        <v>8520</v>
      </c>
      <c r="B1810" s="3" t="s">
        <v>102</v>
      </c>
      <c r="F1810">
        <v>5</v>
      </c>
      <c r="G1810" t="s">
        <v>8607</v>
      </c>
      <c r="H1810">
        <v>35</v>
      </c>
      <c r="I1810" t="s">
        <v>9304</v>
      </c>
      <c r="J1810" t="str">
        <f t="shared" si="28"/>
        <v>13F-HR-5.35.C9</v>
      </c>
      <c r="K1810" s="5" t="s">
        <v>8637</v>
      </c>
      <c r="L1810" t="s">
        <v>229</v>
      </c>
      <c r="M1810" t="s">
        <v>8638</v>
      </c>
      <c r="N1810" t="s">
        <v>8639</v>
      </c>
      <c r="Q1810" s="28" t="s">
        <v>8636</v>
      </c>
    </row>
    <row r="1811" spans="1:17" x14ac:dyDescent="0.35">
      <c r="A1811" t="s">
        <v>8520</v>
      </c>
      <c r="B1811" s="3" t="s">
        <v>102</v>
      </c>
      <c r="F1811">
        <v>5</v>
      </c>
      <c r="G1811" t="s">
        <v>8607</v>
      </c>
      <c r="H1811">
        <v>36</v>
      </c>
      <c r="I1811" t="s">
        <v>9305</v>
      </c>
      <c r="J1811" t="str">
        <f t="shared" si="28"/>
        <v>13F-HR-5.36.C10</v>
      </c>
      <c r="K1811" s="5" t="s">
        <v>8640</v>
      </c>
      <c r="L1811" t="s">
        <v>241</v>
      </c>
      <c r="M1811" t="s">
        <v>8641</v>
      </c>
      <c r="N1811" t="s">
        <v>8642</v>
      </c>
      <c r="Q1811" s="28">
        <v>198769</v>
      </c>
    </row>
    <row r="1812" spans="1:17" x14ac:dyDescent="0.35">
      <c r="A1812" t="s">
        <v>8520</v>
      </c>
      <c r="B1812" s="3" t="s">
        <v>102</v>
      </c>
      <c r="F1812">
        <v>5</v>
      </c>
      <c r="G1812" t="s">
        <v>8607</v>
      </c>
      <c r="H1812">
        <v>37</v>
      </c>
      <c r="I1812" t="s">
        <v>9306</v>
      </c>
      <c r="J1812" t="str">
        <f t="shared" si="28"/>
        <v>13F-HR-5.37.C11</v>
      </c>
      <c r="K1812" s="5" t="s">
        <v>8643</v>
      </c>
      <c r="L1812" t="s">
        <v>241</v>
      </c>
      <c r="M1812" t="s">
        <v>8644</v>
      </c>
      <c r="N1812" t="s">
        <v>8645</v>
      </c>
      <c r="Q1812" s="28">
        <v>0</v>
      </c>
    </row>
    <row r="1813" spans="1:17" x14ac:dyDescent="0.35">
      <c r="A1813" t="s">
        <v>8520</v>
      </c>
      <c r="B1813" s="3" t="s">
        <v>102</v>
      </c>
      <c r="F1813">
        <v>5</v>
      </c>
      <c r="G1813" t="s">
        <v>8607</v>
      </c>
      <c r="H1813">
        <v>38</v>
      </c>
      <c r="I1813" t="s">
        <v>9307</v>
      </c>
      <c r="J1813" t="str">
        <f t="shared" si="28"/>
        <v>13F-HR-5.38.C12</v>
      </c>
      <c r="K1813" s="5" t="s">
        <v>8646</v>
      </c>
      <c r="L1813" t="s">
        <v>241</v>
      </c>
      <c r="M1813" t="s">
        <v>8647</v>
      </c>
      <c r="N1813" t="s">
        <v>8648</v>
      </c>
      <c r="Q1813" s="28">
        <v>84647</v>
      </c>
    </row>
    <row r="1814" spans="1:17" x14ac:dyDescent="0.35">
      <c r="A1814" t="s">
        <v>8520</v>
      </c>
      <c r="B1814" s="3" t="s">
        <v>102</v>
      </c>
      <c r="F1814">
        <v>5</v>
      </c>
      <c r="G1814" t="s">
        <v>8607</v>
      </c>
      <c r="H1814">
        <v>27</v>
      </c>
      <c r="I1814" t="s">
        <v>9296</v>
      </c>
      <c r="J1814" t="str">
        <f t="shared" si="28"/>
        <v>13F-HR-5.27.C1</v>
      </c>
      <c r="K1814" s="5" t="s">
        <v>8608</v>
      </c>
      <c r="L1814" t="s">
        <v>229</v>
      </c>
      <c r="M1814" t="s">
        <v>8609</v>
      </c>
      <c r="N1814" t="s">
        <v>8610</v>
      </c>
      <c r="Q1814" s="28" t="s">
        <v>8885</v>
      </c>
    </row>
    <row r="1815" spans="1:17" x14ac:dyDescent="0.35">
      <c r="A1815" t="s">
        <v>8520</v>
      </c>
      <c r="B1815" s="3" t="s">
        <v>102</v>
      </c>
      <c r="F1815">
        <v>5</v>
      </c>
      <c r="G1815" t="s">
        <v>8607</v>
      </c>
      <c r="H1815">
        <v>28</v>
      </c>
      <c r="I1815" t="s">
        <v>9297</v>
      </c>
      <c r="J1815" t="str">
        <f t="shared" si="28"/>
        <v>13F-HR-5.28.C2</v>
      </c>
      <c r="K1815" s="5" t="s">
        <v>8612</v>
      </c>
      <c r="L1815" t="s">
        <v>229</v>
      </c>
      <c r="M1815" t="s">
        <v>8613</v>
      </c>
      <c r="N1815" t="s">
        <v>8614</v>
      </c>
      <c r="Q1815" s="28" t="s">
        <v>8887</v>
      </c>
    </row>
    <row r="1816" spans="1:17" x14ac:dyDescent="0.35">
      <c r="A1816" t="s">
        <v>8520</v>
      </c>
      <c r="B1816" s="3" t="s">
        <v>102</v>
      </c>
      <c r="F1816">
        <v>5</v>
      </c>
      <c r="G1816" t="s">
        <v>8607</v>
      </c>
      <c r="H1816">
        <v>29</v>
      </c>
      <c r="I1816" t="s">
        <v>9298</v>
      </c>
      <c r="J1816" t="str">
        <f t="shared" si="28"/>
        <v>13F-HR-5.29.C3</v>
      </c>
      <c r="K1816" s="5" t="s">
        <v>8616</v>
      </c>
      <c r="L1816" t="s">
        <v>229</v>
      </c>
      <c r="M1816" t="s">
        <v>7927</v>
      </c>
      <c r="N1816" t="s">
        <v>8617</v>
      </c>
      <c r="Q1816" s="28" t="s">
        <v>8888</v>
      </c>
    </row>
    <row r="1817" spans="1:17" x14ac:dyDescent="0.35">
      <c r="A1817" t="s">
        <v>8520</v>
      </c>
      <c r="B1817" s="3" t="s">
        <v>102</v>
      </c>
      <c r="F1817">
        <v>5</v>
      </c>
      <c r="G1817" t="s">
        <v>8607</v>
      </c>
      <c r="H1817">
        <v>30</v>
      </c>
      <c r="I1817" t="s">
        <v>9299</v>
      </c>
      <c r="J1817" t="str">
        <f t="shared" si="28"/>
        <v>13F-HR-5.30.C4</v>
      </c>
      <c r="K1817" s="5" t="s">
        <v>8618</v>
      </c>
      <c r="L1817" t="s">
        <v>8619</v>
      </c>
      <c r="M1817" t="s">
        <v>8620</v>
      </c>
      <c r="N1817" t="s">
        <v>8621</v>
      </c>
      <c r="Q1817" s="28">
        <v>4371900</v>
      </c>
    </row>
    <row r="1818" spans="1:17" x14ac:dyDescent="0.35">
      <c r="A1818" t="s">
        <v>8520</v>
      </c>
      <c r="B1818" s="3" t="s">
        <v>102</v>
      </c>
      <c r="F1818">
        <v>5</v>
      </c>
      <c r="G1818" t="s">
        <v>8607</v>
      </c>
      <c r="H1818">
        <v>31</v>
      </c>
      <c r="I1818" t="s">
        <v>9300</v>
      </c>
      <c r="J1818" t="str">
        <f t="shared" si="28"/>
        <v>13F-HR-5.31.C5</v>
      </c>
      <c r="K1818" s="5" t="s">
        <v>8622</v>
      </c>
      <c r="L1818" t="s">
        <v>241</v>
      </c>
      <c r="M1818" t="s">
        <v>8623</v>
      </c>
      <c r="N1818" t="s">
        <v>8624</v>
      </c>
      <c r="Q1818" s="28">
        <v>88500</v>
      </c>
    </row>
    <row r="1819" spans="1:17" x14ac:dyDescent="0.35">
      <c r="A1819" t="s">
        <v>8520</v>
      </c>
      <c r="B1819" s="3" t="s">
        <v>102</v>
      </c>
      <c r="F1819">
        <v>5</v>
      </c>
      <c r="G1819" t="s">
        <v>8607</v>
      </c>
      <c r="H1819">
        <v>32</v>
      </c>
      <c r="I1819" t="s">
        <v>9301</v>
      </c>
      <c r="J1819" t="str">
        <f t="shared" si="28"/>
        <v>13F-HR-5.32.C6</v>
      </c>
      <c r="K1819" s="5" t="s">
        <v>8625</v>
      </c>
      <c r="L1819" t="s">
        <v>229</v>
      </c>
      <c r="M1819" t="s">
        <v>8626</v>
      </c>
      <c r="N1819" t="s">
        <v>8627</v>
      </c>
      <c r="Q1819" s="28" t="s">
        <v>8628</v>
      </c>
    </row>
    <row r="1820" spans="1:17" x14ac:dyDescent="0.35">
      <c r="A1820" t="s">
        <v>8520</v>
      </c>
      <c r="B1820" s="3" t="s">
        <v>102</v>
      </c>
      <c r="F1820">
        <v>5</v>
      </c>
      <c r="G1820" t="s">
        <v>8607</v>
      </c>
      <c r="H1820">
        <v>33</v>
      </c>
      <c r="I1820" t="s">
        <v>9302</v>
      </c>
      <c r="J1820" t="str">
        <f t="shared" si="28"/>
        <v>13F-HR-5.33.C7</v>
      </c>
      <c r="K1820" s="5" t="s">
        <v>8629</v>
      </c>
      <c r="L1820" t="s">
        <v>229</v>
      </c>
      <c r="M1820" t="s">
        <v>8630</v>
      </c>
      <c r="N1820" t="s">
        <v>8631</v>
      </c>
      <c r="Q1820" s="28" t="s">
        <v>8685</v>
      </c>
    </row>
    <row r="1821" spans="1:17" x14ac:dyDescent="0.35">
      <c r="A1821" t="s">
        <v>8520</v>
      </c>
      <c r="B1821" s="3" t="s">
        <v>102</v>
      </c>
      <c r="F1821">
        <v>5</v>
      </c>
      <c r="G1821" t="s">
        <v>8607</v>
      </c>
      <c r="H1821">
        <v>34</v>
      </c>
      <c r="I1821" t="s">
        <v>9303</v>
      </c>
      <c r="J1821" t="str">
        <f t="shared" si="28"/>
        <v>13F-HR-5.34.C8</v>
      </c>
      <c r="K1821" s="5" t="s">
        <v>8633</v>
      </c>
      <c r="L1821" t="s">
        <v>4735</v>
      </c>
      <c r="M1821" t="s">
        <v>8634</v>
      </c>
      <c r="N1821" t="s">
        <v>8635</v>
      </c>
      <c r="Q1821" s="28" t="s">
        <v>8632</v>
      </c>
    </row>
    <row r="1822" spans="1:17" x14ac:dyDescent="0.35">
      <c r="A1822" t="s">
        <v>8520</v>
      </c>
      <c r="B1822" s="3" t="s">
        <v>102</v>
      </c>
      <c r="F1822">
        <v>5</v>
      </c>
      <c r="G1822" t="s">
        <v>8607</v>
      </c>
      <c r="H1822">
        <v>35</v>
      </c>
      <c r="I1822" t="s">
        <v>9304</v>
      </c>
      <c r="J1822" t="str">
        <f t="shared" si="28"/>
        <v>13F-HR-5.35.C9</v>
      </c>
      <c r="K1822" s="5" t="s">
        <v>8637</v>
      </c>
      <c r="L1822" t="s">
        <v>229</v>
      </c>
      <c r="M1822" t="s">
        <v>8638</v>
      </c>
      <c r="N1822" t="s">
        <v>8639</v>
      </c>
      <c r="Q1822" s="28" t="s">
        <v>8636</v>
      </c>
    </row>
    <row r="1823" spans="1:17" x14ac:dyDescent="0.35">
      <c r="A1823" t="s">
        <v>8520</v>
      </c>
      <c r="B1823" s="3" t="s">
        <v>102</v>
      </c>
      <c r="F1823">
        <v>5</v>
      </c>
      <c r="G1823" t="s">
        <v>8607</v>
      </c>
      <c r="H1823">
        <v>36</v>
      </c>
      <c r="I1823" t="s">
        <v>9305</v>
      </c>
      <c r="J1823" t="str">
        <f t="shared" si="28"/>
        <v>13F-HR-5.36.C10</v>
      </c>
      <c r="K1823" s="5" t="s">
        <v>8640</v>
      </c>
      <c r="L1823" t="s">
        <v>241</v>
      </c>
      <c r="M1823" t="s">
        <v>8641</v>
      </c>
      <c r="N1823" t="s">
        <v>8642</v>
      </c>
      <c r="Q1823" s="28">
        <v>0</v>
      </c>
    </row>
    <row r="1824" spans="1:17" x14ac:dyDescent="0.35">
      <c r="A1824" t="s">
        <v>8520</v>
      </c>
      <c r="B1824" s="3" t="s">
        <v>102</v>
      </c>
      <c r="F1824">
        <v>5</v>
      </c>
      <c r="G1824" t="s">
        <v>8607</v>
      </c>
      <c r="H1824">
        <v>37</v>
      </c>
      <c r="I1824" t="s">
        <v>9306</v>
      </c>
      <c r="J1824" t="str">
        <f t="shared" si="28"/>
        <v>13F-HR-5.37.C11</v>
      </c>
      <c r="K1824" s="5" t="s">
        <v>8643</v>
      </c>
      <c r="L1824" t="s">
        <v>241</v>
      </c>
      <c r="M1824" t="s">
        <v>8644</v>
      </c>
      <c r="N1824" t="s">
        <v>8645</v>
      </c>
      <c r="Q1824" s="28">
        <v>0</v>
      </c>
    </row>
    <row r="1825" spans="1:17" x14ac:dyDescent="0.35">
      <c r="A1825" t="s">
        <v>8520</v>
      </c>
      <c r="B1825" s="3" t="s">
        <v>102</v>
      </c>
      <c r="F1825">
        <v>5</v>
      </c>
      <c r="G1825" t="s">
        <v>8607</v>
      </c>
      <c r="H1825">
        <v>38</v>
      </c>
      <c r="I1825" t="s">
        <v>9307</v>
      </c>
      <c r="J1825" t="str">
        <f t="shared" si="28"/>
        <v>13F-HR-5.38.C12</v>
      </c>
      <c r="K1825" s="5" t="s">
        <v>8646</v>
      </c>
      <c r="L1825" t="s">
        <v>241</v>
      </c>
      <c r="M1825" t="s">
        <v>8647</v>
      </c>
      <c r="N1825" t="s">
        <v>8648</v>
      </c>
      <c r="Q1825" s="28">
        <v>88500</v>
      </c>
    </row>
    <row r="1826" spans="1:17" x14ac:dyDescent="0.35">
      <c r="A1826" t="s">
        <v>8520</v>
      </c>
      <c r="B1826" s="3" t="s">
        <v>102</v>
      </c>
      <c r="F1826">
        <v>5</v>
      </c>
      <c r="G1826" t="s">
        <v>8607</v>
      </c>
      <c r="H1826">
        <v>27</v>
      </c>
      <c r="I1826" t="s">
        <v>9296</v>
      </c>
      <c r="J1826" t="str">
        <f t="shared" si="28"/>
        <v>13F-HR-5.27.C1</v>
      </c>
      <c r="K1826" s="5" t="s">
        <v>8608</v>
      </c>
      <c r="L1826" t="s">
        <v>229</v>
      </c>
      <c r="M1826" t="s">
        <v>8609</v>
      </c>
      <c r="N1826" t="s">
        <v>8610</v>
      </c>
      <c r="Q1826" s="28" t="s">
        <v>8889</v>
      </c>
    </row>
    <row r="1827" spans="1:17" x14ac:dyDescent="0.35">
      <c r="A1827" t="s">
        <v>8520</v>
      </c>
      <c r="B1827" s="3" t="s">
        <v>102</v>
      </c>
      <c r="F1827">
        <v>5</v>
      </c>
      <c r="G1827" t="s">
        <v>8607</v>
      </c>
      <c r="H1827">
        <v>28</v>
      </c>
      <c r="I1827" t="s">
        <v>9297</v>
      </c>
      <c r="J1827" t="str">
        <f t="shared" si="28"/>
        <v>13F-HR-5.28.C2</v>
      </c>
      <c r="K1827" s="5" t="s">
        <v>8612</v>
      </c>
      <c r="L1827" t="s">
        <v>229</v>
      </c>
      <c r="M1827" t="s">
        <v>8613</v>
      </c>
      <c r="N1827" t="s">
        <v>8614</v>
      </c>
      <c r="Q1827" s="28" t="s">
        <v>8702</v>
      </c>
    </row>
    <row r="1828" spans="1:17" x14ac:dyDescent="0.35">
      <c r="A1828" t="s">
        <v>8520</v>
      </c>
      <c r="B1828" s="3" t="s">
        <v>102</v>
      </c>
      <c r="F1828">
        <v>5</v>
      </c>
      <c r="G1828" t="s">
        <v>8607</v>
      </c>
      <c r="H1828">
        <v>29</v>
      </c>
      <c r="I1828" t="s">
        <v>9298</v>
      </c>
      <c r="J1828" t="str">
        <f t="shared" si="28"/>
        <v>13F-HR-5.29.C3</v>
      </c>
      <c r="K1828" s="5" t="s">
        <v>8616</v>
      </c>
      <c r="L1828" t="s">
        <v>229</v>
      </c>
      <c r="M1828" t="s">
        <v>7927</v>
      </c>
      <c r="N1828" t="s">
        <v>8617</v>
      </c>
      <c r="Q1828" s="28" t="s">
        <v>8890</v>
      </c>
    </row>
    <row r="1829" spans="1:17" x14ac:dyDescent="0.35">
      <c r="A1829" t="s">
        <v>8520</v>
      </c>
      <c r="B1829" s="3" t="s">
        <v>102</v>
      </c>
      <c r="F1829">
        <v>5</v>
      </c>
      <c r="G1829" t="s">
        <v>8607</v>
      </c>
      <c r="H1829">
        <v>30</v>
      </c>
      <c r="I1829" t="s">
        <v>9299</v>
      </c>
      <c r="J1829" t="str">
        <f t="shared" si="28"/>
        <v>13F-HR-5.30.C4</v>
      </c>
      <c r="K1829" s="5" t="s">
        <v>8618</v>
      </c>
      <c r="L1829" t="s">
        <v>8619</v>
      </c>
      <c r="M1829" t="s">
        <v>8620</v>
      </c>
      <c r="N1829" t="s">
        <v>8621</v>
      </c>
      <c r="Q1829" s="28">
        <v>13659209</v>
      </c>
    </row>
    <row r="1830" spans="1:17" x14ac:dyDescent="0.35">
      <c r="A1830" t="s">
        <v>8520</v>
      </c>
      <c r="B1830" s="3" t="s">
        <v>102</v>
      </c>
      <c r="F1830">
        <v>5</v>
      </c>
      <c r="G1830" t="s">
        <v>8607</v>
      </c>
      <c r="H1830">
        <v>31</v>
      </c>
      <c r="I1830" t="s">
        <v>9300</v>
      </c>
      <c r="J1830" t="str">
        <f t="shared" si="28"/>
        <v>13F-HR-5.31.C5</v>
      </c>
      <c r="K1830" s="5" t="s">
        <v>8622</v>
      </c>
      <c r="L1830" t="s">
        <v>241</v>
      </c>
      <c r="M1830" t="s">
        <v>8623</v>
      </c>
      <c r="N1830" t="s">
        <v>8624</v>
      </c>
      <c r="Q1830" s="28">
        <v>771271</v>
      </c>
    </row>
    <row r="1831" spans="1:17" x14ac:dyDescent="0.35">
      <c r="A1831" t="s">
        <v>8520</v>
      </c>
      <c r="B1831" s="3" t="s">
        <v>102</v>
      </c>
      <c r="F1831">
        <v>5</v>
      </c>
      <c r="G1831" t="s">
        <v>8607</v>
      </c>
      <c r="H1831">
        <v>32</v>
      </c>
      <c r="I1831" t="s">
        <v>9301</v>
      </c>
      <c r="J1831" t="str">
        <f t="shared" si="28"/>
        <v>13F-HR-5.32.C6</v>
      </c>
      <c r="K1831" s="5" t="s">
        <v>8625</v>
      </c>
      <c r="L1831" t="s">
        <v>229</v>
      </c>
      <c r="M1831" t="s">
        <v>8626</v>
      </c>
      <c r="N1831" t="s">
        <v>8627</v>
      </c>
      <c r="Q1831" s="28" t="s">
        <v>8628</v>
      </c>
    </row>
    <row r="1832" spans="1:17" x14ac:dyDescent="0.35">
      <c r="A1832" t="s">
        <v>8520</v>
      </c>
      <c r="B1832" s="3" t="s">
        <v>102</v>
      </c>
      <c r="F1832">
        <v>5</v>
      </c>
      <c r="G1832" t="s">
        <v>8607</v>
      </c>
      <c r="H1832">
        <v>33</v>
      </c>
      <c r="I1832" t="s">
        <v>9302</v>
      </c>
      <c r="J1832" t="str">
        <f t="shared" si="28"/>
        <v>13F-HR-5.33.C7</v>
      </c>
      <c r="K1832" s="5" t="s">
        <v>8629</v>
      </c>
      <c r="L1832" t="s">
        <v>229</v>
      </c>
      <c r="M1832" t="s">
        <v>8630</v>
      </c>
      <c r="N1832" t="s">
        <v>8631</v>
      </c>
      <c r="Q1832" s="28" t="s">
        <v>8685</v>
      </c>
    </row>
    <row r="1833" spans="1:17" x14ac:dyDescent="0.35">
      <c r="A1833" t="s">
        <v>8520</v>
      </c>
      <c r="B1833" s="3" t="s">
        <v>102</v>
      </c>
      <c r="F1833">
        <v>5</v>
      </c>
      <c r="G1833" t="s">
        <v>8607</v>
      </c>
      <c r="H1833">
        <v>34</v>
      </c>
      <c r="I1833" t="s">
        <v>9303</v>
      </c>
      <c r="J1833" t="str">
        <f t="shared" si="28"/>
        <v>13F-HR-5.34.C8</v>
      </c>
      <c r="K1833" s="5" t="s">
        <v>8633</v>
      </c>
      <c r="L1833" t="s">
        <v>4735</v>
      </c>
      <c r="M1833" t="s">
        <v>8634</v>
      </c>
      <c r="N1833" t="s">
        <v>8635</v>
      </c>
      <c r="Q1833" s="28" t="s">
        <v>8632</v>
      </c>
    </row>
    <row r="1834" spans="1:17" x14ac:dyDescent="0.35">
      <c r="A1834" t="s">
        <v>8520</v>
      </c>
      <c r="B1834" s="3" t="s">
        <v>102</v>
      </c>
      <c r="F1834">
        <v>5</v>
      </c>
      <c r="G1834" t="s">
        <v>8607</v>
      </c>
      <c r="H1834">
        <v>35</v>
      </c>
      <c r="I1834" t="s">
        <v>9304</v>
      </c>
      <c r="J1834" t="str">
        <f t="shared" si="28"/>
        <v>13F-HR-5.35.C9</v>
      </c>
      <c r="K1834" s="5" t="s">
        <v>8637</v>
      </c>
      <c r="L1834" t="s">
        <v>229</v>
      </c>
      <c r="M1834" t="s">
        <v>8638</v>
      </c>
      <c r="N1834" t="s">
        <v>8639</v>
      </c>
      <c r="Q1834" s="28" t="s">
        <v>8636</v>
      </c>
    </row>
    <row r="1835" spans="1:17" x14ac:dyDescent="0.35">
      <c r="A1835" t="s">
        <v>8520</v>
      </c>
      <c r="B1835" s="3" t="s">
        <v>102</v>
      </c>
      <c r="F1835">
        <v>5</v>
      </c>
      <c r="G1835" t="s">
        <v>8607</v>
      </c>
      <c r="H1835">
        <v>36</v>
      </c>
      <c r="I1835" t="s">
        <v>9305</v>
      </c>
      <c r="J1835" t="str">
        <f t="shared" si="28"/>
        <v>13F-HR-5.36.C10</v>
      </c>
      <c r="K1835" s="5" t="s">
        <v>8640</v>
      </c>
      <c r="L1835" t="s">
        <v>241</v>
      </c>
      <c r="M1835" t="s">
        <v>8641</v>
      </c>
      <c r="N1835" t="s">
        <v>8642</v>
      </c>
      <c r="Q1835" s="28">
        <v>771271</v>
      </c>
    </row>
    <row r="1836" spans="1:17" x14ac:dyDescent="0.35">
      <c r="A1836" t="s">
        <v>8520</v>
      </c>
      <c r="B1836" s="3" t="s">
        <v>102</v>
      </c>
      <c r="F1836">
        <v>5</v>
      </c>
      <c r="G1836" t="s">
        <v>8607</v>
      </c>
      <c r="H1836">
        <v>37</v>
      </c>
      <c r="I1836" t="s">
        <v>9306</v>
      </c>
      <c r="J1836" t="str">
        <f t="shared" si="28"/>
        <v>13F-HR-5.37.C11</v>
      </c>
      <c r="K1836" s="5" t="s">
        <v>8643</v>
      </c>
      <c r="L1836" t="s">
        <v>241</v>
      </c>
      <c r="M1836" t="s">
        <v>8644</v>
      </c>
      <c r="N1836" t="s">
        <v>8645</v>
      </c>
      <c r="Q1836" s="28">
        <v>0</v>
      </c>
    </row>
    <row r="1837" spans="1:17" x14ac:dyDescent="0.35">
      <c r="A1837" t="s">
        <v>8520</v>
      </c>
      <c r="B1837" s="3" t="s">
        <v>102</v>
      </c>
      <c r="F1837">
        <v>5</v>
      </c>
      <c r="G1837" t="s">
        <v>8607</v>
      </c>
      <c r="H1837">
        <v>38</v>
      </c>
      <c r="I1837" t="s">
        <v>9307</v>
      </c>
      <c r="J1837" t="str">
        <f t="shared" si="28"/>
        <v>13F-HR-5.38.C12</v>
      </c>
      <c r="K1837" s="5" t="s">
        <v>8646</v>
      </c>
      <c r="L1837" t="s">
        <v>241</v>
      </c>
      <c r="M1837" t="s">
        <v>8647</v>
      </c>
      <c r="N1837" t="s">
        <v>8648</v>
      </c>
      <c r="Q1837" s="28">
        <v>0</v>
      </c>
    </row>
    <row r="1838" spans="1:17" x14ac:dyDescent="0.35">
      <c r="A1838" t="s">
        <v>8520</v>
      </c>
      <c r="B1838" s="3" t="s">
        <v>102</v>
      </c>
      <c r="F1838">
        <v>5</v>
      </c>
      <c r="G1838" t="s">
        <v>8607</v>
      </c>
      <c r="H1838">
        <v>27</v>
      </c>
      <c r="I1838" t="s">
        <v>9296</v>
      </c>
      <c r="J1838" t="str">
        <f t="shared" si="28"/>
        <v>13F-HR-5.27.C1</v>
      </c>
      <c r="K1838" s="5" t="s">
        <v>8608</v>
      </c>
      <c r="L1838" t="s">
        <v>229</v>
      </c>
      <c r="M1838" t="s">
        <v>8609</v>
      </c>
      <c r="N1838" t="s">
        <v>8610</v>
      </c>
      <c r="Q1838" s="28" t="s">
        <v>8891</v>
      </c>
    </row>
    <row r="1839" spans="1:17" x14ac:dyDescent="0.35">
      <c r="A1839" t="s">
        <v>8520</v>
      </c>
      <c r="B1839" s="3" t="s">
        <v>102</v>
      </c>
      <c r="F1839">
        <v>5</v>
      </c>
      <c r="G1839" t="s">
        <v>8607</v>
      </c>
      <c r="H1839">
        <v>28</v>
      </c>
      <c r="I1839" t="s">
        <v>9297</v>
      </c>
      <c r="J1839" t="str">
        <f t="shared" si="28"/>
        <v>13F-HR-5.28.C2</v>
      </c>
      <c r="K1839" s="5" t="s">
        <v>8612</v>
      </c>
      <c r="L1839" t="s">
        <v>229</v>
      </c>
      <c r="M1839" t="s">
        <v>8613</v>
      </c>
      <c r="N1839" t="s">
        <v>8614</v>
      </c>
      <c r="Q1839" s="28" t="s">
        <v>8698</v>
      </c>
    </row>
    <row r="1840" spans="1:17" x14ac:dyDescent="0.35">
      <c r="A1840" t="s">
        <v>8520</v>
      </c>
      <c r="B1840" s="3" t="s">
        <v>102</v>
      </c>
      <c r="F1840">
        <v>5</v>
      </c>
      <c r="G1840" t="s">
        <v>8607</v>
      </c>
      <c r="H1840">
        <v>29</v>
      </c>
      <c r="I1840" t="s">
        <v>9298</v>
      </c>
      <c r="J1840" t="str">
        <f t="shared" si="28"/>
        <v>13F-HR-5.29.C3</v>
      </c>
      <c r="K1840" s="5" t="s">
        <v>8616</v>
      </c>
      <c r="L1840" t="s">
        <v>229</v>
      </c>
      <c r="M1840" t="s">
        <v>7927</v>
      </c>
      <c r="N1840" t="s">
        <v>8617</v>
      </c>
      <c r="Q1840" s="28" t="s">
        <v>8892</v>
      </c>
    </row>
    <row r="1841" spans="1:17" x14ac:dyDescent="0.35">
      <c r="A1841" t="s">
        <v>8520</v>
      </c>
      <c r="B1841" s="3" t="s">
        <v>102</v>
      </c>
      <c r="F1841">
        <v>5</v>
      </c>
      <c r="G1841" t="s">
        <v>8607</v>
      </c>
      <c r="H1841">
        <v>30</v>
      </c>
      <c r="I1841" t="s">
        <v>9299</v>
      </c>
      <c r="J1841" t="str">
        <f t="shared" si="28"/>
        <v>13F-HR-5.30.C4</v>
      </c>
      <c r="K1841" s="5" t="s">
        <v>8618</v>
      </c>
      <c r="L1841" t="s">
        <v>8619</v>
      </c>
      <c r="M1841" t="s">
        <v>8620</v>
      </c>
      <c r="N1841" t="s">
        <v>8621</v>
      </c>
      <c r="Q1841" s="28">
        <v>11614624</v>
      </c>
    </row>
    <row r="1842" spans="1:17" x14ac:dyDescent="0.35">
      <c r="A1842" t="s">
        <v>8520</v>
      </c>
      <c r="B1842" s="3" t="s">
        <v>102</v>
      </c>
      <c r="F1842">
        <v>5</v>
      </c>
      <c r="G1842" t="s">
        <v>8607</v>
      </c>
      <c r="H1842">
        <v>31</v>
      </c>
      <c r="I1842" t="s">
        <v>9300</v>
      </c>
      <c r="J1842" t="str">
        <f t="shared" si="28"/>
        <v>13F-HR-5.31.C5</v>
      </c>
      <c r="K1842" s="5" t="s">
        <v>8622</v>
      </c>
      <c r="L1842" t="s">
        <v>241</v>
      </c>
      <c r="M1842" t="s">
        <v>8623</v>
      </c>
      <c r="N1842" t="s">
        <v>8624</v>
      </c>
      <c r="Q1842" s="28">
        <v>605875</v>
      </c>
    </row>
    <row r="1843" spans="1:17" x14ac:dyDescent="0.35">
      <c r="A1843" t="s">
        <v>8520</v>
      </c>
      <c r="B1843" s="3" t="s">
        <v>102</v>
      </c>
      <c r="F1843">
        <v>5</v>
      </c>
      <c r="G1843" t="s">
        <v>8607</v>
      </c>
      <c r="H1843">
        <v>32</v>
      </c>
      <c r="I1843" t="s">
        <v>9301</v>
      </c>
      <c r="J1843" t="str">
        <f t="shared" si="28"/>
        <v>13F-HR-5.32.C6</v>
      </c>
      <c r="K1843" s="5" t="s">
        <v>8625</v>
      </c>
      <c r="L1843" t="s">
        <v>229</v>
      </c>
      <c r="M1843" t="s">
        <v>8626</v>
      </c>
      <c r="N1843" t="s">
        <v>8627</v>
      </c>
      <c r="Q1843" s="28" t="s">
        <v>8628</v>
      </c>
    </row>
    <row r="1844" spans="1:17" x14ac:dyDescent="0.35">
      <c r="A1844" t="s">
        <v>8520</v>
      </c>
      <c r="B1844" s="3" t="s">
        <v>102</v>
      </c>
      <c r="F1844">
        <v>5</v>
      </c>
      <c r="G1844" t="s">
        <v>8607</v>
      </c>
      <c r="H1844">
        <v>33</v>
      </c>
      <c r="I1844" t="s">
        <v>9302</v>
      </c>
      <c r="J1844" t="str">
        <f t="shared" si="28"/>
        <v>13F-HR-5.33.C7</v>
      </c>
      <c r="K1844" s="5" t="s">
        <v>8629</v>
      </c>
      <c r="L1844" t="s">
        <v>229</v>
      </c>
      <c r="M1844" t="s">
        <v>8630</v>
      </c>
      <c r="N1844" t="s">
        <v>8631</v>
      </c>
      <c r="Q1844" s="28" t="s">
        <v>8685</v>
      </c>
    </row>
    <row r="1845" spans="1:17" x14ac:dyDescent="0.35">
      <c r="A1845" t="s">
        <v>8520</v>
      </c>
      <c r="B1845" s="3" t="s">
        <v>102</v>
      </c>
      <c r="F1845">
        <v>5</v>
      </c>
      <c r="G1845" t="s">
        <v>8607</v>
      </c>
      <c r="H1845">
        <v>34</v>
      </c>
      <c r="I1845" t="s">
        <v>9303</v>
      </c>
      <c r="J1845" t="str">
        <f t="shared" si="28"/>
        <v>13F-HR-5.34.C8</v>
      </c>
      <c r="K1845" s="5" t="s">
        <v>8633</v>
      </c>
      <c r="L1845" t="s">
        <v>4735</v>
      </c>
      <c r="M1845" t="s">
        <v>8634</v>
      </c>
      <c r="N1845" t="s">
        <v>8635</v>
      </c>
      <c r="Q1845" s="28" t="s">
        <v>8632</v>
      </c>
    </row>
    <row r="1846" spans="1:17" x14ac:dyDescent="0.35">
      <c r="A1846" t="s">
        <v>8520</v>
      </c>
      <c r="B1846" s="3" t="s">
        <v>102</v>
      </c>
      <c r="F1846">
        <v>5</v>
      </c>
      <c r="G1846" t="s">
        <v>8607</v>
      </c>
      <c r="H1846">
        <v>35</v>
      </c>
      <c r="I1846" t="s">
        <v>9304</v>
      </c>
      <c r="J1846" t="str">
        <f t="shared" si="28"/>
        <v>13F-HR-5.35.C9</v>
      </c>
      <c r="K1846" s="5" t="s">
        <v>8637</v>
      </c>
      <c r="L1846" t="s">
        <v>229</v>
      </c>
      <c r="M1846" t="s">
        <v>8638</v>
      </c>
      <c r="N1846" t="s">
        <v>8639</v>
      </c>
      <c r="Q1846" s="28" t="s">
        <v>8636</v>
      </c>
    </row>
    <row r="1847" spans="1:17" x14ac:dyDescent="0.35">
      <c r="A1847" t="s">
        <v>8520</v>
      </c>
      <c r="B1847" s="3" t="s">
        <v>102</v>
      </c>
      <c r="F1847">
        <v>5</v>
      </c>
      <c r="G1847" t="s">
        <v>8607</v>
      </c>
      <c r="H1847">
        <v>36</v>
      </c>
      <c r="I1847" t="s">
        <v>9305</v>
      </c>
      <c r="J1847" t="str">
        <f t="shared" si="28"/>
        <v>13F-HR-5.36.C10</v>
      </c>
      <c r="K1847" s="5" t="s">
        <v>8640</v>
      </c>
      <c r="L1847" t="s">
        <v>241</v>
      </c>
      <c r="M1847" t="s">
        <v>8641</v>
      </c>
      <c r="N1847" t="s">
        <v>8642</v>
      </c>
      <c r="Q1847" s="28">
        <v>605875</v>
      </c>
    </row>
    <row r="1848" spans="1:17" x14ac:dyDescent="0.35">
      <c r="A1848" t="s">
        <v>8520</v>
      </c>
      <c r="B1848" s="3" t="s">
        <v>102</v>
      </c>
      <c r="F1848">
        <v>5</v>
      </c>
      <c r="G1848" t="s">
        <v>8607</v>
      </c>
      <c r="H1848">
        <v>37</v>
      </c>
      <c r="I1848" t="s">
        <v>9306</v>
      </c>
      <c r="J1848" t="str">
        <f t="shared" si="28"/>
        <v>13F-HR-5.37.C11</v>
      </c>
      <c r="K1848" s="5" t="s">
        <v>8643</v>
      </c>
      <c r="L1848" t="s">
        <v>241</v>
      </c>
      <c r="M1848" t="s">
        <v>8644</v>
      </c>
      <c r="N1848" t="s">
        <v>8645</v>
      </c>
      <c r="Q1848" s="28">
        <v>0</v>
      </c>
    </row>
    <row r="1849" spans="1:17" x14ac:dyDescent="0.35">
      <c r="A1849" t="s">
        <v>8520</v>
      </c>
      <c r="B1849" s="3" t="s">
        <v>102</v>
      </c>
      <c r="F1849">
        <v>5</v>
      </c>
      <c r="G1849" t="s">
        <v>8607</v>
      </c>
      <c r="H1849">
        <v>38</v>
      </c>
      <c r="I1849" t="s">
        <v>9307</v>
      </c>
      <c r="J1849" t="str">
        <f t="shared" si="28"/>
        <v>13F-HR-5.38.C12</v>
      </c>
      <c r="K1849" s="5" t="s">
        <v>8646</v>
      </c>
      <c r="L1849" t="s">
        <v>241</v>
      </c>
      <c r="M1849" t="s">
        <v>8647</v>
      </c>
      <c r="N1849" t="s">
        <v>8648</v>
      </c>
      <c r="Q1849" s="28">
        <v>0</v>
      </c>
    </row>
    <row r="1850" spans="1:17" x14ac:dyDescent="0.35">
      <c r="A1850" t="s">
        <v>8520</v>
      </c>
      <c r="B1850" s="3" t="s">
        <v>102</v>
      </c>
      <c r="F1850">
        <v>5</v>
      </c>
      <c r="G1850" t="s">
        <v>8607</v>
      </c>
      <c r="H1850">
        <v>27</v>
      </c>
      <c r="I1850" t="s">
        <v>9296</v>
      </c>
      <c r="J1850" t="str">
        <f t="shared" si="28"/>
        <v>13F-HR-5.27.C1</v>
      </c>
      <c r="K1850" s="5" t="s">
        <v>8608</v>
      </c>
      <c r="L1850" t="s">
        <v>229</v>
      </c>
      <c r="M1850" t="s">
        <v>8609</v>
      </c>
      <c r="N1850" t="s">
        <v>8610</v>
      </c>
      <c r="Q1850" s="28" t="s">
        <v>8893</v>
      </c>
    </row>
    <row r="1851" spans="1:17" x14ac:dyDescent="0.35">
      <c r="A1851" t="s">
        <v>8520</v>
      </c>
      <c r="B1851" s="3" t="s">
        <v>102</v>
      </c>
      <c r="F1851">
        <v>5</v>
      </c>
      <c r="G1851" t="s">
        <v>8607</v>
      </c>
      <c r="H1851">
        <v>28</v>
      </c>
      <c r="I1851" t="s">
        <v>9297</v>
      </c>
      <c r="J1851" t="str">
        <f t="shared" si="28"/>
        <v>13F-HR-5.28.C2</v>
      </c>
      <c r="K1851" s="5" t="s">
        <v>8612</v>
      </c>
      <c r="L1851" t="s">
        <v>229</v>
      </c>
      <c r="M1851" t="s">
        <v>8613</v>
      </c>
      <c r="N1851" t="s">
        <v>8614</v>
      </c>
      <c r="Q1851" s="28" t="s">
        <v>8698</v>
      </c>
    </row>
    <row r="1852" spans="1:17" x14ac:dyDescent="0.35">
      <c r="A1852" t="s">
        <v>8520</v>
      </c>
      <c r="B1852" s="3" t="s">
        <v>102</v>
      </c>
      <c r="F1852">
        <v>5</v>
      </c>
      <c r="G1852" t="s">
        <v>8607</v>
      </c>
      <c r="H1852">
        <v>29</v>
      </c>
      <c r="I1852" t="s">
        <v>9298</v>
      </c>
      <c r="J1852" t="str">
        <f t="shared" si="28"/>
        <v>13F-HR-5.29.C3</v>
      </c>
      <c r="K1852" s="5" t="s">
        <v>8616</v>
      </c>
      <c r="L1852" t="s">
        <v>229</v>
      </c>
      <c r="M1852" t="s">
        <v>7927</v>
      </c>
      <c r="N1852" t="s">
        <v>8617</v>
      </c>
      <c r="Q1852" s="28" t="s">
        <v>8894</v>
      </c>
    </row>
    <row r="1853" spans="1:17" x14ac:dyDescent="0.35">
      <c r="A1853" t="s">
        <v>8520</v>
      </c>
      <c r="B1853" s="3" t="s">
        <v>102</v>
      </c>
      <c r="F1853">
        <v>5</v>
      </c>
      <c r="G1853" t="s">
        <v>8607</v>
      </c>
      <c r="H1853">
        <v>30</v>
      </c>
      <c r="I1853" t="s">
        <v>9299</v>
      </c>
      <c r="J1853" t="str">
        <f t="shared" si="28"/>
        <v>13F-HR-5.30.C4</v>
      </c>
      <c r="K1853" s="5" t="s">
        <v>8618</v>
      </c>
      <c r="L1853" t="s">
        <v>8619</v>
      </c>
      <c r="M1853" t="s">
        <v>8620</v>
      </c>
      <c r="N1853" t="s">
        <v>8621</v>
      </c>
      <c r="Q1853" s="28">
        <v>12232616</v>
      </c>
    </row>
    <row r="1854" spans="1:17" x14ac:dyDescent="0.35">
      <c r="A1854" t="s">
        <v>8520</v>
      </c>
      <c r="B1854" s="3" t="s">
        <v>102</v>
      </c>
      <c r="F1854">
        <v>5</v>
      </c>
      <c r="G1854" t="s">
        <v>8607</v>
      </c>
      <c r="H1854">
        <v>31</v>
      </c>
      <c r="I1854" t="s">
        <v>9300</v>
      </c>
      <c r="J1854" t="str">
        <f t="shared" si="28"/>
        <v>13F-HR-5.31.C5</v>
      </c>
      <c r="K1854" s="5" t="s">
        <v>8622</v>
      </c>
      <c r="L1854" t="s">
        <v>241</v>
      </c>
      <c r="M1854" t="s">
        <v>8623</v>
      </c>
      <c r="N1854" t="s">
        <v>8624</v>
      </c>
      <c r="Q1854" s="28">
        <v>131746</v>
      </c>
    </row>
    <row r="1855" spans="1:17" x14ac:dyDescent="0.35">
      <c r="A1855" t="s">
        <v>8520</v>
      </c>
      <c r="B1855" s="3" t="s">
        <v>102</v>
      </c>
      <c r="F1855">
        <v>5</v>
      </c>
      <c r="G1855" t="s">
        <v>8607</v>
      </c>
      <c r="H1855">
        <v>32</v>
      </c>
      <c r="I1855" t="s">
        <v>9301</v>
      </c>
      <c r="J1855" t="str">
        <f t="shared" si="28"/>
        <v>13F-HR-5.32.C6</v>
      </c>
      <c r="K1855" s="5" t="s">
        <v>8625</v>
      </c>
      <c r="L1855" t="s">
        <v>229</v>
      </c>
      <c r="M1855" t="s">
        <v>8626</v>
      </c>
      <c r="N1855" t="s">
        <v>8627</v>
      </c>
      <c r="Q1855" s="28" t="s">
        <v>8628</v>
      </c>
    </row>
    <row r="1856" spans="1:17" x14ac:dyDescent="0.35">
      <c r="A1856" t="s">
        <v>8520</v>
      </c>
      <c r="B1856" s="3" t="s">
        <v>102</v>
      </c>
      <c r="F1856">
        <v>5</v>
      </c>
      <c r="G1856" t="s">
        <v>8607</v>
      </c>
      <c r="H1856">
        <v>33</v>
      </c>
      <c r="I1856" t="s">
        <v>9302</v>
      </c>
      <c r="J1856" t="str">
        <f t="shared" si="28"/>
        <v>13F-HR-5.33.C7</v>
      </c>
      <c r="K1856" s="5" t="s">
        <v>8629</v>
      </c>
      <c r="L1856" t="s">
        <v>229</v>
      </c>
      <c r="M1856" t="s">
        <v>8630</v>
      </c>
      <c r="N1856" t="s">
        <v>8631</v>
      </c>
      <c r="Q1856" s="28" t="s">
        <v>8685</v>
      </c>
    </row>
    <row r="1857" spans="1:17" x14ac:dyDescent="0.35">
      <c r="A1857" t="s">
        <v>8520</v>
      </c>
      <c r="B1857" s="3" t="s">
        <v>102</v>
      </c>
      <c r="F1857">
        <v>5</v>
      </c>
      <c r="G1857" t="s">
        <v>8607</v>
      </c>
      <c r="H1857">
        <v>34</v>
      </c>
      <c r="I1857" t="s">
        <v>9303</v>
      </c>
      <c r="J1857" t="str">
        <f t="shared" si="28"/>
        <v>13F-HR-5.34.C8</v>
      </c>
      <c r="K1857" s="5" t="s">
        <v>8633</v>
      </c>
      <c r="L1857" t="s">
        <v>4735</v>
      </c>
      <c r="M1857" t="s">
        <v>8634</v>
      </c>
      <c r="N1857" t="s">
        <v>8635</v>
      </c>
      <c r="Q1857" s="28" t="s">
        <v>8632</v>
      </c>
    </row>
    <row r="1858" spans="1:17" x14ac:dyDescent="0.35">
      <c r="A1858" t="s">
        <v>8520</v>
      </c>
      <c r="B1858" s="3" t="s">
        <v>102</v>
      </c>
      <c r="F1858">
        <v>5</v>
      </c>
      <c r="G1858" t="s">
        <v>8607</v>
      </c>
      <c r="H1858">
        <v>35</v>
      </c>
      <c r="I1858" t="s">
        <v>9304</v>
      </c>
      <c r="J1858" t="str">
        <f t="shared" si="28"/>
        <v>13F-HR-5.35.C9</v>
      </c>
      <c r="K1858" s="5" t="s">
        <v>8637</v>
      </c>
      <c r="L1858" t="s">
        <v>229</v>
      </c>
      <c r="M1858" t="s">
        <v>8638</v>
      </c>
      <c r="N1858" t="s">
        <v>8639</v>
      </c>
      <c r="Q1858" s="28" t="s">
        <v>8636</v>
      </c>
    </row>
    <row r="1859" spans="1:17" x14ac:dyDescent="0.35">
      <c r="A1859" t="s">
        <v>8520</v>
      </c>
      <c r="B1859" s="3" t="s">
        <v>102</v>
      </c>
      <c r="F1859">
        <v>5</v>
      </c>
      <c r="G1859" t="s">
        <v>8607</v>
      </c>
      <c r="H1859">
        <v>36</v>
      </c>
      <c r="I1859" t="s">
        <v>9305</v>
      </c>
      <c r="J1859" t="str">
        <f t="shared" ref="J1859:J1922" si="29">_xlfn.CONCAT(A1859,"-",F1859,".",H1859,".",I1859)</f>
        <v>13F-HR-5.36.C10</v>
      </c>
      <c r="K1859" s="5" t="s">
        <v>8640</v>
      </c>
      <c r="L1859" t="s">
        <v>241</v>
      </c>
      <c r="M1859" t="s">
        <v>8641</v>
      </c>
      <c r="N1859" t="s">
        <v>8642</v>
      </c>
      <c r="Q1859" s="28">
        <v>131746</v>
      </c>
    </row>
    <row r="1860" spans="1:17" x14ac:dyDescent="0.35">
      <c r="A1860" t="s">
        <v>8520</v>
      </c>
      <c r="B1860" s="3" t="s">
        <v>102</v>
      </c>
      <c r="F1860">
        <v>5</v>
      </c>
      <c r="G1860" t="s">
        <v>8607</v>
      </c>
      <c r="H1860">
        <v>37</v>
      </c>
      <c r="I1860" t="s">
        <v>9306</v>
      </c>
      <c r="J1860" t="str">
        <f t="shared" si="29"/>
        <v>13F-HR-5.37.C11</v>
      </c>
      <c r="K1860" s="5" t="s">
        <v>8643</v>
      </c>
      <c r="L1860" t="s">
        <v>241</v>
      </c>
      <c r="M1860" t="s">
        <v>8644</v>
      </c>
      <c r="N1860" t="s">
        <v>8645</v>
      </c>
      <c r="Q1860" s="28">
        <v>0</v>
      </c>
    </row>
    <row r="1861" spans="1:17" x14ac:dyDescent="0.35">
      <c r="A1861" t="s">
        <v>8520</v>
      </c>
      <c r="B1861" s="3" t="s">
        <v>102</v>
      </c>
      <c r="F1861">
        <v>5</v>
      </c>
      <c r="G1861" t="s">
        <v>8607</v>
      </c>
      <c r="H1861">
        <v>38</v>
      </c>
      <c r="I1861" t="s">
        <v>9307</v>
      </c>
      <c r="J1861" t="str">
        <f t="shared" si="29"/>
        <v>13F-HR-5.38.C12</v>
      </c>
      <c r="K1861" s="5" t="s">
        <v>8646</v>
      </c>
      <c r="L1861" t="s">
        <v>241</v>
      </c>
      <c r="M1861" t="s">
        <v>8647</v>
      </c>
      <c r="N1861" t="s">
        <v>8648</v>
      </c>
      <c r="Q1861" s="28">
        <v>0</v>
      </c>
    </row>
    <row r="1862" spans="1:17" x14ac:dyDescent="0.35">
      <c r="A1862" t="s">
        <v>8520</v>
      </c>
      <c r="B1862" s="3" t="s">
        <v>102</v>
      </c>
      <c r="F1862">
        <v>5</v>
      </c>
      <c r="G1862" t="s">
        <v>8607</v>
      </c>
      <c r="H1862">
        <v>27</v>
      </c>
      <c r="I1862" t="s">
        <v>9296</v>
      </c>
      <c r="J1862" t="str">
        <f t="shared" si="29"/>
        <v>13F-HR-5.27.C1</v>
      </c>
      <c r="K1862" s="5" t="s">
        <v>8608</v>
      </c>
      <c r="L1862" t="s">
        <v>229</v>
      </c>
      <c r="M1862" t="s">
        <v>8609</v>
      </c>
      <c r="N1862" t="s">
        <v>8610</v>
      </c>
      <c r="Q1862" s="28" t="s">
        <v>8895</v>
      </c>
    </row>
    <row r="1863" spans="1:17" x14ac:dyDescent="0.35">
      <c r="A1863" t="s">
        <v>8520</v>
      </c>
      <c r="B1863" s="3" t="s">
        <v>102</v>
      </c>
      <c r="F1863">
        <v>5</v>
      </c>
      <c r="G1863" t="s">
        <v>8607</v>
      </c>
      <c r="H1863">
        <v>28</v>
      </c>
      <c r="I1863" t="s">
        <v>9297</v>
      </c>
      <c r="J1863" t="str">
        <f t="shared" si="29"/>
        <v>13F-HR-5.28.C2</v>
      </c>
      <c r="K1863" s="5" t="s">
        <v>8612</v>
      </c>
      <c r="L1863" t="s">
        <v>229</v>
      </c>
      <c r="M1863" t="s">
        <v>8613</v>
      </c>
      <c r="N1863" t="s">
        <v>8614</v>
      </c>
      <c r="Q1863" s="28" t="s">
        <v>8615</v>
      </c>
    </row>
    <row r="1864" spans="1:17" x14ac:dyDescent="0.35">
      <c r="A1864" t="s">
        <v>8520</v>
      </c>
      <c r="B1864" s="3" t="s">
        <v>102</v>
      </c>
      <c r="F1864">
        <v>5</v>
      </c>
      <c r="G1864" t="s">
        <v>8607</v>
      </c>
      <c r="H1864">
        <v>29</v>
      </c>
      <c r="I1864" t="s">
        <v>9298</v>
      </c>
      <c r="J1864" t="str">
        <f t="shared" si="29"/>
        <v>13F-HR-5.29.C3</v>
      </c>
      <c r="K1864" s="5" t="s">
        <v>8616</v>
      </c>
      <c r="L1864" t="s">
        <v>229</v>
      </c>
      <c r="M1864" t="s">
        <v>7927</v>
      </c>
      <c r="N1864" t="s">
        <v>8617</v>
      </c>
      <c r="Q1864" s="28" t="s">
        <v>8896</v>
      </c>
    </row>
    <row r="1865" spans="1:17" x14ac:dyDescent="0.35">
      <c r="A1865" t="s">
        <v>8520</v>
      </c>
      <c r="B1865" s="3" t="s">
        <v>102</v>
      </c>
      <c r="F1865">
        <v>5</v>
      </c>
      <c r="G1865" t="s">
        <v>8607</v>
      </c>
      <c r="H1865">
        <v>30</v>
      </c>
      <c r="I1865" t="s">
        <v>9299</v>
      </c>
      <c r="J1865" t="str">
        <f t="shared" si="29"/>
        <v>13F-HR-5.30.C4</v>
      </c>
      <c r="K1865" s="5" t="s">
        <v>8618</v>
      </c>
      <c r="L1865" t="s">
        <v>8619</v>
      </c>
      <c r="M1865" t="s">
        <v>8620</v>
      </c>
      <c r="N1865" t="s">
        <v>8621</v>
      </c>
      <c r="Q1865" s="28">
        <v>21121782</v>
      </c>
    </row>
    <row r="1866" spans="1:17" x14ac:dyDescent="0.35">
      <c r="A1866" t="s">
        <v>8520</v>
      </c>
      <c r="B1866" s="3" t="s">
        <v>102</v>
      </c>
      <c r="F1866">
        <v>5</v>
      </c>
      <c r="G1866" t="s">
        <v>8607</v>
      </c>
      <c r="H1866">
        <v>31</v>
      </c>
      <c r="I1866" t="s">
        <v>9300</v>
      </c>
      <c r="J1866" t="str">
        <f t="shared" si="29"/>
        <v>13F-HR-5.31.C5</v>
      </c>
      <c r="K1866" s="5" t="s">
        <v>8622</v>
      </c>
      <c r="L1866" t="s">
        <v>241</v>
      </c>
      <c r="M1866" t="s">
        <v>8623</v>
      </c>
      <c r="N1866" t="s">
        <v>8624</v>
      </c>
      <c r="Q1866" s="28">
        <v>617235</v>
      </c>
    </row>
    <row r="1867" spans="1:17" x14ac:dyDescent="0.35">
      <c r="A1867" t="s">
        <v>8520</v>
      </c>
      <c r="B1867" s="3" t="s">
        <v>102</v>
      </c>
      <c r="F1867">
        <v>5</v>
      </c>
      <c r="G1867" t="s">
        <v>8607</v>
      </c>
      <c r="H1867">
        <v>32</v>
      </c>
      <c r="I1867" t="s">
        <v>9301</v>
      </c>
      <c r="J1867" t="str">
        <f t="shared" si="29"/>
        <v>13F-HR-5.32.C6</v>
      </c>
      <c r="K1867" s="5" t="s">
        <v>8625</v>
      </c>
      <c r="L1867" t="s">
        <v>229</v>
      </c>
      <c r="M1867" t="s">
        <v>8626</v>
      </c>
      <c r="N1867" t="s">
        <v>8627</v>
      </c>
      <c r="Q1867" s="28" t="s">
        <v>8628</v>
      </c>
    </row>
    <row r="1868" spans="1:17" x14ac:dyDescent="0.35">
      <c r="A1868" t="s">
        <v>8520</v>
      </c>
      <c r="B1868" s="3" t="s">
        <v>102</v>
      </c>
      <c r="F1868">
        <v>5</v>
      </c>
      <c r="G1868" t="s">
        <v>8607</v>
      </c>
      <c r="H1868">
        <v>33</v>
      </c>
      <c r="I1868" t="s">
        <v>9302</v>
      </c>
      <c r="J1868" t="str">
        <f t="shared" si="29"/>
        <v>13F-HR-5.33.C7</v>
      </c>
      <c r="K1868" s="5" t="s">
        <v>8629</v>
      </c>
      <c r="L1868" t="s">
        <v>229</v>
      </c>
      <c r="M1868" t="s">
        <v>8630</v>
      </c>
      <c r="N1868" t="s">
        <v>8631</v>
      </c>
      <c r="Q1868" s="28" t="s">
        <v>8685</v>
      </c>
    </row>
    <row r="1869" spans="1:17" x14ac:dyDescent="0.35">
      <c r="A1869" t="s">
        <v>8520</v>
      </c>
      <c r="B1869" s="3" t="s">
        <v>102</v>
      </c>
      <c r="F1869">
        <v>5</v>
      </c>
      <c r="G1869" t="s">
        <v>8607</v>
      </c>
      <c r="H1869">
        <v>34</v>
      </c>
      <c r="I1869" t="s">
        <v>9303</v>
      </c>
      <c r="J1869" t="str">
        <f t="shared" si="29"/>
        <v>13F-HR-5.34.C8</v>
      </c>
      <c r="K1869" s="5" t="s">
        <v>8633</v>
      </c>
      <c r="L1869" t="s">
        <v>4735</v>
      </c>
      <c r="M1869" t="s">
        <v>8634</v>
      </c>
      <c r="N1869" t="s">
        <v>8635</v>
      </c>
      <c r="Q1869" s="28" t="s">
        <v>8632</v>
      </c>
    </row>
    <row r="1870" spans="1:17" x14ac:dyDescent="0.35">
      <c r="A1870" t="s">
        <v>8520</v>
      </c>
      <c r="B1870" s="3" t="s">
        <v>102</v>
      </c>
      <c r="F1870">
        <v>5</v>
      </c>
      <c r="G1870" t="s">
        <v>8607</v>
      </c>
      <c r="H1870">
        <v>35</v>
      </c>
      <c r="I1870" t="s">
        <v>9304</v>
      </c>
      <c r="J1870" t="str">
        <f t="shared" si="29"/>
        <v>13F-HR-5.35.C9</v>
      </c>
      <c r="K1870" s="5" t="s">
        <v>8637</v>
      </c>
      <c r="L1870" t="s">
        <v>229</v>
      </c>
      <c r="M1870" t="s">
        <v>8638</v>
      </c>
      <c r="N1870" t="s">
        <v>8639</v>
      </c>
      <c r="Q1870" s="28" t="s">
        <v>8636</v>
      </c>
    </row>
    <row r="1871" spans="1:17" x14ac:dyDescent="0.35">
      <c r="A1871" t="s">
        <v>8520</v>
      </c>
      <c r="B1871" s="3" t="s">
        <v>102</v>
      </c>
      <c r="F1871">
        <v>5</v>
      </c>
      <c r="G1871" t="s">
        <v>8607</v>
      </c>
      <c r="H1871">
        <v>36</v>
      </c>
      <c r="I1871" t="s">
        <v>9305</v>
      </c>
      <c r="J1871" t="str">
        <f t="shared" si="29"/>
        <v>13F-HR-5.36.C10</v>
      </c>
      <c r="K1871" s="5" t="s">
        <v>8640</v>
      </c>
      <c r="L1871" t="s">
        <v>241</v>
      </c>
      <c r="M1871" t="s">
        <v>8641</v>
      </c>
      <c r="N1871" t="s">
        <v>8642</v>
      </c>
      <c r="Q1871" s="28">
        <v>0</v>
      </c>
    </row>
    <row r="1872" spans="1:17" x14ac:dyDescent="0.35">
      <c r="A1872" t="s">
        <v>8520</v>
      </c>
      <c r="B1872" s="3" t="s">
        <v>102</v>
      </c>
      <c r="F1872">
        <v>5</v>
      </c>
      <c r="G1872" t="s">
        <v>8607</v>
      </c>
      <c r="H1872">
        <v>37</v>
      </c>
      <c r="I1872" t="s">
        <v>9306</v>
      </c>
      <c r="J1872" t="str">
        <f t="shared" si="29"/>
        <v>13F-HR-5.37.C11</v>
      </c>
      <c r="K1872" s="5" t="s">
        <v>8643</v>
      </c>
      <c r="L1872" t="s">
        <v>241</v>
      </c>
      <c r="M1872" t="s">
        <v>8644</v>
      </c>
      <c r="N1872" t="s">
        <v>8645</v>
      </c>
      <c r="Q1872" s="28">
        <v>0</v>
      </c>
    </row>
    <row r="1873" spans="1:17" x14ac:dyDescent="0.35">
      <c r="A1873" t="s">
        <v>8520</v>
      </c>
      <c r="B1873" s="3" t="s">
        <v>102</v>
      </c>
      <c r="F1873">
        <v>5</v>
      </c>
      <c r="G1873" t="s">
        <v>8607</v>
      </c>
      <c r="H1873">
        <v>38</v>
      </c>
      <c r="I1873" t="s">
        <v>9307</v>
      </c>
      <c r="J1873" t="str">
        <f t="shared" si="29"/>
        <v>13F-HR-5.38.C12</v>
      </c>
      <c r="K1873" s="5" t="s">
        <v>8646</v>
      </c>
      <c r="L1873" t="s">
        <v>241</v>
      </c>
      <c r="M1873" t="s">
        <v>8647</v>
      </c>
      <c r="N1873" t="s">
        <v>8648</v>
      </c>
      <c r="Q1873" s="28">
        <v>617235</v>
      </c>
    </row>
    <row r="1874" spans="1:17" x14ac:dyDescent="0.35">
      <c r="A1874" t="s">
        <v>8520</v>
      </c>
      <c r="B1874" s="3" t="s">
        <v>102</v>
      </c>
      <c r="F1874">
        <v>5</v>
      </c>
      <c r="G1874" t="s">
        <v>8607</v>
      </c>
      <c r="H1874">
        <v>27</v>
      </c>
      <c r="I1874" t="s">
        <v>9296</v>
      </c>
      <c r="J1874" t="str">
        <f t="shared" si="29"/>
        <v>13F-HR-5.27.C1</v>
      </c>
      <c r="K1874" s="5" t="s">
        <v>8608</v>
      </c>
      <c r="L1874" t="s">
        <v>229</v>
      </c>
      <c r="M1874" t="s">
        <v>8609</v>
      </c>
      <c r="N1874" t="s">
        <v>8610</v>
      </c>
      <c r="Q1874" s="28" t="s">
        <v>8897</v>
      </c>
    </row>
    <row r="1875" spans="1:17" x14ac:dyDescent="0.35">
      <c r="A1875" t="s">
        <v>8520</v>
      </c>
      <c r="B1875" s="3" t="s">
        <v>102</v>
      </c>
      <c r="F1875">
        <v>5</v>
      </c>
      <c r="G1875" t="s">
        <v>8607</v>
      </c>
      <c r="H1875">
        <v>28</v>
      </c>
      <c r="I1875" t="s">
        <v>9297</v>
      </c>
      <c r="J1875" t="str">
        <f t="shared" si="29"/>
        <v>13F-HR-5.28.C2</v>
      </c>
      <c r="K1875" s="5" t="s">
        <v>8612</v>
      </c>
      <c r="L1875" t="s">
        <v>229</v>
      </c>
      <c r="M1875" t="s">
        <v>8613</v>
      </c>
      <c r="N1875" t="s">
        <v>8614</v>
      </c>
      <c r="Q1875" s="28" t="s">
        <v>8615</v>
      </c>
    </row>
    <row r="1876" spans="1:17" x14ac:dyDescent="0.35">
      <c r="A1876" t="s">
        <v>8520</v>
      </c>
      <c r="B1876" s="3" t="s">
        <v>102</v>
      </c>
      <c r="F1876">
        <v>5</v>
      </c>
      <c r="G1876" t="s">
        <v>8607</v>
      </c>
      <c r="H1876">
        <v>29</v>
      </c>
      <c r="I1876" t="s">
        <v>9298</v>
      </c>
      <c r="J1876" t="str">
        <f t="shared" si="29"/>
        <v>13F-HR-5.29.C3</v>
      </c>
      <c r="K1876" s="5" t="s">
        <v>8616</v>
      </c>
      <c r="L1876" t="s">
        <v>229</v>
      </c>
      <c r="M1876" t="s">
        <v>7927</v>
      </c>
      <c r="N1876" t="s">
        <v>8617</v>
      </c>
      <c r="Q1876" s="28" t="s">
        <v>8898</v>
      </c>
    </row>
    <row r="1877" spans="1:17" x14ac:dyDescent="0.35">
      <c r="A1877" t="s">
        <v>8520</v>
      </c>
      <c r="B1877" s="3" t="s">
        <v>102</v>
      </c>
      <c r="F1877">
        <v>5</v>
      </c>
      <c r="G1877" t="s">
        <v>8607</v>
      </c>
      <c r="H1877">
        <v>30</v>
      </c>
      <c r="I1877" t="s">
        <v>9299</v>
      </c>
      <c r="J1877" t="str">
        <f t="shared" si="29"/>
        <v>13F-HR-5.30.C4</v>
      </c>
      <c r="K1877" s="5" t="s">
        <v>8618</v>
      </c>
      <c r="L1877" t="s">
        <v>8619</v>
      </c>
      <c r="M1877" t="s">
        <v>8620</v>
      </c>
      <c r="N1877" t="s">
        <v>8621</v>
      </c>
      <c r="Q1877" s="28">
        <v>2750975</v>
      </c>
    </row>
    <row r="1878" spans="1:17" x14ac:dyDescent="0.35">
      <c r="A1878" t="s">
        <v>8520</v>
      </c>
      <c r="B1878" s="3" t="s">
        <v>102</v>
      </c>
      <c r="F1878">
        <v>5</v>
      </c>
      <c r="G1878" t="s">
        <v>8607</v>
      </c>
      <c r="H1878">
        <v>31</v>
      </c>
      <c r="I1878" t="s">
        <v>9300</v>
      </c>
      <c r="J1878" t="str">
        <f t="shared" si="29"/>
        <v>13F-HR-5.31.C5</v>
      </c>
      <c r="K1878" s="5" t="s">
        <v>8622</v>
      </c>
      <c r="L1878" t="s">
        <v>241</v>
      </c>
      <c r="M1878" t="s">
        <v>8623</v>
      </c>
      <c r="N1878" t="s">
        <v>8624</v>
      </c>
      <c r="Q1878" s="28">
        <v>18368</v>
      </c>
    </row>
    <row r="1879" spans="1:17" x14ac:dyDescent="0.35">
      <c r="A1879" t="s">
        <v>8520</v>
      </c>
      <c r="B1879" s="3" t="s">
        <v>102</v>
      </c>
      <c r="F1879">
        <v>5</v>
      </c>
      <c r="G1879" t="s">
        <v>8607</v>
      </c>
      <c r="H1879">
        <v>32</v>
      </c>
      <c r="I1879" t="s">
        <v>9301</v>
      </c>
      <c r="J1879" t="str">
        <f t="shared" si="29"/>
        <v>13F-HR-5.32.C6</v>
      </c>
      <c r="K1879" s="5" t="s">
        <v>8625</v>
      </c>
      <c r="L1879" t="s">
        <v>229</v>
      </c>
      <c r="M1879" t="s">
        <v>8626</v>
      </c>
      <c r="N1879" t="s">
        <v>8627</v>
      </c>
      <c r="Q1879" s="28" t="s">
        <v>8628</v>
      </c>
    </row>
    <row r="1880" spans="1:17" x14ac:dyDescent="0.35">
      <c r="A1880" t="s">
        <v>8520</v>
      </c>
      <c r="B1880" s="3" t="s">
        <v>102</v>
      </c>
      <c r="F1880">
        <v>5</v>
      </c>
      <c r="G1880" t="s">
        <v>8607</v>
      </c>
      <c r="H1880">
        <v>33</v>
      </c>
      <c r="I1880" t="s">
        <v>9302</v>
      </c>
      <c r="J1880" t="str">
        <f t="shared" si="29"/>
        <v>13F-HR-5.33.C7</v>
      </c>
      <c r="K1880" s="5" t="s">
        <v>8629</v>
      </c>
      <c r="L1880" t="s">
        <v>229</v>
      </c>
      <c r="M1880" t="s">
        <v>8630</v>
      </c>
      <c r="N1880" t="s">
        <v>8631</v>
      </c>
      <c r="Q1880" s="28" t="s">
        <v>8685</v>
      </c>
    </row>
    <row r="1881" spans="1:17" x14ac:dyDescent="0.35">
      <c r="A1881" t="s">
        <v>8520</v>
      </c>
      <c r="B1881" s="3" t="s">
        <v>102</v>
      </c>
      <c r="F1881">
        <v>5</v>
      </c>
      <c r="G1881" t="s">
        <v>8607</v>
      </c>
      <c r="H1881">
        <v>34</v>
      </c>
      <c r="I1881" t="s">
        <v>9303</v>
      </c>
      <c r="J1881" t="str">
        <f t="shared" si="29"/>
        <v>13F-HR-5.34.C8</v>
      </c>
      <c r="K1881" s="5" t="s">
        <v>8633</v>
      </c>
      <c r="L1881" t="s">
        <v>4735</v>
      </c>
      <c r="M1881" t="s">
        <v>8634</v>
      </c>
      <c r="N1881" t="s">
        <v>8635</v>
      </c>
      <c r="Q1881" s="28" t="s">
        <v>8632</v>
      </c>
    </row>
    <row r="1882" spans="1:17" x14ac:dyDescent="0.35">
      <c r="A1882" t="s">
        <v>8520</v>
      </c>
      <c r="B1882" s="3" t="s">
        <v>102</v>
      </c>
      <c r="F1882">
        <v>5</v>
      </c>
      <c r="G1882" t="s">
        <v>8607</v>
      </c>
      <c r="H1882">
        <v>35</v>
      </c>
      <c r="I1882" t="s">
        <v>9304</v>
      </c>
      <c r="J1882" t="str">
        <f t="shared" si="29"/>
        <v>13F-HR-5.35.C9</v>
      </c>
      <c r="K1882" s="5" t="s">
        <v>8637</v>
      </c>
      <c r="L1882" t="s">
        <v>229</v>
      </c>
      <c r="M1882" t="s">
        <v>8638</v>
      </c>
      <c r="N1882" t="s">
        <v>8639</v>
      </c>
      <c r="Q1882" s="28" t="s">
        <v>8636</v>
      </c>
    </row>
    <row r="1883" spans="1:17" x14ac:dyDescent="0.35">
      <c r="A1883" t="s">
        <v>8520</v>
      </c>
      <c r="B1883" s="3" t="s">
        <v>102</v>
      </c>
      <c r="F1883">
        <v>5</v>
      </c>
      <c r="G1883" t="s">
        <v>8607</v>
      </c>
      <c r="H1883">
        <v>36</v>
      </c>
      <c r="I1883" t="s">
        <v>9305</v>
      </c>
      <c r="J1883" t="str">
        <f t="shared" si="29"/>
        <v>13F-HR-5.36.C10</v>
      </c>
      <c r="K1883" s="5" t="s">
        <v>8640</v>
      </c>
      <c r="L1883" t="s">
        <v>241</v>
      </c>
      <c r="M1883" t="s">
        <v>8641</v>
      </c>
      <c r="N1883" t="s">
        <v>8642</v>
      </c>
      <c r="Q1883" s="28">
        <v>17525</v>
      </c>
    </row>
    <row r="1884" spans="1:17" x14ac:dyDescent="0.35">
      <c r="A1884" t="s">
        <v>8520</v>
      </c>
      <c r="B1884" s="3" t="s">
        <v>102</v>
      </c>
      <c r="F1884">
        <v>5</v>
      </c>
      <c r="G1884" t="s">
        <v>8607</v>
      </c>
      <c r="H1884">
        <v>37</v>
      </c>
      <c r="I1884" t="s">
        <v>9306</v>
      </c>
      <c r="J1884" t="str">
        <f t="shared" si="29"/>
        <v>13F-HR-5.37.C11</v>
      </c>
      <c r="K1884" s="5" t="s">
        <v>8643</v>
      </c>
      <c r="L1884" t="s">
        <v>241</v>
      </c>
      <c r="M1884" t="s">
        <v>8644</v>
      </c>
      <c r="N1884" t="s">
        <v>8645</v>
      </c>
      <c r="Q1884" s="28">
        <v>0</v>
      </c>
    </row>
    <row r="1885" spans="1:17" x14ac:dyDescent="0.35">
      <c r="A1885" t="s">
        <v>8520</v>
      </c>
      <c r="B1885" s="3" t="s">
        <v>102</v>
      </c>
      <c r="F1885">
        <v>5</v>
      </c>
      <c r="G1885" t="s">
        <v>8607</v>
      </c>
      <c r="H1885">
        <v>38</v>
      </c>
      <c r="I1885" t="s">
        <v>9307</v>
      </c>
      <c r="J1885" t="str">
        <f t="shared" si="29"/>
        <v>13F-HR-5.38.C12</v>
      </c>
      <c r="K1885" s="5" t="s">
        <v>8646</v>
      </c>
      <c r="L1885" t="s">
        <v>241</v>
      </c>
      <c r="M1885" t="s">
        <v>8647</v>
      </c>
      <c r="N1885" t="s">
        <v>8648</v>
      </c>
      <c r="Q1885" s="28">
        <v>843</v>
      </c>
    </row>
    <row r="1886" spans="1:17" x14ac:dyDescent="0.35">
      <c r="A1886" t="s">
        <v>8520</v>
      </c>
      <c r="B1886" s="3" t="s">
        <v>102</v>
      </c>
      <c r="F1886">
        <v>5</v>
      </c>
      <c r="G1886" t="s">
        <v>8607</v>
      </c>
      <c r="H1886">
        <v>27</v>
      </c>
      <c r="I1886" t="s">
        <v>9296</v>
      </c>
      <c r="J1886" t="str">
        <f t="shared" si="29"/>
        <v>13F-HR-5.27.C1</v>
      </c>
      <c r="K1886" s="5" t="s">
        <v>8608</v>
      </c>
      <c r="L1886" t="s">
        <v>229</v>
      </c>
      <c r="M1886" t="s">
        <v>8609</v>
      </c>
      <c r="N1886" t="s">
        <v>8610</v>
      </c>
      <c r="Q1886" s="28" t="s">
        <v>8899</v>
      </c>
    </row>
    <row r="1887" spans="1:17" x14ac:dyDescent="0.35">
      <c r="A1887" t="s">
        <v>8520</v>
      </c>
      <c r="B1887" s="3" t="s">
        <v>102</v>
      </c>
      <c r="F1887">
        <v>5</v>
      </c>
      <c r="G1887" t="s">
        <v>8607</v>
      </c>
      <c r="H1887">
        <v>28</v>
      </c>
      <c r="I1887" t="s">
        <v>9297</v>
      </c>
      <c r="J1887" t="str">
        <f t="shared" si="29"/>
        <v>13F-HR-5.28.C2</v>
      </c>
      <c r="K1887" s="5" t="s">
        <v>8612</v>
      </c>
      <c r="L1887" t="s">
        <v>229</v>
      </c>
      <c r="M1887" t="s">
        <v>8613</v>
      </c>
      <c r="N1887" t="s">
        <v>8614</v>
      </c>
      <c r="Q1887" s="28" t="s">
        <v>8615</v>
      </c>
    </row>
    <row r="1888" spans="1:17" x14ac:dyDescent="0.35">
      <c r="A1888" t="s">
        <v>8520</v>
      </c>
      <c r="B1888" s="3" t="s">
        <v>102</v>
      </c>
      <c r="F1888">
        <v>5</v>
      </c>
      <c r="G1888" t="s">
        <v>8607</v>
      </c>
      <c r="H1888">
        <v>29</v>
      </c>
      <c r="I1888" t="s">
        <v>9298</v>
      </c>
      <c r="J1888" t="str">
        <f t="shared" si="29"/>
        <v>13F-HR-5.29.C3</v>
      </c>
      <c r="K1888" s="5" t="s">
        <v>8616</v>
      </c>
      <c r="L1888" t="s">
        <v>229</v>
      </c>
      <c r="M1888" t="s">
        <v>7927</v>
      </c>
      <c r="N1888" t="s">
        <v>8617</v>
      </c>
      <c r="Q1888" s="28">
        <v>494368103</v>
      </c>
    </row>
    <row r="1889" spans="1:17" x14ac:dyDescent="0.35">
      <c r="A1889" t="s">
        <v>8520</v>
      </c>
      <c r="B1889" s="3" t="s">
        <v>102</v>
      </c>
      <c r="F1889">
        <v>5</v>
      </c>
      <c r="G1889" t="s">
        <v>8607</v>
      </c>
      <c r="H1889">
        <v>30</v>
      </c>
      <c r="I1889" t="s">
        <v>9299</v>
      </c>
      <c r="J1889" t="str">
        <f t="shared" si="29"/>
        <v>13F-HR-5.30.C4</v>
      </c>
      <c r="K1889" s="5" t="s">
        <v>8618</v>
      </c>
      <c r="L1889" t="s">
        <v>8619</v>
      </c>
      <c r="M1889" t="s">
        <v>8620</v>
      </c>
      <c r="N1889" t="s">
        <v>8621</v>
      </c>
      <c r="Q1889" s="28">
        <v>3573562</v>
      </c>
    </row>
    <row r="1890" spans="1:17" x14ac:dyDescent="0.35">
      <c r="A1890" t="s">
        <v>8520</v>
      </c>
      <c r="B1890" s="3" t="s">
        <v>102</v>
      </c>
      <c r="F1890">
        <v>5</v>
      </c>
      <c r="G1890" t="s">
        <v>8607</v>
      </c>
      <c r="H1890">
        <v>31</v>
      </c>
      <c r="I1890" t="s">
        <v>9300</v>
      </c>
      <c r="J1890" t="str">
        <f t="shared" si="29"/>
        <v>13F-HR-5.31.C5</v>
      </c>
      <c r="K1890" s="5" t="s">
        <v>8622</v>
      </c>
      <c r="L1890" t="s">
        <v>241</v>
      </c>
      <c r="M1890" t="s">
        <v>8623</v>
      </c>
      <c r="N1890" t="s">
        <v>8624</v>
      </c>
      <c r="Q1890" s="28">
        <v>25127</v>
      </c>
    </row>
    <row r="1891" spans="1:17" x14ac:dyDescent="0.35">
      <c r="A1891" t="s">
        <v>8520</v>
      </c>
      <c r="B1891" s="3" t="s">
        <v>102</v>
      </c>
      <c r="F1891">
        <v>5</v>
      </c>
      <c r="G1891" t="s">
        <v>8607</v>
      </c>
      <c r="H1891">
        <v>32</v>
      </c>
      <c r="I1891" t="s">
        <v>9301</v>
      </c>
      <c r="J1891" t="str">
        <f t="shared" si="29"/>
        <v>13F-HR-5.32.C6</v>
      </c>
      <c r="K1891" s="5" t="s">
        <v>8625</v>
      </c>
      <c r="L1891" t="s">
        <v>229</v>
      </c>
      <c r="M1891" t="s">
        <v>8626</v>
      </c>
      <c r="N1891" t="s">
        <v>8627</v>
      </c>
      <c r="Q1891" s="28" t="s">
        <v>8628</v>
      </c>
    </row>
    <row r="1892" spans="1:17" x14ac:dyDescent="0.35">
      <c r="A1892" t="s">
        <v>8520</v>
      </c>
      <c r="B1892" s="3" t="s">
        <v>102</v>
      </c>
      <c r="F1892">
        <v>5</v>
      </c>
      <c r="G1892" t="s">
        <v>8607</v>
      </c>
      <c r="H1892">
        <v>33</v>
      </c>
      <c r="I1892" t="s">
        <v>9302</v>
      </c>
      <c r="J1892" t="str">
        <f t="shared" si="29"/>
        <v>13F-HR-5.33.C7</v>
      </c>
      <c r="K1892" s="5" t="s">
        <v>8629</v>
      </c>
      <c r="L1892" t="s">
        <v>229</v>
      </c>
      <c r="M1892" t="s">
        <v>8630</v>
      </c>
      <c r="N1892" t="s">
        <v>8631</v>
      </c>
      <c r="Q1892" s="28" t="s">
        <v>8685</v>
      </c>
    </row>
    <row r="1893" spans="1:17" x14ac:dyDescent="0.35">
      <c r="A1893" t="s">
        <v>8520</v>
      </c>
      <c r="B1893" s="3" t="s">
        <v>102</v>
      </c>
      <c r="F1893">
        <v>5</v>
      </c>
      <c r="G1893" t="s">
        <v>8607</v>
      </c>
      <c r="H1893">
        <v>34</v>
      </c>
      <c r="I1893" t="s">
        <v>9303</v>
      </c>
      <c r="J1893" t="str">
        <f t="shared" si="29"/>
        <v>13F-HR-5.34.C8</v>
      </c>
      <c r="K1893" s="5" t="s">
        <v>8633</v>
      </c>
      <c r="L1893" t="s">
        <v>4735</v>
      </c>
      <c r="M1893" t="s">
        <v>8634</v>
      </c>
      <c r="N1893" t="s">
        <v>8635</v>
      </c>
      <c r="Q1893" s="28" t="s">
        <v>8632</v>
      </c>
    </row>
    <row r="1894" spans="1:17" x14ac:dyDescent="0.35">
      <c r="A1894" t="s">
        <v>8520</v>
      </c>
      <c r="B1894" s="3" t="s">
        <v>102</v>
      </c>
      <c r="F1894">
        <v>5</v>
      </c>
      <c r="G1894" t="s">
        <v>8607</v>
      </c>
      <c r="H1894">
        <v>35</v>
      </c>
      <c r="I1894" t="s">
        <v>9304</v>
      </c>
      <c r="J1894" t="str">
        <f t="shared" si="29"/>
        <v>13F-HR-5.35.C9</v>
      </c>
      <c r="K1894" s="5" t="s">
        <v>8637</v>
      </c>
      <c r="L1894" t="s">
        <v>229</v>
      </c>
      <c r="M1894" t="s">
        <v>8638</v>
      </c>
      <c r="N1894" t="s">
        <v>8639</v>
      </c>
      <c r="Q1894" s="28" t="s">
        <v>8636</v>
      </c>
    </row>
    <row r="1895" spans="1:17" x14ac:dyDescent="0.35">
      <c r="A1895" t="s">
        <v>8520</v>
      </c>
      <c r="B1895" s="3" t="s">
        <v>102</v>
      </c>
      <c r="F1895">
        <v>5</v>
      </c>
      <c r="G1895" t="s">
        <v>8607</v>
      </c>
      <c r="H1895">
        <v>36</v>
      </c>
      <c r="I1895" t="s">
        <v>9305</v>
      </c>
      <c r="J1895" t="str">
        <f t="shared" si="29"/>
        <v>13F-HR-5.36.C10</v>
      </c>
      <c r="K1895" s="5" t="s">
        <v>8640</v>
      </c>
      <c r="L1895" t="s">
        <v>241</v>
      </c>
      <c r="M1895" t="s">
        <v>8641</v>
      </c>
      <c r="N1895" t="s">
        <v>8642</v>
      </c>
      <c r="Q1895" s="28">
        <v>0</v>
      </c>
    </row>
    <row r="1896" spans="1:17" x14ac:dyDescent="0.35">
      <c r="A1896" t="s">
        <v>8520</v>
      </c>
      <c r="B1896" s="3" t="s">
        <v>102</v>
      </c>
      <c r="F1896">
        <v>5</v>
      </c>
      <c r="G1896" t="s">
        <v>8607</v>
      </c>
      <c r="H1896">
        <v>37</v>
      </c>
      <c r="I1896" t="s">
        <v>9306</v>
      </c>
      <c r="J1896" t="str">
        <f t="shared" si="29"/>
        <v>13F-HR-5.37.C11</v>
      </c>
      <c r="K1896" s="5" t="s">
        <v>8643</v>
      </c>
      <c r="L1896" t="s">
        <v>241</v>
      </c>
      <c r="M1896" t="s">
        <v>8644</v>
      </c>
      <c r="N1896" t="s">
        <v>8645</v>
      </c>
      <c r="Q1896" s="28">
        <v>0</v>
      </c>
    </row>
    <row r="1897" spans="1:17" x14ac:dyDescent="0.35">
      <c r="A1897" t="s">
        <v>8520</v>
      </c>
      <c r="B1897" s="3" t="s">
        <v>102</v>
      </c>
      <c r="F1897">
        <v>5</v>
      </c>
      <c r="G1897" t="s">
        <v>8607</v>
      </c>
      <c r="H1897">
        <v>38</v>
      </c>
      <c r="I1897" t="s">
        <v>9307</v>
      </c>
      <c r="J1897" t="str">
        <f t="shared" si="29"/>
        <v>13F-HR-5.38.C12</v>
      </c>
      <c r="K1897" s="5" t="s">
        <v>8646</v>
      </c>
      <c r="L1897" t="s">
        <v>241</v>
      </c>
      <c r="M1897" t="s">
        <v>8647</v>
      </c>
      <c r="N1897" t="s">
        <v>8648</v>
      </c>
      <c r="Q1897" s="28">
        <v>25127</v>
      </c>
    </row>
    <row r="1898" spans="1:17" x14ac:dyDescent="0.35">
      <c r="A1898" t="s">
        <v>8520</v>
      </c>
      <c r="B1898" s="3" t="s">
        <v>102</v>
      </c>
      <c r="F1898">
        <v>5</v>
      </c>
      <c r="G1898" t="s">
        <v>8607</v>
      </c>
      <c r="H1898">
        <v>27</v>
      </c>
      <c r="I1898" t="s">
        <v>9296</v>
      </c>
      <c r="J1898" t="str">
        <f t="shared" si="29"/>
        <v>13F-HR-5.27.C1</v>
      </c>
      <c r="K1898" s="5" t="s">
        <v>8608</v>
      </c>
      <c r="L1898" t="s">
        <v>229</v>
      </c>
      <c r="M1898" t="s">
        <v>8609</v>
      </c>
      <c r="N1898" t="s">
        <v>8610</v>
      </c>
      <c r="Q1898" s="28" t="s">
        <v>8900</v>
      </c>
    </row>
    <row r="1899" spans="1:17" x14ac:dyDescent="0.35">
      <c r="A1899" t="s">
        <v>8520</v>
      </c>
      <c r="B1899" s="3" t="s">
        <v>102</v>
      </c>
      <c r="F1899">
        <v>5</v>
      </c>
      <c r="G1899" t="s">
        <v>8607</v>
      </c>
      <c r="H1899">
        <v>28</v>
      </c>
      <c r="I1899" t="s">
        <v>9297</v>
      </c>
      <c r="J1899" t="str">
        <f t="shared" si="29"/>
        <v>13F-HR-5.28.C2</v>
      </c>
      <c r="K1899" s="5" t="s">
        <v>8612</v>
      </c>
      <c r="L1899" t="s">
        <v>229</v>
      </c>
      <c r="M1899" t="s">
        <v>8613</v>
      </c>
      <c r="N1899" t="s">
        <v>8614</v>
      </c>
      <c r="Q1899" s="28" t="s">
        <v>8615</v>
      </c>
    </row>
    <row r="1900" spans="1:17" x14ac:dyDescent="0.35">
      <c r="A1900" t="s">
        <v>8520</v>
      </c>
      <c r="B1900" s="3" t="s">
        <v>102</v>
      </c>
      <c r="F1900">
        <v>5</v>
      </c>
      <c r="G1900" t="s">
        <v>8607</v>
      </c>
      <c r="H1900">
        <v>29</v>
      </c>
      <c r="I1900" t="s">
        <v>9298</v>
      </c>
      <c r="J1900" t="str">
        <f t="shared" si="29"/>
        <v>13F-HR-5.29.C3</v>
      </c>
      <c r="K1900" s="5" t="s">
        <v>8616</v>
      </c>
      <c r="L1900" t="s">
        <v>229</v>
      </c>
      <c r="M1900" t="s">
        <v>7927</v>
      </c>
      <c r="N1900" t="s">
        <v>8617</v>
      </c>
      <c r="Q1900" s="28">
        <v>500754106</v>
      </c>
    </row>
    <row r="1901" spans="1:17" x14ac:dyDescent="0.35">
      <c r="A1901" t="s">
        <v>8520</v>
      </c>
      <c r="B1901" s="3" t="s">
        <v>102</v>
      </c>
      <c r="F1901">
        <v>5</v>
      </c>
      <c r="G1901" t="s">
        <v>8607</v>
      </c>
      <c r="H1901">
        <v>30</v>
      </c>
      <c r="I1901" t="s">
        <v>9299</v>
      </c>
      <c r="J1901" t="str">
        <f t="shared" si="29"/>
        <v>13F-HR-5.30.C4</v>
      </c>
      <c r="K1901" s="5" t="s">
        <v>8618</v>
      </c>
      <c r="L1901" t="s">
        <v>8619</v>
      </c>
      <c r="M1901" t="s">
        <v>8620</v>
      </c>
      <c r="N1901" t="s">
        <v>8621</v>
      </c>
      <c r="Q1901" s="28">
        <v>2930500</v>
      </c>
    </row>
    <row r="1902" spans="1:17" x14ac:dyDescent="0.35">
      <c r="A1902" t="s">
        <v>8520</v>
      </c>
      <c r="B1902" s="3" t="s">
        <v>102</v>
      </c>
      <c r="F1902">
        <v>5</v>
      </c>
      <c r="G1902" t="s">
        <v>8607</v>
      </c>
      <c r="H1902">
        <v>31</v>
      </c>
      <c r="I1902" t="s">
        <v>9300</v>
      </c>
      <c r="J1902" t="str">
        <f t="shared" si="29"/>
        <v>13F-HR-5.31.C5</v>
      </c>
      <c r="K1902" s="5" t="s">
        <v>8622</v>
      </c>
      <c r="L1902" t="s">
        <v>241</v>
      </c>
      <c r="M1902" t="s">
        <v>8623</v>
      </c>
      <c r="N1902" t="s">
        <v>8624</v>
      </c>
      <c r="Q1902" s="28">
        <v>96303</v>
      </c>
    </row>
    <row r="1903" spans="1:17" x14ac:dyDescent="0.35">
      <c r="A1903" t="s">
        <v>8520</v>
      </c>
      <c r="B1903" s="3" t="s">
        <v>102</v>
      </c>
      <c r="F1903">
        <v>5</v>
      </c>
      <c r="G1903" t="s">
        <v>8607</v>
      </c>
      <c r="H1903">
        <v>32</v>
      </c>
      <c r="I1903" t="s">
        <v>9301</v>
      </c>
      <c r="J1903" t="str">
        <f t="shared" si="29"/>
        <v>13F-HR-5.32.C6</v>
      </c>
      <c r="K1903" s="5" t="s">
        <v>8625</v>
      </c>
      <c r="L1903" t="s">
        <v>229</v>
      </c>
      <c r="M1903" t="s">
        <v>8626</v>
      </c>
      <c r="N1903" t="s">
        <v>8627</v>
      </c>
      <c r="Q1903" s="28" t="s">
        <v>8628</v>
      </c>
    </row>
    <row r="1904" spans="1:17" x14ac:dyDescent="0.35">
      <c r="A1904" t="s">
        <v>8520</v>
      </c>
      <c r="B1904" s="3" t="s">
        <v>102</v>
      </c>
      <c r="F1904">
        <v>5</v>
      </c>
      <c r="G1904" t="s">
        <v>8607</v>
      </c>
      <c r="H1904">
        <v>33</v>
      </c>
      <c r="I1904" t="s">
        <v>9302</v>
      </c>
      <c r="J1904" t="str">
        <f t="shared" si="29"/>
        <v>13F-HR-5.33.C7</v>
      </c>
      <c r="K1904" s="5" t="s">
        <v>8629</v>
      </c>
      <c r="L1904" t="s">
        <v>229</v>
      </c>
      <c r="M1904" t="s">
        <v>8630</v>
      </c>
      <c r="N1904" t="s">
        <v>8631</v>
      </c>
      <c r="Q1904" s="28" t="s">
        <v>8685</v>
      </c>
    </row>
    <row r="1905" spans="1:17" x14ac:dyDescent="0.35">
      <c r="A1905" t="s">
        <v>8520</v>
      </c>
      <c r="B1905" s="3" t="s">
        <v>102</v>
      </c>
      <c r="F1905">
        <v>5</v>
      </c>
      <c r="G1905" t="s">
        <v>8607</v>
      </c>
      <c r="H1905">
        <v>34</v>
      </c>
      <c r="I1905" t="s">
        <v>9303</v>
      </c>
      <c r="J1905" t="str">
        <f t="shared" si="29"/>
        <v>13F-HR-5.34.C8</v>
      </c>
      <c r="K1905" s="5" t="s">
        <v>8633</v>
      </c>
      <c r="L1905" t="s">
        <v>4735</v>
      </c>
      <c r="M1905" t="s">
        <v>8634</v>
      </c>
      <c r="N1905" t="s">
        <v>8635</v>
      </c>
      <c r="Q1905" s="28" t="s">
        <v>8632</v>
      </c>
    </row>
    <row r="1906" spans="1:17" x14ac:dyDescent="0.35">
      <c r="A1906" t="s">
        <v>8520</v>
      </c>
      <c r="B1906" s="3" t="s">
        <v>102</v>
      </c>
      <c r="F1906">
        <v>5</v>
      </c>
      <c r="G1906" t="s">
        <v>8607</v>
      </c>
      <c r="H1906">
        <v>35</v>
      </c>
      <c r="I1906" t="s">
        <v>9304</v>
      </c>
      <c r="J1906" t="str">
        <f t="shared" si="29"/>
        <v>13F-HR-5.35.C9</v>
      </c>
      <c r="K1906" s="5" t="s">
        <v>8637</v>
      </c>
      <c r="L1906" t="s">
        <v>229</v>
      </c>
      <c r="M1906" t="s">
        <v>8638</v>
      </c>
      <c r="N1906" t="s">
        <v>8639</v>
      </c>
      <c r="Q1906" s="28" t="s">
        <v>8636</v>
      </c>
    </row>
    <row r="1907" spans="1:17" x14ac:dyDescent="0.35">
      <c r="A1907" t="s">
        <v>8520</v>
      </c>
      <c r="B1907" s="3" t="s">
        <v>102</v>
      </c>
      <c r="F1907">
        <v>5</v>
      </c>
      <c r="G1907" t="s">
        <v>8607</v>
      </c>
      <c r="H1907">
        <v>36</v>
      </c>
      <c r="I1907" t="s">
        <v>9305</v>
      </c>
      <c r="J1907" t="str">
        <f t="shared" si="29"/>
        <v>13F-HR-5.36.C10</v>
      </c>
      <c r="K1907" s="5" t="s">
        <v>8640</v>
      </c>
      <c r="L1907" t="s">
        <v>241</v>
      </c>
      <c r="M1907" t="s">
        <v>8641</v>
      </c>
      <c r="N1907" t="s">
        <v>8642</v>
      </c>
      <c r="Q1907" s="28">
        <v>0</v>
      </c>
    </row>
    <row r="1908" spans="1:17" x14ac:dyDescent="0.35">
      <c r="A1908" t="s">
        <v>8520</v>
      </c>
      <c r="B1908" s="3" t="s">
        <v>102</v>
      </c>
      <c r="F1908">
        <v>5</v>
      </c>
      <c r="G1908" t="s">
        <v>8607</v>
      </c>
      <c r="H1908">
        <v>37</v>
      </c>
      <c r="I1908" t="s">
        <v>9306</v>
      </c>
      <c r="J1908" t="str">
        <f t="shared" si="29"/>
        <v>13F-HR-5.37.C11</v>
      </c>
      <c r="K1908" s="5" t="s">
        <v>8643</v>
      </c>
      <c r="L1908" t="s">
        <v>241</v>
      </c>
      <c r="M1908" t="s">
        <v>8644</v>
      </c>
      <c r="N1908" t="s">
        <v>8645</v>
      </c>
      <c r="Q1908" s="28">
        <v>0</v>
      </c>
    </row>
    <row r="1909" spans="1:17" x14ac:dyDescent="0.35">
      <c r="A1909" t="s">
        <v>8520</v>
      </c>
      <c r="B1909" s="3" t="s">
        <v>102</v>
      </c>
      <c r="F1909">
        <v>5</v>
      </c>
      <c r="G1909" t="s">
        <v>8607</v>
      </c>
      <c r="H1909">
        <v>38</v>
      </c>
      <c r="I1909" t="s">
        <v>9307</v>
      </c>
      <c r="J1909" t="str">
        <f t="shared" si="29"/>
        <v>13F-HR-5.38.C12</v>
      </c>
      <c r="K1909" s="5" t="s">
        <v>8646</v>
      </c>
      <c r="L1909" t="s">
        <v>241</v>
      </c>
      <c r="M1909" t="s">
        <v>8647</v>
      </c>
      <c r="N1909" t="s">
        <v>8648</v>
      </c>
      <c r="Q1909" s="28">
        <v>96303</v>
      </c>
    </row>
    <row r="1910" spans="1:17" x14ac:dyDescent="0.35">
      <c r="A1910" t="s">
        <v>8520</v>
      </c>
      <c r="B1910" s="3" t="s">
        <v>102</v>
      </c>
      <c r="F1910">
        <v>5</v>
      </c>
      <c r="G1910" t="s">
        <v>8607</v>
      </c>
      <c r="H1910">
        <v>27</v>
      </c>
      <c r="I1910" t="s">
        <v>9296</v>
      </c>
      <c r="J1910" t="str">
        <f t="shared" si="29"/>
        <v>13F-HR-5.27.C1</v>
      </c>
      <c r="K1910" s="5" t="s">
        <v>8608</v>
      </c>
      <c r="L1910" t="s">
        <v>229</v>
      </c>
      <c r="M1910" t="s">
        <v>8609</v>
      </c>
      <c r="N1910" t="s">
        <v>8610</v>
      </c>
      <c r="Q1910" s="28" t="s">
        <v>8901</v>
      </c>
    </row>
    <row r="1911" spans="1:17" x14ac:dyDescent="0.35">
      <c r="A1911" t="s">
        <v>8520</v>
      </c>
      <c r="B1911" s="3" t="s">
        <v>102</v>
      </c>
      <c r="F1911">
        <v>5</v>
      </c>
      <c r="G1911" t="s">
        <v>8607</v>
      </c>
      <c r="H1911">
        <v>28</v>
      </c>
      <c r="I1911" t="s">
        <v>9297</v>
      </c>
      <c r="J1911" t="str">
        <f t="shared" si="29"/>
        <v>13F-HR-5.28.C2</v>
      </c>
      <c r="K1911" s="5" t="s">
        <v>8612</v>
      </c>
      <c r="L1911" t="s">
        <v>229</v>
      </c>
      <c r="M1911" t="s">
        <v>8613</v>
      </c>
      <c r="N1911" t="s">
        <v>8614</v>
      </c>
      <c r="Q1911" s="28" t="s">
        <v>8615</v>
      </c>
    </row>
    <row r="1912" spans="1:17" x14ac:dyDescent="0.35">
      <c r="A1912" t="s">
        <v>8520</v>
      </c>
      <c r="B1912" s="3" t="s">
        <v>102</v>
      </c>
      <c r="F1912">
        <v>5</v>
      </c>
      <c r="G1912" t="s">
        <v>8607</v>
      </c>
      <c r="H1912">
        <v>29</v>
      </c>
      <c r="I1912" t="s">
        <v>9298</v>
      </c>
      <c r="J1912" t="str">
        <f t="shared" si="29"/>
        <v>13F-HR-5.29.C3</v>
      </c>
      <c r="K1912" s="5" t="s">
        <v>8616</v>
      </c>
      <c r="L1912" t="s">
        <v>229</v>
      </c>
      <c r="M1912" t="s">
        <v>7927</v>
      </c>
      <c r="N1912" t="s">
        <v>8617</v>
      </c>
      <c r="Q1912" s="28">
        <v>502431109</v>
      </c>
    </row>
    <row r="1913" spans="1:17" x14ac:dyDescent="0.35">
      <c r="A1913" t="s">
        <v>8520</v>
      </c>
      <c r="B1913" s="3" t="s">
        <v>102</v>
      </c>
      <c r="F1913">
        <v>5</v>
      </c>
      <c r="G1913" t="s">
        <v>8607</v>
      </c>
      <c r="H1913">
        <v>30</v>
      </c>
      <c r="I1913" t="s">
        <v>9299</v>
      </c>
      <c r="J1913" t="str">
        <f t="shared" si="29"/>
        <v>13F-HR-5.30.C4</v>
      </c>
      <c r="K1913" s="5" t="s">
        <v>8618</v>
      </c>
      <c r="L1913" t="s">
        <v>8619</v>
      </c>
      <c r="M1913" t="s">
        <v>8620</v>
      </c>
      <c r="N1913" t="s">
        <v>8621</v>
      </c>
      <c r="Q1913" s="28">
        <v>13308348</v>
      </c>
    </row>
    <row r="1914" spans="1:17" x14ac:dyDescent="0.35">
      <c r="A1914" t="s">
        <v>8520</v>
      </c>
      <c r="B1914" s="3" t="s">
        <v>102</v>
      </c>
      <c r="F1914">
        <v>5</v>
      </c>
      <c r="G1914" t="s">
        <v>8607</v>
      </c>
      <c r="H1914">
        <v>31</v>
      </c>
      <c r="I1914" t="s">
        <v>9300</v>
      </c>
      <c r="J1914" t="str">
        <f t="shared" si="29"/>
        <v>13F-HR-5.31.C5</v>
      </c>
      <c r="K1914" s="5" t="s">
        <v>8622</v>
      </c>
      <c r="L1914" t="s">
        <v>241</v>
      </c>
      <c r="M1914" t="s">
        <v>8623</v>
      </c>
      <c r="N1914" t="s">
        <v>8624</v>
      </c>
      <c r="Q1914" s="28">
        <v>63582</v>
      </c>
    </row>
    <row r="1915" spans="1:17" x14ac:dyDescent="0.35">
      <c r="A1915" t="s">
        <v>8520</v>
      </c>
      <c r="B1915" s="3" t="s">
        <v>102</v>
      </c>
      <c r="F1915">
        <v>5</v>
      </c>
      <c r="G1915" t="s">
        <v>8607</v>
      </c>
      <c r="H1915">
        <v>32</v>
      </c>
      <c r="I1915" t="s">
        <v>9301</v>
      </c>
      <c r="J1915" t="str">
        <f t="shared" si="29"/>
        <v>13F-HR-5.32.C6</v>
      </c>
      <c r="K1915" s="5" t="s">
        <v>8625</v>
      </c>
      <c r="L1915" t="s">
        <v>229</v>
      </c>
      <c r="M1915" t="s">
        <v>8626</v>
      </c>
      <c r="N1915" t="s">
        <v>8627</v>
      </c>
      <c r="Q1915" s="28" t="s">
        <v>8628</v>
      </c>
    </row>
    <row r="1916" spans="1:17" x14ac:dyDescent="0.35">
      <c r="A1916" t="s">
        <v>8520</v>
      </c>
      <c r="B1916" s="3" t="s">
        <v>102</v>
      </c>
      <c r="F1916">
        <v>5</v>
      </c>
      <c r="G1916" t="s">
        <v>8607</v>
      </c>
      <c r="H1916">
        <v>33</v>
      </c>
      <c r="I1916" t="s">
        <v>9302</v>
      </c>
      <c r="J1916" t="str">
        <f t="shared" si="29"/>
        <v>13F-HR-5.33.C7</v>
      </c>
      <c r="K1916" s="5" t="s">
        <v>8629</v>
      </c>
      <c r="L1916" t="s">
        <v>229</v>
      </c>
      <c r="M1916" t="s">
        <v>8630</v>
      </c>
      <c r="N1916" t="s">
        <v>8631</v>
      </c>
      <c r="Q1916" s="28" t="s">
        <v>8685</v>
      </c>
    </row>
    <row r="1917" spans="1:17" x14ac:dyDescent="0.35">
      <c r="A1917" t="s">
        <v>8520</v>
      </c>
      <c r="B1917" s="3" t="s">
        <v>102</v>
      </c>
      <c r="F1917">
        <v>5</v>
      </c>
      <c r="G1917" t="s">
        <v>8607</v>
      </c>
      <c r="H1917">
        <v>34</v>
      </c>
      <c r="I1917" t="s">
        <v>9303</v>
      </c>
      <c r="J1917" t="str">
        <f t="shared" si="29"/>
        <v>13F-HR-5.34.C8</v>
      </c>
      <c r="K1917" s="5" t="s">
        <v>8633</v>
      </c>
      <c r="L1917" t="s">
        <v>4735</v>
      </c>
      <c r="M1917" t="s">
        <v>8634</v>
      </c>
      <c r="N1917" t="s">
        <v>8635</v>
      </c>
      <c r="Q1917" s="28" t="s">
        <v>8632</v>
      </c>
    </row>
    <row r="1918" spans="1:17" x14ac:dyDescent="0.35">
      <c r="A1918" t="s">
        <v>8520</v>
      </c>
      <c r="B1918" s="3" t="s">
        <v>102</v>
      </c>
      <c r="F1918">
        <v>5</v>
      </c>
      <c r="G1918" t="s">
        <v>8607</v>
      </c>
      <c r="H1918">
        <v>35</v>
      </c>
      <c r="I1918" t="s">
        <v>9304</v>
      </c>
      <c r="J1918" t="str">
        <f t="shared" si="29"/>
        <v>13F-HR-5.35.C9</v>
      </c>
      <c r="K1918" s="5" t="s">
        <v>8637</v>
      </c>
      <c r="L1918" t="s">
        <v>229</v>
      </c>
      <c r="M1918" t="s">
        <v>8638</v>
      </c>
      <c r="N1918" t="s">
        <v>8639</v>
      </c>
      <c r="Q1918" s="28" t="s">
        <v>8636</v>
      </c>
    </row>
    <row r="1919" spans="1:17" x14ac:dyDescent="0.35">
      <c r="A1919" t="s">
        <v>8520</v>
      </c>
      <c r="B1919" s="3" t="s">
        <v>102</v>
      </c>
      <c r="F1919">
        <v>5</v>
      </c>
      <c r="G1919" t="s">
        <v>8607</v>
      </c>
      <c r="H1919">
        <v>36</v>
      </c>
      <c r="I1919" t="s">
        <v>9305</v>
      </c>
      <c r="J1919" t="str">
        <f t="shared" si="29"/>
        <v>13F-HR-5.36.C10</v>
      </c>
      <c r="K1919" s="5" t="s">
        <v>8640</v>
      </c>
      <c r="L1919" t="s">
        <v>241</v>
      </c>
      <c r="M1919" t="s">
        <v>8641</v>
      </c>
      <c r="N1919" t="s">
        <v>8642</v>
      </c>
      <c r="Q1919" s="28">
        <v>9967</v>
      </c>
    </row>
    <row r="1920" spans="1:17" x14ac:dyDescent="0.35">
      <c r="A1920" t="s">
        <v>8520</v>
      </c>
      <c r="B1920" s="3" t="s">
        <v>102</v>
      </c>
      <c r="F1920">
        <v>5</v>
      </c>
      <c r="G1920" t="s">
        <v>8607</v>
      </c>
      <c r="H1920">
        <v>37</v>
      </c>
      <c r="I1920" t="s">
        <v>9306</v>
      </c>
      <c r="J1920" t="str">
        <f t="shared" si="29"/>
        <v>13F-HR-5.37.C11</v>
      </c>
      <c r="K1920" s="5" t="s">
        <v>8643</v>
      </c>
      <c r="L1920" t="s">
        <v>241</v>
      </c>
      <c r="M1920" t="s">
        <v>8644</v>
      </c>
      <c r="N1920" t="s">
        <v>8645</v>
      </c>
      <c r="Q1920" s="28">
        <v>0</v>
      </c>
    </row>
    <row r="1921" spans="1:17" x14ac:dyDescent="0.35">
      <c r="A1921" t="s">
        <v>8520</v>
      </c>
      <c r="B1921" s="3" t="s">
        <v>102</v>
      </c>
      <c r="F1921">
        <v>5</v>
      </c>
      <c r="G1921" t="s">
        <v>8607</v>
      </c>
      <c r="H1921">
        <v>38</v>
      </c>
      <c r="I1921" t="s">
        <v>9307</v>
      </c>
      <c r="J1921" t="str">
        <f t="shared" si="29"/>
        <v>13F-HR-5.38.C12</v>
      </c>
      <c r="K1921" s="5" t="s">
        <v>8646</v>
      </c>
      <c r="L1921" t="s">
        <v>241</v>
      </c>
      <c r="M1921" t="s">
        <v>8647</v>
      </c>
      <c r="N1921" t="s">
        <v>8648</v>
      </c>
      <c r="Q1921" s="28">
        <v>53615</v>
      </c>
    </row>
    <row r="1922" spans="1:17" x14ac:dyDescent="0.35">
      <c r="A1922" t="s">
        <v>8520</v>
      </c>
      <c r="B1922" s="3" t="s">
        <v>102</v>
      </c>
      <c r="F1922">
        <v>5</v>
      </c>
      <c r="G1922" t="s">
        <v>8607</v>
      </c>
      <c r="H1922">
        <v>27</v>
      </c>
      <c r="I1922" t="s">
        <v>9296</v>
      </c>
      <c r="J1922" t="str">
        <f t="shared" si="29"/>
        <v>13F-HR-5.27.C1</v>
      </c>
      <c r="K1922" s="5" t="s">
        <v>8608</v>
      </c>
      <c r="L1922" t="s">
        <v>229</v>
      </c>
      <c r="M1922" t="s">
        <v>8609</v>
      </c>
      <c r="N1922" t="s">
        <v>8610</v>
      </c>
      <c r="Q1922" s="28" t="s">
        <v>8902</v>
      </c>
    </row>
    <row r="1923" spans="1:17" x14ac:dyDescent="0.35">
      <c r="A1923" t="s">
        <v>8520</v>
      </c>
      <c r="B1923" s="3" t="s">
        <v>102</v>
      </c>
      <c r="F1923">
        <v>5</v>
      </c>
      <c r="G1923" t="s">
        <v>8607</v>
      </c>
      <c r="H1923">
        <v>28</v>
      </c>
      <c r="I1923" t="s">
        <v>9297</v>
      </c>
      <c r="J1923" t="str">
        <f t="shared" ref="J1923:J1986" si="30">_xlfn.CONCAT(A1923,"-",F1923,".",H1923,".",I1923)</f>
        <v>13F-HR-5.28.C2</v>
      </c>
      <c r="K1923" s="5" t="s">
        <v>8612</v>
      </c>
      <c r="L1923" t="s">
        <v>229</v>
      </c>
      <c r="M1923" t="s">
        <v>8613</v>
      </c>
      <c r="N1923" t="s">
        <v>8614</v>
      </c>
      <c r="Q1923" s="28" t="s">
        <v>8706</v>
      </c>
    </row>
    <row r="1924" spans="1:17" x14ac:dyDescent="0.35">
      <c r="A1924" t="s">
        <v>8520</v>
      </c>
      <c r="B1924" s="3" t="s">
        <v>102</v>
      </c>
      <c r="F1924">
        <v>5</v>
      </c>
      <c r="G1924" t="s">
        <v>8607</v>
      </c>
      <c r="H1924">
        <v>29</v>
      </c>
      <c r="I1924" t="s">
        <v>9298</v>
      </c>
      <c r="J1924" t="str">
        <f t="shared" si="30"/>
        <v>13F-HR-5.29.C3</v>
      </c>
      <c r="K1924" s="5" t="s">
        <v>8616</v>
      </c>
      <c r="L1924" t="s">
        <v>229</v>
      </c>
      <c r="M1924" t="s">
        <v>7927</v>
      </c>
      <c r="N1924" t="s">
        <v>8617</v>
      </c>
      <c r="Q1924" s="28">
        <v>518439104</v>
      </c>
    </row>
    <row r="1925" spans="1:17" x14ac:dyDescent="0.35">
      <c r="A1925" t="s">
        <v>8520</v>
      </c>
      <c r="B1925" s="3" t="s">
        <v>102</v>
      </c>
      <c r="F1925">
        <v>5</v>
      </c>
      <c r="G1925" t="s">
        <v>8607</v>
      </c>
      <c r="H1925">
        <v>30</v>
      </c>
      <c r="I1925" t="s">
        <v>9299</v>
      </c>
      <c r="J1925" t="str">
        <f t="shared" si="30"/>
        <v>13F-HR-5.30.C4</v>
      </c>
      <c r="K1925" s="5" t="s">
        <v>8618</v>
      </c>
      <c r="L1925" t="s">
        <v>8619</v>
      </c>
      <c r="M1925" t="s">
        <v>8620</v>
      </c>
      <c r="N1925" t="s">
        <v>8621</v>
      </c>
      <c r="Q1925" s="28">
        <v>1938816</v>
      </c>
    </row>
    <row r="1926" spans="1:17" x14ac:dyDescent="0.35">
      <c r="A1926" t="s">
        <v>8520</v>
      </c>
      <c r="B1926" s="3" t="s">
        <v>102</v>
      </c>
      <c r="F1926">
        <v>5</v>
      </c>
      <c r="G1926" t="s">
        <v>8607</v>
      </c>
      <c r="H1926">
        <v>31</v>
      </c>
      <c r="I1926" t="s">
        <v>9300</v>
      </c>
      <c r="J1926" t="str">
        <f t="shared" si="30"/>
        <v>13F-HR-5.31.C5</v>
      </c>
      <c r="K1926" s="5" t="s">
        <v>8622</v>
      </c>
      <c r="L1926" t="s">
        <v>241</v>
      </c>
      <c r="M1926" t="s">
        <v>8623</v>
      </c>
      <c r="N1926" t="s">
        <v>8624</v>
      </c>
      <c r="Q1926" s="28">
        <v>29376</v>
      </c>
    </row>
    <row r="1927" spans="1:17" x14ac:dyDescent="0.35">
      <c r="A1927" t="s">
        <v>8520</v>
      </c>
      <c r="B1927" s="3" t="s">
        <v>102</v>
      </c>
      <c r="F1927">
        <v>5</v>
      </c>
      <c r="G1927" t="s">
        <v>8607</v>
      </c>
      <c r="H1927">
        <v>32</v>
      </c>
      <c r="I1927" t="s">
        <v>9301</v>
      </c>
      <c r="J1927" t="str">
        <f t="shared" si="30"/>
        <v>13F-HR-5.32.C6</v>
      </c>
      <c r="K1927" s="5" t="s">
        <v>8625</v>
      </c>
      <c r="L1927" t="s">
        <v>229</v>
      </c>
      <c r="M1927" t="s">
        <v>8626</v>
      </c>
      <c r="N1927" t="s">
        <v>8627</v>
      </c>
      <c r="Q1927" s="28" t="s">
        <v>8628</v>
      </c>
    </row>
    <row r="1928" spans="1:17" x14ac:dyDescent="0.35">
      <c r="A1928" t="s">
        <v>8520</v>
      </c>
      <c r="B1928" s="3" t="s">
        <v>102</v>
      </c>
      <c r="F1928">
        <v>5</v>
      </c>
      <c r="G1928" t="s">
        <v>8607</v>
      </c>
      <c r="H1928">
        <v>33</v>
      </c>
      <c r="I1928" t="s">
        <v>9302</v>
      </c>
      <c r="J1928" t="str">
        <f t="shared" si="30"/>
        <v>13F-HR-5.33.C7</v>
      </c>
      <c r="K1928" s="5" t="s">
        <v>8629</v>
      </c>
      <c r="L1928" t="s">
        <v>229</v>
      </c>
      <c r="M1928" t="s">
        <v>8630</v>
      </c>
      <c r="N1928" t="s">
        <v>8631</v>
      </c>
      <c r="Q1928" s="28" t="s">
        <v>8685</v>
      </c>
    </row>
    <row r="1929" spans="1:17" x14ac:dyDescent="0.35">
      <c r="A1929" t="s">
        <v>8520</v>
      </c>
      <c r="B1929" s="3" t="s">
        <v>102</v>
      </c>
      <c r="F1929">
        <v>5</v>
      </c>
      <c r="G1929" t="s">
        <v>8607</v>
      </c>
      <c r="H1929">
        <v>34</v>
      </c>
      <c r="I1929" t="s">
        <v>9303</v>
      </c>
      <c r="J1929" t="str">
        <f t="shared" si="30"/>
        <v>13F-HR-5.34.C8</v>
      </c>
      <c r="K1929" s="5" t="s">
        <v>8633</v>
      </c>
      <c r="L1929" t="s">
        <v>4735</v>
      </c>
      <c r="M1929" t="s">
        <v>8634</v>
      </c>
      <c r="N1929" t="s">
        <v>8635</v>
      </c>
      <c r="Q1929" s="28" t="s">
        <v>8632</v>
      </c>
    </row>
    <row r="1930" spans="1:17" x14ac:dyDescent="0.35">
      <c r="A1930" t="s">
        <v>8520</v>
      </c>
      <c r="B1930" s="3" t="s">
        <v>102</v>
      </c>
      <c r="F1930">
        <v>5</v>
      </c>
      <c r="G1930" t="s">
        <v>8607</v>
      </c>
      <c r="H1930">
        <v>35</v>
      </c>
      <c r="I1930" t="s">
        <v>9304</v>
      </c>
      <c r="J1930" t="str">
        <f t="shared" si="30"/>
        <v>13F-HR-5.35.C9</v>
      </c>
      <c r="K1930" s="5" t="s">
        <v>8637</v>
      </c>
      <c r="L1930" t="s">
        <v>229</v>
      </c>
      <c r="M1930" t="s">
        <v>8638</v>
      </c>
      <c r="N1930" t="s">
        <v>8639</v>
      </c>
      <c r="Q1930" s="28" t="s">
        <v>8636</v>
      </c>
    </row>
    <row r="1931" spans="1:17" x14ac:dyDescent="0.35">
      <c r="A1931" t="s">
        <v>8520</v>
      </c>
      <c r="B1931" s="3" t="s">
        <v>102</v>
      </c>
      <c r="F1931">
        <v>5</v>
      </c>
      <c r="G1931" t="s">
        <v>8607</v>
      </c>
      <c r="H1931">
        <v>36</v>
      </c>
      <c r="I1931" t="s">
        <v>9305</v>
      </c>
      <c r="J1931" t="str">
        <f t="shared" si="30"/>
        <v>13F-HR-5.36.C10</v>
      </c>
      <c r="K1931" s="5" t="s">
        <v>8640</v>
      </c>
      <c r="L1931" t="s">
        <v>241</v>
      </c>
      <c r="M1931" t="s">
        <v>8641</v>
      </c>
      <c r="N1931" t="s">
        <v>8642</v>
      </c>
      <c r="Q1931" s="28">
        <v>0</v>
      </c>
    </row>
    <row r="1932" spans="1:17" x14ac:dyDescent="0.35">
      <c r="A1932" t="s">
        <v>8520</v>
      </c>
      <c r="B1932" s="3" t="s">
        <v>102</v>
      </c>
      <c r="F1932">
        <v>5</v>
      </c>
      <c r="G1932" t="s">
        <v>8607</v>
      </c>
      <c r="H1932">
        <v>37</v>
      </c>
      <c r="I1932" t="s">
        <v>9306</v>
      </c>
      <c r="J1932" t="str">
        <f t="shared" si="30"/>
        <v>13F-HR-5.37.C11</v>
      </c>
      <c r="K1932" s="5" t="s">
        <v>8643</v>
      </c>
      <c r="L1932" t="s">
        <v>241</v>
      </c>
      <c r="M1932" t="s">
        <v>8644</v>
      </c>
      <c r="N1932" t="s">
        <v>8645</v>
      </c>
      <c r="Q1932" s="28">
        <v>0</v>
      </c>
    </row>
    <row r="1933" spans="1:17" x14ac:dyDescent="0.35">
      <c r="A1933" t="s">
        <v>8520</v>
      </c>
      <c r="B1933" s="3" t="s">
        <v>102</v>
      </c>
      <c r="F1933">
        <v>5</v>
      </c>
      <c r="G1933" t="s">
        <v>8607</v>
      </c>
      <c r="H1933">
        <v>38</v>
      </c>
      <c r="I1933" t="s">
        <v>9307</v>
      </c>
      <c r="J1933" t="str">
        <f t="shared" si="30"/>
        <v>13F-HR-5.38.C12</v>
      </c>
      <c r="K1933" s="5" t="s">
        <v>8646</v>
      </c>
      <c r="L1933" t="s">
        <v>241</v>
      </c>
      <c r="M1933" t="s">
        <v>8647</v>
      </c>
      <c r="N1933" t="s">
        <v>8648</v>
      </c>
      <c r="Q1933" s="28">
        <v>29376</v>
      </c>
    </row>
    <row r="1934" spans="1:17" x14ac:dyDescent="0.35">
      <c r="A1934" t="s">
        <v>8520</v>
      </c>
      <c r="B1934" s="3" t="s">
        <v>102</v>
      </c>
      <c r="F1934">
        <v>5</v>
      </c>
      <c r="G1934" t="s">
        <v>8607</v>
      </c>
      <c r="H1934">
        <v>27</v>
      </c>
      <c r="I1934" t="s">
        <v>9296</v>
      </c>
      <c r="J1934" t="str">
        <f t="shared" si="30"/>
        <v>13F-HR-5.27.C1</v>
      </c>
      <c r="K1934" s="5" t="s">
        <v>8608</v>
      </c>
      <c r="L1934" t="s">
        <v>229</v>
      </c>
      <c r="M1934" t="s">
        <v>8609</v>
      </c>
      <c r="N1934" t="s">
        <v>8610</v>
      </c>
      <c r="Q1934" s="28" t="s">
        <v>8903</v>
      </c>
    </row>
    <row r="1935" spans="1:17" x14ac:dyDescent="0.35">
      <c r="A1935" t="s">
        <v>8520</v>
      </c>
      <c r="B1935" s="3" t="s">
        <v>102</v>
      </c>
      <c r="F1935">
        <v>5</v>
      </c>
      <c r="G1935" t="s">
        <v>8607</v>
      </c>
      <c r="H1935">
        <v>28</v>
      </c>
      <c r="I1935" t="s">
        <v>9297</v>
      </c>
      <c r="J1935" t="str">
        <f t="shared" si="30"/>
        <v>13F-HR-5.28.C2</v>
      </c>
      <c r="K1935" s="5" t="s">
        <v>8612</v>
      </c>
      <c r="L1935" t="s">
        <v>229</v>
      </c>
      <c r="M1935" t="s">
        <v>8613</v>
      </c>
      <c r="N1935" t="s">
        <v>8614</v>
      </c>
      <c r="Q1935" s="28" t="s">
        <v>8698</v>
      </c>
    </row>
    <row r="1936" spans="1:17" x14ac:dyDescent="0.35">
      <c r="A1936" t="s">
        <v>8520</v>
      </c>
      <c r="B1936" s="3" t="s">
        <v>102</v>
      </c>
      <c r="F1936">
        <v>5</v>
      </c>
      <c r="G1936" t="s">
        <v>8607</v>
      </c>
      <c r="H1936">
        <v>29</v>
      </c>
      <c r="I1936" t="s">
        <v>9298</v>
      </c>
      <c r="J1936" t="str">
        <f t="shared" si="30"/>
        <v>13F-HR-5.29.C3</v>
      </c>
      <c r="K1936" s="5" t="s">
        <v>8616</v>
      </c>
      <c r="L1936" t="s">
        <v>229</v>
      </c>
      <c r="M1936" t="s">
        <v>7927</v>
      </c>
      <c r="N1936" t="s">
        <v>8617</v>
      </c>
      <c r="Q1936" s="28" t="s">
        <v>8904</v>
      </c>
    </row>
    <row r="1937" spans="1:17" x14ac:dyDescent="0.35">
      <c r="A1937" t="s">
        <v>8520</v>
      </c>
      <c r="B1937" s="3" t="s">
        <v>102</v>
      </c>
      <c r="F1937">
        <v>5</v>
      </c>
      <c r="G1937" t="s">
        <v>8607</v>
      </c>
      <c r="H1937">
        <v>30</v>
      </c>
      <c r="I1937" t="s">
        <v>9299</v>
      </c>
      <c r="J1937" t="str">
        <f t="shared" si="30"/>
        <v>13F-HR-5.30.C4</v>
      </c>
      <c r="K1937" s="5" t="s">
        <v>8618</v>
      </c>
      <c r="L1937" t="s">
        <v>8619</v>
      </c>
      <c r="M1937" t="s">
        <v>8620</v>
      </c>
      <c r="N1937" t="s">
        <v>8621</v>
      </c>
      <c r="Q1937" s="28">
        <v>9199339</v>
      </c>
    </row>
    <row r="1938" spans="1:17" x14ac:dyDescent="0.35">
      <c r="A1938" t="s">
        <v>8520</v>
      </c>
      <c r="B1938" s="3" t="s">
        <v>102</v>
      </c>
      <c r="F1938">
        <v>5</v>
      </c>
      <c r="G1938" t="s">
        <v>8607</v>
      </c>
      <c r="H1938">
        <v>31</v>
      </c>
      <c r="I1938" t="s">
        <v>9300</v>
      </c>
      <c r="J1938" t="str">
        <f t="shared" si="30"/>
        <v>13F-HR-5.31.C5</v>
      </c>
      <c r="K1938" s="5" t="s">
        <v>8622</v>
      </c>
      <c r="L1938" t="s">
        <v>241</v>
      </c>
      <c r="M1938" t="s">
        <v>8623</v>
      </c>
      <c r="N1938" t="s">
        <v>8624</v>
      </c>
      <c r="Q1938" s="28">
        <v>271127</v>
      </c>
    </row>
    <row r="1939" spans="1:17" x14ac:dyDescent="0.35">
      <c r="A1939" t="s">
        <v>8520</v>
      </c>
      <c r="B1939" s="3" t="s">
        <v>102</v>
      </c>
      <c r="F1939">
        <v>5</v>
      </c>
      <c r="G1939" t="s">
        <v>8607</v>
      </c>
      <c r="H1939">
        <v>32</v>
      </c>
      <c r="I1939" t="s">
        <v>9301</v>
      </c>
      <c r="J1939" t="str">
        <f t="shared" si="30"/>
        <v>13F-HR-5.32.C6</v>
      </c>
      <c r="K1939" s="5" t="s">
        <v>8625</v>
      </c>
      <c r="L1939" t="s">
        <v>229</v>
      </c>
      <c r="M1939" t="s">
        <v>8626</v>
      </c>
      <c r="N1939" t="s">
        <v>8627</v>
      </c>
      <c r="Q1939" s="28" t="s">
        <v>8628</v>
      </c>
    </row>
    <row r="1940" spans="1:17" x14ac:dyDescent="0.35">
      <c r="A1940" t="s">
        <v>8520</v>
      </c>
      <c r="B1940" s="3" t="s">
        <v>102</v>
      </c>
      <c r="F1940">
        <v>5</v>
      </c>
      <c r="G1940" t="s">
        <v>8607</v>
      </c>
      <c r="H1940">
        <v>33</v>
      </c>
      <c r="I1940" t="s">
        <v>9302</v>
      </c>
      <c r="J1940" t="str">
        <f t="shared" si="30"/>
        <v>13F-HR-5.33.C7</v>
      </c>
      <c r="K1940" s="5" t="s">
        <v>8629</v>
      </c>
      <c r="L1940" t="s">
        <v>229</v>
      </c>
      <c r="M1940" t="s">
        <v>8630</v>
      </c>
      <c r="N1940" t="s">
        <v>8631</v>
      </c>
      <c r="Q1940" s="28" t="s">
        <v>8685</v>
      </c>
    </row>
    <row r="1941" spans="1:17" x14ac:dyDescent="0.35">
      <c r="A1941" t="s">
        <v>8520</v>
      </c>
      <c r="B1941" s="3" t="s">
        <v>102</v>
      </c>
      <c r="F1941">
        <v>5</v>
      </c>
      <c r="G1941" t="s">
        <v>8607</v>
      </c>
      <c r="H1941">
        <v>34</v>
      </c>
      <c r="I1941" t="s">
        <v>9303</v>
      </c>
      <c r="J1941" t="str">
        <f t="shared" si="30"/>
        <v>13F-HR-5.34.C8</v>
      </c>
      <c r="K1941" s="5" t="s">
        <v>8633</v>
      </c>
      <c r="L1941" t="s">
        <v>4735</v>
      </c>
      <c r="M1941" t="s">
        <v>8634</v>
      </c>
      <c r="N1941" t="s">
        <v>8635</v>
      </c>
      <c r="Q1941" s="28" t="s">
        <v>8632</v>
      </c>
    </row>
    <row r="1942" spans="1:17" x14ac:dyDescent="0.35">
      <c r="A1942" t="s">
        <v>8520</v>
      </c>
      <c r="B1942" s="3" t="s">
        <v>102</v>
      </c>
      <c r="F1942">
        <v>5</v>
      </c>
      <c r="G1942" t="s">
        <v>8607</v>
      </c>
      <c r="H1942">
        <v>35</v>
      </c>
      <c r="I1942" t="s">
        <v>9304</v>
      </c>
      <c r="J1942" t="str">
        <f t="shared" si="30"/>
        <v>13F-HR-5.35.C9</v>
      </c>
      <c r="K1942" s="5" t="s">
        <v>8637</v>
      </c>
      <c r="L1942" t="s">
        <v>229</v>
      </c>
      <c r="M1942" t="s">
        <v>8638</v>
      </c>
      <c r="N1942" t="s">
        <v>8639</v>
      </c>
      <c r="Q1942" s="28" t="s">
        <v>8636</v>
      </c>
    </row>
    <row r="1943" spans="1:17" x14ac:dyDescent="0.35">
      <c r="A1943" t="s">
        <v>8520</v>
      </c>
      <c r="B1943" s="3" t="s">
        <v>102</v>
      </c>
      <c r="F1943">
        <v>5</v>
      </c>
      <c r="G1943" t="s">
        <v>8607</v>
      </c>
      <c r="H1943">
        <v>36</v>
      </c>
      <c r="I1943" t="s">
        <v>9305</v>
      </c>
      <c r="J1943" t="str">
        <f t="shared" si="30"/>
        <v>13F-HR-5.36.C10</v>
      </c>
      <c r="K1943" s="5" t="s">
        <v>8640</v>
      </c>
      <c r="L1943" t="s">
        <v>241</v>
      </c>
      <c r="M1943" t="s">
        <v>8641</v>
      </c>
      <c r="N1943" t="s">
        <v>8642</v>
      </c>
      <c r="Q1943" s="28">
        <v>271127</v>
      </c>
    </row>
    <row r="1944" spans="1:17" x14ac:dyDescent="0.35">
      <c r="A1944" t="s">
        <v>8520</v>
      </c>
      <c r="B1944" s="3" t="s">
        <v>102</v>
      </c>
      <c r="F1944">
        <v>5</v>
      </c>
      <c r="G1944" t="s">
        <v>8607</v>
      </c>
      <c r="H1944">
        <v>37</v>
      </c>
      <c r="I1944" t="s">
        <v>9306</v>
      </c>
      <c r="J1944" t="str">
        <f t="shared" si="30"/>
        <v>13F-HR-5.37.C11</v>
      </c>
      <c r="K1944" s="5" t="s">
        <v>8643</v>
      </c>
      <c r="L1944" t="s">
        <v>241</v>
      </c>
      <c r="M1944" t="s">
        <v>8644</v>
      </c>
      <c r="N1944" t="s">
        <v>8645</v>
      </c>
      <c r="Q1944" s="28">
        <v>0</v>
      </c>
    </row>
    <row r="1945" spans="1:17" x14ac:dyDescent="0.35">
      <c r="A1945" t="s">
        <v>8520</v>
      </c>
      <c r="B1945" s="3" t="s">
        <v>102</v>
      </c>
      <c r="F1945">
        <v>5</v>
      </c>
      <c r="G1945" t="s">
        <v>8607</v>
      </c>
      <c r="H1945">
        <v>38</v>
      </c>
      <c r="I1945" t="s">
        <v>9307</v>
      </c>
      <c r="J1945" t="str">
        <f t="shared" si="30"/>
        <v>13F-HR-5.38.C12</v>
      </c>
      <c r="K1945" s="5" t="s">
        <v>8646</v>
      </c>
      <c r="L1945" t="s">
        <v>241</v>
      </c>
      <c r="M1945" t="s">
        <v>8647</v>
      </c>
      <c r="N1945" t="s">
        <v>8648</v>
      </c>
      <c r="Q1945" s="28">
        <v>0</v>
      </c>
    </row>
    <row r="1946" spans="1:17" x14ac:dyDescent="0.35">
      <c r="A1946" t="s">
        <v>8520</v>
      </c>
      <c r="B1946" s="3" t="s">
        <v>102</v>
      </c>
      <c r="F1946">
        <v>5</v>
      </c>
      <c r="G1946" t="s">
        <v>8607</v>
      </c>
      <c r="H1946">
        <v>27</v>
      </c>
      <c r="I1946" t="s">
        <v>9296</v>
      </c>
      <c r="J1946" t="str">
        <f t="shared" si="30"/>
        <v>13F-HR-5.27.C1</v>
      </c>
      <c r="K1946" s="5" t="s">
        <v>8608</v>
      </c>
      <c r="L1946" t="s">
        <v>229</v>
      </c>
      <c r="M1946" t="s">
        <v>8609</v>
      </c>
      <c r="N1946" t="s">
        <v>8610</v>
      </c>
      <c r="Q1946" s="28" t="s">
        <v>8905</v>
      </c>
    </row>
    <row r="1947" spans="1:17" x14ac:dyDescent="0.35">
      <c r="A1947" t="s">
        <v>8520</v>
      </c>
      <c r="B1947" s="3" t="s">
        <v>102</v>
      </c>
      <c r="F1947">
        <v>5</v>
      </c>
      <c r="G1947" t="s">
        <v>8607</v>
      </c>
      <c r="H1947">
        <v>28</v>
      </c>
      <c r="I1947" t="s">
        <v>9297</v>
      </c>
      <c r="J1947" t="str">
        <f t="shared" si="30"/>
        <v>13F-HR-5.28.C2</v>
      </c>
      <c r="K1947" s="5" t="s">
        <v>8612</v>
      </c>
      <c r="L1947" t="s">
        <v>229</v>
      </c>
      <c r="M1947" t="s">
        <v>8613</v>
      </c>
      <c r="N1947" t="s">
        <v>8614</v>
      </c>
      <c r="Q1947" s="28" t="s">
        <v>8706</v>
      </c>
    </row>
    <row r="1948" spans="1:17" x14ac:dyDescent="0.35">
      <c r="A1948" t="s">
        <v>8520</v>
      </c>
      <c r="B1948" s="3" t="s">
        <v>102</v>
      </c>
      <c r="F1948">
        <v>5</v>
      </c>
      <c r="G1948" t="s">
        <v>8607</v>
      </c>
      <c r="H1948">
        <v>29</v>
      </c>
      <c r="I1948" t="s">
        <v>9298</v>
      </c>
      <c r="J1948" t="str">
        <f t="shared" si="30"/>
        <v>13F-HR-5.29.C3</v>
      </c>
      <c r="K1948" s="5" t="s">
        <v>8616</v>
      </c>
      <c r="L1948" t="s">
        <v>229</v>
      </c>
      <c r="M1948" t="s">
        <v>7927</v>
      </c>
      <c r="N1948" t="s">
        <v>8617</v>
      </c>
      <c r="Q1948" s="28">
        <v>526057104</v>
      </c>
    </row>
    <row r="1949" spans="1:17" x14ac:dyDescent="0.35">
      <c r="A1949" t="s">
        <v>8520</v>
      </c>
      <c r="B1949" s="3" t="s">
        <v>102</v>
      </c>
      <c r="F1949">
        <v>5</v>
      </c>
      <c r="G1949" t="s">
        <v>8607</v>
      </c>
      <c r="H1949">
        <v>30</v>
      </c>
      <c r="I1949" t="s">
        <v>9299</v>
      </c>
      <c r="J1949" t="str">
        <f t="shared" si="30"/>
        <v>13F-HR-5.30.C4</v>
      </c>
      <c r="K1949" s="5" t="s">
        <v>8618</v>
      </c>
      <c r="L1949" t="s">
        <v>8619</v>
      </c>
      <c r="M1949" t="s">
        <v>8620</v>
      </c>
      <c r="N1949" t="s">
        <v>8621</v>
      </c>
      <c r="Q1949" s="28">
        <v>1775991</v>
      </c>
    </row>
    <row r="1950" spans="1:17" x14ac:dyDescent="0.35">
      <c r="A1950" t="s">
        <v>8520</v>
      </c>
      <c r="B1950" s="3" t="s">
        <v>102</v>
      </c>
      <c r="F1950">
        <v>5</v>
      </c>
      <c r="G1950" t="s">
        <v>8607</v>
      </c>
      <c r="H1950">
        <v>31</v>
      </c>
      <c r="I1950" t="s">
        <v>9300</v>
      </c>
      <c r="J1950" t="str">
        <f t="shared" si="30"/>
        <v>13F-HR-5.31.C5</v>
      </c>
      <c r="K1950" s="5" t="s">
        <v>8622</v>
      </c>
      <c r="L1950" t="s">
        <v>241</v>
      </c>
      <c r="M1950" t="s">
        <v>8623</v>
      </c>
      <c r="N1950" t="s">
        <v>8624</v>
      </c>
      <c r="Q1950" s="28">
        <v>15473</v>
      </c>
    </row>
    <row r="1951" spans="1:17" x14ac:dyDescent="0.35">
      <c r="A1951" t="s">
        <v>8520</v>
      </c>
      <c r="B1951" s="3" t="s">
        <v>102</v>
      </c>
      <c r="F1951">
        <v>5</v>
      </c>
      <c r="G1951" t="s">
        <v>8607</v>
      </c>
      <c r="H1951">
        <v>32</v>
      </c>
      <c r="I1951" t="s">
        <v>9301</v>
      </c>
      <c r="J1951" t="str">
        <f t="shared" si="30"/>
        <v>13F-HR-5.32.C6</v>
      </c>
      <c r="K1951" s="5" t="s">
        <v>8625</v>
      </c>
      <c r="L1951" t="s">
        <v>229</v>
      </c>
      <c r="M1951" t="s">
        <v>8626</v>
      </c>
      <c r="N1951" t="s">
        <v>8627</v>
      </c>
      <c r="Q1951" s="28" t="s">
        <v>8628</v>
      </c>
    </row>
    <row r="1952" spans="1:17" x14ac:dyDescent="0.35">
      <c r="A1952" t="s">
        <v>8520</v>
      </c>
      <c r="B1952" s="3" t="s">
        <v>102</v>
      </c>
      <c r="F1952">
        <v>5</v>
      </c>
      <c r="G1952" t="s">
        <v>8607</v>
      </c>
      <c r="H1952">
        <v>33</v>
      </c>
      <c r="I1952" t="s">
        <v>9302</v>
      </c>
      <c r="J1952" t="str">
        <f t="shared" si="30"/>
        <v>13F-HR-5.33.C7</v>
      </c>
      <c r="K1952" s="5" t="s">
        <v>8629</v>
      </c>
      <c r="L1952" t="s">
        <v>229</v>
      </c>
      <c r="M1952" t="s">
        <v>8630</v>
      </c>
      <c r="N1952" t="s">
        <v>8631</v>
      </c>
      <c r="Q1952" s="28" t="s">
        <v>8685</v>
      </c>
    </row>
    <row r="1953" spans="1:17" x14ac:dyDescent="0.35">
      <c r="A1953" t="s">
        <v>8520</v>
      </c>
      <c r="B1953" s="3" t="s">
        <v>102</v>
      </c>
      <c r="F1953">
        <v>5</v>
      </c>
      <c r="G1953" t="s">
        <v>8607</v>
      </c>
      <c r="H1953">
        <v>34</v>
      </c>
      <c r="I1953" t="s">
        <v>9303</v>
      </c>
      <c r="J1953" t="str">
        <f t="shared" si="30"/>
        <v>13F-HR-5.34.C8</v>
      </c>
      <c r="K1953" s="5" t="s">
        <v>8633</v>
      </c>
      <c r="L1953" t="s">
        <v>4735</v>
      </c>
      <c r="M1953" t="s">
        <v>8634</v>
      </c>
      <c r="N1953" t="s">
        <v>8635</v>
      </c>
      <c r="Q1953" s="28" t="s">
        <v>8632</v>
      </c>
    </row>
    <row r="1954" spans="1:17" x14ac:dyDescent="0.35">
      <c r="A1954" t="s">
        <v>8520</v>
      </c>
      <c r="B1954" s="3" t="s">
        <v>102</v>
      </c>
      <c r="F1954">
        <v>5</v>
      </c>
      <c r="G1954" t="s">
        <v>8607</v>
      </c>
      <c r="H1954">
        <v>35</v>
      </c>
      <c r="I1954" t="s">
        <v>9304</v>
      </c>
      <c r="J1954" t="str">
        <f t="shared" si="30"/>
        <v>13F-HR-5.35.C9</v>
      </c>
      <c r="K1954" s="5" t="s">
        <v>8637</v>
      </c>
      <c r="L1954" t="s">
        <v>229</v>
      </c>
      <c r="M1954" t="s">
        <v>8638</v>
      </c>
      <c r="N1954" t="s">
        <v>8639</v>
      </c>
      <c r="Q1954" s="28" t="s">
        <v>8636</v>
      </c>
    </row>
    <row r="1955" spans="1:17" x14ac:dyDescent="0.35">
      <c r="A1955" t="s">
        <v>8520</v>
      </c>
      <c r="B1955" s="3" t="s">
        <v>102</v>
      </c>
      <c r="F1955">
        <v>5</v>
      </c>
      <c r="G1955" t="s">
        <v>8607</v>
      </c>
      <c r="H1955">
        <v>36</v>
      </c>
      <c r="I1955" t="s">
        <v>9305</v>
      </c>
      <c r="J1955" t="str">
        <f t="shared" si="30"/>
        <v>13F-HR-5.36.C10</v>
      </c>
      <c r="K1955" s="5" t="s">
        <v>8640</v>
      </c>
      <c r="L1955" t="s">
        <v>241</v>
      </c>
      <c r="M1955" t="s">
        <v>8641</v>
      </c>
      <c r="N1955" t="s">
        <v>8642</v>
      </c>
      <c r="Q1955" s="28">
        <v>0</v>
      </c>
    </row>
    <row r="1956" spans="1:17" x14ac:dyDescent="0.35">
      <c r="A1956" t="s">
        <v>8520</v>
      </c>
      <c r="B1956" s="3" t="s">
        <v>102</v>
      </c>
      <c r="F1956">
        <v>5</v>
      </c>
      <c r="G1956" t="s">
        <v>8607</v>
      </c>
      <c r="H1956">
        <v>37</v>
      </c>
      <c r="I1956" t="s">
        <v>9306</v>
      </c>
      <c r="J1956" t="str">
        <f t="shared" si="30"/>
        <v>13F-HR-5.37.C11</v>
      </c>
      <c r="K1956" s="5" t="s">
        <v>8643</v>
      </c>
      <c r="L1956" t="s">
        <v>241</v>
      </c>
      <c r="M1956" t="s">
        <v>8644</v>
      </c>
      <c r="N1956" t="s">
        <v>8645</v>
      </c>
      <c r="Q1956" s="28">
        <v>0</v>
      </c>
    </row>
    <row r="1957" spans="1:17" x14ac:dyDescent="0.35">
      <c r="A1957" t="s">
        <v>8520</v>
      </c>
      <c r="B1957" s="3" t="s">
        <v>102</v>
      </c>
      <c r="F1957">
        <v>5</v>
      </c>
      <c r="G1957" t="s">
        <v>8607</v>
      </c>
      <c r="H1957">
        <v>38</v>
      </c>
      <c r="I1957" t="s">
        <v>9307</v>
      </c>
      <c r="J1957" t="str">
        <f t="shared" si="30"/>
        <v>13F-HR-5.38.C12</v>
      </c>
      <c r="K1957" s="5" t="s">
        <v>8646</v>
      </c>
      <c r="L1957" t="s">
        <v>241</v>
      </c>
      <c r="M1957" t="s">
        <v>8647</v>
      </c>
      <c r="N1957" t="s">
        <v>8648</v>
      </c>
      <c r="Q1957" s="28">
        <v>15473</v>
      </c>
    </row>
    <row r="1958" spans="1:17" x14ac:dyDescent="0.35">
      <c r="A1958" t="s">
        <v>8520</v>
      </c>
      <c r="B1958" s="3" t="s">
        <v>102</v>
      </c>
      <c r="F1958">
        <v>5</v>
      </c>
      <c r="G1958" t="s">
        <v>8607</v>
      </c>
      <c r="H1958">
        <v>27</v>
      </c>
      <c r="I1958" t="s">
        <v>9296</v>
      </c>
      <c r="J1958" t="str">
        <f t="shared" si="30"/>
        <v>13F-HR-5.27.C1</v>
      </c>
      <c r="K1958" s="5" t="s">
        <v>8608</v>
      </c>
      <c r="L1958" t="s">
        <v>229</v>
      </c>
      <c r="M1958" t="s">
        <v>8609</v>
      </c>
      <c r="N1958" t="s">
        <v>8610</v>
      </c>
      <c r="Q1958" s="28" t="s">
        <v>8906</v>
      </c>
    </row>
    <row r="1959" spans="1:17" x14ac:dyDescent="0.35">
      <c r="A1959" t="s">
        <v>8520</v>
      </c>
      <c r="B1959" s="3" t="s">
        <v>102</v>
      </c>
      <c r="F1959">
        <v>5</v>
      </c>
      <c r="G1959" t="s">
        <v>8607</v>
      </c>
      <c r="H1959">
        <v>28</v>
      </c>
      <c r="I1959" t="s">
        <v>9297</v>
      </c>
      <c r="J1959" t="str">
        <f t="shared" si="30"/>
        <v>13F-HR-5.28.C2</v>
      </c>
      <c r="K1959" s="5" t="s">
        <v>8612</v>
      </c>
      <c r="L1959" t="s">
        <v>229</v>
      </c>
      <c r="M1959" t="s">
        <v>8613</v>
      </c>
      <c r="N1959" t="s">
        <v>8614</v>
      </c>
      <c r="Q1959" s="28" t="s">
        <v>8615</v>
      </c>
    </row>
    <row r="1960" spans="1:17" x14ac:dyDescent="0.35">
      <c r="A1960" t="s">
        <v>8520</v>
      </c>
      <c r="B1960" s="3" t="s">
        <v>102</v>
      </c>
      <c r="F1960">
        <v>5</v>
      </c>
      <c r="G1960" t="s">
        <v>8607</v>
      </c>
      <c r="H1960">
        <v>29</v>
      </c>
      <c r="I1960" t="s">
        <v>9298</v>
      </c>
      <c r="J1960" t="str">
        <f t="shared" si="30"/>
        <v>13F-HR-5.29.C3</v>
      </c>
      <c r="K1960" s="5" t="s">
        <v>8616</v>
      </c>
      <c r="L1960" t="s">
        <v>229</v>
      </c>
      <c r="M1960" t="s">
        <v>7927</v>
      </c>
      <c r="N1960" t="s">
        <v>8617</v>
      </c>
      <c r="Q1960" s="28">
        <v>526107107</v>
      </c>
    </row>
    <row r="1961" spans="1:17" x14ac:dyDescent="0.35">
      <c r="A1961" t="s">
        <v>8520</v>
      </c>
      <c r="B1961" s="3" t="s">
        <v>102</v>
      </c>
      <c r="F1961">
        <v>5</v>
      </c>
      <c r="G1961" t="s">
        <v>8607</v>
      </c>
      <c r="H1961">
        <v>30</v>
      </c>
      <c r="I1961" t="s">
        <v>9299</v>
      </c>
      <c r="J1961" t="str">
        <f t="shared" si="30"/>
        <v>13F-HR-5.30.C4</v>
      </c>
      <c r="K1961" s="5" t="s">
        <v>8618</v>
      </c>
      <c r="L1961" t="s">
        <v>8619</v>
      </c>
      <c r="M1961" t="s">
        <v>8620</v>
      </c>
      <c r="N1961" t="s">
        <v>8621</v>
      </c>
      <c r="Q1961" s="28">
        <v>1276449</v>
      </c>
    </row>
    <row r="1962" spans="1:17" x14ac:dyDescent="0.35">
      <c r="A1962" t="s">
        <v>8520</v>
      </c>
      <c r="B1962" s="3" t="s">
        <v>102</v>
      </c>
      <c r="F1962">
        <v>5</v>
      </c>
      <c r="G1962" t="s">
        <v>8607</v>
      </c>
      <c r="H1962">
        <v>31</v>
      </c>
      <c r="I1962" t="s">
        <v>9300</v>
      </c>
      <c r="J1962" t="str">
        <f t="shared" si="30"/>
        <v>13F-HR-5.31.C5</v>
      </c>
      <c r="K1962" s="5" t="s">
        <v>8622</v>
      </c>
      <c r="L1962" t="s">
        <v>241</v>
      </c>
      <c r="M1962" t="s">
        <v>8623</v>
      </c>
      <c r="N1962" t="s">
        <v>8624</v>
      </c>
      <c r="Q1962" s="28">
        <v>2276</v>
      </c>
    </row>
    <row r="1963" spans="1:17" x14ac:dyDescent="0.35">
      <c r="A1963" t="s">
        <v>8520</v>
      </c>
      <c r="B1963" s="3" t="s">
        <v>102</v>
      </c>
      <c r="F1963">
        <v>5</v>
      </c>
      <c r="G1963" t="s">
        <v>8607</v>
      </c>
      <c r="H1963">
        <v>32</v>
      </c>
      <c r="I1963" t="s">
        <v>9301</v>
      </c>
      <c r="J1963" t="str">
        <f t="shared" si="30"/>
        <v>13F-HR-5.32.C6</v>
      </c>
      <c r="K1963" s="5" t="s">
        <v>8625</v>
      </c>
      <c r="L1963" t="s">
        <v>229</v>
      </c>
      <c r="M1963" t="s">
        <v>8626</v>
      </c>
      <c r="N1963" t="s">
        <v>8627</v>
      </c>
      <c r="Q1963" s="28" t="s">
        <v>8628</v>
      </c>
    </row>
    <row r="1964" spans="1:17" x14ac:dyDescent="0.35">
      <c r="A1964" t="s">
        <v>8520</v>
      </c>
      <c r="B1964" s="3" t="s">
        <v>102</v>
      </c>
      <c r="F1964">
        <v>5</v>
      </c>
      <c r="G1964" t="s">
        <v>8607</v>
      </c>
      <c r="H1964">
        <v>33</v>
      </c>
      <c r="I1964" t="s">
        <v>9302</v>
      </c>
      <c r="J1964" t="str">
        <f t="shared" si="30"/>
        <v>13F-HR-5.33.C7</v>
      </c>
      <c r="K1964" s="5" t="s">
        <v>8629</v>
      </c>
      <c r="L1964" t="s">
        <v>229</v>
      </c>
      <c r="M1964" t="s">
        <v>8630</v>
      </c>
      <c r="N1964" t="s">
        <v>8631</v>
      </c>
      <c r="Q1964" s="28" t="s">
        <v>8685</v>
      </c>
    </row>
    <row r="1965" spans="1:17" x14ac:dyDescent="0.35">
      <c r="A1965" t="s">
        <v>8520</v>
      </c>
      <c r="B1965" s="3" t="s">
        <v>102</v>
      </c>
      <c r="F1965">
        <v>5</v>
      </c>
      <c r="G1965" t="s">
        <v>8607</v>
      </c>
      <c r="H1965">
        <v>34</v>
      </c>
      <c r="I1965" t="s">
        <v>9303</v>
      </c>
      <c r="J1965" t="str">
        <f t="shared" si="30"/>
        <v>13F-HR-5.34.C8</v>
      </c>
      <c r="K1965" s="5" t="s">
        <v>8633</v>
      </c>
      <c r="L1965" t="s">
        <v>4735</v>
      </c>
      <c r="M1965" t="s">
        <v>8634</v>
      </c>
      <c r="N1965" t="s">
        <v>8635</v>
      </c>
      <c r="Q1965" s="28" t="s">
        <v>8632</v>
      </c>
    </row>
    <row r="1966" spans="1:17" x14ac:dyDescent="0.35">
      <c r="A1966" t="s">
        <v>8520</v>
      </c>
      <c r="B1966" s="3" t="s">
        <v>102</v>
      </c>
      <c r="F1966">
        <v>5</v>
      </c>
      <c r="G1966" t="s">
        <v>8607</v>
      </c>
      <c r="H1966">
        <v>35</v>
      </c>
      <c r="I1966" t="s">
        <v>9304</v>
      </c>
      <c r="J1966" t="str">
        <f t="shared" si="30"/>
        <v>13F-HR-5.35.C9</v>
      </c>
      <c r="K1966" s="5" t="s">
        <v>8637</v>
      </c>
      <c r="L1966" t="s">
        <v>229</v>
      </c>
      <c r="M1966" t="s">
        <v>8638</v>
      </c>
      <c r="N1966" t="s">
        <v>8639</v>
      </c>
      <c r="Q1966" s="28" t="s">
        <v>8636</v>
      </c>
    </row>
    <row r="1967" spans="1:17" x14ac:dyDescent="0.35">
      <c r="A1967" t="s">
        <v>8520</v>
      </c>
      <c r="B1967" s="3" t="s">
        <v>102</v>
      </c>
      <c r="F1967">
        <v>5</v>
      </c>
      <c r="G1967" t="s">
        <v>8607</v>
      </c>
      <c r="H1967">
        <v>36</v>
      </c>
      <c r="I1967" t="s">
        <v>9305</v>
      </c>
      <c r="J1967" t="str">
        <f t="shared" si="30"/>
        <v>13F-HR-5.36.C10</v>
      </c>
      <c r="K1967" s="5" t="s">
        <v>8640</v>
      </c>
      <c r="L1967" t="s">
        <v>241</v>
      </c>
      <c r="M1967" t="s">
        <v>8641</v>
      </c>
      <c r="N1967" t="s">
        <v>8642</v>
      </c>
      <c r="Q1967" s="28">
        <v>254</v>
      </c>
    </row>
    <row r="1968" spans="1:17" x14ac:dyDescent="0.35">
      <c r="A1968" t="s">
        <v>8520</v>
      </c>
      <c r="B1968" s="3" t="s">
        <v>102</v>
      </c>
      <c r="F1968">
        <v>5</v>
      </c>
      <c r="G1968" t="s">
        <v>8607</v>
      </c>
      <c r="H1968">
        <v>37</v>
      </c>
      <c r="I1968" t="s">
        <v>9306</v>
      </c>
      <c r="J1968" t="str">
        <f t="shared" si="30"/>
        <v>13F-HR-5.37.C11</v>
      </c>
      <c r="K1968" s="5" t="s">
        <v>8643</v>
      </c>
      <c r="L1968" t="s">
        <v>241</v>
      </c>
      <c r="M1968" t="s">
        <v>8644</v>
      </c>
      <c r="N1968" t="s">
        <v>8645</v>
      </c>
      <c r="Q1968" s="28">
        <v>0</v>
      </c>
    </row>
    <row r="1969" spans="1:17" x14ac:dyDescent="0.35">
      <c r="A1969" t="s">
        <v>8520</v>
      </c>
      <c r="B1969" s="3" t="s">
        <v>102</v>
      </c>
      <c r="F1969">
        <v>5</v>
      </c>
      <c r="G1969" t="s">
        <v>8607</v>
      </c>
      <c r="H1969">
        <v>38</v>
      </c>
      <c r="I1969" t="s">
        <v>9307</v>
      </c>
      <c r="J1969" t="str">
        <f t="shared" si="30"/>
        <v>13F-HR-5.38.C12</v>
      </c>
      <c r="K1969" s="5" t="s">
        <v>8646</v>
      </c>
      <c r="L1969" t="s">
        <v>241</v>
      </c>
      <c r="M1969" t="s">
        <v>8647</v>
      </c>
      <c r="N1969" t="s">
        <v>8648</v>
      </c>
      <c r="Q1969" s="28">
        <v>2022</v>
      </c>
    </row>
    <row r="1970" spans="1:17" x14ac:dyDescent="0.35">
      <c r="A1970" t="s">
        <v>8520</v>
      </c>
      <c r="B1970" s="3" t="s">
        <v>102</v>
      </c>
      <c r="F1970">
        <v>5</v>
      </c>
      <c r="G1970" t="s">
        <v>8607</v>
      </c>
      <c r="H1970">
        <v>27</v>
      </c>
      <c r="I1970" t="s">
        <v>9296</v>
      </c>
      <c r="J1970" t="str">
        <f t="shared" si="30"/>
        <v>13F-HR-5.27.C1</v>
      </c>
      <c r="K1970" s="5" t="s">
        <v>8608</v>
      </c>
      <c r="L1970" t="s">
        <v>229</v>
      </c>
      <c r="M1970" t="s">
        <v>8609</v>
      </c>
      <c r="N1970" t="s">
        <v>8610</v>
      </c>
      <c r="Q1970" s="28" t="s">
        <v>8907</v>
      </c>
    </row>
    <row r="1971" spans="1:17" x14ac:dyDescent="0.35">
      <c r="A1971" t="s">
        <v>8520</v>
      </c>
      <c r="B1971" s="3" t="s">
        <v>102</v>
      </c>
      <c r="F1971">
        <v>5</v>
      </c>
      <c r="G1971" t="s">
        <v>8607</v>
      </c>
      <c r="H1971">
        <v>28</v>
      </c>
      <c r="I1971" t="s">
        <v>9297</v>
      </c>
      <c r="J1971" t="str">
        <f t="shared" si="30"/>
        <v>13F-HR-5.28.C2</v>
      </c>
      <c r="K1971" s="5" t="s">
        <v>8612</v>
      </c>
      <c r="L1971" t="s">
        <v>229</v>
      </c>
      <c r="M1971" t="s">
        <v>8613</v>
      </c>
      <c r="N1971" t="s">
        <v>8614</v>
      </c>
      <c r="Q1971" s="28" t="s">
        <v>8615</v>
      </c>
    </row>
    <row r="1972" spans="1:17" x14ac:dyDescent="0.35">
      <c r="A1972" t="s">
        <v>8520</v>
      </c>
      <c r="B1972" s="3" t="s">
        <v>102</v>
      </c>
      <c r="F1972">
        <v>5</v>
      </c>
      <c r="G1972" t="s">
        <v>8607</v>
      </c>
      <c r="H1972">
        <v>29</v>
      </c>
      <c r="I1972" t="s">
        <v>9298</v>
      </c>
      <c r="J1972" t="str">
        <f t="shared" si="30"/>
        <v>13F-HR-5.29.C3</v>
      </c>
      <c r="K1972" s="5" t="s">
        <v>8616</v>
      </c>
      <c r="L1972" t="s">
        <v>229</v>
      </c>
      <c r="M1972" t="s">
        <v>7927</v>
      </c>
      <c r="N1972" t="s">
        <v>8617</v>
      </c>
      <c r="Q1972" s="28">
        <v>532457108</v>
      </c>
    </row>
    <row r="1973" spans="1:17" x14ac:dyDescent="0.35">
      <c r="A1973" t="s">
        <v>8520</v>
      </c>
      <c r="B1973" s="3" t="s">
        <v>102</v>
      </c>
      <c r="F1973">
        <v>5</v>
      </c>
      <c r="G1973" t="s">
        <v>8607</v>
      </c>
      <c r="H1973">
        <v>30</v>
      </c>
      <c r="I1973" t="s">
        <v>9299</v>
      </c>
      <c r="J1973" t="str">
        <f t="shared" si="30"/>
        <v>13F-HR-5.30.C4</v>
      </c>
      <c r="K1973" s="5" t="s">
        <v>8618</v>
      </c>
      <c r="L1973" t="s">
        <v>8619</v>
      </c>
      <c r="M1973" t="s">
        <v>8620</v>
      </c>
      <c r="N1973" t="s">
        <v>8621</v>
      </c>
      <c r="Q1973" s="28">
        <v>121066017</v>
      </c>
    </row>
    <row r="1974" spans="1:17" x14ac:dyDescent="0.35">
      <c r="A1974" t="s">
        <v>8520</v>
      </c>
      <c r="B1974" s="3" t="s">
        <v>102</v>
      </c>
      <c r="F1974">
        <v>5</v>
      </c>
      <c r="G1974" t="s">
        <v>8607</v>
      </c>
      <c r="H1974">
        <v>31</v>
      </c>
      <c r="I1974" t="s">
        <v>9300</v>
      </c>
      <c r="J1974" t="str">
        <f t="shared" si="30"/>
        <v>13F-HR-5.31.C5</v>
      </c>
      <c r="K1974" s="5" t="s">
        <v>8622</v>
      </c>
      <c r="L1974" t="s">
        <v>241</v>
      </c>
      <c r="M1974" t="s">
        <v>8623</v>
      </c>
      <c r="N1974" t="s">
        <v>8624</v>
      </c>
      <c r="Q1974" s="28">
        <v>146585</v>
      </c>
    </row>
    <row r="1975" spans="1:17" x14ac:dyDescent="0.35">
      <c r="A1975" t="s">
        <v>8520</v>
      </c>
      <c r="B1975" s="3" t="s">
        <v>102</v>
      </c>
      <c r="F1975">
        <v>5</v>
      </c>
      <c r="G1975" t="s">
        <v>8607</v>
      </c>
      <c r="H1975">
        <v>32</v>
      </c>
      <c r="I1975" t="s">
        <v>9301</v>
      </c>
      <c r="J1975" t="str">
        <f t="shared" si="30"/>
        <v>13F-HR-5.32.C6</v>
      </c>
      <c r="K1975" s="5" t="s">
        <v>8625</v>
      </c>
      <c r="L1975" t="s">
        <v>229</v>
      </c>
      <c r="M1975" t="s">
        <v>8626</v>
      </c>
      <c r="N1975" t="s">
        <v>8627</v>
      </c>
      <c r="Q1975" s="28" t="s">
        <v>8628</v>
      </c>
    </row>
    <row r="1976" spans="1:17" x14ac:dyDescent="0.35">
      <c r="A1976" t="s">
        <v>8520</v>
      </c>
      <c r="B1976" s="3" t="s">
        <v>102</v>
      </c>
      <c r="F1976">
        <v>5</v>
      </c>
      <c r="G1976" t="s">
        <v>8607</v>
      </c>
      <c r="H1976">
        <v>33</v>
      </c>
      <c r="I1976" t="s">
        <v>9302</v>
      </c>
      <c r="J1976" t="str">
        <f t="shared" si="30"/>
        <v>13F-HR-5.33.C7</v>
      </c>
      <c r="K1976" s="5" t="s">
        <v>8629</v>
      </c>
      <c r="L1976" t="s">
        <v>229</v>
      </c>
      <c r="M1976" t="s">
        <v>8630</v>
      </c>
      <c r="N1976" t="s">
        <v>8631</v>
      </c>
      <c r="Q1976" s="28" t="s">
        <v>8685</v>
      </c>
    </row>
    <row r="1977" spans="1:17" x14ac:dyDescent="0.35">
      <c r="A1977" t="s">
        <v>8520</v>
      </c>
      <c r="B1977" s="3" t="s">
        <v>102</v>
      </c>
      <c r="F1977">
        <v>5</v>
      </c>
      <c r="G1977" t="s">
        <v>8607</v>
      </c>
      <c r="H1977">
        <v>34</v>
      </c>
      <c r="I1977" t="s">
        <v>9303</v>
      </c>
      <c r="J1977" t="str">
        <f t="shared" si="30"/>
        <v>13F-HR-5.34.C8</v>
      </c>
      <c r="K1977" s="5" t="s">
        <v>8633</v>
      </c>
      <c r="L1977" t="s">
        <v>4735</v>
      </c>
      <c r="M1977" t="s">
        <v>8634</v>
      </c>
      <c r="N1977" t="s">
        <v>8635</v>
      </c>
      <c r="Q1977" s="28" t="s">
        <v>8632</v>
      </c>
    </row>
    <row r="1978" spans="1:17" x14ac:dyDescent="0.35">
      <c r="A1978" t="s">
        <v>8520</v>
      </c>
      <c r="B1978" s="3" t="s">
        <v>102</v>
      </c>
      <c r="F1978">
        <v>5</v>
      </c>
      <c r="G1978" t="s">
        <v>8607</v>
      </c>
      <c r="H1978">
        <v>35</v>
      </c>
      <c r="I1978" t="s">
        <v>9304</v>
      </c>
      <c r="J1978" t="str">
        <f t="shared" si="30"/>
        <v>13F-HR-5.35.C9</v>
      </c>
      <c r="K1978" s="5" t="s">
        <v>8637</v>
      </c>
      <c r="L1978" t="s">
        <v>229</v>
      </c>
      <c r="M1978" t="s">
        <v>8638</v>
      </c>
      <c r="N1978" t="s">
        <v>8639</v>
      </c>
      <c r="Q1978" s="28" t="s">
        <v>8636</v>
      </c>
    </row>
    <row r="1979" spans="1:17" x14ac:dyDescent="0.35">
      <c r="A1979" t="s">
        <v>8520</v>
      </c>
      <c r="B1979" s="3" t="s">
        <v>102</v>
      </c>
      <c r="F1979">
        <v>5</v>
      </c>
      <c r="G1979" t="s">
        <v>8607</v>
      </c>
      <c r="H1979">
        <v>36</v>
      </c>
      <c r="I1979" t="s">
        <v>9305</v>
      </c>
      <c r="J1979" t="str">
        <f t="shared" si="30"/>
        <v>13F-HR-5.36.C10</v>
      </c>
      <c r="K1979" s="5" t="s">
        <v>8640</v>
      </c>
      <c r="L1979" t="s">
        <v>241</v>
      </c>
      <c r="M1979" t="s">
        <v>8641</v>
      </c>
      <c r="N1979" t="s">
        <v>8642</v>
      </c>
      <c r="Q1979" s="28">
        <v>75214</v>
      </c>
    </row>
    <row r="1980" spans="1:17" x14ac:dyDescent="0.35">
      <c r="A1980" t="s">
        <v>8520</v>
      </c>
      <c r="B1980" s="3" t="s">
        <v>102</v>
      </c>
      <c r="F1980">
        <v>5</v>
      </c>
      <c r="G1980" t="s">
        <v>8607</v>
      </c>
      <c r="H1980">
        <v>37</v>
      </c>
      <c r="I1980" t="s">
        <v>9306</v>
      </c>
      <c r="J1980" t="str">
        <f t="shared" si="30"/>
        <v>13F-HR-5.37.C11</v>
      </c>
      <c r="K1980" s="5" t="s">
        <v>8643</v>
      </c>
      <c r="L1980" t="s">
        <v>241</v>
      </c>
      <c r="M1980" t="s">
        <v>8644</v>
      </c>
      <c r="N1980" t="s">
        <v>8645</v>
      </c>
      <c r="Q1980" s="28">
        <v>0</v>
      </c>
    </row>
    <row r="1981" spans="1:17" x14ac:dyDescent="0.35">
      <c r="A1981" t="s">
        <v>8520</v>
      </c>
      <c r="B1981" s="3" t="s">
        <v>102</v>
      </c>
      <c r="F1981">
        <v>5</v>
      </c>
      <c r="G1981" t="s">
        <v>8607</v>
      </c>
      <c r="H1981">
        <v>38</v>
      </c>
      <c r="I1981" t="s">
        <v>9307</v>
      </c>
      <c r="J1981" t="str">
        <f t="shared" si="30"/>
        <v>13F-HR-5.38.C12</v>
      </c>
      <c r="K1981" s="5" t="s">
        <v>8646</v>
      </c>
      <c r="L1981" t="s">
        <v>241</v>
      </c>
      <c r="M1981" t="s">
        <v>8647</v>
      </c>
      <c r="N1981" t="s">
        <v>8648</v>
      </c>
      <c r="Q1981" s="28">
        <v>71371</v>
      </c>
    </row>
    <row r="1982" spans="1:17" x14ac:dyDescent="0.35">
      <c r="A1982" t="s">
        <v>8520</v>
      </c>
      <c r="B1982" s="3" t="s">
        <v>102</v>
      </c>
      <c r="F1982">
        <v>5</v>
      </c>
      <c r="G1982" t="s">
        <v>8607</v>
      </c>
      <c r="H1982">
        <v>27</v>
      </c>
      <c r="I1982" t="s">
        <v>9296</v>
      </c>
      <c r="J1982" t="str">
        <f t="shared" si="30"/>
        <v>13F-HR-5.27.C1</v>
      </c>
      <c r="K1982" s="5" t="s">
        <v>8608</v>
      </c>
      <c r="L1982" t="s">
        <v>229</v>
      </c>
      <c r="M1982" t="s">
        <v>8609</v>
      </c>
      <c r="N1982" t="s">
        <v>8610</v>
      </c>
      <c r="Q1982" s="28" t="s">
        <v>8908</v>
      </c>
    </row>
    <row r="1983" spans="1:17" x14ac:dyDescent="0.35">
      <c r="A1983" t="s">
        <v>8520</v>
      </c>
      <c r="B1983" s="3" t="s">
        <v>102</v>
      </c>
      <c r="F1983">
        <v>5</v>
      </c>
      <c r="G1983" t="s">
        <v>8607</v>
      </c>
      <c r="H1983">
        <v>28</v>
      </c>
      <c r="I1983" t="s">
        <v>9297</v>
      </c>
      <c r="J1983" t="str">
        <f t="shared" si="30"/>
        <v>13F-HR-5.28.C2</v>
      </c>
      <c r="K1983" s="5" t="s">
        <v>8612</v>
      </c>
      <c r="L1983" t="s">
        <v>229</v>
      </c>
      <c r="M1983" t="s">
        <v>8613</v>
      </c>
      <c r="N1983" t="s">
        <v>8614</v>
      </c>
      <c r="Q1983" s="28" t="s">
        <v>8615</v>
      </c>
    </row>
    <row r="1984" spans="1:17" x14ac:dyDescent="0.35">
      <c r="A1984" t="s">
        <v>8520</v>
      </c>
      <c r="B1984" s="3" t="s">
        <v>102</v>
      </c>
      <c r="F1984">
        <v>5</v>
      </c>
      <c r="G1984" t="s">
        <v>8607</v>
      </c>
      <c r="H1984">
        <v>29</v>
      </c>
      <c r="I1984" t="s">
        <v>9298</v>
      </c>
      <c r="J1984" t="str">
        <f t="shared" si="30"/>
        <v>13F-HR-5.29.C3</v>
      </c>
      <c r="K1984" s="5" t="s">
        <v>8616</v>
      </c>
      <c r="L1984" t="s">
        <v>229</v>
      </c>
      <c r="M1984" t="s">
        <v>7927</v>
      </c>
      <c r="N1984" t="s">
        <v>8617</v>
      </c>
      <c r="Q1984" s="28">
        <v>550021109</v>
      </c>
    </row>
    <row r="1985" spans="1:17" x14ac:dyDescent="0.35">
      <c r="A1985" t="s">
        <v>8520</v>
      </c>
      <c r="B1985" s="3" t="s">
        <v>102</v>
      </c>
      <c r="F1985">
        <v>5</v>
      </c>
      <c r="G1985" t="s">
        <v>8607</v>
      </c>
      <c r="H1985">
        <v>30</v>
      </c>
      <c r="I1985" t="s">
        <v>9299</v>
      </c>
      <c r="J1985" t="str">
        <f t="shared" si="30"/>
        <v>13F-HR-5.30.C4</v>
      </c>
      <c r="K1985" s="5" t="s">
        <v>8618</v>
      </c>
      <c r="L1985" t="s">
        <v>8619</v>
      </c>
      <c r="M1985" t="s">
        <v>8620</v>
      </c>
      <c r="N1985" t="s">
        <v>8621</v>
      </c>
      <c r="Q1985" s="28">
        <v>2775969</v>
      </c>
    </row>
    <row r="1986" spans="1:17" x14ac:dyDescent="0.35">
      <c r="A1986" t="s">
        <v>8520</v>
      </c>
      <c r="B1986" s="3" t="s">
        <v>102</v>
      </c>
      <c r="F1986">
        <v>5</v>
      </c>
      <c r="G1986" t="s">
        <v>8607</v>
      </c>
      <c r="H1986">
        <v>31</v>
      </c>
      <c r="I1986" t="s">
        <v>9300</v>
      </c>
      <c r="J1986" t="str">
        <f t="shared" si="30"/>
        <v>13F-HR-5.31.C5</v>
      </c>
      <c r="K1986" s="5" t="s">
        <v>8622</v>
      </c>
      <c r="L1986" t="s">
        <v>241</v>
      </c>
      <c r="M1986" t="s">
        <v>8623</v>
      </c>
      <c r="N1986" t="s">
        <v>8624</v>
      </c>
      <c r="Q1986" s="28">
        <v>9807</v>
      </c>
    </row>
    <row r="1987" spans="1:17" x14ac:dyDescent="0.35">
      <c r="A1987" t="s">
        <v>8520</v>
      </c>
      <c r="B1987" s="3" t="s">
        <v>102</v>
      </c>
      <c r="F1987">
        <v>5</v>
      </c>
      <c r="G1987" t="s">
        <v>8607</v>
      </c>
      <c r="H1987">
        <v>32</v>
      </c>
      <c r="I1987" t="s">
        <v>9301</v>
      </c>
      <c r="J1987" t="str">
        <f t="shared" ref="J1987:J2050" si="31">_xlfn.CONCAT(A1987,"-",F1987,".",H1987,".",I1987)</f>
        <v>13F-HR-5.32.C6</v>
      </c>
      <c r="K1987" s="5" t="s">
        <v>8625</v>
      </c>
      <c r="L1987" t="s">
        <v>229</v>
      </c>
      <c r="M1987" t="s">
        <v>8626</v>
      </c>
      <c r="N1987" t="s">
        <v>8627</v>
      </c>
      <c r="Q1987" s="28" t="s">
        <v>8628</v>
      </c>
    </row>
    <row r="1988" spans="1:17" x14ac:dyDescent="0.35">
      <c r="A1988" t="s">
        <v>8520</v>
      </c>
      <c r="B1988" s="3" t="s">
        <v>102</v>
      </c>
      <c r="F1988">
        <v>5</v>
      </c>
      <c r="G1988" t="s">
        <v>8607</v>
      </c>
      <c r="H1988">
        <v>33</v>
      </c>
      <c r="I1988" t="s">
        <v>9302</v>
      </c>
      <c r="J1988" t="str">
        <f t="shared" si="31"/>
        <v>13F-HR-5.33.C7</v>
      </c>
      <c r="K1988" s="5" t="s">
        <v>8629</v>
      </c>
      <c r="L1988" t="s">
        <v>229</v>
      </c>
      <c r="M1988" t="s">
        <v>8630</v>
      </c>
      <c r="N1988" t="s">
        <v>8631</v>
      </c>
      <c r="Q1988" s="28" t="s">
        <v>8685</v>
      </c>
    </row>
    <row r="1989" spans="1:17" x14ac:dyDescent="0.35">
      <c r="A1989" t="s">
        <v>8520</v>
      </c>
      <c r="B1989" s="3" t="s">
        <v>102</v>
      </c>
      <c r="F1989">
        <v>5</v>
      </c>
      <c r="G1989" t="s">
        <v>8607</v>
      </c>
      <c r="H1989">
        <v>34</v>
      </c>
      <c r="I1989" t="s">
        <v>9303</v>
      </c>
      <c r="J1989" t="str">
        <f t="shared" si="31"/>
        <v>13F-HR-5.34.C8</v>
      </c>
      <c r="K1989" s="5" t="s">
        <v>8633</v>
      </c>
      <c r="L1989" t="s">
        <v>4735</v>
      </c>
      <c r="M1989" t="s">
        <v>8634</v>
      </c>
      <c r="N1989" t="s">
        <v>8635</v>
      </c>
      <c r="Q1989" s="28" t="s">
        <v>8632</v>
      </c>
    </row>
    <row r="1990" spans="1:17" x14ac:dyDescent="0.35">
      <c r="A1990" t="s">
        <v>8651</v>
      </c>
      <c r="B1990" s="3" t="s">
        <v>102</v>
      </c>
      <c r="F1990">
        <v>5</v>
      </c>
      <c r="G1990" t="s">
        <v>8607</v>
      </c>
      <c r="H1990">
        <v>35</v>
      </c>
      <c r="I1990" t="s">
        <v>9304</v>
      </c>
      <c r="J1990" t="str">
        <f t="shared" si="31"/>
        <v>135-HR-5.35.C9</v>
      </c>
      <c r="K1990" s="5" t="s">
        <v>8637</v>
      </c>
      <c r="L1990" t="s">
        <v>229</v>
      </c>
      <c r="M1990" t="s">
        <v>8638</v>
      </c>
      <c r="N1990" t="s">
        <v>8639</v>
      </c>
      <c r="Q1990" s="28" t="s">
        <v>8636</v>
      </c>
    </row>
    <row r="1991" spans="1:17" x14ac:dyDescent="0.35">
      <c r="A1991" t="s">
        <v>8520</v>
      </c>
      <c r="B1991" s="3" t="s">
        <v>102</v>
      </c>
      <c r="F1991">
        <v>5</v>
      </c>
      <c r="G1991" t="s">
        <v>8607</v>
      </c>
      <c r="H1991">
        <v>36</v>
      </c>
      <c r="I1991" t="s">
        <v>9305</v>
      </c>
      <c r="J1991" t="str">
        <f t="shared" si="31"/>
        <v>13F-HR-5.36.C10</v>
      </c>
      <c r="K1991" s="5" t="s">
        <v>8640</v>
      </c>
      <c r="L1991" t="s">
        <v>241</v>
      </c>
      <c r="M1991" t="s">
        <v>8641</v>
      </c>
      <c r="N1991" t="s">
        <v>8642</v>
      </c>
      <c r="Q1991" s="28">
        <v>9586</v>
      </c>
    </row>
    <row r="1992" spans="1:17" x14ac:dyDescent="0.35">
      <c r="A1992" t="s">
        <v>8520</v>
      </c>
      <c r="B1992" s="3" t="s">
        <v>102</v>
      </c>
      <c r="F1992">
        <v>5</v>
      </c>
      <c r="G1992" t="s">
        <v>8607</v>
      </c>
      <c r="H1992">
        <v>37</v>
      </c>
      <c r="I1992" t="s">
        <v>9306</v>
      </c>
      <c r="J1992" t="str">
        <f t="shared" si="31"/>
        <v>13F-HR-5.37.C11</v>
      </c>
      <c r="K1992" s="5" t="s">
        <v>8643</v>
      </c>
      <c r="L1992" t="s">
        <v>241</v>
      </c>
      <c r="M1992" t="s">
        <v>8644</v>
      </c>
      <c r="N1992" t="s">
        <v>8645</v>
      </c>
      <c r="Q1992" s="28">
        <v>0</v>
      </c>
    </row>
    <row r="1993" spans="1:17" x14ac:dyDescent="0.35">
      <c r="A1993" t="s">
        <v>8520</v>
      </c>
      <c r="B1993" s="3" t="s">
        <v>102</v>
      </c>
      <c r="F1993">
        <v>5</v>
      </c>
      <c r="G1993" t="s">
        <v>8607</v>
      </c>
      <c r="H1993">
        <v>38</v>
      </c>
      <c r="I1993" t="s">
        <v>9307</v>
      </c>
      <c r="J1993" t="str">
        <f t="shared" si="31"/>
        <v>13F-HR-5.38.C12</v>
      </c>
      <c r="K1993" s="5" t="s">
        <v>8646</v>
      </c>
      <c r="L1993" t="s">
        <v>241</v>
      </c>
      <c r="M1993" t="s">
        <v>8647</v>
      </c>
      <c r="N1993" t="s">
        <v>8648</v>
      </c>
      <c r="Q1993" s="28">
        <v>221</v>
      </c>
    </row>
    <row r="1994" spans="1:17" x14ac:dyDescent="0.35">
      <c r="A1994" t="s">
        <v>8520</v>
      </c>
      <c r="B1994" s="3" t="s">
        <v>102</v>
      </c>
      <c r="F1994">
        <v>5</v>
      </c>
      <c r="G1994" t="s">
        <v>8607</v>
      </c>
      <c r="H1994">
        <v>27</v>
      </c>
      <c r="I1994" t="s">
        <v>9296</v>
      </c>
      <c r="J1994" t="str">
        <f t="shared" si="31"/>
        <v>13F-HR-5.27.C1</v>
      </c>
      <c r="K1994" s="5" t="s">
        <v>8608</v>
      </c>
      <c r="L1994" t="s">
        <v>229</v>
      </c>
      <c r="M1994" t="s">
        <v>8609</v>
      </c>
      <c r="N1994" t="s">
        <v>8610</v>
      </c>
      <c r="Q1994" s="28" t="s">
        <v>8909</v>
      </c>
    </row>
    <row r="1995" spans="1:17" x14ac:dyDescent="0.35">
      <c r="A1995" t="s">
        <v>8520</v>
      </c>
      <c r="B1995" s="3" t="s">
        <v>102</v>
      </c>
      <c r="F1995">
        <v>5</v>
      </c>
      <c r="G1995" t="s">
        <v>8607</v>
      </c>
      <c r="H1995">
        <v>28</v>
      </c>
      <c r="I1995" t="s">
        <v>9297</v>
      </c>
      <c r="J1995" t="str">
        <f t="shared" si="31"/>
        <v>13F-HR-5.28.C2</v>
      </c>
      <c r="K1995" s="5" t="s">
        <v>8612</v>
      </c>
      <c r="L1995" t="s">
        <v>229</v>
      </c>
      <c r="M1995" t="s">
        <v>8613</v>
      </c>
      <c r="N1995" t="s">
        <v>8614</v>
      </c>
      <c r="Q1995" s="28" t="s">
        <v>8615</v>
      </c>
    </row>
    <row r="1996" spans="1:17" x14ac:dyDescent="0.35">
      <c r="A1996" t="s">
        <v>8520</v>
      </c>
      <c r="B1996" s="3" t="s">
        <v>102</v>
      </c>
      <c r="F1996">
        <v>5</v>
      </c>
      <c r="G1996" t="s">
        <v>8607</v>
      </c>
      <c r="H1996">
        <v>29</v>
      </c>
      <c r="I1996" t="s">
        <v>9298</v>
      </c>
      <c r="J1996" t="str">
        <f t="shared" si="31"/>
        <v>13F-HR-5.29.C3</v>
      </c>
      <c r="K1996" s="5" t="s">
        <v>8616</v>
      </c>
      <c r="L1996" t="s">
        <v>229</v>
      </c>
      <c r="M1996" t="s">
        <v>7927</v>
      </c>
      <c r="N1996" t="s">
        <v>8617</v>
      </c>
      <c r="Q1996" s="28" t="s">
        <v>8910</v>
      </c>
    </row>
    <row r="1997" spans="1:17" x14ac:dyDescent="0.35">
      <c r="A1997" t="s">
        <v>8520</v>
      </c>
      <c r="B1997" s="3" t="s">
        <v>102</v>
      </c>
      <c r="F1997">
        <v>5</v>
      </c>
      <c r="G1997" t="s">
        <v>8607</v>
      </c>
      <c r="H1997">
        <v>30</v>
      </c>
      <c r="I1997" t="s">
        <v>9299</v>
      </c>
      <c r="J1997" t="str">
        <f t="shared" si="31"/>
        <v>13F-HR-5.30.C4</v>
      </c>
      <c r="K1997" s="5" t="s">
        <v>8618</v>
      </c>
      <c r="L1997" t="s">
        <v>8619</v>
      </c>
      <c r="M1997" t="s">
        <v>8620</v>
      </c>
      <c r="N1997" t="s">
        <v>8621</v>
      </c>
      <c r="Q1997" s="28">
        <v>15578960</v>
      </c>
    </row>
    <row r="1998" spans="1:17" x14ac:dyDescent="0.35">
      <c r="A1998" t="s">
        <v>8520</v>
      </c>
      <c r="B1998" s="3" t="s">
        <v>102</v>
      </c>
      <c r="F1998">
        <v>5</v>
      </c>
      <c r="G1998" t="s">
        <v>8607</v>
      </c>
      <c r="H1998">
        <v>31</v>
      </c>
      <c r="I1998" t="s">
        <v>9300</v>
      </c>
      <c r="J1998" t="str">
        <f t="shared" si="31"/>
        <v>13F-HR-5.31.C5</v>
      </c>
      <c r="K1998" s="5" t="s">
        <v>8622</v>
      </c>
      <c r="L1998" t="s">
        <v>241</v>
      </c>
      <c r="M1998" t="s">
        <v>8623</v>
      </c>
      <c r="N1998" t="s">
        <v>8624</v>
      </c>
      <c r="Q1998" s="28">
        <v>27549</v>
      </c>
    </row>
    <row r="1999" spans="1:17" x14ac:dyDescent="0.35">
      <c r="A1999" t="s">
        <v>8520</v>
      </c>
      <c r="B1999" s="3" t="s">
        <v>102</v>
      </c>
      <c r="F1999">
        <v>5</v>
      </c>
      <c r="G1999" t="s">
        <v>8607</v>
      </c>
      <c r="H1999">
        <v>32</v>
      </c>
      <c r="I1999" t="s">
        <v>9301</v>
      </c>
      <c r="J1999" t="str">
        <f t="shared" si="31"/>
        <v>13F-HR-5.32.C6</v>
      </c>
      <c r="K1999" s="5" t="s">
        <v>8625</v>
      </c>
      <c r="L1999" t="s">
        <v>229</v>
      </c>
      <c r="M1999" t="s">
        <v>8626</v>
      </c>
      <c r="N1999" t="s">
        <v>8627</v>
      </c>
      <c r="Q1999" s="28" t="s">
        <v>8628</v>
      </c>
    </row>
    <row r="2000" spans="1:17" x14ac:dyDescent="0.35">
      <c r="A2000" t="s">
        <v>8520</v>
      </c>
      <c r="B2000" s="3" t="s">
        <v>102</v>
      </c>
      <c r="F2000">
        <v>5</v>
      </c>
      <c r="G2000" t="s">
        <v>8607</v>
      </c>
      <c r="H2000">
        <v>33</v>
      </c>
      <c r="I2000" t="s">
        <v>9302</v>
      </c>
      <c r="J2000" t="str">
        <f t="shared" si="31"/>
        <v>13F-HR-5.33.C7</v>
      </c>
      <c r="K2000" s="5" t="s">
        <v>8629</v>
      </c>
      <c r="L2000" t="s">
        <v>229</v>
      </c>
      <c r="M2000" t="s">
        <v>8630</v>
      </c>
      <c r="N2000" t="s">
        <v>8631</v>
      </c>
      <c r="Q2000" s="28" t="s">
        <v>8685</v>
      </c>
    </row>
    <row r="2001" spans="1:17" x14ac:dyDescent="0.35">
      <c r="A2001" t="s">
        <v>8520</v>
      </c>
      <c r="B2001" s="3" t="s">
        <v>102</v>
      </c>
      <c r="F2001">
        <v>5</v>
      </c>
      <c r="G2001" t="s">
        <v>8607</v>
      </c>
      <c r="H2001">
        <v>34</v>
      </c>
      <c r="I2001" t="s">
        <v>9303</v>
      </c>
      <c r="J2001" t="str">
        <f t="shared" si="31"/>
        <v>13F-HR-5.34.C8</v>
      </c>
      <c r="K2001" s="5" t="s">
        <v>8633</v>
      </c>
      <c r="L2001" t="s">
        <v>4735</v>
      </c>
      <c r="M2001" t="s">
        <v>8634</v>
      </c>
      <c r="N2001" t="s">
        <v>8635</v>
      </c>
      <c r="Q2001" s="28" t="s">
        <v>8632</v>
      </c>
    </row>
    <row r="2002" spans="1:17" x14ac:dyDescent="0.35">
      <c r="A2002" t="s">
        <v>8651</v>
      </c>
      <c r="B2002" s="3" t="s">
        <v>102</v>
      </c>
      <c r="F2002">
        <v>5</v>
      </c>
      <c r="G2002" t="s">
        <v>8607</v>
      </c>
      <c r="H2002">
        <v>35</v>
      </c>
      <c r="I2002" t="s">
        <v>9304</v>
      </c>
      <c r="J2002" t="str">
        <f t="shared" si="31"/>
        <v>135-HR-5.35.C9</v>
      </c>
      <c r="K2002" s="5" t="s">
        <v>8637</v>
      </c>
      <c r="L2002" t="s">
        <v>229</v>
      </c>
      <c r="M2002" t="s">
        <v>8638</v>
      </c>
      <c r="N2002" t="s">
        <v>8639</v>
      </c>
      <c r="Q2002" s="28" t="s">
        <v>8636</v>
      </c>
    </row>
    <row r="2003" spans="1:17" x14ac:dyDescent="0.35">
      <c r="A2003" t="s">
        <v>8520</v>
      </c>
      <c r="B2003" s="3" t="s">
        <v>102</v>
      </c>
      <c r="F2003">
        <v>5</v>
      </c>
      <c r="G2003" t="s">
        <v>8607</v>
      </c>
      <c r="H2003">
        <v>36</v>
      </c>
      <c r="I2003" t="s">
        <v>9305</v>
      </c>
      <c r="J2003" t="str">
        <f t="shared" si="31"/>
        <v>13F-HR-5.36.C10</v>
      </c>
      <c r="K2003" s="5" t="s">
        <v>8640</v>
      </c>
      <c r="L2003" t="s">
        <v>241</v>
      </c>
      <c r="M2003" t="s">
        <v>8641</v>
      </c>
      <c r="N2003" t="s">
        <v>8642</v>
      </c>
      <c r="Q2003" s="28">
        <v>27549</v>
      </c>
    </row>
    <row r="2004" spans="1:17" x14ac:dyDescent="0.35">
      <c r="A2004" t="s">
        <v>8520</v>
      </c>
      <c r="B2004" s="3" t="s">
        <v>102</v>
      </c>
      <c r="F2004">
        <v>5</v>
      </c>
      <c r="G2004" t="s">
        <v>8607</v>
      </c>
      <c r="H2004">
        <v>37</v>
      </c>
      <c r="I2004" t="s">
        <v>9306</v>
      </c>
      <c r="J2004" t="str">
        <f t="shared" si="31"/>
        <v>13F-HR-5.37.C11</v>
      </c>
      <c r="K2004" s="5" t="s">
        <v>8643</v>
      </c>
      <c r="L2004" t="s">
        <v>241</v>
      </c>
      <c r="M2004" t="s">
        <v>8644</v>
      </c>
      <c r="N2004" t="s">
        <v>8645</v>
      </c>
      <c r="Q2004" s="28">
        <v>0</v>
      </c>
    </row>
    <row r="2005" spans="1:17" x14ac:dyDescent="0.35">
      <c r="A2005" t="s">
        <v>8520</v>
      </c>
      <c r="B2005" s="3" t="s">
        <v>102</v>
      </c>
      <c r="F2005">
        <v>5</v>
      </c>
      <c r="G2005" t="s">
        <v>8607</v>
      </c>
      <c r="H2005">
        <v>38</v>
      </c>
      <c r="I2005" t="s">
        <v>9307</v>
      </c>
      <c r="J2005" t="str">
        <f t="shared" si="31"/>
        <v>13F-HR-5.38.C12</v>
      </c>
      <c r="K2005" s="5" t="s">
        <v>8646</v>
      </c>
      <c r="L2005" t="s">
        <v>241</v>
      </c>
      <c r="M2005" t="s">
        <v>8647</v>
      </c>
      <c r="N2005" t="s">
        <v>8648</v>
      </c>
      <c r="Q2005" s="28">
        <v>0</v>
      </c>
    </row>
    <row r="2006" spans="1:17" x14ac:dyDescent="0.35">
      <c r="A2006" t="s">
        <v>8520</v>
      </c>
      <c r="B2006" s="3" t="s">
        <v>102</v>
      </c>
      <c r="F2006">
        <v>5</v>
      </c>
      <c r="G2006" t="s">
        <v>8607</v>
      </c>
      <c r="H2006">
        <v>27</v>
      </c>
      <c r="I2006" t="s">
        <v>9296</v>
      </c>
      <c r="J2006" t="str">
        <f t="shared" si="31"/>
        <v>13F-HR-5.27.C1</v>
      </c>
      <c r="K2006" s="5" t="s">
        <v>8608</v>
      </c>
      <c r="L2006" t="s">
        <v>229</v>
      </c>
      <c r="M2006" t="s">
        <v>8609</v>
      </c>
      <c r="N2006" t="s">
        <v>8610</v>
      </c>
      <c r="Q2006" s="28" t="s">
        <v>8911</v>
      </c>
    </row>
    <row r="2007" spans="1:17" x14ac:dyDescent="0.35">
      <c r="A2007" t="s">
        <v>8520</v>
      </c>
      <c r="B2007" s="3" t="s">
        <v>102</v>
      </c>
      <c r="F2007">
        <v>5</v>
      </c>
      <c r="G2007" t="s">
        <v>8607</v>
      </c>
      <c r="H2007">
        <v>28</v>
      </c>
      <c r="I2007" t="s">
        <v>9297</v>
      </c>
      <c r="J2007" t="str">
        <f t="shared" si="31"/>
        <v>13F-HR-5.28.C2</v>
      </c>
      <c r="K2007" s="5" t="s">
        <v>8612</v>
      </c>
      <c r="L2007" t="s">
        <v>229</v>
      </c>
      <c r="M2007" t="s">
        <v>8613</v>
      </c>
      <c r="N2007" t="s">
        <v>8614</v>
      </c>
      <c r="Q2007" s="28" t="s">
        <v>8615</v>
      </c>
    </row>
    <row r="2008" spans="1:17" x14ac:dyDescent="0.35">
      <c r="A2008" t="s">
        <v>8520</v>
      </c>
      <c r="B2008" s="3" t="s">
        <v>102</v>
      </c>
      <c r="F2008">
        <v>5</v>
      </c>
      <c r="G2008" t="s">
        <v>8607</v>
      </c>
      <c r="H2008">
        <v>29</v>
      </c>
      <c r="I2008" t="s">
        <v>9298</v>
      </c>
      <c r="J2008" t="str">
        <f t="shared" si="31"/>
        <v>13F-HR-5.29.C3</v>
      </c>
      <c r="K2008" s="5" t="s">
        <v>8616</v>
      </c>
      <c r="L2008" t="s">
        <v>229</v>
      </c>
      <c r="M2008" t="s">
        <v>7927</v>
      </c>
      <c r="N2008" t="s">
        <v>8617</v>
      </c>
      <c r="Q2008" s="28">
        <v>571748102</v>
      </c>
    </row>
    <row r="2009" spans="1:17" x14ac:dyDescent="0.35">
      <c r="A2009" t="s">
        <v>8520</v>
      </c>
      <c r="B2009" s="3" t="s">
        <v>102</v>
      </c>
      <c r="F2009">
        <v>5</v>
      </c>
      <c r="G2009" t="s">
        <v>8607</v>
      </c>
      <c r="H2009">
        <v>30</v>
      </c>
      <c r="I2009" t="s">
        <v>9299</v>
      </c>
      <c r="J2009" t="str">
        <f t="shared" si="31"/>
        <v>13F-HR-5.30.C4</v>
      </c>
      <c r="K2009" s="5" t="s">
        <v>8618</v>
      </c>
      <c r="L2009" t="s">
        <v>8619</v>
      </c>
      <c r="M2009" t="s">
        <v>8620</v>
      </c>
      <c r="N2009" t="s">
        <v>8621</v>
      </c>
      <c r="Q2009" s="28">
        <v>102595337</v>
      </c>
    </row>
    <row r="2010" spans="1:17" x14ac:dyDescent="0.35">
      <c r="A2010" t="s">
        <v>8520</v>
      </c>
      <c r="B2010" s="3" t="s">
        <v>102</v>
      </c>
      <c r="F2010">
        <v>5</v>
      </c>
      <c r="G2010" t="s">
        <v>8607</v>
      </c>
      <c r="H2010">
        <v>31</v>
      </c>
      <c r="I2010" t="s">
        <v>9300</v>
      </c>
      <c r="J2010" t="str">
        <f t="shared" si="31"/>
        <v>13F-HR-5.31.C5</v>
      </c>
      <c r="K2010" s="5" t="s">
        <v>8622</v>
      </c>
      <c r="L2010" t="s">
        <v>241</v>
      </c>
      <c r="M2010" t="s">
        <v>8623</v>
      </c>
      <c r="N2010" t="s">
        <v>8624</v>
      </c>
      <c r="Q2010" s="28">
        <v>420421</v>
      </c>
    </row>
    <row r="2011" spans="1:17" x14ac:dyDescent="0.35">
      <c r="A2011" t="s">
        <v>8520</v>
      </c>
      <c r="B2011" s="3" t="s">
        <v>102</v>
      </c>
      <c r="F2011">
        <v>5</v>
      </c>
      <c r="G2011" t="s">
        <v>8607</v>
      </c>
      <c r="H2011">
        <v>32</v>
      </c>
      <c r="I2011" t="s">
        <v>9301</v>
      </c>
      <c r="J2011" t="str">
        <f t="shared" si="31"/>
        <v>13F-HR-5.32.C6</v>
      </c>
      <c r="K2011" s="5" t="s">
        <v>8625</v>
      </c>
      <c r="L2011" t="s">
        <v>229</v>
      </c>
      <c r="M2011" t="s">
        <v>8626</v>
      </c>
      <c r="N2011" t="s">
        <v>8627</v>
      </c>
      <c r="Q2011" s="28" t="s">
        <v>8628</v>
      </c>
    </row>
    <row r="2012" spans="1:17" x14ac:dyDescent="0.35">
      <c r="A2012" t="s">
        <v>8520</v>
      </c>
      <c r="B2012" s="3" t="s">
        <v>102</v>
      </c>
      <c r="F2012">
        <v>5</v>
      </c>
      <c r="G2012" t="s">
        <v>8607</v>
      </c>
      <c r="H2012">
        <v>33</v>
      </c>
      <c r="I2012" t="s">
        <v>9302</v>
      </c>
      <c r="J2012" t="str">
        <f t="shared" si="31"/>
        <v>13F-HR-5.33.C7</v>
      </c>
      <c r="K2012" s="5" t="s">
        <v>8629</v>
      </c>
      <c r="L2012" t="s">
        <v>229</v>
      </c>
      <c r="M2012" t="s">
        <v>8630</v>
      </c>
      <c r="N2012" t="s">
        <v>8631</v>
      </c>
      <c r="Q2012" s="28" t="s">
        <v>8685</v>
      </c>
    </row>
    <row r="2013" spans="1:17" x14ac:dyDescent="0.35">
      <c r="A2013" t="s">
        <v>8520</v>
      </c>
      <c r="B2013" s="3" t="s">
        <v>102</v>
      </c>
      <c r="F2013">
        <v>5</v>
      </c>
      <c r="G2013" t="s">
        <v>8607</v>
      </c>
      <c r="H2013">
        <v>34</v>
      </c>
      <c r="I2013" t="s">
        <v>9303</v>
      </c>
      <c r="J2013" t="str">
        <f t="shared" si="31"/>
        <v>13F-HR-5.34.C8</v>
      </c>
      <c r="K2013" s="5" t="s">
        <v>8633</v>
      </c>
      <c r="L2013" t="s">
        <v>4735</v>
      </c>
      <c r="M2013" t="s">
        <v>8634</v>
      </c>
      <c r="N2013" t="s">
        <v>8635</v>
      </c>
      <c r="Q2013" s="28" t="s">
        <v>8632</v>
      </c>
    </row>
    <row r="2014" spans="1:17" x14ac:dyDescent="0.35">
      <c r="A2014" t="s">
        <v>8651</v>
      </c>
      <c r="B2014" s="3" t="s">
        <v>102</v>
      </c>
      <c r="F2014">
        <v>5</v>
      </c>
      <c r="G2014" t="s">
        <v>8607</v>
      </c>
      <c r="H2014">
        <v>35</v>
      </c>
      <c r="I2014" t="s">
        <v>9304</v>
      </c>
      <c r="J2014" t="str">
        <f t="shared" si="31"/>
        <v>135-HR-5.35.C9</v>
      </c>
      <c r="K2014" s="5" t="s">
        <v>8637</v>
      </c>
      <c r="L2014" t="s">
        <v>229</v>
      </c>
      <c r="M2014" t="s">
        <v>8638</v>
      </c>
      <c r="N2014" t="s">
        <v>8639</v>
      </c>
      <c r="Q2014" s="28" t="s">
        <v>8636</v>
      </c>
    </row>
    <row r="2015" spans="1:17" x14ac:dyDescent="0.35">
      <c r="A2015" t="s">
        <v>8520</v>
      </c>
      <c r="B2015" s="3" t="s">
        <v>102</v>
      </c>
      <c r="F2015">
        <v>5</v>
      </c>
      <c r="G2015" t="s">
        <v>8607</v>
      </c>
      <c r="H2015">
        <v>36</v>
      </c>
      <c r="I2015" t="s">
        <v>9305</v>
      </c>
      <c r="J2015" t="str">
        <f t="shared" si="31"/>
        <v>13F-HR-5.36.C10</v>
      </c>
      <c r="K2015" s="5" t="s">
        <v>8640</v>
      </c>
      <c r="L2015" t="s">
        <v>241</v>
      </c>
      <c r="M2015" t="s">
        <v>8641</v>
      </c>
      <c r="N2015" t="s">
        <v>8642</v>
      </c>
      <c r="Q2015" s="28">
        <v>148451</v>
      </c>
    </row>
    <row r="2016" spans="1:17" x14ac:dyDescent="0.35">
      <c r="A2016" t="s">
        <v>8520</v>
      </c>
      <c r="B2016" s="3" t="s">
        <v>102</v>
      </c>
      <c r="F2016">
        <v>5</v>
      </c>
      <c r="G2016" t="s">
        <v>8607</v>
      </c>
      <c r="H2016">
        <v>37</v>
      </c>
      <c r="I2016" t="s">
        <v>9306</v>
      </c>
      <c r="J2016" t="str">
        <f t="shared" si="31"/>
        <v>13F-HR-5.37.C11</v>
      </c>
      <c r="K2016" s="5" t="s">
        <v>8643</v>
      </c>
      <c r="L2016" t="s">
        <v>241</v>
      </c>
      <c r="M2016" t="s">
        <v>8644</v>
      </c>
      <c r="N2016" t="s">
        <v>8645</v>
      </c>
      <c r="Q2016" s="28">
        <v>0</v>
      </c>
    </row>
    <row r="2017" spans="1:17" x14ac:dyDescent="0.35">
      <c r="A2017" t="s">
        <v>8520</v>
      </c>
      <c r="B2017" s="3" t="s">
        <v>102</v>
      </c>
      <c r="F2017">
        <v>5</v>
      </c>
      <c r="G2017" t="s">
        <v>8607</v>
      </c>
      <c r="H2017">
        <v>38</v>
      </c>
      <c r="I2017" t="s">
        <v>9307</v>
      </c>
      <c r="J2017" t="str">
        <f t="shared" si="31"/>
        <v>13F-HR-5.38.C12</v>
      </c>
      <c r="K2017" s="5" t="s">
        <v>8646</v>
      </c>
      <c r="L2017" t="s">
        <v>241</v>
      </c>
      <c r="M2017" t="s">
        <v>8647</v>
      </c>
      <c r="N2017" t="s">
        <v>8648</v>
      </c>
      <c r="Q2017" s="28">
        <v>271970</v>
      </c>
    </row>
    <row r="2018" spans="1:17" x14ac:dyDescent="0.35">
      <c r="A2018" t="s">
        <v>8520</v>
      </c>
      <c r="B2018" s="3" t="s">
        <v>102</v>
      </c>
      <c r="F2018">
        <v>5</v>
      </c>
      <c r="G2018" t="s">
        <v>8607</v>
      </c>
      <c r="H2018">
        <v>27</v>
      </c>
      <c r="I2018" t="s">
        <v>9296</v>
      </c>
      <c r="J2018" t="str">
        <f t="shared" si="31"/>
        <v>13F-HR-5.27.C1</v>
      </c>
      <c r="K2018" s="5" t="s">
        <v>8608</v>
      </c>
      <c r="L2018" t="s">
        <v>229</v>
      </c>
      <c r="M2018" t="s">
        <v>8609</v>
      </c>
      <c r="N2018" t="s">
        <v>8610</v>
      </c>
      <c r="Q2018" s="28" t="s">
        <v>8912</v>
      </c>
    </row>
    <row r="2019" spans="1:17" x14ac:dyDescent="0.35">
      <c r="A2019" t="s">
        <v>8520</v>
      </c>
      <c r="B2019" s="3" t="s">
        <v>102</v>
      </c>
      <c r="F2019">
        <v>5</v>
      </c>
      <c r="G2019" t="s">
        <v>8607</v>
      </c>
      <c r="H2019">
        <v>28</v>
      </c>
      <c r="I2019" t="s">
        <v>9297</v>
      </c>
      <c r="J2019" t="str">
        <f t="shared" si="31"/>
        <v>13F-HR-5.28.C2</v>
      </c>
      <c r="K2019" s="5" t="s">
        <v>8612</v>
      </c>
      <c r="L2019" t="s">
        <v>229</v>
      </c>
      <c r="M2019" t="s">
        <v>8613</v>
      </c>
      <c r="N2019" t="s">
        <v>8614</v>
      </c>
      <c r="Q2019" s="28" t="s">
        <v>8706</v>
      </c>
    </row>
    <row r="2020" spans="1:17" x14ac:dyDescent="0.35">
      <c r="A2020" t="s">
        <v>8520</v>
      </c>
      <c r="B2020" s="3" t="s">
        <v>102</v>
      </c>
      <c r="F2020">
        <v>5</v>
      </c>
      <c r="G2020" t="s">
        <v>8607</v>
      </c>
      <c r="H2020">
        <v>29</v>
      </c>
      <c r="I2020" t="s">
        <v>9298</v>
      </c>
      <c r="J2020" t="str">
        <f t="shared" si="31"/>
        <v>13F-HR-5.29.C3</v>
      </c>
      <c r="K2020" s="5" t="s">
        <v>8616</v>
      </c>
      <c r="L2020" t="s">
        <v>229</v>
      </c>
      <c r="M2020" t="s">
        <v>7927</v>
      </c>
      <c r="N2020" t="s">
        <v>8617</v>
      </c>
      <c r="Q2020" s="28">
        <v>571903202</v>
      </c>
    </row>
    <row r="2021" spans="1:17" x14ac:dyDescent="0.35">
      <c r="A2021" t="s">
        <v>8520</v>
      </c>
      <c r="B2021" s="3" t="s">
        <v>102</v>
      </c>
      <c r="F2021">
        <v>5</v>
      </c>
      <c r="G2021" t="s">
        <v>8607</v>
      </c>
      <c r="H2021">
        <v>30</v>
      </c>
      <c r="I2021" t="s">
        <v>9299</v>
      </c>
      <c r="J2021" t="str">
        <f t="shared" si="31"/>
        <v>13F-HR-5.30.C4</v>
      </c>
      <c r="K2021" s="5" t="s">
        <v>8618</v>
      </c>
      <c r="L2021" t="s">
        <v>8619</v>
      </c>
      <c r="M2021" t="s">
        <v>8620</v>
      </c>
      <c r="N2021" t="s">
        <v>8621</v>
      </c>
      <c r="Q2021" s="28">
        <v>24908812</v>
      </c>
    </row>
    <row r="2022" spans="1:17" x14ac:dyDescent="0.35">
      <c r="A2022" t="s">
        <v>8520</v>
      </c>
      <c r="B2022" s="3" t="s">
        <v>102</v>
      </c>
      <c r="F2022">
        <v>5</v>
      </c>
      <c r="G2022" t="s">
        <v>8607</v>
      </c>
      <c r="H2022">
        <v>31</v>
      </c>
      <c r="I2022" t="s">
        <v>9300</v>
      </c>
      <c r="J2022" t="str">
        <f t="shared" si="31"/>
        <v>13F-HR-5.31.C5</v>
      </c>
      <c r="K2022" s="5" t="s">
        <v>8622</v>
      </c>
      <c r="L2022" t="s">
        <v>241</v>
      </c>
      <c r="M2022" t="s">
        <v>8623</v>
      </c>
      <c r="N2022" t="s">
        <v>8624</v>
      </c>
      <c r="Q2022" s="28">
        <v>104571</v>
      </c>
    </row>
    <row r="2023" spans="1:17" x14ac:dyDescent="0.35">
      <c r="A2023" t="s">
        <v>8520</v>
      </c>
      <c r="B2023" s="3" t="s">
        <v>102</v>
      </c>
      <c r="F2023">
        <v>5</v>
      </c>
      <c r="G2023" t="s">
        <v>8607</v>
      </c>
      <c r="H2023">
        <v>32</v>
      </c>
      <c r="I2023" t="s">
        <v>9301</v>
      </c>
      <c r="J2023" t="str">
        <f t="shared" si="31"/>
        <v>13F-HR-5.32.C6</v>
      </c>
      <c r="K2023" s="5" t="s">
        <v>8625</v>
      </c>
      <c r="L2023" t="s">
        <v>229</v>
      </c>
      <c r="M2023" t="s">
        <v>8626</v>
      </c>
      <c r="N2023" t="s">
        <v>8627</v>
      </c>
      <c r="Q2023" s="28" t="s">
        <v>8628</v>
      </c>
    </row>
    <row r="2024" spans="1:17" x14ac:dyDescent="0.35">
      <c r="A2024" t="s">
        <v>8520</v>
      </c>
      <c r="B2024" s="3" t="s">
        <v>102</v>
      </c>
      <c r="F2024">
        <v>5</v>
      </c>
      <c r="G2024" t="s">
        <v>8607</v>
      </c>
      <c r="H2024">
        <v>33</v>
      </c>
      <c r="I2024" t="s">
        <v>9302</v>
      </c>
      <c r="J2024" t="str">
        <f t="shared" si="31"/>
        <v>13F-HR-5.33.C7</v>
      </c>
      <c r="K2024" s="5" t="s">
        <v>8629</v>
      </c>
      <c r="L2024" t="s">
        <v>229</v>
      </c>
      <c r="M2024" t="s">
        <v>8630</v>
      </c>
      <c r="N2024" t="s">
        <v>8631</v>
      </c>
      <c r="Q2024" s="28" t="s">
        <v>8685</v>
      </c>
    </row>
    <row r="2025" spans="1:17" x14ac:dyDescent="0.35">
      <c r="A2025" t="s">
        <v>8520</v>
      </c>
      <c r="B2025" s="3" t="s">
        <v>102</v>
      </c>
      <c r="F2025">
        <v>5</v>
      </c>
      <c r="G2025" t="s">
        <v>8607</v>
      </c>
      <c r="H2025">
        <v>34</v>
      </c>
      <c r="I2025" t="s">
        <v>9303</v>
      </c>
      <c r="J2025" t="str">
        <f t="shared" si="31"/>
        <v>13F-HR-5.34.C8</v>
      </c>
      <c r="K2025" s="5" t="s">
        <v>8633</v>
      </c>
      <c r="L2025" t="s">
        <v>4735</v>
      </c>
      <c r="M2025" t="s">
        <v>8634</v>
      </c>
      <c r="N2025" t="s">
        <v>8635</v>
      </c>
      <c r="Q2025" s="28" t="s">
        <v>8632</v>
      </c>
    </row>
    <row r="2026" spans="1:17" x14ac:dyDescent="0.35">
      <c r="A2026" t="s">
        <v>8651</v>
      </c>
      <c r="B2026" s="3" t="s">
        <v>102</v>
      </c>
      <c r="F2026">
        <v>5</v>
      </c>
      <c r="G2026" t="s">
        <v>8607</v>
      </c>
      <c r="H2026">
        <v>35</v>
      </c>
      <c r="I2026" t="s">
        <v>9304</v>
      </c>
      <c r="J2026" t="str">
        <f t="shared" si="31"/>
        <v>135-HR-5.35.C9</v>
      </c>
      <c r="K2026" s="5" t="s">
        <v>8637</v>
      </c>
      <c r="L2026" t="s">
        <v>229</v>
      </c>
      <c r="M2026" t="s">
        <v>8638</v>
      </c>
      <c r="N2026" t="s">
        <v>8639</v>
      </c>
      <c r="Q2026" s="28" t="s">
        <v>8636</v>
      </c>
    </row>
    <row r="2027" spans="1:17" x14ac:dyDescent="0.35">
      <c r="A2027" t="s">
        <v>8520</v>
      </c>
      <c r="B2027" s="3" t="s">
        <v>102</v>
      </c>
      <c r="F2027">
        <v>5</v>
      </c>
      <c r="G2027" t="s">
        <v>8607</v>
      </c>
      <c r="H2027">
        <v>36</v>
      </c>
      <c r="I2027" t="s">
        <v>9305</v>
      </c>
      <c r="J2027" t="str">
        <f t="shared" si="31"/>
        <v>13F-HR-5.36.C10</v>
      </c>
      <c r="K2027" s="5" t="s">
        <v>8640</v>
      </c>
      <c r="L2027" t="s">
        <v>241</v>
      </c>
      <c r="M2027" t="s">
        <v>8641</v>
      </c>
      <c r="N2027" t="s">
        <v>8642</v>
      </c>
      <c r="Q2027" s="28">
        <v>80067</v>
      </c>
    </row>
    <row r="2028" spans="1:17" x14ac:dyDescent="0.35">
      <c r="A2028" t="s">
        <v>8520</v>
      </c>
      <c r="B2028" s="3" t="s">
        <v>102</v>
      </c>
      <c r="F2028">
        <v>5</v>
      </c>
      <c r="G2028" t="s">
        <v>8607</v>
      </c>
      <c r="H2028">
        <v>37</v>
      </c>
      <c r="I2028" t="s">
        <v>9306</v>
      </c>
      <c r="J2028" t="str">
        <f t="shared" si="31"/>
        <v>13F-HR-5.37.C11</v>
      </c>
      <c r="K2028" s="5" t="s">
        <v>8643</v>
      </c>
      <c r="L2028" t="s">
        <v>241</v>
      </c>
      <c r="M2028" t="s">
        <v>8644</v>
      </c>
      <c r="N2028" t="s">
        <v>8645</v>
      </c>
      <c r="Q2028" s="28">
        <v>0</v>
      </c>
    </row>
    <row r="2029" spans="1:17" x14ac:dyDescent="0.35">
      <c r="A2029" t="s">
        <v>8520</v>
      </c>
      <c r="B2029" s="3" t="s">
        <v>102</v>
      </c>
      <c r="F2029">
        <v>5</v>
      </c>
      <c r="G2029" t="s">
        <v>8607</v>
      </c>
      <c r="H2029">
        <v>38</v>
      </c>
      <c r="I2029" t="s">
        <v>9307</v>
      </c>
      <c r="J2029" t="str">
        <f t="shared" si="31"/>
        <v>13F-HR-5.38.C12</v>
      </c>
      <c r="K2029" s="5" t="s">
        <v>8646</v>
      </c>
      <c r="L2029" t="s">
        <v>241</v>
      </c>
      <c r="M2029" t="s">
        <v>8647</v>
      </c>
      <c r="N2029" t="s">
        <v>8648</v>
      </c>
      <c r="Q2029" s="28">
        <v>24504</v>
      </c>
    </row>
    <row r="2030" spans="1:17" x14ac:dyDescent="0.35">
      <c r="A2030" t="s">
        <v>8520</v>
      </c>
      <c r="B2030" s="3" t="s">
        <v>102</v>
      </c>
      <c r="F2030">
        <v>5</v>
      </c>
      <c r="G2030" t="s">
        <v>8607</v>
      </c>
      <c r="H2030">
        <v>27</v>
      </c>
      <c r="I2030" t="s">
        <v>9296</v>
      </c>
      <c r="J2030" t="str">
        <f t="shared" si="31"/>
        <v>13F-HR-5.27.C1</v>
      </c>
      <c r="K2030" s="5" t="s">
        <v>8608</v>
      </c>
      <c r="L2030" t="s">
        <v>229</v>
      </c>
      <c r="M2030" t="s">
        <v>8609</v>
      </c>
      <c r="N2030" t="s">
        <v>8610</v>
      </c>
      <c r="Q2030" s="28" t="s">
        <v>8913</v>
      </c>
    </row>
    <row r="2031" spans="1:17" x14ac:dyDescent="0.35">
      <c r="A2031" t="s">
        <v>8520</v>
      </c>
      <c r="B2031" s="3" t="s">
        <v>102</v>
      </c>
      <c r="F2031">
        <v>5</v>
      </c>
      <c r="G2031" t="s">
        <v>8607</v>
      </c>
      <c r="H2031">
        <v>28</v>
      </c>
      <c r="I2031" t="s">
        <v>9297</v>
      </c>
      <c r="J2031" t="str">
        <f t="shared" si="31"/>
        <v>13F-HR-5.28.C2</v>
      </c>
      <c r="K2031" s="5" t="s">
        <v>8612</v>
      </c>
      <c r="L2031" t="s">
        <v>229</v>
      </c>
      <c r="M2031" t="s">
        <v>8613</v>
      </c>
      <c r="N2031" t="s">
        <v>8614</v>
      </c>
      <c r="Q2031" s="28" t="s">
        <v>8706</v>
      </c>
    </row>
    <row r="2032" spans="1:17" x14ac:dyDescent="0.35">
      <c r="A2032" t="s">
        <v>8520</v>
      </c>
      <c r="B2032" s="3" t="s">
        <v>102</v>
      </c>
      <c r="F2032">
        <v>5</v>
      </c>
      <c r="G2032" t="s">
        <v>8607</v>
      </c>
      <c r="H2032">
        <v>29</v>
      </c>
      <c r="I2032" t="s">
        <v>9298</v>
      </c>
      <c r="J2032" t="str">
        <f t="shared" si="31"/>
        <v>13F-HR-5.29.C3</v>
      </c>
      <c r="K2032" s="5" t="s">
        <v>8616</v>
      </c>
      <c r="L2032" t="s">
        <v>229</v>
      </c>
      <c r="M2032" t="s">
        <v>7927</v>
      </c>
      <c r="N2032" t="s">
        <v>8617</v>
      </c>
      <c r="Q2032" s="28" t="s">
        <v>8914</v>
      </c>
    </row>
    <row r="2033" spans="1:17" x14ac:dyDescent="0.35">
      <c r="A2033" t="s">
        <v>8520</v>
      </c>
      <c r="B2033" s="3" t="s">
        <v>102</v>
      </c>
      <c r="F2033">
        <v>5</v>
      </c>
      <c r="G2033" t="s">
        <v>8607</v>
      </c>
      <c r="H2033">
        <v>30</v>
      </c>
      <c r="I2033" t="s">
        <v>9299</v>
      </c>
      <c r="J2033" t="str">
        <f t="shared" si="31"/>
        <v>13F-HR-5.30.C4</v>
      </c>
      <c r="K2033" s="5" t="s">
        <v>8618</v>
      </c>
      <c r="L2033" t="s">
        <v>8619</v>
      </c>
      <c r="M2033" t="s">
        <v>8620</v>
      </c>
      <c r="N2033" t="s">
        <v>8621</v>
      </c>
      <c r="Q2033" s="28">
        <v>103530550</v>
      </c>
    </row>
    <row r="2034" spans="1:17" x14ac:dyDescent="0.35">
      <c r="A2034" t="s">
        <v>8520</v>
      </c>
      <c r="B2034" s="3" t="s">
        <v>102</v>
      </c>
      <c r="F2034">
        <v>5</v>
      </c>
      <c r="G2034" t="s">
        <v>8607</v>
      </c>
      <c r="H2034">
        <v>31</v>
      </c>
      <c r="I2034" t="s">
        <v>9300</v>
      </c>
      <c r="J2034" t="str">
        <f t="shared" si="31"/>
        <v>13F-HR-5.31.C5</v>
      </c>
      <c r="K2034" s="5" t="s">
        <v>8622</v>
      </c>
      <c r="L2034" t="s">
        <v>241</v>
      </c>
      <c r="M2034" t="s">
        <v>8623</v>
      </c>
      <c r="N2034" t="s">
        <v>8624</v>
      </c>
      <c r="Q2034" s="28">
        <v>188883</v>
      </c>
    </row>
    <row r="2035" spans="1:17" x14ac:dyDescent="0.35">
      <c r="A2035" t="s">
        <v>8520</v>
      </c>
      <c r="B2035" s="3" t="s">
        <v>102</v>
      </c>
      <c r="F2035">
        <v>5</v>
      </c>
      <c r="G2035" t="s">
        <v>8607</v>
      </c>
      <c r="H2035">
        <v>32</v>
      </c>
      <c r="I2035" t="s">
        <v>9301</v>
      </c>
      <c r="J2035" t="str">
        <f t="shared" si="31"/>
        <v>13F-HR-5.32.C6</v>
      </c>
      <c r="K2035" s="5" t="s">
        <v>8625</v>
      </c>
      <c r="L2035" t="s">
        <v>229</v>
      </c>
      <c r="M2035" t="s">
        <v>8626</v>
      </c>
      <c r="N2035" t="s">
        <v>8627</v>
      </c>
      <c r="Q2035" s="28" t="s">
        <v>8628</v>
      </c>
    </row>
    <row r="2036" spans="1:17" x14ac:dyDescent="0.35">
      <c r="A2036" t="s">
        <v>8520</v>
      </c>
      <c r="B2036" s="3" t="s">
        <v>102</v>
      </c>
      <c r="F2036">
        <v>5</v>
      </c>
      <c r="G2036" t="s">
        <v>8607</v>
      </c>
      <c r="H2036">
        <v>33</v>
      </c>
      <c r="I2036" t="s">
        <v>9302</v>
      </c>
      <c r="J2036" t="str">
        <f t="shared" si="31"/>
        <v>13F-HR-5.33.C7</v>
      </c>
      <c r="K2036" s="5" t="s">
        <v>8629</v>
      </c>
      <c r="L2036" t="s">
        <v>229</v>
      </c>
      <c r="M2036" t="s">
        <v>8630</v>
      </c>
      <c r="N2036" t="s">
        <v>8631</v>
      </c>
      <c r="Q2036" s="28" t="s">
        <v>8685</v>
      </c>
    </row>
    <row r="2037" spans="1:17" x14ac:dyDescent="0.35">
      <c r="A2037" t="s">
        <v>8520</v>
      </c>
      <c r="B2037" s="3" t="s">
        <v>102</v>
      </c>
      <c r="F2037">
        <v>5</v>
      </c>
      <c r="G2037" t="s">
        <v>8607</v>
      </c>
      <c r="H2037">
        <v>34</v>
      </c>
      <c r="I2037" t="s">
        <v>9303</v>
      </c>
      <c r="J2037" t="str">
        <f t="shared" si="31"/>
        <v>13F-HR-5.34.C8</v>
      </c>
      <c r="K2037" s="5" t="s">
        <v>8633</v>
      </c>
      <c r="L2037" t="s">
        <v>4735</v>
      </c>
      <c r="M2037" t="s">
        <v>8634</v>
      </c>
      <c r="N2037" t="s">
        <v>8635</v>
      </c>
      <c r="Q2037" s="28" t="s">
        <v>8632</v>
      </c>
    </row>
    <row r="2038" spans="1:17" x14ac:dyDescent="0.35">
      <c r="A2038" t="s">
        <v>8651</v>
      </c>
      <c r="B2038" s="3" t="s">
        <v>102</v>
      </c>
      <c r="F2038">
        <v>5</v>
      </c>
      <c r="G2038" t="s">
        <v>8607</v>
      </c>
      <c r="H2038">
        <v>35</v>
      </c>
      <c r="I2038" t="s">
        <v>9304</v>
      </c>
      <c r="J2038" t="str">
        <f t="shared" si="31"/>
        <v>135-HR-5.35.C9</v>
      </c>
      <c r="K2038" s="5" t="s">
        <v>8637</v>
      </c>
      <c r="L2038" t="s">
        <v>229</v>
      </c>
      <c r="M2038" t="s">
        <v>8638</v>
      </c>
      <c r="N2038" t="s">
        <v>8639</v>
      </c>
      <c r="Q2038" s="28" t="s">
        <v>8636</v>
      </c>
    </row>
    <row r="2039" spans="1:17" x14ac:dyDescent="0.35">
      <c r="A2039" t="s">
        <v>8520</v>
      </c>
      <c r="B2039" s="3" t="s">
        <v>102</v>
      </c>
      <c r="F2039">
        <v>5</v>
      </c>
      <c r="G2039" t="s">
        <v>8607</v>
      </c>
      <c r="H2039">
        <v>36</v>
      </c>
      <c r="I2039" t="s">
        <v>9305</v>
      </c>
      <c r="J2039" t="str">
        <f t="shared" si="31"/>
        <v>13F-HR-5.36.C10</v>
      </c>
      <c r="K2039" s="5" t="s">
        <v>8640</v>
      </c>
      <c r="L2039" t="s">
        <v>241</v>
      </c>
      <c r="M2039" t="s">
        <v>8641</v>
      </c>
      <c r="N2039" t="s">
        <v>8642</v>
      </c>
      <c r="Q2039" s="28">
        <v>135786</v>
      </c>
    </row>
    <row r="2040" spans="1:17" x14ac:dyDescent="0.35">
      <c r="A2040" t="s">
        <v>8520</v>
      </c>
      <c r="B2040" s="3" t="s">
        <v>102</v>
      </c>
      <c r="F2040">
        <v>5</v>
      </c>
      <c r="G2040" t="s">
        <v>8607</v>
      </c>
      <c r="H2040">
        <v>37</v>
      </c>
      <c r="I2040" t="s">
        <v>9306</v>
      </c>
      <c r="J2040" t="str">
        <f t="shared" si="31"/>
        <v>13F-HR-5.37.C11</v>
      </c>
      <c r="K2040" s="5" t="s">
        <v>8643</v>
      </c>
      <c r="L2040" t="s">
        <v>241</v>
      </c>
      <c r="M2040" t="s">
        <v>8644</v>
      </c>
      <c r="N2040" t="s">
        <v>8645</v>
      </c>
      <c r="Q2040" s="28">
        <v>0</v>
      </c>
    </row>
    <row r="2041" spans="1:17" x14ac:dyDescent="0.35">
      <c r="A2041" t="s">
        <v>8520</v>
      </c>
      <c r="B2041" s="3" t="s">
        <v>102</v>
      </c>
      <c r="F2041">
        <v>5</v>
      </c>
      <c r="G2041" t="s">
        <v>8607</v>
      </c>
      <c r="H2041">
        <v>38</v>
      </c>
      <c r="I2041" t="s">
        <v>9307</v>
      </c>
      <c r="J2041" t="str">
        <f t="shared" si="31"/>
        <v>13F-HR-5.38.C12</v>
      </c>
      <c r="K2041" s="5" t="s">
        <v>8646</v>
      </c>
      <c r="L2041" t="s">
        <v>241</v>
      </c>
      <c r="M2041" t="s">
        <v>8647</v>
      </c>
      <c r="N2041" t="s">
        <v>8648</v>
      </c>
      <c r="Q2041" s="28">
        <v>53097</v>
      </c>
    </row>
    <row r="2042" spans="1:17" x14ac:dyDescent="0.35">
      <c r="A2042" t="s">
        <v>8520</v>
      </c>
      <c r="B2042" s="3" t="s">
        <v>102</v>
      </c>
      <c r="F2042">
        <v>5</v>
      </c>
      <c r="G2042" t="s">
        <v>8607</v>
      </c>
      <c r="H2042">
        <v>27</v>
      </c>
      <c r="I2042" t="s">
        <v>9296</v>
      </c>
      <c r="J2042" t="str">
        <f t="shared" si="31"/>
        <v>13F-HR-5.27.C1</v>
      </c>
      <c r="K2042" s="5" t="s">
        <v>8608</v>
      </c>
      <c r="L2042" t="s">
        <v>229</v>
      </c>
      <c r="M2042" t="s">
        <v>8609</v>
      </c>
      <c r="N2042" t="s">
        <v>8610</v>
      </c>
      <c r="Q2042" s="28" t="s">
        <v>8915</v>
      </c>
    </row>
    <row r="2043" spans="1:17" x14ac:dyDescent="0.35">
      <c r="A2043" t="s">
        <v>8520</v>
      </c>
      <c r="B2043" s="3" t="s">
        <v>102</v>
      </c>
      <c r="F2043">
        <v>5</v>
      </c>
      <c r="G2043" t="s">
        <v>8607</v>
      </c>
      <c r="H2043">
        <v>28</v>
      </c>
      <c r="I2043" t="s">
        <v>9297</v>
      </c>
      <c r="J2043" t="str">
        <f t="shared" si="31"/>
        <v>13F-HR-5.28.C2</v>
      </c>
      <c r="K2043" s="5" t="s">
        <v>8612</v>
      </c>
      <c r="L2043" t="s">
        <v>229</v>
      </c>
      <c r="M2043" t="s">
        <v>8613</v>
      </c>
      <c r="N2043" t="s">
        <v>8614</v>
      </c>
      <c r="Q2043" s="28" t="s">
        <v>8615</v>
      </c>
    </row>
    <row r="2044" spans="1:17" x14ac:dyDescent="0.35">
      <c r="A2044" t="s">
        <v>8520</v>
      </c>
      <c r="B2044" s="3" t="s">
        <v>102</v>
      </c>
      <c r="F2044">
        <v>5</v>
      </c>
      <c r="G2044" t="s">
        <v>8607</v>
      </c>
      <c r="H2044">
        <v>29</v>
      </c>
      <c r="I2044" t="s">
        <v>9298</v>
      </c>
      <c r="J2044" t="str">
        <f t="shared" si="31"/>
        <v>13F-HR-5.29.C3</v>
      </c>
      <c r="K2044" s="5" t="s">
        <v>8616</v>
      </c>
      <c r="L2044" t="s">
        <v>229</v>
      </c>
      <c r="M2044" t="s">
        <v>7927</v>
      </c>
      <c r="N2044" t="s">
        <v>8617</v>
      </c>
      <c r="Q2044" s="28">
        <v>580135101</v>
      </c>
    </row>
    <row r="2045" spans="1:17" x14ac:dyDescent="0.35">
      <c r="A2045" t="s">
        <v>8520</v>
      </c>
      <c r="B2045" s="3" t="s">
        <v>102</v>
      </c>
      <c r="F2045">
        <v>5</v>
      </c>
      <c r="G2045" t="s">
        <v>8607</v>
      </c>
      <c r="H2045">
        <v>30</v>
      </c>
      <c r="I2045" t="s">
        <v>9299</v>
      </c>
      <c r="J2045" t="str">
        <f t="shared" si="31"/>
        <v>13F-HR-5.30.C4</v>
      </c>
      <c r="K2045" s="5" t="s">
        <v>8618</v>
      </c>
      <c r="L2045" t="s">
        <v>8619</v>
      </c>
      <c r="M2045" t="s">
        <v>8620</v>
      </c>
      <c r="N2045" t="s">
        <v>8621</v>
      </c>
      <c r="Q2045" s="28">
        <v>14428995</v>
      </c>
    </row>
    <row r="2046" spans="1:17" x14ac:dyDescent="0.35">
      <c r="A2046" t="s">
        <v>8520</v>
      </c>
      <c r="B2046" s="3" t="s">
        <v>102</v>
      </c>
      <c r="F2046">
        <v>5</v>
      </c>
      <c r="G2046" t="s">
        <v>8607</v>
      </c>
      <c r="H2046">
        <v>31</v>
      </c>
      <c r="I2046" t="s">
        <v>9300</v>
      </c>
      <c r="J2046" t="str">
        <f t="shared" si="31"/>
        <v>13F-HR-5.31.C5</v>
      </c>
      <c r="K2046" s="5" t="s">
        <v>8622</v>
      </c>
      <c r="L2046" t="s">
        <v>241</v>
      </c>
      <c r="M2046" t="s">
        <v>8623</v>
      </c>
      <c r="N2046" t="s">
        <v>8624</v>
      </c>
      <c r="Q2046" s="28">
        <v>46192</v>
      </c>
    </row>
    <row r="2047" spans="1:17" x14ac:dyDescent="0.35">
      <c r="A2047" t="s">
        <v>8520</v>
      </c>
      <c r="B2047" s="3" t="s">
        <v>102</v>
      </c>
      <c r="F2047">
        <v>5</v>
      </c>
      <c r="G2047" t="s">
        <v>8607</v>
      </c>
      <c r="H2047">
        <v>32</v>
      </c>
      <c r="I2047" t="s">
        <v>9301</v>
      </c>
      <c r="J2047" t="str">
        <f t="shared" si="31"/>
        <v>13F-HR-5.32.C6</v>
      </c>
      <c r="K2047" s="5" t="s">
        <v>8625</v>
      </c>
      <c r="L2047" t="s">
        <v>229</v>
      </c>
      <c r="M2047" t="s">
        <v>8626</v>
      </c>
      <c r="N2047" t="s">
        <v>8627</v>
      </c>
      <c r="Q2047" s="28" t="s">
        <v>8628</v>
      </c>
    </row>
    <row r="2048" spans="1:17" x14ac:dyDescent="0.35">
      <c r="A2048" t="s">
        <v>8520</v>
      </c>
      <c r="B2048" s="3" t="s">
        <v>102</v>
      </c>
      <c r="F2048">
        <v>5</v>
      </c>
      <c r="G2048" t="s">
        <v>8607</v>
      </c>
      <c r="H2048">
        <v>33</v>
      </c>
      <c r="I2048" t="s">
        <v>9302</v>
      </c>
      <c r="J2048" t="str">
        <f t="shared" si="31"/>
        <v>13F-HR-5.33.C7</v>
      </c>
      <c r="K2048" s="5" t="s">
        <v>8629</v>
      </c>
      <c r="L2048" t="s">
        <v>229</v>
      </c>
      <c r="M2048" t="s">
        <v>8630</v>
      </c>
      <c r="N2048" t="s">
        <v>8631</v>
      </c>
      <c r="Q2048" s="28" t="s">
        <v>8685</v>
      </c>
    </row>
    <row r="2049" spans="1:17" x14ac:dyDescent="0.35">
      <c r="A2049" t="s">
        <v>8520</v>
      </c>
      <c r="B2049" s="3" t="s">
        <v>102</v>
      </c>
      <c r="F2049">
        <v>5</v>
      </c>
      <c r="G2049" t="s">
        <v>8607</v>
      </c>
      <c r="H2049">
        <v>34</v>
      </c>
      <c r="I2049" t="s">
        <v>9303</v>
      </c>
      <c r="J2049" t="str">
        <f t="shared" si="31"/>
        <v>13F-HR-5.34.C8</v>
      </c>
      <c r="K2049" s="5" t="s">
        <v>8633</v>
      </c>
      <c r="L2049" t="s">
        <v>4735</v>
      </c>
      <c r="M2049" t="s">
        <v>8634</v>
      </c>
      <c r="N2049" t="s">
        <v>8635</v>
      </c>
      <c r="Q2049" s="28" t="s">
        <v>8632</v>
      </c>
    </row>
    <row r="2050" spans="1:17" x14ac:dyDescent="0.35">
      <c r="A2050" t="s">
        <v>8651</v>
      </c>
      <c r="B2050" s="3" t="s">
        <v>102</v>
      </c>
      <c r="F2050">
        <v>5</v>
      </c>
      <c r="G2050" t="s">
        <v>8607</v>
      </c>
      <c r="H2050">
        <v>35</v>
      </c>
      <c r="I2050" t="s">
        <v>9304</v>
      </c>
      <c r="J2050" t="str">
        <f t="shared" si="31"/>
        <v>135-HR-5.35.C9</v>
      </c>
      <c r="K2050" s="5" t="s">
        <v>8637</v>
      </c>
      <c r="L2050" t="s">
        <v>229</v>
      </c>
      <c r="M2050" t="s">
        <v>8638</v>
      </c>
      <c r="N2050" t="s">
        <v>8639</v>
      </c>
      <c r="Q2050" s="28" t="s">
        <v>8636</v>
      </c>
    </row>
    <row r="2051" spans="1:17" x14ac:dyDescent="0.35">
      <c r="A2051" t="s">
        <v>8520</v>
      </c>
      <c r="B2051" s="3" t="s">
        <v>102</v>
      </c>
      <c r="F2051">
        <v>5</v>
      </c>
      <c r="G2051" t="s">
        <v>8607</v>
      </c>
      <c r="H2051">
        <v>36</v>
      </c>
      <c r="I2051" t="s">
        <v>9305</v>
      </c>
      <c r="J2051" t="str">
        <f t="shared" ref="J2051:J2114" si="32">_xlfn.CONCAT(A2051,"-",F2051,".",H2051,".",I2051)</f>
        <v>13F-HR-5.36.C10</v>
      </c>
      <c r="K2051" s="5" t="s">
        <v>8640</v>
      </c>
      <c r="L2051" t="s">
        <v>241</v>
      </c>
      <c r="M2051" t="s">
        <v>8641</v>
      </c>
      <c r="N2051" t="s">
        <v>8642</v>
      </c>
      <c r="Q2051" s="28">
        <v>29447</v>
      </c>
    </row>
    <row r="2052" spans="1:17" x14ac:dyDescent="0.35">
      <c r="A2052" t="s">
        <v>8520</v>
      </c>
      <c r="B2052" s="3" t="s">
        <v>102</v>
      </c>
      <c r="F2052">
        <v>5</v>
      </c>
      <c r="G2052" t="s">
        <v>8607</v>
      </c>
      <c r="H2052">
        <v>37</v>
      </c>
      <c r="I2052" t="s">
        <v>9306</v>
      </c>
      <c r="J2052" t="str">
        <f t="shared" si="32"/>
        <v>13F-HR-5.37.C11</v>
      </c>
      <c r="K2052" s="5" t="s">
        <v>8643</v>
      </c>
      <c r="L2052" t="s">
        <v>241</v>
      </c>
      <c r="M2052" t="s">
        <v>8644</v>
      </c>
      <c r="N2052" t="s">
        <v>8645</v>
      </c>
      <c r="Q2052" s="28">
        <v>0</v>
      </c>
    </row>
    <row r="2053" spans="1:17" x14ac:dyDescent="0.35">
      <c r="A2053" t="s">
        <v>8520</v>
      </c>
      <c r="B2053" s="3" t="s">
        <v>102</v>
      </c>
      <c r="F2053">
        <v>5</v>
      </c>
      <c r="G2053" t="s">
        <v>8607</v>
      </c>
      <c r="H2053">
        <v>38</v>
      </c>
      <c r="I2053" t="s">
        <v>9307</v>
      </c>
      <c r="J2053" t="str">
        <f t="shared" si="32"/>
        <v>13F-HR-5.38.C12</v>
      </c>
      <c r="K2053" s="5" t="s">
        <v>8646</v>
      </c>
      <c r="L2053" t="s">
        <v>241</v>
      </c>
      <c r="M2053" t="s">
        <v>8647</v>
      </c>
      <c r="N2053" t="s">
        <v>8648</v>
      </c>
      <c r="Q2053" s="28">
        <v>16745</v>
      </c>
    </row>
    <row r="2054" spans="1:17" x14ac:dyDescent="0.35">
      <c r="A2054" t="s">
        <v>8520</v>
      </c>
      <c r="B2054" s="3" t="s">
        <v>102</v>
      </c>
      <c r="F2054">
        <v>5</v>
      </c>
      <c r="G2054" t="s">
        <v>8607</v>
      </c>
      <c r="H2054">
        <v>27</v>
      </c>
      <c r="I2054" t="s">
        <v>9296</v>
      </c>
      <c r="J2054" t="str">
        <f t="shared" si="32"/>
        <v>13F-HR-5.27.C1</v>
      </c>
      <c r="K2054" s="5" t="s">
        <v>8608</v>
      </c>
      <c r="L2054" t="s">
        <v>229</v>
      </c>
      <c r="M2054" t="s">
        <v>8609</v>
      </c>
      <c r="N2054" t="s">
        <v>8610</v>
      </c>
      <c r="Q2054" s="28" t="s">
        <v>8916</v>
      </c>
    </row>
    <row r="2055" spans="1:17" x14ac:dyDescent="0.35">
      <c r="A2055" t="s">
        <v>8520</v>
      </c>
      <c r="B2055" s="3" t="s">
        <v>102</v>
      </c>
      <c r="F2055">
        <v>5</v>
      </c>
      <c r="G2055" t="s">
        <v>8607</v>
      </c>
      <c r="H2055">
        <v>28</v>
      </c>
      <c r="I2055" t="s">
        <v>9297</v>
      </c>
      <c r="J2055" t="str">
        <f t="shared" si="32"/>
        <v>13F-HR-5.28.C2</v>
      </c>
      <c r="K2055" s="5" t="s">
        <v>8612</v>
      </c>
      <c r="L2055" t="s">
        <v>229</v>
      </c>
      <c r="M2055" t="s">
        <v>8613</v>
      </c>
      <c r="N2055" t="s">
        <v>8614</v>
      </c>
      <c r="Q2055" s="28" t="s">
        <v>8615</v>
      </c>
    </row>
    <row r="2056" spans="1:17" x14ac:dyDescent="0.35">
      <c r="A2056" t="s">
        <v>8520</v>
      </c>
      <c r="B2056" s="3" t="s">
        <v>102</v>
      </c>
      <c r="F2056">
        <v>5</v>
      </c>
      <c r="G2056" t="s">
        <v>8607</v>
      </c>
      <c r="H2056">
        <v>29</v>
      </c>
      <c r="I2056" t="s">
        <v>9298</v>
      </c>
      <c r="J2056" t="str">
        <f t="shared" si="32"/>
        <v>13F-HR-5.29.C3</v>
      </c>
      <c r="K2056" s="5" t="s">
        <v>8616</v>
      </c>
      <c r="L2056" t="s">
        <v>229</v>
      </c>
      <c r="M2056" t="s">
        <v>7927</v>
      </c>
      <c r="N2056" t="s">
        <v>8617</v>
      </c>
      <c r="Q2056" s="28" t="s">
        <v>8917</v>
      </c>
    </row>
    <row r="2057" spans="1:17" x14ac:dyDescent="0.35">
      <c r="A2057" t="s">
        <v>8520</v>
      </c>
      <c r="B2057" s="3" t="s">
        <v>102</v>
      </c>
      <c r="F2057">
        <v>5</v>
      </c>
      <c r="G2057" t="s">
        <v>8607</v>
      </c>
      <c r="H2057">
        <v>30</v>
      </c>
      <c r="I2057" t="s">
        <v>9299</v>
      </c>
      <c r="J2057" t="str">
        <f t="shared" si="32"/>
        <v>13F-HR-5.30.C4</v>
      </c>
      <c r="K2057" s="5" t="s">
        <v>8618</v>
      </c>
      <c r="L2057" t="s">
        <v>8619</v>
      </c>
      <c r="M2057" t="s">
        <v>8620</v>
      </c>
      <c r="N2057" t="s">
        <v>8621</v>
      </c>
      <c r="Q2057" s="28">
        <v>94954696</v>
      </c>
    </row>
    <row r="2058" spans="1:17" x14ac:dyDescent="0.35">
      <c r="A2058" t="s">
        <v>8520</v>
      </c>
      <c r="B2058" s="3" t="s">
        <v>102</v>
      </c>
      <c r="F2058">
        <v>5</v>
      </c>
      <c r="G2058" t="s">
        <v>8607</v>
      </c>
      <c r="H2058">
        <v>31</v>
      </c>
      <c r="I2058" t="s">
        <v>9300</v>
      </c>
      <c r="J2058" t="str">
        <f t="shared" si="32"/>
        <v>13F-HR-5.31.C5</v>
      </c>
      <c r="K2058" s="5" t="s">
        <v>8622</v>
      </c>
      <c r="L2058" t="s">
        <v>241</v>
      </c>
      <c r="M2058" t="s">
        <v>8623</v>
      </c>
      <c r="N2058" t="s">
        <v>8624</v>
      </c>
      <c r="Q2058" s="28">
        <v>48673</v>
      </c>
    </row>
    <row r="2059" spans="1:17" x14ac:dyDescent="0.35">
      <c r="A2059" t="s">
        <v>8520</v>
      </c>
      <c r="B2059" s="3" t="s">
        <v>102</v>
      </c>
      <c r="F2059">
        <v>5</v>
      </c>
      <c r="G2059" t="s">
        <v>8607</v>
      </c>
      <c r="H2059">
        <v>32</v>
      </c>
      <c r="I2059" t="s">
        <v>9301</v>
      </c>
      <c r="J2059" t="str">
        <f t="shared" si="32"/>
        <v>13F-HR-5.32.C6</v>
      </c>
      <c r="K2059" s="5" t="s">
        <v>8625</v>
      </c>
      <c r="L2059" t="s">
        <v>229</v>
      </c>
      <c r="M2059" t="s">
        <v>8626</v>
      </c>
      <c r="N2059" t="s">
        <v>8627</v>
      </c>
      <c r="Q2059" s="28" t="s">
        <v>8628</v>
      </c>
    </row>
    <row r="2060" spans="1:17" x14ac:dyDescent="0.35">
      <c r="A2060" t="s">
        <v>8520</v>
      </c>
      <c r="B2060" s="3" t="s">
        <v>102</v>
      </c>
      <c r="F2060">
        <v>5</v>
      </c>
      <c r="G2060" t="s">
        <v>8607</v>
      </c>
      <c r="H2060">
        <v>33</v>
      </c>
      <c r="I2060" t="s">
        <v>9302</v>
      </c>
      <c r="J2060" t="str">
        <f t="shared" si="32"/>
        <v>13F-HR-5.33.C7</v>
      </c>
      <c r="K2060" s="5" t="s">
        <v>8629</v>
      </c>
      <c r="L2060" t="s">
        <v>229</v>
      </c>
      <c r="M2060" t="s">
        <v>8630</v>
      </c>
      <c r="N2060" t="s">
        <v>8631</v>
      </c>
      <c r="Q2060" s="28" t="s">
        <v>8685</v>
      </c>
    </row>
    <row r="2061" spans="1:17" x14ac:dyDescent="0.35">
      <c r="A2061" t="s">
        <v>8520</v>
      </c>
      <c r="B2061" s="3" t="s">
        <v>102</v>
      </c>
      <c r="F2061">
        <v>5</v>
      </c>
      <c r="G2061" t="s">
        <v>8607</v>
      </c>
      <c r="H2061">
        <v>34</v>
      </c>
      <c r="I2061" t="s">
        <v>9303</v>
      </c>
      <c r="J2061" t="str">
        <f t="shared" si="32"/>
        <v>13F-HR-5.34.C8</v>
      </c>
      <c r="K2061" s="5" t="s">
        <v>8633</v>
      </c>
      <c r="L2061" t="s">
        <v>4735</v>
      </c>
      <c r="M2061" t="s">
        <v>8634</v>
      </c>
      <c r="N2061" t="s">
        <v>8635</v>
      </c>
      <c r="Q2061" s="28" t="s">
        <v>8632</v>
      </c>
    </row>
    <row r="2062" spans="1:17" x14ac:dyDescent="0.35">
      <c r="A2062" t="s">
        <v>8651</v>
      </c>
      <c r="B2062" s="3" t="s">
        <v>102</v>
      </c>
      <c r="F2062">
        <v>5</v>
      </c>
      <c r="G2062" t="s">
        <v>8607</v>
      </c>
      <c r="H2062">
        <v>35</v>
      </c>
      <c r="I2062" t="s">
        <v>9304</v>
      </c>
      <c r="J2062" t="str">
        <f t="shared" si="32"/>
        <v>135-HR-5.35.C9</v>
      </c>
      <c r="K2062" s="5" t="s">
        <v>8637</v>
      </c>
      <c r="L2062" t="s">
        <v>229</v>
      </c>
      <c r="M2062" t="s">
        <v>8638</v>
      </c>
      <c r="N2062" t="s">
        <v>8639</v>
      </c>
      <c r="Q2062" s="28" t="s">
        <v>8636</v>
      </c>
    </row>
    <row r="2063" spans="1:17" x14ac:dyDescent="0.35">
      <c r="A2063" t="s">
        <v>8520</v>
      </c>
      <c r="B2063" s="3" t="s">
        <v>102</v>
      </c>
      <c r="F2063">
        <v>5</v>
      </c>
      <c r="G2063" t="s">
        <v>8607</v>
      </c>
      <c r="H2063">
        <v>36</v>
      </c>
      <c r="I2063" t="s">
        <v>9305</v>
      </c>
      <c r="J2063" t="str">
        <f t="shared" si="32"/>
        <v>13F-HR-5.36.C10</v>
      </c>
      <c r="K2063" s="5" t="s">
        <v>8640</v>
      </c>
      <c r="L2063" t="s">
        <v>241</v>
      </c>
      <c r="M2063" t="s">
        <v>8641</v>
      </c>
      <c r="N2063" t="s">
        <v>8642</v>
      </c>
      <c r="Q2063" s="28">
        <v>44784</v>
      </c>
    </row>
    <row r="2064" spans="1:17" x14ac:dyDescent="0.35">
      <c r="A2064" t="s">
        <v>8520</v>
      </c>
      <c r="B2064" s="3" t="s">
        <v>102</v>
      </c>
      <c r="F2064">
        <v>5</v>
      </c>
      <c r="G2064" t="s">
        <v>8607</v>
      </c>
      <c r="H2064">
        <v>37</v>
      </c>
      <c r="I2064" t="s">
        <v>9306</v>
      </c>
      <c r="J2064" t="str">
        <f t="shared" si="32"/>
        <v>13F-HR-5.37.C11</v>
      </c>
      <c r="K2064" s="5" t="s">
        <v>8643</v>
      </c>
      <c r="L2064" t="s">
        <v>241</v>
      </c>
      <c r="M2064" t="s">
        <v>8644</v>
      </c>
      <c r="N2064" t="s">
        <v>8645</v>
      </c>
      <c r="Q2064" s="28">
        <v>0</v>
      </c>
    </row>
    <row r="2065" spans="1:17" x14ac:dyDescent="0.35">
      <c r="A2065" t="s">
        <v>8520</v>
      </c>
      <c r="B2065" s="3" t="s">
        <v>102</v>
      </c>
      <c r="F2065">
        <v>5</v>
      </c>
      <c r="G2065" t="s">
        <v>8607</v>
      </c>
      <c r="H2065">
        <v>38</v>
      </c>
      <c r="I2065" t="s">
        <v>9307</v>
      </c>
      <c r="J2065" t="str">
        <f t="shared" si="32"/>
        <v>13F-HR-5.38.C12</v>
      </c>
      <c r="K2065" s="5" t="s">
        <v>8646</v>
      </c>
      <c r="L2065" t="s">
        <v>241</v>
      </c>
      <c r="M2065" t="s">
        <v>8647</v>
      </c>
      <c r="N2065" t="s">
        <v>8648</v>
      </c>
      <c r="Q2065" s="28">
        <v>3889</v>
      </c>
    </row>
    <row r="2066" spans="1:17" x14ac:dyDescent="0.35">
      <c r="A2066" t="s">
        <v>8520</v>
      </c>
      <c r="B2066" s="3" t="s">
        <v>102</v>
      </c>
      <c r="G2066" t="s">
        <v>8607</v>
      </c>
      <c r="H2066">
        <v>27</v>
      </c>
      <c r="I2066" t="s">
        <v>9296</v>
      </c>
      <c r="J2066" t="str">
        <f t="shared" si="32"/>
        <v>13F-HR-.27.C1</v>
      </c>
      <c r="K2066" s="5" t="s">
        <v>8608</v>
      </c>
      <c r="L2066" t="s">
        <v>229</v>
      </c>
      <c r="M2066" t="s">
        <v>8609</v>
      </c>
      <c r="N2066" t="s">
        <v>8610</v>
      </c>
      <c r="Q2066" s="28" t="s">
        <v>8918</v>
      </c>
    </row>
    <row r="2067" spans="1:17" x14ac:dyDescent="0.35">
      <c r="A2067" t="s">
        <v>8520</v>
      </c>
      <c r="B2067" s="3" t="s">
        <v>102</v>
      </c>
      <c r="G2067" t="s">
        <v>8607</v>
      </c>
      <c r="H2067">
        <v>28</v>
      </c>
      <c r="I2067" t="s">
        <v>9297</v>
      </c>
      <c r="J2067" t="str">
        <f t="shared" si="32"/>
        <v>13F-HR-.28.C2</v>
      </c>
      <c r="K2067" s="5" t="s">
        <v>8612</v>
      </c>
      <c r="L2067" t="s">
        <v>229</v>
      </c>
      <c r="M2067" t="s">
        <v>8613</v>
      </c>
      <c r="N2067" t="s">
        <v>8614</v>
      </c>
      <c r="Q2067" s="28" t="s">
        <v>8615</v>
      </c>
    </row>
    <row r="2068" spans="1:17" x14ac:dyDescent="0.35">
      <c r="A2068" t="s">
        <v>8520</v>
      </c>
      <c r="B2068" s="3" t="s">
        <v>102</v>
      </c>
      <c r="G2068" t="s">
        <v>8607</v>
      </c>
      <c r="H2068">
        <v>29</v>
      </c>
      <c r="I2068" t="s">
        <v>9298</v>
      </c>
      <c r="J2068" t="str">
        <f t="shared" si="32"/>
        <v>13F-HR-.29.C3</v>
      </c>
      <c r="K2068" s="5" t="s">
        <v>8616</v>
      </c>
      <c r="L2068" t="s">
        <v>229</v>
      </c>
      <c r="M2068" t="s">
        <v>7927</v>
      </c>
      <c r="N2068" t="s">
        <v>8617</v>
      </c>
      <c r="Q2068" s="28" t="s">
        <v>8919</v>
      </c>
    </row>
    <row r="2069" spans="1:17" x14ac:dyDescent="0.35">
      <c r="A2069" t="s">
        <v>8520</v>
      </c>
      <c r="B2069" s="3" t="s">
        <v>102</v>
      </c>
      <c r="G2069" t="s">
        <v>8607</v>
      </c>
      <c r="H2069">
        <v>30</v>
      </c>
      <c r="I2069" t="s">
        <v>9299</v>
      </c>
      <c r="J2069" t="str">
        <f t="shared" si="32"/>
        <v>13F-HR-.30.C4</v>
      </c>
      <c r="K2069" s="5" t="s">
        <v>8618</v>
      </c>
      <c r="L2069" t="s">
        <v>8619</v>
      </c>
      <c r="M2069" t="s">
        <v>8620</v>
      </c>
      <c r="N2069" t="s">
        <v>8621</v>
      </c>
      <c r="Q2069" s="28">
        <v>2954809</v>
      </c>
    </row>
    <row r="2070" spans="1:17" x14ac:dyDescent="0.35">
      <c r="A2070" t="s">
        <v>8520</v>
      </c>
      <c r="B2070" s="3" t="s">
        <v>102</v>
      </c>
      <c r="G2070" t="s">
        <v>8607</v>
      </c>
      <c r="H2070">
        <v>31</v>
      </c>
      <c r="I2070" t="s">
        <v>9300</v>
      </c>
      <c r="J2070" t="str">
        <f t="shared" si="32"/>
        <v>13F-HR-.31.C5</v>
      </c>
      <c r="K2070" s="5" t="s">
        <v>8622</v>
      </c>
      <c r="L2070" t="s">
        <v>241</v>
      </c>
      <c r="M2070" t="s">
        <v>8623</v>
      </c>
      <c r="N2070" t="s">
        <v>8624</v>
      </c>
      <c r="Q2070" s="28">
        <v>32919</v>
      </c>
    </row>
    <row r="2071" spans="1:17" x14ac:dyDescent="0.35">
      <c r="A2071" t="s">
        <v>8520</v>
      </c>
      <c r="B2071" s="3" t="s">
        <v>102</v>
      </c>
      <c r="G2071" t="s">
        <v>8607</v>
      </c>
      <c r="H2071">
        <v>32</v>
      </c>
      <c r="I2071" t="s">
        <v>9301</v>
      </c>
      <c r="J2071" t="str">
        <f t="shared" si="32"/>
        <v>13F-HR-.32.C6</v>
      </c>
      <c r="K2071" s="5" t="s">
        <v>8625</v>
      </c>
      <c r="L2071" t="s">
        <v>229</v>
      </c>
      <c r="M2071" t="s">
        <v>8626</v>
      </c>
      <c r="N2071" t="s">
        <v>8627</v>
      </c>
      <c r="Q2071" s="28" t="s">
        <v>8628</v>
      </c>
    </row>
    <row r="2072" spans="1:17" x14ac:dyDescent="0.35">
      <c r="A2072" t="s">
        <v>8520</v>
      </c>
      <c r="B2072" s="3" t="s">
        <v>102</v>
      </c>
      <c r="G2072" t="s">
        <v>8607</v>
      </c>
      <c r="H2072">
        <v>33</v>
      </c>
      <c r="I2072" t="s">
        <v>9302</v>
      </c>
      <c r="J2072" t="str">
        <f t="shared" si="32"/>
        <v>13F-HR-.33.C7</v>
      </c>
      <c r="K2072" s="5" t="s">
        <v>8629</v>
      </c>
      <c r="L2072" t="s">
        <v>229</v>
      </c>
      <c r="M2072" t="s">
        <v>8630</v>
      </c>
      <c r="N2072" t="s">
        <v>8631</v>
      </c>
      <c r="Q2072" s="28" t="s">
        <v>8685</v>
      </c>
    </row>
    <row r="2073" spans="1:17" x14ac:dyDescent="0.35">
      <c r="A2073" t="s">
        <v>8520</v>
      </c>
      <c r="B2073" s="3" t="s">
        <v>102</v>
      </c>
      <c r="G2073" t="s">
        <v>8607</v>
      </c>
      <c r="H2073">
        <v>34</v>
      </c>
      <c r="I2073" t="s">
        <v>9303</v>
      </c>
      <c r="J2073" t="str">
        <f t="shared" si="32"/>
        <v>13F-HR-.34.C8</v>
      </c>
      <c r="K2073" s="5" t="s">
        <v>8633</v>
      </c>
      <c r="L2073" t="s">
        <v>4735</v>
      </c>
      <c r="M2073" t="s">
        <v>8634</v>
      </c>
      <c r="N2073" t="s">
        <v>8635</v>
      </c>
      <c r="Q2073" s="28" t="s">
        <v>8632</v>
      </c>
    </row>
    <row r="2074" spans="1:17" x14ac:dyDescent="0.35">
      <c r="A2074" t="s">
        <v>8651</v>
      </c>
      <c r="B2074" s="3" t="s">
        <v>102</v>
      </c>
      <c r="G2074" t="s">
        <v>8607</v>
      </c>
      <c r="H2074">
        <v>35</v>
      </c>
      <c r="I2074" t="s">
        <v>9304</v>
      </c>
      <c r="J2074" t="str">
        <f t="shared" si="32"/>
        <v>135-HR-.35.C9</v>
      </c>
      <c r="K2074" s="5" t="s">
        <v>8637</v>
      </c>
      <c r="L2074" t="s">
        <v>229</v>
      </c>
      <c r="M2074" t="s">
        <v>8638</v>
      </c>
      <c r="N2074" t="s">
        <v>8639</v>
      </c>
      <c r="Q2074" s="28" t="s">
        <v>8636</v>
      </c>
    </row>
    <row r="2075" spans="1:17" x14ac:dyDescent="0.35">
      <c r="A2075" t="s">
        <v>8520</v>
      </c>
      <c r="B2075" s="3" t="s">
        <v>102</v>
      </c>
      <c r="G2075" t="s">
        <v>8607</v>
      </c>
      <c r="H2075">
        <v>36</v>
      </c>
      <c r="I2075" t="s">
        <v>9305</v>
      </c>
      <c r="J2075" t="str">
        <f t="shared" si="32"/>
        <v>13F-HR-.36.C10</v>
      </c>
      <c r="K2075" s="5" t="s">
        <v>8640</v>
      </c>
      <c r="L2075" t="s">
        <v>241</v>
      </c>
      <c r="M2075" t="s">
        <v>8641</v>
      </c>
      <c r="N2075" t="s">
        <v>8642</v>
      </c>
      <c r="Q2075" s="28">
        <v>7513</v>
      </c>
    </row>
    <row r="2076" spans="1:17" x14ac:dyDescent="0.35">
      <c r="A2076" t="s">
        <v>8520</v>
      </c>
      <c r="B2076" s="3" t="s">
        <v>102</v>
      </c>
      <c r="G2076" t="s">
        <v>8607</v>
      </c>
      <c r="H2076">
        <v>37</v>
      </c>
      <c r="I2076" t="s">
        <v>9306</v>
      </c>
      <c r="J2076" t="str">
        <f t="shared" si="32"/>
        <v>13F-HR-.37.C11</v>
      </c>
      <c r="K2076" s="5" t="s">
        <v>8643</v>
      </c>
      <c r="L2076" t="s">
        <v>241</v>
      </c>
      <c r="M2076" t="s">
        <v>8644</v>
      </c>
      <c r="N2076" t="s">
        <v>8645</v>
      </c>
      <c r="Q2076" s="28">
        <v>0</v>
      </c>
    </row>
    <row r="2077" spans="1:17" x14ac:dyDescent="0.35">
      <c r="A2077" t="s">
        <v>8520</v>
      </c>
      <c r="B2077" s="3" t="s">
        <v>102</v>
      </c>
      <c r="G2077" t="s">
        <v>8607</v>
      </c>
      <c r="H2077">
        <v>38</v>
      </c>
      <c r="I2077" t="s">
        <v>9307</v>
      </c>
      <c r="J2077" t="str">
        <f t="shared" si="32"/>
        <v>13F-HR-.38.C12</v>
      </c>
      <c r="K2077" s="5" t="s">
        <v>8646</v>
      </c>
      <c r="L2077" t="s">
        <v>241</v>
      </c>
      <c r="M2077" t="s">
        <v>8647</v>
      </c>
      <c r="N2077" t="s">
        <v>8648</v>
      </c>
      <c r="Q2077" s="28">
        <v>25406</v>
      </c>
    </row>
    <row r="2078" spans="1:17" x14ac:dyDescent="0.35">
      <c r="A2078" t="s">
        <v>8520</v>
      </c>
      <c r="B2078" s="3" t="s">
        <v>102</v>
      </c>
      <c r="G2078" t="s">
        <v>8607</v>
      </c>
      <c r="H2078">
        <v>27</v>
      </c>
      <c r="I2078" t="s">
        <v>9296</v>
      </c>
      <c r="J2078" t="str">
        <f t="shared" si="32"/>
        <v>13F-HR-.27.C1</v>
      </c>
      <c r="K2078" s="5" t="s">
        <v>8608</v>
      </c>
      <c r="L2078" t="s">
        <v>229</v>
      </c>
      <c r="M2078" t="s">
        <v>8609</v>
      </c>
      <c r="N2078" t="s">
        <v>8610</v>
      </c>
      <c r="Q2078" s="28" t="s">
        <v>8920</v>
      </c>
    </row>
    <row r="2079" spans="1:17" x14ac:dyDescent="0.35">
      <c r="A2079" t="s">
        <v>8520</v>
      </c>
      <c r="B2079" s="3" t="s">
        <v>102</v>
      </c>
      <c r="G2079" t="s">
        <v>8607</v>
      </c>
      <c r="H2079">
        <v>28</v>
      </c>
      <c r="I2079" t="s">
        <v>9297</v>
      </c>
      <c r="J2079" t="str">
        <f t="shared" si="32"/>
        <v>13F-HR-.28.C2</v>
      </c>
      <c r="K2079" s="5" t="s">
        <v>8612</v>
      </c>
      <c r="L2079" t="s">
        <v>229</v>
      </c>
      <c r="M2079" t="s">
        <v>8613</v>
      </c>
      <c r="N2079" t="s">
        <v>8614</v>
      </c>
      <c r="Q2079" s="28" t="s">
        <v>8615</v>
      </c>
    </row>
    <row r="2080" spans="1:17" x14ac:dyDescent="0.35">
      <c r="A2080" t="s">
        <v>8520</v>
      </c>
      <c r="B2080" s="3" t="s">
        <v>102</v>
      </c>
      <c r="G2080" t="s">
        <v>8607</v>
      </c>
      <c r="H2080">
        <v>29</v>
      </c>
      <c r="I2080" t="s">
        <v>9298</v>
      </c>
      <c r="J2080" t="str">
        <f t="shared" si="32"/>
        <v>13F-HR-.29.C3</v>
      </c>
      <c r="K2080" s="5" t="s">
        <v>8616</v>
      </c>
      <c r="L2080" t="s">
        <v>229</v>
      </c>
      <c r="M2080" t="s">
        <v>7927</v>
      </c>
      <c r="N2080" t="s">
        <v>8617</v>
      </c>
      <c r="Q2080" s="28">
        <v>592688105</v>
      </c>
    </row>
    <row r="2081" spans="1:17" x14ac:dyDescent="0.35">
      <c r="A2081" t="s">
        <v>8520</v>
      </c>
      <c r="B2081" s="3" t="s">
        <v>102</v>
      </c>
      <c r="G2081" t="s">
        <v>8607</v>
      </c>
      <c r="H2081">
        <v>30</v>
      </c>
      <c r="I2081" t="s">
        <v>9299</v>
      </c>
      <c r="J2081" t="str">
        <f t="shared" si="32"/>
        <v>13F-HR-.30.C4</v>
      </c>
      <c r="K2081" s="5" t="s">
        <v>8618</v>
      </c>
      <c r="L2081" t="s">
        <v>8619</v>
      </c>
      <c r="M2081" t="s">
        <v>8620</v>
      </c>
      <c r="N2081" t="s">
        <v>8621</v>
      </c>
      <c r="Q2081" s="28">
        <v>22530582</v>
      </c>
    </row>
    <row r="2082" spans="1:17" x14ac:dyDescent="0.35">
      <c r="A2082" t="s">
        <v>8520</v>
      </c>
      <c r="B2082" s="3" t="s">
        <v>102</v>
      </c>
      <c r="G2082" t="s">
        <v>8607</v>
      </c>
      <c r="H2082">
        <v>31</v>
      </c>
      <c r="I2082" t="s">
        <v>9300</v>
      </c>
      <c r="J2082" t="str">
        <f t="shared" si="32"/>
        <v>13F-HR-.31.C5</v>
      </c>
      <c r="K2082" s="5" t="s">
        <v>8622</v>
      </c>
      <c r="L2082" t="s">
        <v>241</v>
      </c>
      <c r="M2082" t="s">
        <v>8623</v>
      </c>
      <c r="N2082" t="s">
        <v>8624</v>
      </c>
      <c r="Q2082" s="28">
        <v>19079</v>
      </c>
    </row>
    <row r="2083" spans="1:17" x14ac:dyDescent="0.35">
      <c r="A2083" t="s">
        <v>8520</v>
      </c>
      <c r="B2083" s="3" t="s">
        <v>102</v>
      </c>
      <c r="G2083" t="s">
        <v>8607</v>
      </c>
      <c r="H2083">
        <v>32</v>
      </c>
      <c r="I2083" t="s">
        <v>9301</v>
      </c>
      <c r="J2083" t="str">
        <f t="shared" si="32"/>
        <v>13F-HR-.32.C6</v>
      </c>
      <c r="K2083" s="5" t="s">
        <v>8625</v>
      </c>
      <c r="L2083" t="s">
        <v>229</v>
      </c>
      <c r="M2083" t="s">
        <v>8626</v>
      </c>
      <c r="N2083" t="s">
        <v>8627</v>
      </c>
      <c r="Q2083" s="28" t="s">
        <v>8628</v>
      </c>
    </row>
    <row r="2084" spans="1:17" x14ac:dyDescent="0.35">
      <c r="A2084" t="s">
        <v>8520</v>
      </c>
      <c r="B2084" s="3" t="s">
        <v>102</v>
      </c>
      <c r="G2084" t="s">
        <v>8607</v>
      </c>
      <c r="H2084">
        <v>33</v>
      </c>
      <c r="I2084" t="s">
        <v>9302</v>
      </c>
      <c r="J2084" t="str">
        <f t="shared" si="32"/>
        <v>13F-HR-.33.C7</v>
      </c>
      <c r="K2084" s="5" t="s">
        <v>8629</v>
      </c>
      <c r="L2084" t="s">
        <v>229</v>
      </c>
      <c r="M2084" t="s">
        <v>8630</v>
      </c>
      <c r="N2084" t="s">
        <v>8631</v>
      </c>
      <c r="Q2084" s="28" t="s">
        <v>8685</v>
      </c>
    </row>
    <row r="2085" spans="1:17" x14ac:dyDescent="0.35">
      <c r="A2085" t="s">
        <v>8520</v>
      </c>
      <c r="B2085" s="3" t="s">
        <v>102</v>
      </c>
      <c r="G2085" t="s">
        <v>8607</v>
      </c>
      <c r="H2085">
        <v>34</v>
      </c>
      <c r="I2085" t="s">
        <v>9303</v>
      </c>
      <c r="J2085" t="str">
        <f t="shared" si="32"/>
        <v>13F-HR-.34.C8</v>
      </c>
      <c r="K2085" s="5" t="s">
        <v>8633</v>
      </c>
      <c r="L2085" t="s">
        <v>4735</v>
      </c>
      <c r="M2085" t="s">
        <v>8634</v>
      </c>
      <c r="N2085" t="s">
        <v>8635</v>
      </c>
      <c r="Q2085" s="28" t="s">
        <v>8632</v>
      </c>
    </row>
    <row r="2086" spans="1:17" x14ac:dyDescent="0.35">
      <c r="A2086" t="s">
        <v>8651</v>
      </c>
      <c r="B2086" s="3" t="s">
        <v>102</v>
      </c>
      <c r="G2086" t="s">
        <v>8607</v>
      </c>
      <c r="H2086">
        <v>35</v>
      </c>
      <c r="I2086" t="s">
        <v>9304</v>
      </c>
      <c r="J2086" t="str">
        <f t="shared" si="32"/>
        <v>135-HR-.35.C9</v>
      </c>
      <c r="K2086" s="5" t="s">
        <v>8637</v>
      </c>
      <c r="L2086" t="s">
        <v>229</v>
      </c>
      <c r="M2086" t="s">
        <v>8638</v>
      </c>
      <c r="N2086" t="s">
        <v>8639</v>
      </c>
      <c r="Q2086" s="28" t="s">
        <v>8636</v>
      </c>
    </row>
    <row r="2087" spans="1:17" x14ac:dyDescent="0.35">
      <c r="A2087" t="s">
        <v>8520</v>
      </c>
      <c r="B2087" s="3" t="s">
        <v>102</v>
      </c>
      <c r="G2087" t="s">
        <v>8607</v>
      </c>
      <c r="H2087">
        <v>36</v>
      </c>
      <c r="I2087" t="s">
        <v>9305</v>
      </c>
      <c r="J2087" t="str">
        <f t="shared" si="32"/>
        <v>13F-HR-.36.C10</v>
      </c>
      <c r="K2087" s="5" t="s">
        <v>8640</v>
      </c>
      <c r="L2087" t="s">
        <v>241</v>
      </c>
      <c r="M2087" t="s">
        <v>8641</v>
      </c>
      <c r="N2087" t="s">
        <v>8642</v>
      </c>
      <c r="Q2087" s="28">
        <v>18893</v>
      </c>
    </row>
    <row r="2088" spans="1:17" x14ac:dyDescent="0.35">
      <c r="A2088" t="s">
        <v>8520</v>
      </c>
      <c r="B2088" s="3" t="s">
        <v>102</v>
      </c>
      <c r="G2088" t="s">
        <v>8607</v>
      </c>
      <c r="H2088">
        <v>37</v>
      </c>
      <c r="I2088" t="s">
        <v>9306</v>
      </c>
      <c r="J2088" t="str">
        <f t="shared" si="32"/>
        <v>13F-HR-.37.C11</v>
      </c>
      <c r="K2088" s="5" t="s">
        <v>8643</v>
      </c>
      <c r="L2088" t="s">
        <v>241</v>
      </c>
      <c r="M2088" t="s">
        <v>8644</v>
      </c>
      <c r="N2088" t="s">
        <v>8645</v>
      </c>
      <c r="Q2088" s="28">
        <v>0</v>
      </c>
    </row>
    <row r="2089" spans="1:17" x14ac:dyDescent="0.35">
      <c r="A2089" t="s">
        <v>8520</v>
      </c>
      <c r="B2089" s="3" t="s">
        <v>102</v>
      </c>
      <c r="G2089" t="s">
        <v>8607</v>
      </c>
      <c r="H2089">
        <v>38</v>
      </c>
      <c r="I2089" t="s">
        <v>9307</v>
      </c>
      <c r="J2089" t="str">
        <f t="shared" si="32"/>
        <v>13F-HR-.38.C12</v>
      </c>
      <c r="K2089" s="5" t="s">
        <v>8646</v>
      </c>
      <c r="L2089" t="s">
        <v>241</v>
      </c>
      <c r="M2089" t="s">
        <v>8647</v>
      </c>
      <c r="N2089" t="s">
        <v>8648</v>
      </c>
      <c r="Q2089" s="28">
        <v>186</v>
      </c>
    </row>
    <row r="2090" spans="1:17" x14ac:dyDescent="0.35">
      <c r="A2090" t="s">
        <v>8520</v>
      </c>
      <c r="B2090" s="3" t="s">
        <v>102</v>
      </c>
      <c r="G2090" t="s">
        <v>8607</v>
      </c>
      <c r="H2090">
        <v>27</v>
      </c>
      <c r="I2090" t="s">
        <v>9296</v>
      </c>
      <c r="J2090" t="str">
        <f t="shared" si="32"/>
        <v>13F-HR-.27.C1</v>
      </c>
      <c r="K2090" s="5" t="s">
        <v>8608</v>
      </c>
      <c r="L2090" t="s">
        <v>229</v>
      </c>
      <c r="M2090" t="s">
        <v>8609</v>
      </c>
      <c r="N2090" t="s">
        <v>8610</v>
      </c>
      <c r="Q2090" s="28" t="s">
        <v>8921</v>
      </c>
    </row>
    <row r="2091" spans="1:17" x14ac:dyDescent="0.35">
      <c r="A2091" t="s">
        <v>8520</v>
      </c>
      <c r="B2091" s="3" t="s">
        <v>102</v>
      </c>
      <c r="G2091" t="s">
        <v>8607</v>
      </c>
      <c r="H2091">
        <v>28</v>
      </c>
      <c r="I2091" t="s">
        <v>9297</v>
      </c>
      <c r="J2091" t="str">
        <f t="shared" si="32"/>
        <v>13F-HR-.28.C2</v>
      </c>
      <c r="K2091" s="5" t="s">
        <v>8612</v>
      </c>
      <c r="L2091" t="s">
        <v>229</v>
      </c>
      <c r="M2091" t="s">
        <v>8613</v>
      </c>
      <c r="N2091" t="s">
        <v>8614</v>
      </c>
      <c r="Q2091" s="28" t="s">
        <v>8615</v>
      </c>
    </row>
    <row r="2092" spans="1:17" x14ac:dyDescent="0.35">
      <c r="A2092" t="s">
        <v>8520</v>
      </c>
      <c r="B2092" s="3" t="s">
        <v>102</v>
      </c>
      <c r="G2092" t="s">
        <v>8607</v>
      </c>
      <c r="H2092">
        <v>29</v>
      </c>
      <c r="I2092" t="s">
        <v>9298</v>
      </c>
      <c r="J2092" t="str">
        <f t="shared" si="32"/>
        <v>13F-HR-.29.C3</v>
      </c>
      <c r="K2092" s="5" t="s">
        <v>8616</v>
      </c>
      <c r="L2092" t="s">
        <v>229</v>
      </c>
      <c r="M2092" t="s">
        <v>7927</v>
      </c>
      <c r="N2092" t="s">
        <v>8617</v>
      </c>
      <c r="Q2092" s="28">
        <v>594918104</v>
      </c>
    </row>
    <row r="2093" spans="1:17" x14ac:dyDescent="0.35">
      <c r="A2093" t="s">
        <v>8520</v>
      </c>
      <c r="B2093" s="3" t="s">
        <v>102</v>
      </c>
      <c r="G2093" t="s">
        <v>8607</v>
      </c>
      <c r="H2093">
        <v>30</v>
      </c>
      <c r="I2093" t="s">
        <v>9299</v>
      </c>
      <c r="J2093" t="str">
        <f t="shared" si="32"/>
        <v>13F-HR-.30.C4</v>
      </c>
      <c r="K2093" s="5" t="s">
        <v>8618</v>
      </c>
      <c r="L2093" t="s">
        <v>8619</v>
      </c>
      <c r="M2093" t="s">
        <v>8620</v>
      </c>
      <c r="N2093" t="s">
        <v>8621</v>
      </c>
      <c r="Q2093" s="28">
        <v>342837681</v>
      </c>
    </row>
    <row r="2094" spans="1:17" x14ac:dyDescent="0.35">
      <c r="A2094" t="s">
        <v>8520</v>
      </c>
      <c r="B2094" s="3" t="s">
        <v>102</v>
      </c>
      <c r="G2094" t="s">
        <v>8607</v>
      </c>
      <c r="H2094">
        <v>31</v>
      </c>
      <c r="I2094" t="s">
        <v>9300</v>
      </c>
      <c r="J2094" t="str">
        <f t="shared" si="32"/>
        <v>13F-HR-.31.C5</v>
      </c>
      <c r="K2094" s="5" t="s">
        <v>8622</v>
      </c>
      <c r="L2094" t="s">
        <v>241</v>
      </c>
      <c r="M2094" t="s">
        <v>8623</v>
      </c>
      <c r="N2094" t="s">
        <v>8624</v>
      </c>
      <c r="Q2094" s="28">
        <v>913284</v>
      </c>
    </row>
    <row r="2095" spans="1:17" x14ac:dyDescent="0.35">
      <c r="A2095" t="s">
        <v>8520</v>
      </c>
      <c r="B2095" s="3" t="s">
        <v>102</v>
      </c>
      <c r="G2095" t="s">
        <v>8607</v>
      </c>
      <c r="H2095">
        <v>32</v>
      </c>
      <c r="I2095" t="s">
        <v>9301</v>
      </c>
      <c r="J2095" t="str">
        <f t="shared" si="32"/>
        <v>13F-HR-.32.C6</v>
      </c>
      <c r="K2095" s="5" t="s">
        <v>8625</v>
      </c>
      <c r="L2095" t="s">
        <v>229</v>
      </c>
      <c r="M2095" t="s">
        <v>8626</v>
      </c>
      <c r="N2095" t="s">
        <v>8627</v>
      </c>
      <c r="Q2095" s="28" t="s">
        <v>8628</v>
      </c>
    </row>
    <row r="2096" spans="1:17" x14ac:dyDescent="0.35">
      <c r="A2096" t="s">
        <v>8520</v>
      </c>
      <c r="B2096" s="3" t="s">
        <v>102</v>
      </c>
      <c r="G2096" t="s">
        <v>8607</v>
      </c>
      <c r="H2096">
        <v>33</v>
      </c>
      <c r="I2096" t="s">
        <v>9302</v>
      </c>
      <c r="J2096" t="str">
        <f t="shared" si="32"/>
        <v>13F-HR-.33.C7</v>
      </c>
      <c r="K2096" s="5" t="s">
        <v>8629</v>
      </c>
      <c r="L2096" t="s">
        <v>229</v>
      </c>
      <c r="M2096" t="s">
        <v>8630</v>
      </c>
      <c r="N2096" t="s">
        <v>8631</v>
      </c>
      <c r="Q2096" s="28" t="s">
        <v>8685</v>
      </c>
    </row>
    <row r="2097" spans="1:17" x14ac:dyDescent="0.35">
      <c r="A2097" t="s">
        <v>8520</v>
      </c>
      <c r="B2097" s="3" t="s">
        <v>102</v>
      </c>
      <c r="G2097" t="s">
        <v>8607</v>
      </c>
      <c r="H2097">
        <v>34</v>
      </c>
      <c r="I2097" t="s">
        <v>9303</v>
      </c>
      <c r="J2097" t="str">
        <f t="shared" si="32"/>
        <v>13F-HR-.34.C8</v>
      </c>
      <c r="K2097" s="5" t="s">
        <v>8633</v>
      </c>
      <c r="L2097" t="s">
        <v>4735</v>
      </c>
      <c r="M2097" t="s">
        <v>8634</v>
      </c>
      <c r="N2097" t="s">
        <v>8635</v>
      </c>
      <c r="Q2097" s="28" t="s">
        <v>8632</v>
      </c>
    </row>
    <row r="2098" spans="1:17" x14ac:dyDescent="0.35">
      <c r="A2098" t="s">
        <v>8651</v>
      </c>
      <c r="B2098" s="3" t="s">
        <v>102</v>
      </c>
      <c r="G2098" t="s">
        <v>8607</v>
      </c>
      <c r="H2098">
        <v>35</v>
      </c>
      <c r="I2098" t="s">
        <v>9304</v>
      </c>
      <c r="J2098" t="str">
        <f t="shared" si="32"/>
        <v>135-HR-.35.C9</v>
      </c>
      <c r="K2098" s="5" t="s">
        <v>8637</v>
      </c>
      <c r="L2098" t="s">
        <v>229</v>
      </c>
      <c r="M2098" t="s">
        <v>8638</v>
      </c>
      <c r="N2098" t="s">
        <v>8639</v>
      </c>
      <c r="Q2098" s="28" t="s">
        <v>8636</v>
      </c>
    </row>
    <row r="2099" spans="1:17" x14ac:dyDescent="0.35">
      <c r="A2099" t="s">
        <v>8520</v>
      </c>
      <c r="B2099" s="3" t="s">
        <v>102</v>
      </c>
      <c r="G2099" t="s">
        <v>8607</v>
      </c>
      <c r="H2099">
        <v>36</v>
      </c>
      <c r="I2099" t="s">
        <v>9305</v>
      </c>
      <c r="J2099" t="str">
        <f t="shared" si="32"/>
        <v>13F-HR-.36.C10</v>
      </c>
      <c r="K2099" s="5" t="s">
        <v>8640</v>
      </c>
      <c r="L2099" t="s">
        <v>241</v>
      </c>
      <c r="M2099" t="s">
        <v>8641</v>
      </c>
      <c r="N2099" t="s">
        <v>8642</v>
      </c>
      <c r="Q2099" s="28">
        <v>554671</v>
      </c>
    </row>
    <row r="2100" spans="1:17" x14ac:dyDescent="0.35">
      <c r="A2100" t="s">
        <v>8520</v>
      </c>
      <c r="B2100" s="3" t="s">
        <v>102</v>
      </c>
      <c r="G2100" t="s">
        <v>8607</v>
      </c>
      <c r="H2100">
        <v>37</v>
      </c>
      <c r="I2100" t="s">
        <v>9306</v>
      </c>
      <c r="J2100" t="str">
        <f t="shared" si="32"/>
        <v>13F-HR-.37.C11</v>
      </c>
      <c r="K2100" s="5" t="s">
        <v>8643</v>
      </c>
      <c r="L2100" t="s">
        <v>241</v>
      </c>
      <c r="M2100" t="s">
        <v>8644</v>
      </c>
      <c r="N2100" t="s">
        <v>8645</v>
      </c>
      <c r="Q2100" s="28">
        <v>0</v>
      </c>
    </row>
    <row r="2101" spans="1:17" x14ac:dyDescent="0.35">
      <c r="A2101" t="s">
        <v>8520</v>
      </c>
      <c r="B2101" s="3" t="s">
        <v>102</v>
      </c>
      <c r="G2101" t="s">
        <v>8607</v>
      </c>
      <c r="H2101">
        <v>38</v>
      </c>
      <c r="I2101" t="s">
        <v>9307</v>
      </c>
      <c r="J2101" t="str">
        <f t="shared" si="32"/>
        <v>13F-HR-.38.C12</v>
      </c>
      <c r="K2101" s="5" t="s">
        <v>8646</v>
      </c>
      <c r="L2101" t="s">
        <v>241</v>
      </c>
      <c r="M2101" t="s">
        <v>8647</v>
      </c>
      <c r="N2101" t="s">
        <v>8648</v>
      </c>
      <c r="Q2101" s="28">
        <v>358613</v>
      </c>
    </row>
    <row r="2102" spans="1:17" x14ac:dyDescent="0.35">
      <c r="A2102" t="s">
        <v>8520</v>
      </c>
      <c r="B2102" s="3" t="s">
        <v>102</v>
      </c>
      <c r="G2102" t="s">
        <v>8607</v>
      </c>
      <c r="H2102">
        <v>27</v>
      </c>
      <c r="I2102" t="s">
        <v>9296</v>
      </c>
      <c r="J2102" t="str">
        <f t="shared" si="32"/>
        <v>13F-HR-.27.C1</v>
      </c>
      <c r="K2102" s="5" t="s">
        <v>8608</v>
      </c>
      <c r="L2102" t="s">
        <v>229</v>
      </c>
      <c r="M2102" t="s">
        <v>8609</v>
      </c>
      <c r="N2102" t="s">
        <v>8610</v>
      </c>
      <c r="Q2102" s="28" t="s">
        <v>8922</v>
      </c>
    </row>
    <row r="2103" spans="1:17" x14ac:dyDescent="0.35">
      <c r="A2103" t="s">
        <v>8520</v>
      </c>
      <c r="B2103" s="3" t="s">
        <v>102</v>
      </c>
      <c r="G2103" t="s">
        <v>8607</v>
      </c>
      <c r="H2103">
        <v>28</v>
      </c>
      <c r="I2103" t="s">
        <v>9297</v>
      </c>
      <c r="J2103" t="str">
        <f t="shared" si="32"/>
        <v>13F-HR-.28.C2</v>
      </c>
      <c r="K2103" s="5" t="s">
        <v>8612</v>
      </c>
      <c r="L2103" t="s">
        <v>229</v>
      </c>
      <c r="M2103" t="s">
        <v>8613</v>
      </c>
      <c r="N2103" t="s">
        <v>8614</v>
      </c>
      <c r="Q2103" s="28" t="s">
        <v>8923</v>
      </c>
    </row>
    <row r="2104" spans="1:17" x14ac:dyDescent="0.35">
      <c r="A2104" t="s">
        <v>8520</v>
      </c>
      <c r="B2104" s="3" t="s">
        <v>102</v>
      </c>
      <c r="G2104" t="s">
        <v>8607</v>
      </c>
      <c r="H2104">
        <v>29</v>
      </c>
      <c r="I2104" t="s">
        <v>9298</v>
      </c>
      <c r="J2104" t="str">
        <f t="shared" si="32"/>
        <v>13F-HR-.29.C3</v>
      </c>
      <c r="K2104" s="5" t="s">
        <v>8616</v>
      </c>
      <c r="L2104" t="s">
        <v>229</v>
      </c>
      <c r="M2104" t="s">
        <v>7927</v>
      </c>
      <c r="N2104" t="s">
        <v>8617</v>
      </c>
      <c r="Q2104" s="28">
        <v>594972408</v>
      </c>
    </row>
    <row r="2105" spans="1:17" x14ac:dyDescent="0.35">
      <c r="A2105" t="s">
        <v>8520</v>
      </c>
      <c r="B2105" s="3" t="s">
        <v>102</v>
      </c>
      <c r="G2105" t="s">
        <v>8607</v>
      </c>
      <c r="H2105">
        <v>30</v>
      </c>
      <c r="I2105" t="s">
        <v>9299</v>
      </c>
      <c r="J2105" t="str">
        <f t="shared" si="32"/>
        <v>13F-HR-.30.C4</v>
      </c>
      <c r="K2105" s="5" t="s">
        <v>8618</v>
      </c>
      <c r="L2105" t="s">
        <v>8619</v>
      </c>
      <c r="M2105" t="s">
        <v>8620</v>
      </c>
      <c r="N2105" t="s">
        <v>8621</v>
      </c>
      <c r="Q2105" s="28">
        <v>4063742</v>
      </c>
    </row>
    <row r="2106" spans="1:17" x14ac:dyDescent="0.35">
      <c r="A2106" t="s">
        <v>8520</v>
      </c>
      <c r="B2106" s="3" t="s">
        <v>102</v>
      </c>
      <c r="G2106" t="s">
        <v>8607</v>
      </c>
      <c r="H2106">
        <v>31</v>
      </c>
      <c r="I2106" t="s">
        <v>9300</v>
      </c>
      <c r="J2106" t="str">
        <f t="shared" si="32"/>
        <v>13F-HR-.31.C5</v>
      </c>
      <c r="K2106" s="5" t="s">
        <v>8622</v>
      </c>
      <c r="L2106" t="s">
        <v>241</v>
      </c>
      <c r="M2106" t="s">
        <v>8623</v>
      </c>
      <c r="N2106" t="s">
        <v>8624</v>
      </c>
      <c r="Q2106" s="28">
        <v>14097</v>
      </c>
    </row>
    <row r="2107" spans="1:17" x14ac:dyDescent="0.35">
      <c r="A2107" t="s">
        <v>8520</v>
      </c>
      <c r="B2107" s="3" t="s">
        <v>102</v>
      </c>
      <c r="G2107" t="s">
        <v>8607</v>
      </c>
      <c r="H2107">
        <v>32</v>
      </c>
      <c r="I2107" t="s">
        <v>9301</v>
      </c>
      <c r="J2107" t="str">
        <f t="shared" si="32"/>
        <v>13F-HR-.32.C6</v>
      </c>
      <c r="K2107" s="5" t="s">
        <v>8625</v>
      </c>
      <c r="L2107" t="s">
        <v>229</v>
      </c>
      <c r="M2107" t="s">
        <v>8626</v>
      </c>
      <c r="N2107" t="s">
        <v>8627</v>
      </c>
      <c r="Q2107" s="28" t="s">
        <v>8628</v>
      </c>
    </row>
    <row r="2108" spans="1:17" x14ac:dyDescent="0.35">
      <c r="A2108" t="s">
        <v>8520</v>
      </c>
      <c r="B2108" s="3" t="s">
        <v>102</v>
      </c>
      <c r="G2108" t="s">
        <v>8607</v>
      </c>
      <c r="H2108">
        <v>33</v>
      </c>
      <c r="I2108" t="s">
        <v>9302</v>
      </c>
      <c r="J2108" t="str">
        <f t="shared" si="32"/>
        <v>13F-HR-.33.C7</v>
      </c>
      <c r="K2108" s="5" t="s">
        <v>8629</v>
      </c>
      <c r="L2108" t="s">
        <v>229</v>
      </c>
      <c r="M2108" t="s">
        <v>8630</v>
      </c>
      <c r="N2108" t="s">
        <v>8631</v>
      </c>
      <c r="Q2108" s="28" t="s">
        <v>8685</v>
      </c>
    </row>
    <row r="2109" spans="1:17" x14ac:dyDescent="0.35">
      <c r="A2109" t="s">
        <v>8520</v>
      </c>
      <c r="B2109" s="3" t="s">
        <v>102</v>
      </c>
      <c r="G2109" t="s">
        <v>8607</v>
      </c>
      <c r="H2109">
        <v>34</v>
      </c>
      <c r="I2109" t="s">
        <v>9303</v>
      </c>
      <c r="J2109" t="str">
        <f t="shared" si="32"/>
        <v>13F-HR-.34.C8</v>
      </c>
      <c r="K2109" s="5" t="s">
        <v>8633</v>
      </c>
      <c r="L2109" t="s">
        <v>4735</v>
      </c>
      <c r="M2109" t="s">
        <v>8634</v>
      </c>
      <c r="N2109" t="s">
        <v>8635</v>
      </c>
      <c r="Q2109" s="28" t="s">
        <v>8632</v>
      </c>
    </row>
    <row r="2110" spans="1:17" x14ac:dyDescent="0.35">
      <c r="A2110" t="s">
        <v>8651</v>
      </c>
      <c r="B2110" s="3" t="s">
        <v>102</v>
      </c>
      <c r="G2110" t="s">
        <v>8607</v>
      </c>
      <c r="H2110">
        <v>35</v>
      </c>
      <c r="I2110" t="s">
        <v>9304</v>
      </c>
      <c r="J2110" t="str">
        <f t="shared" si="32"/>
        <v>135-HR-.35.C9</v>
      </c>
      <c r="K2110" s="5" t="s">
        <v>8637</v>
      </c>
      <c r="L2110" t="s">
        <v>229</v>
      </c>
      <c r="M2110" t="s">
        <v>8638</v>
      </c>
      <c r="N2110" t="s">
        <v>8639</v>
      </c>
      <c r="Q2110" s="28" t="s">
        <v>8636</v>
      </c>
    </row>
    <row r="2111" spans="1:17" x14ac:dyDescent="0.35">
      <c r="A2111" t="s">
        <v>8520</v>
      </c>
      <c r="B2111" s="3" t="s">
        <v>102</v>
      </c>
      <c r="G2111" t="s">
        <v>8607</v>
      </c>
      <c r="H2111">
        <v>36</v>
      </c>
      <c r="I2111" t="s">
        <v>9305</v>
      </c>
      <c r="J2111" t="str">
        <f t="shared" si="32"/>
        <v>13F-HR-.36.C10</v>
      </c>
      <c r="K2111" s="5" t="s">
        <v>8640</v>
      </c>
      <c r="L2111" t="s">
        <v>241</v>
      </c>
      <c r="M2111" t="s">
        <v>8641</v>
      </c>
      <c r="N2111" t="s">
        <v>8642</v>
      </c>
      <c r="Q2111" s="28">
        <v>13673</v>
      </c>
    </row>
    <row r="2112" spans="1:17" x14ac:dyDescent="0.35">
      <c r="A2112" t="s">
        <v>8520</v>
      </c>
      <c r="B2112" s="3" t="s">
        <v>102</v>
      </c>
      <c r="G2112" t="s">
        <v>8607</v>
      </c>
      <c r="H2112">
        <v>37</v>
      </c>
      <c r="I2112" t="s">
        <v>9306</v>
      </c>
      <c r="J2112" t="str">
        <f t="shared" si="32"/>
        <v>13F-HR-.37.C11</v>
      </c>
      <c r="K2112" s="5" t="s">
        <v>8643</v>
      </c>
      <c r="L2112" t="s">
        <v>241</v>
      </c>
      <c r="M2112" t="s">
        <v>8644</v>
      </c>
      <c r="N2112" t="s">
        <v>8645</v>
      </c>
      <c r="Q2112" s="28">
        <v>0</v>
      </c>
    </row>
    <row r="2113" spans="1:17" x14ac:dyDescent="0.35">
      <c r="A2113" t="s">
        <v>8520</v>
      </c>
      <c r="B2113" s="3" t="s">
        <v>102</v>
      </c>
      <c r="G2113" t="s">
        <v>8607</v>
      </c>
      <c r="H2113">
        <v>38</v>
      </c>
      <c r="I2113" t="s">
        <v>9307</v>
      </c>
      <c r="J2113" t="str">
        <f t="shared" si="32"/>
        <v>13F-HR-.38.C12</v>
      </c>
      <c r="K2113" s="5" t="s">
        <v>8646</v>
      </c>
      <c r="L2113" t="s">
        <v>241</v>
      </c>
      <c r="M2113" t="s">
        <v>8647</v>
      </c>
      <c r="N2113" t="s">
        <v>8648</v>
      </c>
      <c r="Q2113" s="28">
        <v>424</v>
      </c>
    </row>
    <row r="2114" spans="1:17" x14ac:dyDescent="0.35">
      <c r="A2114" t="s">
        <v>8520</v>
      </c>
      <c r="B2114" s="3" t="s">
        <v>102</v>
      </c>
      <c r="G2114" t="s">
        <v>8607</v>
      </c>
      <c r="H2114">
        <v>27</v>
      </c>
      <c r="I2114" t="s">
        <v>9296</v>
      </c>
      <c r="J2114" t="str">
        <f t="shared" si="32"/>
        <v>13F-HR-.27.C1</v>
      </c>
      <c r="K2114" s="5" t="s">
        <v>8608</v>
      </c>
      <c r="L2114" t="s">
        <v>229</v>
      </c>
      <c r="M2114" t="s">
        <v>8609</v>
      </c>
      <c r="N2114" t="s">
        <v>8610</v>
      </c>
      <c r="Q2114" s="28" t="s">
        <v>8924</v>
      </c>
    </row>
    <row r="2115" spans="1:17" x14ac:dyDescent="0.35">
      <c r="A2115" t="s">
        <v>8520</v>
      </c>
      <c r="B2115" s="3" t="s">
        <v>102</v>
      </c>
      <c r="G2115" t="s">
        <v>8607</v>
      </c>
      <c r="H2115">
        <v>28</v>
      </c>
      <c r="I2115" t="s">
        <v>9297</v>
      </c>
      <c r="J2115" t="str">
        <f t="shared" ref="J2115:J2178" si="33">_xlfn.CONCAT(A2115,"-",F2115,".",H2115,".",I2115)</f>
        <v>13F-HR-.28.C2</v>
      </c>
      <c r="K2115" s="5" t="s">
        <v>8612</v>
      </c>
      <c r="L2115" t="s">
        <v>229</v>
      </c>
      <c r="M2115" t="s">
        <v>8613</v>
      </c>
      <c r="N2115" t="s">
        <v>8614</v>
      </c>
      <c r="Q2115" s="28" t="s">
        <v>8925</v>
      </c>
    </row>
    <row r="2116" spans="1:17" x14ac:dyDescent="0.35">
      <c r="A2116" t="s">
        <v>8520</v>
      </c>
      <c r="B2116" s="3" t="s">
        <v>102</v>
      </c>
      <c r="G2116" t="s">
        <v>8607</v>
      </c>
      <c r="H2116">
        <v>29</v>
      </c>
      <c r="I2116" t="s">
        <v>9298</v>
      </c>
      <c r="J2116" t="str">
        <f t="shared" si="33"/>
        <v>13F-HR-.29.C3</v>
      </c>
      <c r="K2116" s="5" t="s">
        <v>8616</v>
      </c>
      <c r="L2116" t="s">
        <v>229</v>
      </c>
      <c r="M2116" t="s">
        <v>7927</v>
      </c>
      <c r="N2116" t="s">
        <v>8617</v>
      </c>
      <c r="Q2116" s="28">
        <v>595017302</v>
      </c>
    </row>
    <row r="2117" spans="1:17" x14ac:dyDescent="0.35">
      <c r="A2117" t="s">
        <v>8520</v>
      </c>
      <c r="B2117" s="3" t="s">
        <v>102</v>
      </c>
      <c r="G2117" t="s">
        <v>8607</v>
      </c>
      <c r="H2117">
        <v>30</v>
      </c>
      <c r="I2117" t="s">
        <v>9299</v>
      </c>
      <c r="J2117" t="str">
        <f t="shared" si="33"/>
        <v>13F-HR-.30.C4</v>
      </c>
      <c r="K2117" s="5" t="s">
        <v>8618</v>
      </c>
      <c r="L2117" t="s">
        <v>8619</v>
      </c>
      <c r="M2117" t="s">
        <v>8620</v>
      </c>
      <c r="N2117" t="s">
        <v>8621</v>
      </c>
      <c r="Q2117" s="28">
        <v>1972936</v>
      </c>
    </row>
    <row r="2118" spans="1:17" x14ac:dyDescent="0.35">
      <c r="A2118" t="s">
        <v>8520</v>
      </c>
      <c r="B2118" s="3" t="s">
        <v>102</v>
      </c>
      <c r="G2118" t="s">
        <v>8607</v>
      </c>
      <c r="H2118">
        <v>31</v>
      </c>
      <c r="I2118" t="s">
        <v>9300</v>
      </c>
      <c r="J2118" t="str">
        <f t="shared" si="33"/>
        <v>13F-HR-.31.C5</v>
      </c>
      <c r="K2118" s="5" t="s">
        <v>8622</v>
      </c>
      <c r="L2118" t="s">
        <v>241</v>
      </c>
      <c r="M2118" t="s">
        <v>8623</v>
      </c>
      <c r="N2118" t="s">
        <v>8624</v>
      </c>
      <c r="Q2118" s="28">
        <v>39200</v>
      </c>
    </row>
    <row r="2119" spans="1:17" x14ac:dyDescent="0.35">
      <c r="A2119" t="s">
        <v>8520</v>
      </c>
      <c r="B2119" s="3" t="s">
        <v>102</v>
      </c>
      <c r="G2119" t="s">
        <v>8607</v>
      </c>
      <c r="H2119">
        <v>32</v>
      </c>
      <c r="I2119" t="s">
        <v>9301</v>
      </c>
      <c r="J2119" t="str">
        <f t="shared" si="33"/>
        <v>13F-HR-.32.C6</v>
      </c>
      <c r="K2119" s="5" t="s">
        <v>8625</v>
      </c>
      <c r="L2119" t="s">
        <v>229</v>
      </c>
      <c r="M2119" t="s">
        <v>8626</v>
      </c>
      <c r="N2119" t="s">
        <v>8627</v>
      </c>
      <c r="Q2119" s="28" t="s">
        <v>8628</v>
      </c>
    </row>
    <row r="2120" spans="1:17" x14ac:dyDescent="0.35">
      <c r="A2120" t="s">
        <v>8520</v>
      </c>
      <c r="B2120" s="3" t="s">
        <v>102</v>
      </c>
      <c r="G2120" t="s">
        <v>8607</v>
      </c>
      <c r="H2120">
        <v>33</v>
      </c>
      <c r="I2120" t="s">
        <v>9302</v>
      </c>
      <c r="J2120" t="str">
        <f t="shared" si="33"/>
        <v>13F-HR-.33.C7</v>
      </c>
      <c r="K2120" s="5" t="s">
        <v>8629</v>
      </c>
      <c r="L2120" t="s">
        <v>229</v>
      </c>
      <c r="M2120" t="s">
        <v>8630</v>
      </c>
      <c r="N2120" t="s">
        <v>8631</v>
      </c>
      <c r="Q2120" s="28" t="s">
        <v>8685</v>
      </c>
    </row>
    <row r="2121" spans="1:17" x14ac:dyDescent="0.35">
      <c r="A2121" t="s">
        <v>8520</v>
      </c>
      <c r="B2121" s="3" t="s">
        <v>102</v>
      </c>
      <c r="G2121" t="s">
        <v>8607</v>
      </c>
      <c r="H2121">
        <v>34</v>
      </c>
      <c r="I2121" t="s">
        <v>9303</v>
      </c>
      <c r="J2121" t="str">
        <f t="shared" si="33"/>
        <v>13F-HR-.34.C8</v>
      </c>
      <c r="K2121" s="5" t="s">
        <v>8633</v>
      </c>
      <c r="L2121" t="s">
        <v>4735</v>
      </c>
      <c r="M2121" t="s">
        <v>8634</v>
      </c>
      <c r="N2121" t="s">
        <v>8635</v>
      </c>
      <c r="Q2121" s="28" t="s">
        <v>8632</v>
      </c>
    </row>
    <row r="2122" spans="1:17" x14ac:dyDescent="0.35">
      <c r="A2122" t="s">
        <v>8651</v>
      </c>
      <c r="B2122" s="3" t="s">
        <v>102</v>
      </c>
      <c r="G2122" t="s">
        <v>8607</v>
      </c>
      <c r="H2122">
        <v>35</v>
      </c>
      <c r="I2122" t="s">
        <v>9304</v>
      </c>
      <c r="J2122" t="str">
        <f t="shared" si="33"/>
        <v>135-HR-.35.C9</v>
      </c>
      <c r="K2122" s="5" t="s">
        <v>8637</v>
      </c>
      <c r="L2122" t="s">
        <v>229</v>
      </c>
      <c r="M2122" t="s">
        <v>8638</v>
      </c>
      <c r="N2122" t="s">
        <v>8639</v>
      </c>
      <c r="Q2122" s="28" t="s">
        <v>8636</v>
      </c>
    </row>
    <row r="2123" spans="1:17" x14ac:dyDescent="0.35">
      <c r="A2123" t="s">
        <v>8520</v>
      </c>
      <c r="B2123" s="3" t="s">
        <v>102</v>
      </c>
      <c r="G2123" t="s">
        <v>8607</v>
      </c>
      <c r="H2123">
        <v>36</v>
      </c>
      <c r="I2123" t="s">
        <v>9305</v>
      </c>
      <c r="J2123" t="str">
        <f t="shared" si="33"/>
        <v>13F-HR-.36.C10</v>
      </c>
      <c r="K2123" s="5" t="s">
        <v>8640</v>
      </c>
      <c r="L2123" t="s">
        <v>241</v>
      </c>
      <c r="M2123" t="s">
        <v>8641</v>
      </c>
      <c r="N2123" t="s">
        <v>8642</v>
      </c>
      <c r="Q2123" s="28">
        <v>39200</v>
      </c>
    </row>
    <row r="2124" spans="1:17" x14ac:dyDescent="0.35">
      <c r="A2124" t="s">
        <v>8520</v>
      </c>
      <c r="B2124" s="3" t="s">
        <v>102</v>
      </c>
      <c r="G2124" t="s">
        <v>8607</v>
      </c>
      <c r="H2124">
        <v>37</v>
      </c>
      <c r="I2124" t="s">
        <v>9306</v>
      </c>
      <c r="J2124" t="str">
        <f t="shared" si="33"/>
        <v>13F-HR-.37.C11</v>
      </c>
      <c r="K2124" s="5" t="s">
        <v>8643</v>
      </c>
      <c r="L2124" t="s">
        <v>241</v>
      </c>
      <c r="M2124" t="s">
        <v>8644</v>
      </c>
      <c r="N2124" t="s">
        <v>8645</v>
      </c>
      <c r="Q2124" s="28">
        <v>0</v>
      </c>
    </row>
    <row r="2125" spans="1:17" x14ac:dyDescent="0.35">
      <c r="A2125" t="s">
        <v>8520</v>
      </c>
      <c r="B2125" s="3" t="s">
        <v>102</v>
      </c>
      <c r="G2125" t="s">
        <v>8607</v>
      </c>
      <c r="H2125">
        <v>38</v>
      </c>
      <c r="I2125" t="s">
        <v>9307</v>
      </c>
      <c r="J2125" t="str">
        <f t="shared" si="33"/>
        <v>13F-HR-.38.C12</v>
      </c>
      <c r="K2125" s="5" t="s">
        <v>8646</v>
      </c>
      <c r="L2125" t="s">
        <v>241</v>
      </c>
      <c r="M2125" t="s">
        <v>8647</v>
      </c>
      <c r="N2125" t="s">
        <v>8648</v>
      </c>
      <c r="Q2125" s="28">
        <v>0</v>
      </c>
    </row>
    <row r="2126" spans="1:17" x14ac:dyDescent="0.35">
      <c r="A2126" t="s">
        <v>8520</v>
      </c>
      <c r="B2126" s="3" t="s">
        <v>102</v>
      </c>
      <c r="G2126" t="s">
        <v>8607</v>
      </c>
      <c r="H2126">
        <v>27</v>
      </c>
      <c r="I2126" t="s">
        <v>9296</v>
      </c>
      <c r="J2126" t="str">
        <f t="shared" si="33"/>
        <v>13F-HR-.27.C1</v>
      </c>
      <c r="K2126" s="5" t="s">
        <v>8608</v>
      </c>
      <c r="L2126" t="s">
        <v>229</v>
      </c>
      <c r="M2126" t="s">
        <v>8609</v>
      </c>
      <c r="N2126" t="s">
        <v>8610</v>
      </c>
      <c r="Q2126" s="28" t="s">
        <v>8926</v>
      </c>
    </row>
    <row r="2127" spans="1:17" x14ac:dyDescent="0.35">
      <c r="A2127" t="s">
        <v>8520</v>
      </c>
      <c r="B2127" s="3" t="s">
        <v>102</v>
      </c>
      <c r="G2127" t="s">
        <v>8607</v>
      </c>
      <c r="H2127">
        <v>28</v>
      </c>
      <c r="I2127" t="s">
        <v>9297</v>
      </c>
      <c r="J2127" t="str">
        <f t="shared" si="33"/>
        <v>13F-HR-.28.C2</v>
      </c>
      <c r="K2127" s="5" t="s">
        <v>8612</v>
      </c>
      <c r="L2127" t="s">
        <v>229</v>
      </c>
      <c r="M2127" t="s">
        <v>8613</v>
      </c>
      <c r="N2127" t="s">
        <v>8614</v>
      </c>
      <c r="Q2127" s="28" t="s">
        <v>8615</v>
      </c>
    </row>
    <row r="2128" spans="1:17" x14ac:dyDescent="0.35">
      <c r="A2128" t="s">
        <v>8520</v>
      </c>
      <c r="B2128" s="3" t="s">
        <v>102</v>
      </c>
      <c r="G2128" t="s">
        <v>8607</v>
      </c>
      <c r="H2128">
        <v>29</v>
      </c>
      <c r="I2128" t="s">
        <v>9298</v>
      </c>
      <c r="J2128" t="str">
        <f t="shared" si="33"/>
        <v>13F-HR-.29.C3</v>
      </c>
      <c r="K2128" s="5" t="s">
        <v>8616</v>
      </c>
      <c r="L2128" t="s">
        <v>229</v>
      </c>
      <c r="M2128" t="s">
        <v>7927</v>
      </c>
      <c r="N2128" t="s">
        <v>8617</v>
      </c>
      <c r="Q2128" s="28">
        <v>595112103</v>
      </c>
    </row>
    <row r="2129" spans="1:17" x14ac:dyDescent="0.35">
      <c r="A2129" t="s">
        <v>8520</v>
      </c>
      <c r="B2129" s="3" t="s">
        <v>102</v>
      </c>
      <c r="G2129" t="s">
        <v>8607</v>
      </c>
      <c r="H2129">
        <v>30</v>
      </c>
      <c r="I2129" t="s">
        <v>9299</v>
      </c>
      <c r="J2129" t="str">
        <f t="shared" si="33"/>
        <v>13F-HR-.30.C4</v>
      </c>
      <c r="K2129" s="5" t="s">
        <v>8618</v>
      </c>
      <c r="L2129" t="s">
        <v>8619</v>
      </c>
      <c r="M2129" t="s">
        <v>8620</v>
      </c>
      <c r="N2129" t="s">
        <v>8621</v>
      </c>
      <c r="Q2129" s="28">
        <v>39051842</v>
      </c>
    </row>
    <row r="2130" spans="1:17" x14ac:dyDescent="0.35">
      <c r="A2130" t="s">
        <v>8520</v>
      </c>
      <c r="B2130" s="3" t="s">
        <v>102</v>
      </c>
      <c r="G2130" t="s">
        <v>8607</v>
      </c>
      <c r="H2130">
        <v>31</v>
      </c>
      <c r="I2130" t="s">
        <v>9300</v>
      </c>
      <c r="J2130" t="str">
        <f t="shared" si="33"/>
        <v>13F-HR-.31.C5</v>
      </c>
      <c r="K2130" s="5" t="s">
        <v>8622</v>
      </c>
      <c r="L2130" t="s">
        <v>241</v>
      </c>
      <c r="M2130" t="s">
        <v>8623</v>
      </c>
      <c r="N2130" t="s">
        <v>8624</v>
      </c>
      <c r="Q2130" s="28">
        <v>449440</v>
      </c>
    </row>
    <row r="2131" spans="1:17" x14ac:dyDescent="0.35">
      <c r="A2131" t="s">
        <v>8520</v>
      </c>
      <c r="B2131" s="3" t="s">
        <v>102</v>
      </c>
      <c r="G2131" t="s">
        <v>8607</v>
      </c>
      <c r="H2131">
        <v>32</v>
      </c>
      <c r="I2131" t="s">
        <v>9301</v>
      </c>
      <c r="J2131" t="str">
        <f t="shared" si="33"/>
        <v>13F-HR-.32.C6</v>
      </c>
      <c r="K2131" s="5" t="s">
        <v>8625</v>
      </c>
      <c r="L2131" t="s">
        <v>229</v>
      </c>
      <c r="M2131" t="s">
        <v>8626</v>
      </c>
      <c r="N2131" t="s">
        <v>8627</v>
      </c>
      <c r="Q2131" s="28" t="s">
        <v>8628</v>
      </c>
    </row>
    <row r="2132" spans="1:17" x14ac:dyDescent="0.35">
      <c r="A2132" t="s">
        <v>8520</v>
      </c>
      <c r="B2132" s="3" t="s">
        <v>102</v>
      </c>
      <c r="G2132" t="s">
        <v>8607</v>
      </c>
      <c r="H2132">
        <v>33</v>
      </c>
      <c r="I2132" t="s">
        <v>9302</v>
      </c>
      <c r="J2132" t="str">
        <f t="shared" si="33"/>
        <v>13F-HR-.33.C7</v>
      </c>
      <c r="K2132" s="5" t="s">
        <v>8629</v>
      </c>
      <c r="L2132" t="s">
        <v>229</v>
      </c>
      <c r="M2132" t="s">
        <v>8630</v>
      </c>
      <c r="N2132" t="s">
        <v>8631</v>
      </c>
      <c r="Q2132" s="28" t="s">
        <v>8685</v>
      </c>
    </row>
    <row r="2133" spans="1:17" x14ac:dyDescent="0.35">
      <c r="A2133" t="s">
        <v>8520</v>
      </c>
      <c r="B2133" s="3" t="s">
        <v>102</v>
      </c>
      <c r="G2133" t="s">
        <v>8607</v>
      </c>
      <c r="H2133">
        <v>34</v>
      </c>
      <c r="I2133" t="s">
        <v>9303</v>
      </c>
      <c r="J2133" t="str">
        <f t="shared" si="33"/>
        <v>13F-HR-.34.C8</v>
      </c>
      <c r="K2133" s="5" t="s">
        <v>8633</v>
      </c>
      <c r="L2133" t="s">
        <v>4735</v>
      </c>
      <c r="M2133" t="s">
        <v>8634</v>
      </c>
      <c r="N2133" t="s">
        <v>8635</v>
      </c>
      <c r="Q2133" s="28" t="s">
        <v>8632</v>
      </c>
    </row>
    <row r="2134" spans="1:17" x14ac:dyDescent="0.35">
      <c r="A2134" t="s">
        <v>8651</v>
      </c>
      <c r="B2134" s="3" t="s">
        <v>102</v>
      </c>
      <c r="G2134" t="s">
        <v>8607</v>
      </c>
      <c r="H2134">
        <v>35</v>
      </c>
      <c r="I2134" t="s">
        <v>9304</v>
      </c>
      <c r="J2134" t="str">
        <f t="shared" si="33"/>
        <v>135-HR-.35.C9</v>
      </c>
      <c r="K2134" s="5" t="s">
        <v>8637</v>
      </c>
      <c r="L2134" t="s">
        <v>229</v>
      </c>
      <c r="M2134" t="s">
        <v>8638</v>
      </c>
      <c r="N2134" t="s">
        <v>8639</v>
      </c>
      <c r="Q2134" s="28" t="s">
        <v>8636</v>
      </c>
    </row>
    <row r="2135" spans="1:17" x14ac:dyDescent="0.35">
      <c r="A2135" t="s">
        <v>8520</v>
      </c>
      <c r="B2135" s="3" t="s">
        <v>102</v>
      </c>
      <c r="G2135" t="s">
        <v>8607</v>
      </c>
      <c r="H2135">
        <v>36</v>
      </c>
      <c r="I2135" t="s">
        <v>9305</v>
      </c>
      <c r="J2135" t="str">
        <f t="shared" si="33"/>
        <v>13F-HR-.36.C10</v>
      </c>
      <c r="K2135" s="5" t="s">
        <v>8640</v>
      </c>
      <c r="L2135" t="s">
        <v>241</v>
      </c>
      <c r="M2135" t="s">
        <v>8641</v>
      </c>
      <c r="N2135" t="s">
        <v>8642</v>
      </c>
      <c r="Q2135" s="28">
        <v>448434</v>
      </c>
    </row>
    <row r="2136" spans="1:17" x14ac:dyDescent="0.35">
      <c r="A2136" t="s">
        <v>8520</v>
      </c>
      <c r="B2136" s="3" t="s">
        <v>102</v>
      </c>
      <c r="G2136" t="s">
        <v>8607</v>
      </c>
      <c r="H2136">
        <v>37</v>
      </c>
      <c r="I2136" t="s">
        <v>9306</v>
      </c>
      <c r="J2136" t="str">
        <f t="shared" si="33"/>
        <v>13F-HR-.37.C11</v>
      </c>
      <c r="K2136" s="5" t="s">
        <v>8643</v>
      </c>
      <c r="L2136" t="s">
        <v>241</v>
      </c>
      <c r="M2136" t="s">
        <v>8644</v>
      </c>
      <c r="N2136" t="s">
        <v>8645</v>
      </c>
      <c r="Q2136" s="28">
        <v>0</v>
      </c>
    </row>
    <row r="2137" spans="1:17" x14ac:dyDescent="0.35">
      <c r="A2137" t="s">
        <v>8520</v>
      </c>
      <c r="B2137" s="3" t="s">
        <v>102</v>
      </c>
      <c r="G2137" t="s">
        <v>8607</v>
      </c>
      <c r="H2137">
        <v>38</v>
      </c>
      <c r="I2137" t="s">
        <v>9307</v>
      </c>
      <c r="J2137" t="str">
        <f t="shared" si="33"/>
        <v>13F-HR-.38.C12</v>
      </c>
      <c r="K2137" s="5" t="s">
        <v>8646</v>
      </c>
      <c r="L2137" t="s">
        <v>241</v>
      </c>
      <c r="M2137" t="s">
        <v>8647</v>
      </c>
      <c r="N2137" t="s">
        <v>8648</v>
      </c>
      <c r="Q2137" s="28">
        <v>1006</v>
      </c>
    </row>
    <row r="2138" spans="1:17" x14ac:dyDescent="0.35">
      <c r="A2138" t="s">
        <v>8520</v>
      </c>
      <c r="B2138" s="3" t="s">
        <v>102</v>
      </c>
      <c r="G2138" t="s">
        <v>8607</v>
      </c>
      <c r="H2138">
        <v>27</v>
      </c>
      <c r="I2138" t="s">
        <v>9296</v>
      </c>
      <c r="J2138" t="str">
        <f t="shared" si="33"/>
        <v>13F-HR-.27.C1</v>
      </c>
      <c r="K2138" s="5" t="s">
        <v>8608</v>
      </c>
      <c r="L2138" t="s">
        <v>229</v>
      </c>
      <c r="M2138" t="s">
        <v>8609</v>
      </c>
      <c r="N2138" t="s">
        <v>8610</v>
      </c>
      <c r="Q2138" s="28" t="s">
        <v>8927</v>
      </c>
    </row>
    <row r="2139" spans="1:17" x14ac:dyDescent="0.35">
      <c r="A2139" t="s">
        <v>8520</v>
      </c>
      <c r="B2139" s="3" t="s">
        <v>102</v>
      </c>
      <c r="G2139" t="s">
        <v>8607</v>
      </c>
      <c r="H2139">
        <v>28</v>
      </c>
      <c r="I2139" t="s">
        <v>9297</v>
      </c>
      <c r="J2139" t="str">
        <f t="shared" si="33"/>
        <v>13F-HR-.28.C2</v>
      </c>
      <c r="K2139" s="5" t="s">
        <v>8612</v>
      </c>
      <c r="L2139" t="s">
        <v>229</v>
      </c>
      <c r="M2139" t="s">
        <v>8613</v>
      </c>
      <c r="N2139" t="s">
        <v>8614</v>
      </c>
      <c r="Q2139" s="28" t="s">
        <v>8615</v>
      </c>
    </row>
    <row r="2140" spans="1:17" x14ac:dyDescent="0.35">
      <c r="A2140" t="s">
        <v>8520</v>
      </c>
      <c r="B2140" s="3" t="s">
        <v>102</v>
      </c>
      <c r="G2140" t="s">
        <v>8607</v>
      </c>
      <c r="H2140">
        <v>29</v>
      </c>
      <c r="I2140" t="s">
        <v>9298</v>
      </c>
      <c r="J2140" t="str">
        <f t="shared" si="33"/>
        <v>13F-HR-.29.C3</v>
      </c>
      <c r="K2140" s="5" t="s">
        <v>8616</v>
      </c>
      <c r="L2140" t="s">
        <v>229</v>
      </c>
      <c r="M2140" t="s">
        <v>7927</v>
      </c>
      <c r="N2140" t="s">
        <v>8617</v>
      </c>
      <c r="Q2140" s="28" t="s">
        <v>8928</v>
      </c>
    </row>
    <row r="2141" spans="1:17" x14ac:dyDescent="0.35">
      <c r="A2141" t="s">
        <v>8520</v>
      </c>
      <c r="B2141" s="3" t="s">
        <v>102</v>
      </c>
      <c r="G2141" t="s">
        <v>8607</v>
      </c>
      <c r="H2141">
        <v>30</v>
      </c>
      <c r="I2141" t="s">
        <v>9299</v>
      </c>
      <c r="J2141" t="str">
        <f t="shared" si="33"/>
        <v>13F-HR-.30.C4</v>
      </c>
      <c r="K2141" s="5" t="s">
        <v>8618</v>
      </c>
      <c r="L2141" t="s">
        <v>8619</v>
      </c>
      <c r="M2141" t="s">
        <v>8620</v>
      </c>
      <c r="N2141" t="s">
        <v>8621</v>
      </c>
      <c r="Q2141" s="28">
        <v>11840868</v>
      </c>
    </row>
    <row r="2142" spans="1:17" x14ac:dyDescent="0.35">
      <c r="A2142" t="s">
        <v>8520</v>
      </c>
      <c r="B2142" s="3" t="s">
        <v>102</v>
      </c>
      <c r="G2142" t="s">
        <v>8607</v>
      </c>
      <c r="H2142">
        <v>31</v>
      </c>
      <c r="I2142" t="s">
        <v>9300</v>
      </c>
      <c r="J2142" t="str">
        <f t="shared" si="33"/>
        <v>13F-HR-.31.C5</v>
      </c>
      <c r="K2142" s="5" t="s">
        <v>8622</v>
      </c>
      <c r="L2142" t="s">
        <v>241</v>
      </c>
      <c r="M2142" t="s">
        <v>8623</v>
      </c>
      <c r="N2142" t="s">
        <v>8624</v>
      </c>
      <c r="Q2142" s="28">
        <v>70658</v>
      </c>
    </row>
    <row r="2143" spans="1:17" x14ac:dyDescent="0.35">
      <c r="A2143" t="s">
        <v>8520</v>
      </c>
      <c r="B2143" s="3" t="s">
        <v>102</v>
      </c>
      <c r="G2143" t="s">
        <v>8607</v>
      </c>
      <c r="H2143">
        <v>32</v>
      </c>
      <c r="I2143" t="s">
        <v>9301</v>
      </c>
      <c r="J2143" t="str">
        <f t="shared" si="33"/>
        <v>13F-HR-.32.C6</v>
      </c>
      <c r="K2143" s="5" t="s">
        <v>8625</v>
      </c>
      <c r="L2143" t="s">
        <v>229</v>
      </c>
      <c r="M2143" t="s">
        <v>8626</v>
      </c>
      <c r="N2143" t="s">
        <v>8627</v>
      </c>
      <c r="Q2143" s="28" t="s">
        <v>8628</v>
      </c>
    </row>
    <row r="2144" spans="1:17" x14ac:dyDescent="0.35">
      <c r="A2144" t="s">
        <v>8520</v>
      </c>
      <c r="B2144" s="3" t="s">
        <v>102</v>
      </c>
      <c r="G2144" t="s">
        <v>8607</v>
      </c>
      <c r="H2144">
        <v>33</v>
      </c>
      <c r="I2144" t="s">
        <v>9302</v>
      </c>
      <c r="J2144" t="str">
        <f t="shared" si="33"/>
        <v>13F-HR-.33.C7</v>
      </c>
      <c r="K2144" s="5" t="s">
        <v>8629</v>
      </c>
      <c r="L2144" t="s">
        <v>229</v>
      </c>
      <c r="M2144" t="s">
        <v>8630</v>
      </c>
      <c r="N2144" t="s">
        <v>8631</v>
      </c>
      <c r="Q2144" s="28" t="s">
        <v>8685</v>
      </c>
    </row>
    <row r="2145" spans="1:17" x14ac:dyDescent="0.35">
      <c r="A2145" t="s">
        <v>8520</v>
      </c>
      <c r="B2145" s="3" t="s">
        <v>102</v>
      </c>
      <c r="G2145" t="s">
        <v>8607</v>
      </c>
      <c r="H2145">
        <v>34</v>
      </c>
      <c r="I2145" t="s">
        <v>9303</v>
      </c>
      <c r="J2145" t="str">
        <f t="shared" si="33"/>
        <v>13F-HR-.34.C8</v>
      </c>
      <c r="K2145" s="5" t="s">
        <v>8633</v>
      </c>
      <c r="L2145" t="s">
        <v>4735</v>
      </c>
      <c r="M2145" t="s">
        <v>8634</v>
      </c>
      <c r="N2145" t="s">
        <v>8635</v>
      </c>
      <c r="Q2145" s="28" t="s">
        <v>8632</v>
      </c>
    </row>
    <row r="2146" spans="1:17" x14ac:dyDescent="0.35">
      <c r="A2146" t="s">
        <v>8651</v>
      </c>
      <c r="B2146" s="3" t="s">
        <v>102</v>
      </c>
      <c r="G2146" t="s">
        <v>8607</v>
      </c>
      <c r="H2146">
        <v>35</v>
      </c>
      <c r="I2146" t="s">
        <v>9304</v>
      </c>
      <c r="J2146" t="str">
        <f t="shared" si="33"/>
        <v>135-HR-.35.C9</v>
      </c>
      <c r="K2146" s="5" t="s">
        <v>8637</v>
      </c>
      <c r="L2146" t="s">
        <v>229</v>
      </c>
      <c r="M2146" t="s">
        <v>8638</v>
      </c>
      <c r="N2146" t="s">
        <v>8639</v>
      </c>
      <c r="Q2146" s="28" t="s">
        <v>8636</v>
      </c>
    </row>
    <row r="2147" spans="1:17" x14ac:dyDescent="0.35">
      <c r="A2147" t="s">
        <v>8520</v>
      </c>
      <c r="B2147" s="3" t="s">
        <v>102</v>
      </c>
      <c r="G2147" t="s">
        <v>8607</v>
      </c>
      <c r="H2147">
        <v>36</v>
      </c>
      <c r="I2147" t="s">
        <v>9305</v>
      </c>
      <c r="J2147" t="str">
        <f t="shared" si="33"/>
        <v>13F-HR-.36.C10</v>
      </c>
      <c r="K2147" s="5" t="s">
        <v>8640</v>
      </c>
      <c r="L2147" t="s">
        <v>241</v>
      </c>
      <c r="M2147" t="s">
        <v>8641</v>
      </c>
      <c r="N2147" t="s">
        <v>8642</v>
      </c>
      <c r="Q2147" s="28">
        <v>0</v>
      </c>
    </row>
    <row r="2148" spans="1:17" x14ac:dyDescent="0.35">
      <c r="A2148" t="s">
        <v>8520</v>
      </c>
      <c r="B2148" s="3" t="s">
        <v>102</v>
      </c>
      <c r="G2148" t="s">
        <v>8607</v>
      </c>
      <c r="H2148">
        <v>37</v>
      </c>
      <c r="I2148" t="s">
        <v>9306</v>
      </c>
      <c r="J2148" t="str">
        <f t="shared" si="33"/>
        <v>13F-HR-.37.C11</v>
      </c>
      <c r="K2148" s="5" t="s">
        <v>8643</v>
      </c>
      <c r="L2148" t="s">
        <v>241</v>
      </c>
      <c r="M2148" t="s">
        <v>8644</v>
      </c>
      <c r="N2148" t="s">
        <v>8645</v>
      </c>
      <c r="Q2148" s="28">
        <v>0</v>
      </c>
    </row>
    <row r="2149" spans="1:17" x14ac:dyDescent="0.35">
      <c r="A2149" t="s">
        <v>8520</v>
      </c>
      <c r="B2149" s="3" t="s">
        <v>102</v>
      </c>
      <c r="G2149" t="s">
        <v>8607</v>
      </c>
      <c r="H2149">
        <v>38</v>
      </c>
      <c r="I2149" t="s">
        <v>9307</v>
      </c>
      <c r="J2149" t="str">
        <f t="shared" si="33"/>
        <v>13F-HR-.38.C12</v>
      </c>
      <c r="K2149" s="5" t="s">
        <v>8646</v>
      </c>
      <c r="L2149" t="s">
        <v>241</v>
      </c>
      <c r="M2149" t="s">
        <v>8647</v>
      </c>
      <c r="N2149" t="s">
        <v>8648</v>
      </c>
      <c r="Q2149" s="28">
        <v>70658</v>
      </c>
    </row>
    <row r="2150" spans="1:17" x14ac:dyDescent="0.35">
      <c r="A2150" t="s">
        <v>8520</v>
      </c>
      <c r="B2150" s="3" t="s">
        <v>102</v>
      </c>
      <c r="G2150" t="s">
        <v>8607</v>
      </c>
      <c r="H2150">
        <v>27</v>
      </c>
      <c r="I2150" t="s">
        <v>9296</v>
      </c>
      <c r="J2150" t="str">
        <f t="shared" si="33"/>
        <v>13F-HR-.27.C1</v>
      </c>
      <c r="K2150" s="5" t="s">
        <v>8608</v>
      </c>
      <c r="L2150" t="s">
        <v>229</v>
      </c>
      <c r="M2150" t="s">
        <v>8609</v>
      </c>
      <c r="N2150" t="s">
        <v>8610</v>
      </c>
      <c r="Q2150" s="28" t="s">
        <v>8929</v>
      </c>
    </row>
    <row r="2151" spans="1:17" x14ac:dyDescent="0.35">
      <c r="A2151" t="s">
        <v>8520</v>
      </c>
      <c r="B2151" s="3" t="s">
        <v>102</v>
      </c>
      <c r="G2151" t="s">
        <v>8607</v>
      </c>
      <c r="H2151">
        <v>28</v>
      </c>
      <c r="I2151" t="s">
        <v>9297</v>
      </c>
      <c r="J2151" t="str">
        <f t="shared" si="33"/>
        <v>13F-HR-.28.C2</v>
      </c>
      <c r="K2151" s="5" t="s">
        <v>8612</v>
      </c>
      <c r="L2151" t="s">
        <v>229</v>
      </c>
      <c r="M2151" t="s">
        <v>8613</v>
      </c>
      <c r="N2151" t="s">
        <v>8614</v>
      </c>
      <c r="Q2151" s="28" t="s">
        <v>8706</v>
      </c>
    </row>
    <row r="2152" spans="1:17" x14ac:dyDescent="0.35">
      <c r="A2152" t="s">
        <v>8520</v>
      </c>
      <c r="B2152" s="3" t="s">
        <v>102</v>
      </c>
      <c r="G2152" t="s">
        <v>8607</v>
      </c>
      <c r="H2152">
        <v>29</v>
      </c>
      <c r="I2152" t="s">
        <v>9298</v>
      </c>
      <c r="J2152" t="str">
        <f t="shared" si="33"/>
        <v>13F-HR-.29.C3</v>
      </c>
      <c r="K2152" s="5" t="s">
        <v>8616</v>
      </c>
      <c r="L2152" t="s">
        <v>229</v>
      </c>
      <c r="M2152" t="s">
        <v>7927</v>
      </c>
      <c r="N2152" t="s">
        <v>8617</v>
      </c>
      <c r="Q2152" s="28">
        <v>609207105</v>
      </c>
    </row>
    <row r="2153" spans="1:17" x14ac:dyDescent="0.35">
      <c r="A2153" t="s">
        <v>8520</v>
      </c>
      <c r="B2153" s="3" t="s">
        <v>102</v>
      </c>
      <c r="G2153" t="s">
        <v>8607</v>
      </c>
      <c r="H2153">
        <v>30</v>
      </c>
      <c r="I2153" t="s">
        <v>9299</v>
      </c>
      <c r="J2153" t="str">
        <f t="shared" si="33"/>
        <v>13F-HR-.30.C4</v>
      </c>
      <c r="K2153" s="5" t="s">
        <v>8618</v>
      </c>
      <c r="L2153" t="s">
        <v>8619</v>
      </c>
      <c r="M2153" t="s">
        <v>8620</v>
      </c>
      <c r="N2153" t="s">
        <v>8621</v>
      </c>
      <c r="Q2153" s="28">
        <v>40727437</v>
      </c>
    </row>
    <row r="2154" spans="1:17" x14ac:dyDescent="0.35">
      <c r="A2154" t="s">
        <v>8520</v>
      </c>
      <c r="B2154" s="3" t="s">
        <v>102</v>
      </c>
      <c r="G2154" t="s">
        <v>8607</v>
      </c>
      <c r="H2154">
        <v>31</v>
      </c>
      <c r="I2154" t="s">
        <v>9300</v>
      </c>
      <c r="J2154" t="str">
        <f t="shared" si="33"/>
        <v>13F-HR-.31.C5</v>
      </c>
      <c r="K2154" s="5" t="s">
        <v>8622</v>
      </c>
      <c r="L2154" t="s">
        <v>241</v>
      </c>
      <c r="M2154" t="s">
        <v>8623</v>
      </c>
      <c r="N2154" t="s">
        <v>8624</v>
      </c>
      <c r="Q2154" s="28">
        <v>600257</v>
      </c>
    </row>
    <row r="2155" spans="1:17" x14ac:dyDescent="0.35">
      <c r="A2155" t="s">
        <v>8520</v>
      </c>
      <c r="B2155" s="3" t="s">
        <v>102</v>
      </c>
      <c r="G2155" t="s">
        <v>8607</v>
      </c>
      <c r="H2155">
        <v>32</v>
      </c>
      <c r="I2155" t="s">
        <v>9301</v>
      </c>
      <c r="J2155" t="str">
        <f t="shared" si="33"/>
        <v>13F-HR-.32.C6</v>
      </c>
      <c r="K2155" s="5" t="s">
        <v>8625</v>
      </c>
      <c r="L2155" t="s">
        <v>229</v>
      </c>
      <c r="M2155" t="s">
        <v>8626</v>
      </c>
      <c r="N2155" t="s">
        <v>8627</v>
      </c>
      <c r="Q2155" s="28" t="s">
        <v>8628</v>
      </c>
    </row>
    <row r="2156" spans="1:17" x14ac:dyDescent="0.35">
      <c r="A2156" t="s">
        <v>8520</v>
      </c>
      <c r="B2156" s="3" t="s">
        <v>102</v>
      </c>
      <c r="G2156" t="s">
        <v>8607</v>
      </c>
      <c r="H2156">
        <v>33</v>
      </c>
      <c r="I2156" t="s">
        <v>9302</v>
      </c>
      <c r="J2156" t="str">
        <f t="shared" si="33"/>
        <v>13F-HR-.33.C7</v>
      </c>
      <c r="K2156" s="5" t="s">
        <v>8629</v>
      </c>
      <c r="L2156" t="s">
        <v>229</v>
      </c>
      <c r="M2156" t="s">
        <v>8630</v>
      </c>
      <c r="N2156" t="s">
        <v>8631</v>
      </c>
      <c r="Q2156" s="28" t="s">
        <v>8685</v>
      </c>
    </row>
    <row r="2157" spans="1:17" x14ac:dyDescent="0.35">
      <c r="A2157" t="s">
        <v>8520</v>
      </c>
      <c r="B2157" s="3" t="s">
        <v>102</v>
      </c>
      <c r="G2157" t="s">
        <v>8607</v>
      </c>
      <c r="H2157">
        <v>34</v>
      </c>
      <c r="I2157" t="s">
        <v>9303</v>
      </c>
      <c r="J2157" t="str">
        <f t="shared" si="33"/>
        <v>13F-HR-.34.C8</v>
      </c>
      <c r="K2157" s="5" t="s">
        <v>8633</v>
      </c>
      <c r="L2157" t="s">
        <v>4735</v>
      </c>
      <c r="M2157" t="s">
        <v>8634</v>
      </c>
      <c r="N2157" t="s">
        <v>8635</v>
      </c>
      <c r="Q2157" s="28" t="s">
        <v>8632</v>
      </c>
    </row>
    <row r="2158" spans="1:17" x14ac:dyDescent="0.35">
      <c r="A2158" t="s">
        <v>8651</v>
      </c>
      <c r="B2158" s="3" t="s">
        <v>102</v>
      </c>
      <c r="G2158" t="s">
        <v>8607</v>
      </c>
      <c r="H2158">
        <v>35</v>
      </c>
      <c r="I2158" t="s">
        <v>9304</v>
      </c>
      <c r="J2158" t="str">
        <f t="shared" si="33"/>
        <v>135-HR-.35.C9</v>
      </c>
      <c r="K2158" s="5" t="s">
        <v>8637</v>
      </c>
      <c r="L2158" t="s">
        <v>229</v>
      </c>
      <c r="M2158" t="s">
        <v>8638</v>
      </c>
      <c r="N2158" t="s">
        <v>8639</v>
      </c>
      <c r="Q2158" s="28" t="s">
        <v>8636</v>
      </c>
    </row>
    <row r="2159" spans="1:17" x14ac:dyDescent="0.35">
      <c r="A2159" t="s">
        <v>8520</v>
      </c>
      <c r="B2159" s="3" t="s">
        <v>102</v>
      </c>
      <c r="G2159" t="s">
        <v>8607</v>
      </c>
      <c r="H2159">
        <v>36</v>
      </c>
      <c r="I2159" t="s">
        <v>9305</v>
      </c>
      <c r="J2159" t="str">
        <f t="shared" si="33"/>
        <v>13F-HR-.36.C10</v>
      </c>
      <c r="K2159" s="5" t="s">
        <v>8640</v>
      </c>
      <c r="L2159" t="s">
        <v>241</v>
      </c>
      <c r="M2159" t="s">
        <v>8641</v>
      </c>
      <c r="N2159" t="s">
        <v>8642</v>
      </c>
      <c r="Q2159" s="28">
        <v>493890</v>
      </c>
    </row>
    <row r="2160" spans="1:17" x14ac:dyDescent="0.35">
      <c r="A2160" t="s">
        <v>8520</v>
      </c>
      <c r="B2160" s="3" t="s">
        <v>102</v>
      </c>
      <c r="G2160" t="s">
        <v>8607</v>
      </c>
      <c r="H2160">
        <v>37</v>
      </c>
      <c r="I2160" t="s">
        <v>9306</v>
      </c>
      <c r="J2160" t="str">
        <f t="shared" si="33"/>
        <v>13F-HR-.37.C11</v>
      </c>
      <c r="K2160" s="5" t="s">
        <v>8643</v>
      </c>
      <c r="L2160" t="s">
        <v>241</v>
      </c>
      <c r="M2160" t="s">
        <v>8644</v>
      </c>
      <c r="N2160" t="s">
        <v>8645</v>
      </c>
      <c r="Q2160" s="28">
        <v>0</v>
      </c>
    </row>
    <row r="2161" spans="1:17" x14ac:dyDescent="0.35">
      <c r="A2161" t="s">
        <v>8520</v>
      </c>
      <c r="B2161" s="3" t="s">
        <v>102</v>
      </c>
      <c r="G2161" t="s">
        <v>8607</v>
      </c>
      <c r="H2161">
        <v>38</v>
      </c>
      <c r="I2161" t="s">
        <v>9307</v>
      </c>
      <c r="J2161" t="str">
        <f t="shared" si="33"/>
        <v>13F-HR-.38.C12</v>
      </c>
      <c r="K2161" s="5" t="s">
        <v>8646</v>
      </c>
      <c r="L2161" t="s">
        <v>241</v>
      </c>
      <c r="M2161" t="s">
        <v>8647</v>
      </c>
      <c r="N2161" t="s">
        <v>8648</v>
      </c>
      <c r="Q2161" s="28">
        <v>106367</v>
      </c>
    </row>
    <row r="2162" spans="1:17" x14ac:dyDescent="0.35">
      <c r="A2162" t="s">
        <v>8520</v>
      </c>
      <c r="B2162" s="3" t="s">
        <v>102</v>
      </c>
      <c r="G2162" t="s">
        <v>8607</v>
      </c>
      <c r="H2162">
        <v>27</v>
      </c>
      <c r="I2162" t="s">
        <v>9296</v>
      </c>
      <c r="J2162" t="str">
        <f t="shared" si="33"/>
        <v>13F-HR-.27.C1</v>
      </c>
      <c r="K2162" s="5" t="s">
        <v>8608</v>
      </c>
      <c r="L2162" t="s">
        <v>229</v>
      </c>
      <c r="M2162" t="s">
        <v>8609</v>
      </c>
      <c r="N2162" t="s">
        <v>8610</v>
      </c>
      <c r="Q2162" s="28" t="s">
        <v>8930</v>
      </c>
    </row>
    <row r="2163" spans="1:17" x14ac:dyDescent="0.35">
      <c r="A2163" t="s">
        <v>8520</v>
      </c>
      <c r="B2163" s="3" t="s">
        <v>102</v>
      </c>
      <c r="G2163" t="s">
        <v>8607</v>
      </c>
      <c r="H2163">
        <v>28</v>
      </c>
      <c r="I2163" t="s">
        <v>9297</v>
      </c>
      <c r="J2163" t="str">
        <f t="shared" si="33"/>
        <v>13F-HR-.28.C2</v>
      </c>
      <c r="K2163" s="5" t="s">
        <v>8612</v>
      </c>
      <c r="L2163" t="s">
        <v>229</v>
      </c>
      <c r="M2163" t="s">
        <v>8613</v>
      </c>
      <c r="N2163" t="s">
        <v>8614</v>
      </c>
      <c r="Q2163" s="28" t="s">
        <v>8615</v>
      </c>
    </row>
    <row r="2164" spans="1:17" x14ac:dyDescent="0.35">
      <c r="A2164" t="s">
        <v>8520</v>
      </c>
      <c r="B2164" s="3" t="s">
        <v>102</v>
      </c>
      <c r="G2164" t="s">
        <v>8607</v>
      </c>
      <c r="H2164">
        <v>29</v>
      </c>
      <c r="I2164" t="s">
        <v>9298</v>
      </c>
      <c r="J2164" t="str">
        <f t="shared" si="33"/>
        <v>13F-HR-.29.C3</v>
      </c>
      <c r="K2164" s="5" t="s">
        <v>8616</v>
      </c>
      <c r="L2164" t="s">
        <v>229</v>
      </c>
      <c r="M2164" t="s">
        <v>7927</v>
      </c>
      <c r="N2164" t="s">
        <v>8617</v>
      </c>
      <c r="Q2164" s="28" t="s">
        <v>8931</v>
      </c>
    </row>
    <row r="2165" spans="1:17" x14ac:dyDescent="0.35">
      <c r="A2165" t="s">
        <v>8520</v>
      </c>
      <c r="B2165" s="3" t="s">
        <v>102</v>
      </c>
      <c r="G2165" t="s">
        <v>8607</v>
      </c>
      <c r="H2165">
        <v>30</v>
      </c>
      <c r="I2165" t="s">
        <v>9299</v>
      </c>
      <c r="J2165" t="str">
        <f t="shared" si="33"/>
        <v>13F-HR-.30.C4</v>
      </c>
      <c r="K2165" s="5" t="s">
        <v>8618</v>
      </c>
      <c r="L2165" t="s">
        <v>8619</v>
      </c>
      <c r="M2165" t="s">
        <v>8620</v>
      </c>
      <c r="N2165" t="s">
        <v>8621</v>
      </c>
      <c r="Q2165" s="28">
        <v>9788406</v>
      </c>
    </row>
    <row r="2166" spans="1:17" x14ac:dyDescent="0.35">
      <c r="A2166" t="s">
        <v>8520</v>
      </c>
      <c r="B2166" s="3" t="s">
        <v>102</v>
      </c>
      <c r="G2166" t="s">
        <v>8607</v>
      </c>
      <c r="H2166">
        <v>31</v>
      </c>
      <c r="I2166" t="s">
        <v>9300</v>
      </c>
      <c r="J2166" t="str">
        <f t="shared" si="33"/>
        <v>13F-HR-.31.C5</v>
      </c>
      <c r="K2166" s="5" t="s">
        <v>8622</v>
      </c>
      <c r="L2166" t="s">
        <v>241</v>
      </c>
      <c r="M2166" t="s">
        <v>8623</v>
      </c>
      <c r="N2166" t="s">
        <v>8624</v>
      </c>
      <c r="Q2166" s="28">
        <v>167266</v>
      </c>
    </row>
    <row r="2167" spans="1:17" x14ac:dyDescent="0.35">
      <c r="A2167" t="s">
        <v>8520</v>
      </c>
      <c r="B2167" s="3" t="s">
        <v>102</v>
      </c>
      <c r="G2167" t="s">
        <v>8607</v>
      </c>
      <c r="H2167">
        <v>32</v>
      </c>
      <c r="I2167" t="s">
        <v>9301</v>
      </c>
      <c r="J2167" t="str">
        <f t="shared" si="33"/>
        <v>13F-HR-.32.C6</v>
      </c>
      <c r="K2167" s="5" t="s">
        <v>8625</v>
      </c>
      <c r="L2167" t="s">
        <v>229</v>
      </c>
      <c r="M2167" t="s">
        <v>8626</v>
      </c>
      <c r="N2167" t="s">
        <v>8627</v>
      </c>
      <c r="Q2167" s="28" t="s">
        <v>8628</v>
      </c>
    </row>
    <row r="2168" spans="1:17" x14ac:dyDescent="0.35">
      <c r="A2168" t="s">
        <v>8520</v>
      </c>
      <c r="B2168" s="3" t="s">
        <v>102</v>
      </c>
      <c r="G2168" t="s">
        <v>8607</v>
      </c>
      <c r="H2168">
        <v>33</v>
      </c>
      <c r="I2168" t="s">
        <v>9302</v>
      </c>
      <c r="J2168" t="str">
        <f t="shared" si="33"/>
        <v>13F-HR-.33.C7</v>
      </c>
      <c r="K2168" s="5" t="s">
        <v>8629</v>
      </c>
      <c r="L2168" t="s">
        <v>229</v>
      </c>
      <c r="M2168" t="s">
        <v>8630</v>
      </c>
      <c r="N2168" t="s">
        <v>8631</v>
      </c>
      <c r="Q2168" s="28" t="s">
        <v>8685</v>
      </c>
    </row>
    <row r="2169" spans="1:17" x14ac:dyDescent="0.35">
      <c r="A2169" t="s">
        <v>8520</v>
      </c>
      <c r="B2169" s="3" t="s">
        <v>102</v>
      </c>
      <c r="G2169" t="s">
        <v>8607</v>
      </c>
      <c r="H2169">
        <v>34</v>
      </c>
      <c r="I2169" t="s">
        <v>9303</v>
      </c>
      <c r="J2169" t="str">
        <f t="shared" si="33"/>
        <v>13F-HR-.34.C8</v>
      </c>
      <c r="K2169" s="5" t="s">
        <v>8633</v>
      </c>
      <c r="L2169" t="s">
        <v>4735</v>
      </c>
      <c r="M2169" t="s">
        <v>8634</v>
      </c>
      <c r="N2169" t="s">
        <v>8635</v>
      </c>
      <c r="Q2169" s="28" t="s">
        <v>8632</v>
      </c>
    </row>
    <row r="2170" spans="1:17" x14ac:dyDescent="0.35">
      <c r="A2170" t="s">
        <v>8651</v>
      </c>
      <c r="B2170" s="3" t="s">
        <v>102</v>
      </c>
      <c r="G2170" t="s">
        <v>8607</v>
      </c>
      <c r="H2170">
        <v>35</v>
      </c>
      <c r="I2170" t="s">
        <v>9304</v>
      </c>
      <c r="J2170" t="str">
        <f t="shared" si="33"/>
        <v>135-HR-.35.C9</v>
      </c>
      <c r="K2170" s="5" t="s">
        <v>8637</v>
      </c>
      <c r="L2170" t="s">
        <v>229</v>
      </c>
      <c r="M2170" t="s">
        <v>8638</v>
      </c>
      <c r="N2170" t="s">
        <v>8639</v>
      </c>
      <c r="Q2170" s="28" t="s">
        <v>8636</v>
      </c>
    </row>
    <row r="2171" spans="1:17" x14ac:dyDescent="0.35">
      <c r="A2171" t="s">
        <v>8520</v>
      </c>
      <c r="B2171" s="3" t="s">
        <v>102</v>
      </c>
      <c r="G2171" t="s">
        <v>8607</v>
      </c>
      <c r="H2171">
        <v>36</v>
      </c>
      <c r="I2171" t="s">
        <v>9305</v>
      </c>
      <c r="J2171" t="str">
        <f t="shared" si="33"/>
        <v>13F-HR-.36.C10</v>
      </c>
      <c r="K2171" s="5" t="s">
        <v>8640</v>
      </c>
      <c r="L2171" t="s">
        <v>241</v>
      </c>
      <c r="M2171" t="s">
        <v>8641</v>
      </c>
      <c r="N2171" t="s">
        <v>8642</v>
      </c>
      <c r="Q2171" s="28">
        <v>162668</v>
      </c>
    </row>
    <row r="2172" spans="1:17" x14ac:dyDescent="0.35">
      <c r="A2172" t="s">
        <v>8520</v>
      </c>
      <c r="B2172" s="3" t="s">
        <v>102</v>
      </c>
      <c r="G2172" t="s">
        <v>8607</v>
      </c>
      <c r="H2172">
        <v>37</v>
      </c>
      <c r="I2172" t="s">
        <v>9306</v>
      </c>
      <c r="J2172" t="str">
        <f t="shared" si="33"/>
        <v>13F-HR-.37.C11</v>
      </c>
      <c r="K2172" s="5" t="s">
        <v>8643</v>
      </c>
      <c r="L2172" t="s">
        <v>241</v>
      </c>
      <c r="M2172" t="s">
        <v>8644</v>
      </c>
      <c r="N2172" t="s">
        <v>8645</v>
      </c>
      <c r="Q2172" s="28">
        <v>0</v>
      </c>
    </row>
    <row r="2173" spans="1:17" x14ac:dyDescent="0.35">
      <c r="A2173" t="s">
        <v>8520</v>
      </c>
      <c r="B2173" s="3" t="s">
        <v>102</v>
      </c>
      <c r="G2173" t="s">
        <v>8607</v>
      </c>
      <c r="H2173">
        <v>38</v>
      </c>
      <c r="I2173" t="s">
        <v>9307</v>
      </c>
      <c r="J2173" t="str">
        <f t="shared" si="33"/>
        <v>13F-HR-.38.C12</v>
      </c>
      <c r="K2173" s="5" t="s">
        <v>8646</v>
      </c>
      <c r="L2173" t="s">
        <v>241</v>
      </c>
      <c r="M2173" t="s">
        <v>8647</v>
      </c>
      <c r="N2173" t="s">
        <v>8648</v>
      </c>
      <c r="Q2173" s="28">
        <v>4598</v>
      </c>
    </row>
    <row r="2174" spans="1:17" x14ac:dyDescent="0.35">
      <c r="A2174" t="s">
        <v>8520</v>
      </c>
      <c r="B2174" s="3" t="s">
        <v>102</v>
      </c>
      <c r="G2174" t="s">
        <v>8607</v>
      </c>
      <c r="H2174">
        <v>27</v>
      </c>
      <c r="I2174" t="s">
        <v>9296</v>
      </c>
      <c r="J2174" t="str">
        <f t="shared" si="33"/>
        <v>13F-HR-.27.C1</v>
      </c>
      <c r="K2174" s="5" t="s">
        <v>8608</v>
      </c>
      <c r="L2174" t="s">
        <v>229</v>
      </c>
      <c r="M2174" t="s">
        <v>8609</v>
      </c>
      <c r="N2174" t="s">
        <v>8610</v>
      </c>
      <c r="Q2174" s="28" t="s">
        <v>8932</v>
      </c>
    </row>
    <row r="2175" spans="1:17" x14ac:dyDescent="0.35">
      <c r="A2175" t="s">
        <v>8520</v>
      </c>
      <c r="B2175" s="3" t="s">
        <v>102</v>
      </c>
      <c r="G2175" t="s">
        <v>8607</v>
      </c>
      <c r="H2175">
        <v>28</v>
      </c>
      <c r="I2175" t="s">
        <v>9297</v>
      </c>
      <c r="J2175" t="str">
        <f t="shared" si="33"/>
        <v>13F-HR-.28.C2</v>
      </c>
      <c r="K2175" s="5" t="s">
        <v>8612</v>
      </c>
      <c r="L2175" t="s">
        <v>229</v>
      </c>
      <c r="M2175" t="s">
        <v>8613</v>
      </c>
      <c r="N2175" t="s">
        <v>8614</v>
      </c>
      <c r="Q2175" s="28" t="s">
        <v>8768</v>
      </c>
    </row>
    <row r="2176" spans="1:17" x14ac:dyDescent="0.35">
      <c r="A2176" t="s">
        <v>8520</v>
      </c>
      <c r="B2176" s="3" t="s">
        <v>102</v>
      </c>
      <c r="G2176" t="s">
        <v>8607</v>
      </c>
      <c r="H2176">
        <v>29</v>
      </c>
      <c r="I2176" t="s">
        <v>9298</v>
      </c>
      <c r="J2176" t="str">
        <f t="shared" si="33"/>
        <v>13F-HR-.29.C3</v>
      </c>
      <c r="K2176" s="5" t="s">
        <v>8616</v>
      </c>
      <c r="L2176" t="s">
        <v>229</v>
      </c>
      <c r="M2176" t="s">
        <v>7927</v>
      </c>
      <c r="N2176" t="s">
        <v>8617</v>
      </c>
      <c r="Q2176" s="28">
        <v>617446448</v>
      </c>
    </row>
    <row r="2177" spans="1:17" x14ac:dyDescent="0.35">
      <c r="A2177" t="s">
        <v>8520</v>
      </c>
      <c r="B2177" s="3" t="s">
        <v>102</v>
      </c>
      <c r="G2177" t="s">
        <v>8607</v>
      </c>
      <c r="H2177">
        <v>30</v>
      </c>
      <c r="I2177" t="s">
        <v>9299</v>
      </c>
      <c r="J2177" t="str">
        <f t="shared" si="33"/>
        <v>13F-HR-.30.C4</v>
      </c>
      <c r="K2177" s="5" t="s">
        <v>8618</v>
      </c>
      <c r="L2177" t="s">
        <v>8619</v>
      </c>
      <c r="M2177" t="s">
        <v>8620</v>
      </c>
      <c r="N2177" t="s">
        <v>8621</v>
      </c>
      <c r="Q2177" s="28">
        <v>17641904</v>
      </c>
    </row>
    <row r="2178" spans="1:17" x14ac:dyDescent="0.35">
      <c r="A2178" t="s">
        <v>8520</v>
      </c>
      <c r="B2178" s="3" t="s">
        <v>102</v>
      </c>
      <c r="G2178" t="s">
        <v>8607</v>
      </c>
      <c r="H2178">
        <v>31</v>
      </c>
      <c r="I2178" t="s">
        <v>9300</v>
      </c>
      <c r="J2178" t="str">
        <f t="shared" si="33"/>
        <v>13F-HR-.31.C5</v>
      </c>
      <c r="K2178" s="5" t="s">
        <v>8622</v>
      </c>
      <c r="L2178" t="s">
        <v>241</v>
      </c>
      <c r="M2178" t="s">
        <v>8623</v>
      </c>
      <c r="N2178" t="s">
        <v>8624</v>
      </c>
      <c r="Q2178" s="28">
        <v>151212</v>
      </c>
    </row>
    <row r="2179" spans="1:17" x14ac:dyDescent="0.35">
      <c r="A2179" t="s">
        <v>8520</v>
      </c>
      <c r="B2179" s="3" t="s">
        <v>102</v>
      </c>
      <c r="G2179" t="s">
        <v>8607</v>
      </c>
      <c r="H2179">
        <v>32</v>
      </c>
      <c r="I2179" t="s">
        <v>9301</v>
      </c>
      <c r="J2179" t="str">
        <f t="shared" ref="J2179:J2242" si="34">_xlfn.CONCAT(A2179,"-",F2179,".",H2179,".",I2179)</f>
        <v>13F-HR-.32.C6</v>
      </c>
      <c r="K2179" s="5" t="s">
        <v>8625</v>
      </c>
      <c r="L2179" t="s">
        <v>229</v>
      </c>
      <c r="M2179" t="s">
        <v>8626</v>
      </c>
      <c r="N2179" t="s">
        <v>8627</v>
      </c>
      <c r="Q2179" s="28" t="s">
        <v>8628</v>
      </c>
    </row>
    <row r="2180" spans="1:17" x14ac:dyDescent="0.35">
      <c r="A2180" t="s">
        <v>8520</v>
      </c>
      <c r="B2180" s="3" t="s">
        <v>102</v>
      </c>
      <c r="G2180" t="s">
        <v>8607</v>
      </c>
      <c r="H2180">
        <v>33</v>
      </c>
      <c r="I2180" t="s">
        <v>9302</v>
      </c>
      <c r="J2180" t="str">
        <f t="shared" si="34"/>
        <v>13F-HR-.33.C7</v>
      </c>
      <c r="K2180" s="5" t="s">
        <v>8629</v>
      </c>
      <c r="L2180" t="s">
        <v>229</v>
      </c>
      <c r="M2180" t="s">
        <v>8630</v>
      </c>
      <c r="N2180" t="s">
        <v>8631</v>
      </c>
      <c r="Q2180" s="28" t="s">
        <v>8685</v>
      </c>
    </row>
    <row r="2181" spans="1:17" x14ac:dyDescent="0.35">
      <c r="A2181" t="s">
        <v>8520</v>
      </c>
      <c r="B2181" s="3" t="s">
        <v>102</v>
      </c>
      <c r="G2181" t="s">
        <v>8607</v>
      </c>
      <c r="H2181">
        <v>34</v>
      </c>
      <c r="I2181" t="s">
        <v>9303</v>
      </c>
      <c r="J2181" t="str">
        <f t="shared" si="34"/>
        <v>13F-HR-.34.C8</v>
      </c>
      <c r="K2181" s="5" t="s">
        <v>8633</v>
      </c>
      <c r="L2181" t="s">
        <v>4735</v>
      </c>
      <c r="M2181" t="s">
        <v>8634</v>
      </c>
      <c r="N2181" t="s">
        <v>8635</v>
      </c>
      <c r="Q2181" s="28" t="s">
        <v>8632</v>
      </c>
    </row>
    <row r="2182" spans="1:17" x14ac:dyDescent="0.35">
      <c r="A2182" t="s">
        <v>8651</v>
      </c>
      <c r="B2182" s="3" t="s">
        <v>102</v>
      </c>
      <c r="G2182" t="s">
        <v>8607</v>
      </c>
      <c r="H2182">
        <v>35</v>
      </c>
      <c r="I2182" t="s">
        <v>9304</v>
      </c>
      <c r="J2182" t="str">
        <f t="shared" si="34"/>
        <v>135-HR-.35.C9</v>
      </c>
      <c r="K2182" s="5" t="s">
        <v>8637</v>
      </c>
      <c r="L2182" t="s">
        <v>229</v>
      </c>
      <c r="M2182" t="s">
        <v>8638</v>
      </c>
      <c r="N2182" t="s">
        <v>8639</v>
      </c>
      <c r="Q2182" s="28" t="s">
        <v>8636</v>
      </c>
    </row>
    <row r="2183" spans="1:17" x14ac:dyDescent="0.35">
      <c r="A2183" t="s">
        <v>8520</v>
      </c>
      <c r="B2183" s="3" t="s">
        <v>102</v>
      </c>
      <c r="G2183" t="s">
        <v>8607</v>
      </c>
      <c r="H2183">
        <v>36</v>
      </c>
      <c r="I2183" t="s">
        <v>9305</v>
      </c>
      <c r="J2183" t="str">
        <f t="shared" si="34"/>
        <v>13F-HR-.36.C10</v>
      </c>
      <c r="K2183" s="5" t="s">
        <v>8640</v>
      </c>
      <c r="L2183" t="s">
        <v>241</v>
      </c>
      <c r="M2183" t="s">
        <v>8641</v>
      </c>
      <c r="N2183" t="s">
        <v>8642</v>
      </c>
      <c r="Q2183" s="28">
        <v>27914</v>
      </c>
    </row>
    <row r="2184" spans="1:17" x14ac:dyDescent="0.35">
      <c r="A2184" t="s">
        <v>8520</v>
      </c>
      <c r="B2184" s="3" t="s">
        <v>102</v>
      </c>
      <c r="G2184" t="s">
        <v>8607</v>
      </c>
      <c r="H2184">
        <v>37</v>
      </c>
      <c r="I2184" t="s">
        <v>9306</v>
      </c>
      <c r="J2184" t="str">
        <f t="shared" si="34"/>
        <v>13F-HR-.37.C11</v>
      </c>
      <c r="K2184" s="5" t="s">
        <v>8643</v>
      </c>
      <c r="L2184" t="s">
        <v>241</v>
      </c>
      <c r="M2184" t="s">
        <v>8644</v>
      </c>
      <c r="N2184" t="s">
        <v>8645</v>
      </c>
      <c r="Q2184" s="28">
        <v>0</v>
      </c>
    </row>
    <row r="2185" spans="1:17" x14ac:dyDescent="0.35">
      <c r="A2185" t="s">
        <v>8520</v>
      </c>
      <c r="B2185" s="3" t="s">
        <v>102</v>
      </c>
      <c r="G2185" t="s">
        <v>8607</v>
      </c>
      <c r="H2185">
        <v>38</v>
      </c>
      <c r="I2185" t="s">
        <v>9307</v>
      </c>
      <c r="J2185" t="str">
        <f t="shared" si="34"/>
        <v>13F-HR-.38.C12</v>
      </c>
      <c r="K2185" s="5" t="s">
        <v>8646</v>
      </c>
      <c r="L2185" t="s">
        <v>241</v>
      </c>
      <c r="M2185" t="s">
        <v>8647</v>
      </c>
      <c r="N2185" t="s">
        <v>8648</v>
      </c>
      <c r="Q2185" s="28">
        <v>123298</v>
      </c>
    </row>
    <row r="2186" spans="1:17" x14ac:dyDescent="0.35">
      <c r="A2186" t="s">
        <v>8520</v>
      </c>
      <c r="B2186" s="3" t="s">
        <v>102</v>
      </c>
      <c r="G2186" t="s">
        <v>8607</v>
      </c>
      <c r="H2186">
        <v>27</v>
      </c>
      <c r="I2186" t="s">
        <v>9296</v>
      </c>
      <c r="J2186" t="str">
        <f t="shared" si="34"/>
        <v>13F-HR-.27.C1</v>
      </c>
      <c r="K2186" t="s">
        <v>8608</v>
      </c>
      <c r="L2186" t="s">
        <v>229</v>
      </c>
      <c r="M2186" t="s">
        <v>8609</v>
      </c>
      <c r="N2186" t="s">
        <v>8610</v>
      </c>
      <c r="Q2186" s="28" t="s">
        <v>8933</v>
      </c>
    </row>
    <row r="2187" spans="1:17" x14ac:dyDescent="0.35">
      <c r="A2187" t="s">
        <v>8520</v>
      </c>
      <c r="B2187" s="3" t="s">
        <v>102</v>
      </c>
      <c r="G2187" t="s">
        <v>8607</v>
      </c>
      <c r="H2187">
        <v>28</v>
      </c>
      <c r="I2187" t="s">
        <v>9297</v>
      </c>
      <c r="J2187" t="str">
        <f t="shared" si="34"/>
        <v>13F-HR-.28.C2</v>
      </c>
      <c r="K2187" t="s">
        <v>8612</v>
      </c>
      <c r="L2187" t="s">
        <v>229</v>
      </c>
      <c r="M2187" t="s">
        <v>8613</v>
      </c>
      <c r="N2187" t="s">
        <v>8614</v>
      </c>
      <c r="Q2187" s="28" t="s">
        <v>8768</v>
      </c>
    </row>
    <row r="2188" spans="1:17" x14ac:dyDescent="0.35">
      <c r="A2188" t="s">
        <v>8520</v>
      </c>
      <c r="B2188" s="3" t="s">
        <v>102</v>
      </c>
      <c r="G2188" t="s">
        <v>8607</v>
      </c>
      <c r="H2188">
        <v>29</v>
      </c>
      <c r="I2188" t="s">
        <v>9298</v>
      </c>
      <c r="J2188" t="str">
        <f t="shared" si="34"/>
        <v>13F-HR-.29.C3</v>
      </c>
      <c r="K2188" t="s">
        <v>8616</v>
      </c>
      <c r="L2188" t="s">
        <v>229</v>
      </c>
      <c r="M2188" t="s">
        <v>7927</v>
      </c>
      <c r="N2188" t="s">
        <v>8617</v>
      </c>
      <c r="Q2188" s="28">
        <v>620076307</v>
      </c>
    </row>
    <row r="2189" spans="1:17" x14ac:dyDescent="0.35">
      <c r="A2189" t="s">
        <v>8520</v>
      </c>
      <c r="B2189" s="3" t="s">
        <v>102</v>
      </c>
      <c r="G2189" t="s">
        <v>8607</v>
      </c>
      <c r="H2189">
        <v>30</v>
      </c>
      <c r="I2189" t="s">
        <v>9299</v>
      </c>
      <c r="J2189" t="str">
        <f t="shared" si="34"/>
        <v>13F-HR-.30.C4</v>
      </c>
      <c r="K2189" t="s">
        <v>8618</v>
      </c>
      <c r="L2189" t="s">
        <v>8619</v>
      </c>
      <c r="M2189" t="s">
        <v>8620</v>
      </c>
      <c r="N2189" t="s">
        <v>8621</v>
      </c>
      <c r="Q2189" s="28">
        <v>30969804</v>
      </c>
    </row>
    <row r="2190" spans="1:17" x14ac:dyDescent="0.35">
      <c r="A2190" t="s">
        <v>8520</v>
      </c>
      <c r="B2190" s="3" t="s">
        <v>102</v>
      </c>
      <c r="G2190" t="s">
        <v>8607</v>
      </c>
      <c r="H2190">
        <v>31</v>
      </c>
      <c r="I2190" t="s">
        <v>9300</v>
      </c>
      <c r="J2190" t="str">
        <f t="shared" si="34"/>
        <v>13F-HR-.31.C5</v>
      </c>
      <c r="K2190" t="s">
        <v>8622</v>
      </c>
      <c r="L2190" t="s">
        <v>241</v>
      </c>
      <c r="M2190" t="s">
        <v>8623</v>
      </c>
      <c r="N2190" t="s">
        <v>8624</v>
      </c>
      <c r="Q2190" s="28">
        <v>70738</v>
      </c>
    </row>
    <row r="2191" spans="1:17" x14ac:dyDescent="0.35">
      <c r="A2191" t="s">
        <v>8520</v>
      </c>
      <c r="B2191" s="3" t="s">
        <v>102</v>
      </c>
      <c r="G2191" t="s">
        <v>8607</v>
      </c>
      <c r="H2191">
        <v>32</v>
      </c>
      <c r="I2191" t="s">
        <v>9301</v>
      </c>
      <c r="J2191" t="str">
        <f t="shared" si="34"/>
        <v>13F-HR-.32.C6</v>
      </c>
      <c r="K2191" t="s">
        <v>8625</v>
      </c>
      <c r="L2191" t="s">
        <v>229</v>
      </c>
      <c r="M2191" t="s">
        <v>8626</v>
      </c>
      <c r="N2191" t="s">
        <v>8627</v>
      </c>
      <c r="Q2191" s="28" t="s">
        <v>8628</v>
      </c>
    </row>
    <row r="2192" spans="1:17" x14ac:dyDescent="0.35">
      <c r="A2192" t="s">
        <v>8520</v>
      </c>
      <c r="B2192" s="3" t="s">
        <v>102</v>
      </c>
      <c r="G2192" t="s">
        <v>8607</v>
      </c>
      <c r="H2192">
        <v>33</v>
      </c>
      <c r="I2192" t="s">
        <v>9302</v>
      </c>
      <c r="J2192" t="str">
        <f t="shared" si="34"/>
        <v>13F-HR-.33.C7</v>
      </c>
      <c r="K2192" t="s">
        <v>8629</v>
      </c>
      <c r="L2192" t="s">
        <v>229</v>
      </c>
      <c r="M2192" t="s">
        <v>8630</v>
      </c>
      <c r="N2192" t="s">
        <v>8631</v>
      </c>
      <c r="Q2192" s="28" t="s">
        <v>8685</v>
      </c>
    </row>
    <row r="2193" spans="1:17" x14ac:dyDescent="0.35">
      <c r="A2193" t="s">
        <v>8520</v>
      </c>
      <c r="B2193" s="3" t="s">
        <v>102</v>
      </c>
      <c r="G2193" t="s">
        <v>8607</v>
      </c>
      <c r="H2193">
        <v>34</v>
      </c>
      <c r="I2193" t="s">
        <v>9303</v>
      </c>
      <c r="J2193" t="str">
        <f t="shared" si="34"/>
        <v>13F-HR-.34.C8</v>
      </c>
      <c r="K2193" t="s">
        <v>8633</v>
      </c>
      <c r="L2193" t="s">
        <v>4735</v>
      </c>
      <c r="M2193" t="s">
        <v>8634</v>
      </c>
      <c r="N2193" t="s">
        <v>8635</v>
      </c>
      <c r="Q2193" s="28" t="s">
        <v>8632</v>
      </c>
    </row>
    <row r="2194" spans="1:17" x14ac:dyDescent="0.35">
      <c r="A2194" t="s">
        <v>8651</v>
      </c>
      <c r="B2194" s="3" t="s">
        <v>102</v>
      </c>
      <c r="G2194" t="s">
        <v>8607</v>
      </c>
      <c r="H2194">
        <v>35</v>
      </c>
      <c r="I2194" t="s">
        <v>9304</v>
      </c>
      <c r="J2194" t="str">
        <f t="shared" si="34"/>
        <v>135-HR-.35.C9</v>
      </c>
      <c r="K2194" t="s">
        <v>8637</v>
      </c>
      <c r="L2194" t="s">
        <v>229</v>
      </c>
      <c r="M2194" t="s">
        <v>8638</v>
      </c>
      <c r="N2194" t="s">
        <v>8639</v>
      </c>
      <c r="Q2194" s="28" t="s">
        <v>8636</v>
      </c>
    </row>
    <row r="2195" spans="1:17" x14ac:dyDescent="0.35">
      <c r="A2195" t="s">
        <v>8520</v>
      </c>
      <c r="B2195" s="3" t="s">
        <v>102</v>
      </c>
      <c r="G2195" t="s">
        <v>8607</v>
      </c>
      <c r="H2195">
        <v>36</v>
      </c>
      <c r="I2195" t="s">
        <v>9305</v>
      </c>
      <c r="J2195" t="str">
        <f t="shared" si="34"/>
        <v>13F-HR-.36.C10</v>
      </c>
      <c r="K2195" t="s">
        <v>8640</v>
      </c>
      <c r="L2195" t="s">
        <v>241</v>
      </c>
      <c r="M2195" t="s">
        <v>8641</v>
      </c>
      <c r="N2195" t="s">
        <v>8642</v>
      </c>
      <c r="Q2195" s="28">
        <v>30346</v>
      </c>
    </row>
    <row r="2196" spans="1:17" x14ac:dyDescent="0.35">
      <c r="A2196" t="s">
        <v>8520</v>
      </c>
      <c r="B2196" s="3" t="s">
        <v>102</v>
      </c>
      <c r="G2196" t="s">
        <v>8607</v>
      </c>
      <c r="H2196">
        <v>37</v>
      </c>
      <c r="I2196" t="s">
        <v>9306</v>
      </c>
      <c r="J2196" t="str">
        <f t="shared" si="34"/>
        <v>13F-HR-.37.C11</v>
      </c>
      <c r="K2196" t="s">
        <v>8643</v>
      </c>
      <c r="L2196" t="s">
        <v>241</v>
      </c>
      <c r="M2196" t="s">
        <v>8644</v>
      </c>
      <c r="N2196" t="s">
        <v>8645</v>
      </c>
      <c r="Q2196" s="28">
        <v>0</v>
      </c>
    </row>
    <row r="2197" spans="1:17" x14ac:dyDescent="0.35">
      <c r="A2197" t="s">
        <v>8520</v>
      </c>
      <c r="B2197" s="3" t="s">
        <v>102</v>
      </c>
      <c r="G2197" t="s">
        <v>8607</v>
      </c>
      <c r="H2197">
        <v>38</v>
      </c>
      <c r="I2197" t="s">
        <v>9307</v>
      </c>
      <c r="J2197" t="str">
        <f t="shared" si="34"/>
        <v>13F-HR-.38.C12</v>
      </c>
      <c r="K2197" t="s">
        <v>8646</v>
      </c>
      <c r="L2197" t="s">
        <v>241</v>
      </c>
      <c r="M2197" t="s">
        <v>8647</v>
      </c>
      <c r="N2197" t="s">
        <v>8648</v>
      </c>
      <c r="Q2197" s="28">
        <v>40392</v>
      </c>
    </row>
    <row r="2198" spans="1:17" x14ac:dyDescent="0.35">
      <c r="A2198" t="s">
        <v>8520</v>
      </c>
      <c r="B2198" s="3" t="s">
        <v>102</v>
      </c>
      <c r="G2198" t="s">
        <v>8607</v>
      </c>
      <c r="H2198">
        <v>27</v>
      </c>
      <c r="I2198" t="s">
        <v>9296</v>
      </c>
      <c r="J2198" t="str">
        <f t="shared" si="34"/>
        <v>13F-HR-.27.C1</v>
      </c>
      <c r="K2198" s="5" t="s">
        <v>8608</v>
      </c>
      <c r="L2198" t="s">
        <v>229</v>
      </c>
      <c r="M2198" t="s">
        <v>8609</v>
      </c>
      <c r="N2198" t="s">
        <v>8610</v>
      </c>
      <c r="Q2198" s="28" t="s">
        <v>8934</v>
      </c>
    </row>
    <row r="2199" spans="1:17" x14ac:dyDescent="0.35">
      <c r="A2199" t="s">
        <v>8520</v>
      </c>
      <c r="B2199" s="3" t="s">
        <v>102</v>
      </c>
      <c r="G2199" t="s">
        <v>8607</v>
      </c>
      <c r="H2199">
        <v>28</v>
      </c>
      <c r="I2199" t="s">
        <v>9297</v>
      </c>
      <c r="J2199" t="str">
        <f t="shared" si="34"/>
        <v>13F-HR-.28.C2</v>
      </c>
      <c r="K2199" s="5" t="s">
        <v>8612</v>
      </c>
      <c r="L2199" t="s">
        <v>229</v>
      </c>
      <c r="M2199" t="s">
        <v>8613</v>
      </c>
      <c r="N2199" t="s">
        <v>8614</v>
      </c>
      <c r="Q2199" s="28" t="s">
        <v>8615</v>
      </c>
    </row>
    <row r="2200" spans="1:17" x14ac:dyDescent="0.35">
      <c r="A2200" t="s">
        <v>8520</v>
      </c>
      <c r="B2200" s="3" t="s">
        <v>102</v>
      </c>
      <c r="G2200" t="s">
        <v>8607</v>
      </c>
      <c r="H2200">
        <v>29</v>
      </c>
      <c r="I2200" t="s">
        <v>9298</v>
      </c>
      <c r="J2200" t="str">
        <f t="shared" si="34"/>
        <v>13F-HR-.29.C3</v>
      </c>
      <c r="K2200" s="5" t="s">
        <v>8616</v>
      </c>
      <c r="L2200" t="s">
        <v>229</v>
      </c>
      <c r="M2200" t="s">
        <v>7927</v>
      </c>
      <c r="N2200" t="s">
        <v>8617</v>
      </c>
      <c r="Q2200" s="28">
        <v>631103108</v>
      </c>
    </row>
    <row r="2201" spans="1:17" x14ac:dyDescent="0.35">
      <c r="A2201" t="s">
        <v>8520</v>
      </c>
      <c r="B2201" s="3" t="s">
        <v>102</v>
      </c>
      <c r="G2201" t="s">
        <v>8607</v>
      </c>
      <c r="H2201">
        <v>30</v>
      </c>
      <c r="I2201" t="s">
        <v>9299</v>
      </c>
      <c r="J2201" t="str">
        <f t="shared" si="34"/>
        <v>13F-HR-.30.C4</v>
      </c>
      <c r="K2201" s="5" t="s">
        <v>8618</v>
      </c>
      <c r="L2201" t="s">
        <v>8619</v>
      </c>
      <c r="M2201" t="s">
        <v>8620</v>
      </c>
      <c r="N2201" t="s">
        <v>8621</v>
      </c>
      <c r="Q2201" s="28">
        <v>4774325</v>
      </c>
    </row>
    <row r="2202" spans="1:17" x14ac:dyDescent="0.35">
      <c r="A2202" t="s">
        <v>8520</v>
      </c>
      <c r="B2202" s="3" t="s">
        <v>102</v>
      </c>
      <c r="G2202" t="s">
        <v>8607</v>
      </c>
      <c r="H2202">
        <v>31</v>
      </c>
      <c r="I2202" t="s">
        <v>9300</v>
      </c>
      <c r="J2202" t="str">
        <f t="shared" si="34"/>
        <v>13F-HR-.31.C5</v>
      </c>
      <c r="K2202" s="5" t="s">
        <v>8622</v>
      </c>
      <c r="L2202" t="s">
        <v>241</v>
      </c>
      <c r="M2202" t="s">
        <v>8623</v>
      </c>
      <c r="N2202" t="s">
        <v>8624</v>
      </c>
      <c r="Q2202" s="28">
        <v>62936</v>
      </c>
    </row>
    <row r="2203" spans="1:17" x14ac:dyDescent="0.35">
      <c r="A2203" t="s">
        <v>8520</v>
      </c>
      <c r="B2203" s="3" t="s">
        <v>102</v>
      </c>
      <c r="G2203" t="s">
        <v>8607</v>
      </c>
      <c r="H2203">
        <v>32</v>
      </c>
      <c r="I2203" t="s">
        <v>9301</v>
      </c>
      <c r="J2203" t="str">
        <f t="shared" si="34"/>
        <v>13F-HR-.32.C6</v>
      </c>
      <c r="K2203" s="5" t="s">
        <v>8625</v>
      </c>
      <c r="L2203" t="s">
        <v>229</v>
      </c>
      <c r="M2203" t="s">
        <v>8626</v>
      </c>
      <c r="N2203" t="s">
        <v>8627</v>
      </c>
      <c r="Q2203" s="28" t="s">
        <v>8628</v>
      </c>
    </row>
    <row r="2204" spans="1:17" x14ac:dyDescent="0.35">
      <c r="A2204" t="s">
        <v>8520</v>
      </c>
      <c r="B2204" s="3" t="s">
        <v>102</v>
      </c>
      <c r="G2204" t="s">
        <v>8607</v>
      </c>
      <c r="H2204">
        <v>33</v>
      </c>
      <c r="I2204" t="s">
        <v>9302</v>
      </c>
      <c r="J2204" t="str">
        <f t="shared" si="34"/>
        <v>13F-HR-.33.C7</v>
      </c>
      <c r="K2204" s="5" t="s">
        <v>8629</v>
      </c>
      <c r="L2204" t="s">
        <v>229</v>
      </c>
      <c r="M2204" t="s">
        <v>8630</v>
      </c>
      <c r="N2204" t="s">
        <v>8631</v>
      </c>
      <c r="Q2204" s="28" t="s">
        <v>8685</v>
      </c>
    </row>
    <row r="2205" spans="1:17" x14ac:dyDescent="0.35">
      <c r="A2205" t="s">
        <v>8520</v>
      </c>
      <c r="B2205" s="3" t="s">
        <v>102</v>
      </c>
      <c r="G2205" t="s">
        <v>8607</v>
      </c>
      <c r="H2205">
        <v>34</v>
      </c>
      <c r="I2205" t="s">
        <v>9303</v>
      </c>
      <c r="J2205" t="str">
        <f t="shared" si="34"/>
        <v>13F-HR-.34.C8</v>
      </c>
      <c r="K2205" s="5" t="s">
        <v>8633</v>
      </c>
      <c r="L2205" t="s">
        <v>4735</v>
      </c>
      <c r="M2205" t="s">
        <v>8634</v>
      </c>
      <c r="N2205" t="s">
        <v>8635</v>
      </c>
      <c r="Q2205" s="28" t="s">
        <v>8632</v>
      </c>
    </row>
    <row r="2206" spans="1:17" x14ac:dyDescent="0.35">
      <c r="A2206" t="s">
        <v>8651</v>
      </c>
      <c r="B2206" s="3" t="s">
        <v>102</v>
      </c>
      <c r="G2206" t="s">
        <v>8607</v>
      </c>
      <c r="H2206">
        <v>35</v>
      </c>
      <c r="I2206" t="s">
        <v>9304</v>
      </c>
      <c r="J2206" t="str">
        <f t="shared" si="34"/>
        <v>135-HR-.35.C9</v>
      </c>
      <c r="K2206" s="5" t="s">
        <v>8637</v>
      </c>
      <c r="L2206" t="s">
        <v>229</v>
      </c>
      <c r="M2206" t="s">
        <v>8638</v>
      </c>
      <c r="N2206" t="s">
        <v>8639</v>
      </c>
      <c r="Q2206" s="28" t="s">
        <v>8636</v>
      </c>
    </row>
    <row r="2207" spans="1:17" x14ac:dyDescent="0.35">
      <c r="A2207" t="s">
        <v>8520</v>
      </c>
      <c r="B2207" s="3" t="s">
        <v>102</v>
      </c>
      <c r="G2207" t="s">
        <v>8607</v>
      </c>
      <c r="H2207">
        <v>36</v>
      </c>
      <c r="I2207" t="s">
        <v>9305</v>
      </c>
      <c r="J2207" t="str">
        <f t="shared" si="34"/>
        <v>13F-HR-.36.C10</v>
      </c>
      <c r="K2207" s="5" t="s">
        <v>8640</v>
      </c>
      <c r="L2207" t="s">
        <v>241</v>
      </c>
      <c r="M2207" t="s">
        <v>8641</v>
      </c>
      <c r="N2207" t="s">
        <v>8642</v>
      </c>
      <c r="Q2207" s="28">
        <v>0</v>
      </c>
    </row>
    <row r="2208" spans="1:17" x14ac:dyDescent="0.35">
      <c r="A2208" t="s">
        <v>8520</v>
      </c>
      <c r="B2208" s="3" t="s">
        <v>102</v>
      </c>
      <c r="G2208" t="s">
        <v>8607</v>
      </c>
      <c r="H2208">
        <v>37</v>
      </c>
      <c r="I2208" t="s">
        <v>9306</v>
      </c>
      <c r="J2208" t="str">
        <f t="shared" si="34"/>
        <v>13F-HR-.37.C11</v>
      </c>
      <c r="K2208" s="5" t="s">
        <v>8643</v>
      </c>
      <c r="L2208" t="s">
        <v>241</v>
      </c>
      <c r="M2208" t="s">
        <v>8644</v>
      </c>
      <c r="N2208" t="s">
        <v>8645</v>
      </c>
      <c r="Q2208" s="28">
        <v>0</v>
      </c>
    </row>
    <row r="2209" spans="1:17" x14ac:dyDescent="0.35">
      <c r="A2209" t="s">
        <v>8520</v>
      </c>
      <c r="B2209" s="3" t="s">
        <v>102</v>
      </c>
      <c r="G2209" t="s">
        <v>8607</v>
      </c>
      <c r="H2209">
        <v>38</v>
      </c>
      <c r="I2209" t="s">
        <v>9307</v>
      </c>
      <c r="J2209" t="str">
        <f t="shared" si="34"/>
        <v>13F-HR-.38.C12</v>
      </c>
      <c r="K2209" s="5" t="s">
        <v>8646</v>
      </c>
      <c r="L2209" t="s">
        <v>241</v>
      </c>
      <c r="M2209" t="s">
        <v>8647</v>
      </c>
      <c r="N2209" t="s">
        <v>8648</v>
      </c>
      <c r="Q2209" s="28">
        <v>62936</v>
      </c>
    </row>
    <row r="2210" spans="1:17" x14ac:dyDescent="0.35">
      <c r="A2210" t="s">
        <v>8520</v>
      </c>
      <c r="B2210" s="3" t="s">
        <v>102</v>
      </c>
      <c r="F2210">
        <v>5</v>
      </c>
      <c r="G2210" t="s">
        <v>8607</v>
      </c>
      <c r="H2210">
        <v>27</v>
      </c>
      <c r="I2210" t="s">
        <v>9296</v>
      </c>
      <c r="J2210" t="str">
        <f t="shared" si="34"/>
        <v>13F-HR-5.27.C1</v>
      </c>
      <c r="K2210" s="5" t="s">
        <v>8608</v>
      </c>
      <c r="L2210" t="s">
        <v>229</v>
      </c>
      <c r="M2210" t="s">
        <v>8609</v>
      </c>
      <c r="N2210" t="s">
        <v>8610</v>
      </c>
      <c r="Q2210" s="28" t="s">
        <v>8935</v>
      </c>
    </row>
    <row r="2211" spans="1:17" x14ac:dyDescent="0.35">
      <c r="A2211" t="s">
        <v>8520</v>
      </c>
      <c r="B2211" s="3" t="s">
        <v>102</v>
      </c>
      <c r="F2211">
        <v>5</v>
      </c>
      <c r="G2211" t="s">
        <v>8607</v>
      </c>
      <c r="H2211">
        <v>28</v>
      </c>
      <c r="I2211" t="s">
        <v>9297</v>
      </c>
      <c r="J2211" t="str">
        <f t="shared" si="34"/>
        <v>13F-HR-5.28.C2</v>
      </c>
      <c r="K2211" s="5" t="s">
        <v>8612</v>
      </c>
      <c r="L2211" t="s">
        <v>229</v>
      </c>
      <c r="M2211" t="s">
        <v>8613</v>
      </c>
      <c r="N2211" t="s">
        <v>8614</v>
      </c>
      <c r="Q2211" s="28" t="s">
        <v>8615</v>
      </c>
    </row>
    <row r="2212" spans="1:17" x14ac:dyDescent="0.35">
      <c r="A2212" t="s">
        <v>8520</v>
      </c>
      <c r="B2212" s="3" t="s">
        <v>102</v>
      </c>
      <c r="F2212">
        <v>5</v>
      </c>
      <c r="G2212" t="s">
        <v>8607</v>
      </c>
      <c r="H2212">
        <v>29</v>
      </c>
      <c r="I2212" t="s">
        <v>9298</v>
      </c>
      <c r="J2212" t="str">
        <f t="shared" si="34"/>
        <v>13F-HR-5.29.C3</v>
      </c>
      <c r="K2212" s="5" t="s">
        <v>8616</v>
      </c>
      <c r="L2212" t="s">
        <v>229</v>
      </c>
      <c r="M2212" t="s">
        <v>7927</v>
      </c>
      <c r="N2212" t="s">
        <v>8617</v>
      </c>
      <c r="Q2212" s="28" t="s">
        <v>8936</v>
      </c>
    </row>
    <row r="2213" spans="1:17" x14ac:dyDescent="0.35">
      <c r="A2213" t="s">
        <v>8520</v>
      </c>
      <c r="B2213" s="3" t="s">
        <v>102</v>
      </c>
      <c r="F2213">
        <v>5</v>
      </c>
      <c r="G2213" t="s">
        <v>8607</v>
      </c>
      <c r="H2213">
        <v>30</v>
      </c>
      <c r="I2213" t="s">
        <v>9299</v>
      </c>
      <c r="J2213" t="str">
        <f t="shared" si="34"/>
        <v>13F-HR-5.30.C4</v>
      </c>
      <c r="K2213" s="5" t="s">
        <v>8618</v>
      </c>
      <c r="L2213" t="s">
        <v>8619</v>
      </c>
      <c r="M2213" t="s">
        <v>8620</v>
      </c>
      <c r="N2213" t="s">
        <v>8621</v>
      </c>
      <c r="Q2213" s="28">
        <v>76142007</v>
      </c>
    </row>
    <row r="2214" spans="1:17" x14ac:dyDescent="0.35">
      <c r="A2214" t="s">
        <v>8520</v>
      </c>
      <c r="B2214" s="3" t="s">
        <v>102</v>
      </c>
      <c r="F2214">
        <v>5</v>
      </c>
      <c r="G2214" t="s">
        <v>8607</v>
      </c>
      <c r="H2214">
        <v>31</v>
      </c>
      <c r="I2214" t="s">
        <v>9300</v>
      </c>
      <c r="J2214" t="str">
        <f t="shared" si="34"/>
        <v>13F-HR-5.31.C5</v>
      </c>
      <c r="K2214" s="5" t="s">
        <v>8622</v>
      </c>
      <c r="L2214" t="s">
        <v>241</v>
      </c>
      <c r="M2214" t="s">
        <v>8623</v>
      </c>
      <c r="N2214" t="s">
        <v>8624</v>
      </c>
      <c r="Q2214" s="28">
        <v>81651</v>
      </c>
    </row>
    <row r="2215" spans="1:17" x14ac:dyDescent="0.35">
      <c r="A2215" t="s">
        <v>8520</v>
      </c>
      <c r="B2215" s="3" t="s">
        <v>102</v>
      </c>
      <c r="F2215">
        <v>5</v>
      </c>
      <c r="G2215" t="s">
        <v>8607</v>
      </c>
      <c r="H2215">
        <v>32</v>
      </c>
      <c r="I2215" t="s">
        <v>9301</v>
      </c>
      <c r="J2215" t="str">
        <f t="shared" si="34"/>
        <v>13F-HR-5.32.C6</v>
      </c>
      <c r="K2215" s="5" t="s">
        <v>8625</v>
      </c>
      <c r="L2215" t="s">
        <v>229</v>
      </c>
      <c r="M2215" t="s">
        <v>8626</v>
      </c>
      <c r="N2215" t="s">
        <v>8627</v>
      </c>
      <c r="Q2215" s="28" t="s">
        <v>8628</v>
      </c>
    </row>
    <row r="2216" spans="1:17" x14ac:dyDescent="0.35">
      <c r="A2216" t="s">
        <v>8520</v>
      </c>
      <c r="B2216" s="3" t="s">
        <v>102</v>
      </c>
      <c r="F2216">
        <v>5</v>
      </c>
      <c r="G2216" t="s">
        <v>8607</v>
      </c>
      <c r="H2216">
        <v>33</v>
      </c>
      <c r="I2216" t="s">
        <v>9302</v>
      </c>
      <c r="J2216" t="str">
        <f t="shared" si="34"/>
        <v>13F-HR-5.33.C7</v>
      </c>
      <c r="K2216" s="5" t="s">
        <v>8629</v>
      </c>
      <c r="L2216" t="s">
        <v>229</v>
      </c>
      <c r="M2216" t="s">
        <v>8630</v>
      </c>
      <c r="N2216" t="s">
        <v>8631</v>
      </c>
      <c r="Q2216" s="28" t="s">
        <v>8685</v>
      </c>
    </row>
    <row r="2217" spans="1:17" x14ac:dyDescent="0.35">
      <c r="A2217" t="s">
        <v>8520</v>
      </c>
      <c r="B2217" s="3" t="s">
        <v>102</v>
      </c>
      <c r="F2217">
        <v>5</v>
      </c>
      <c r="G2217" t="s">
        <v>8607</v>
      </c>
      <c r="H2217">
        <v>34</v>
      </c>
      <c r="I2217" t="s">
        <v>9303</v>
      </c>
      <c r="J2217" t="str">
        <f t="shared" si="34"/>
        <v>13F-HR-5.34.C8</v>
      </c>
      <c r="K2217" s="5" t="s">
        <v>8633</v>
      </c>
      <c r="L2217" t="s">
        <v>4735</v>
      </c>
      <c r="M2217" t="s">
        <v>8634</v>
      </c>
      <c r="N2217" t="s">
        <v>8635</v>
      </c>
      <c r="Q2217" s="28" t="s">
        <v>8632</v>
      </c>
    </row>
    <row r="2218" spans="1:17" x14ac:dyDescent="0.35">
      <c r="A2218" t="s">
        <v>8520</v>
      </c>
      <c r="B2218" s="3" t="s">
        <v>102</v>
      </c>
      <c r="F2218">
        <v>5</v>
      </c>
      <c r="G2218" t="s">
        <v>8607</v>
      </c>
      <c r="H2218">
        <v>35</v>
      </c>
      <c r="I2218" t="s">
        <v>9304</v>
      </c>
      <c r="J2218" t="str">
        <f t="shared" si="34"/>
        <v>13F-HR-5.35.C9</v>
      </c>
      <c r="K2218" s="5" t="s">
        <v>8637</v>
      </c>
      <c r="L2218" t="s">
        <v>229</v>
      </c>
      <c r="M2218" t="s">
        <v>8638</v>
      </c>
      <c r="N2218" t="s">
        <v>8639</v>
      </c>
      <c r="Q2218" s="28" t="s">
        <v>8636</v>
      </c>
    </row>
    <row r="2219" spans="1:17" x14ac:dyDescent="0.35">
      <c r="A2219" t="s">
        <v>8520</v>
      </c>
      <c r="B2219" s="3" t="s">
        <v>102</v>
      </c>
      <c r="F2219">
        <v>5</v>
      </c>
      <c r="G2219" t="s">
        <v>8607</v>
      </c>
      <c r="H2219">
        <v>36</v>
      </c>
      <c r="I2219" t="s">
        <v>9305</v>
      </c>
      <c r="J2219" t="str">
        <f t="shared" si="34"/>
        <v>13F-HR-5.36.C10</v>
      </c>
      <c r="K2219" s="5" t="s">
        <v>8640</v>
      </c>
      <c r="L2219" t="s">
        <v>241</v>
      </c>
      <c r="M2219" t="s">
        <v>8641</v>
      </c>
      <c r="N2219" t="s">
        <v>8642</v>
      </c>
      <c r="Q2219" s="28">
        <v>80104</v>
      </c>
    </row>
    <row r="2220" spans="1:17" x14ac:dyDescent="0.35">
      <c r="A2220" t="s">
        <v>8520</v>
      </c>
      <c r="B2220" s="3" t="s">
        <v>102</v>
      </c>
      <c r="F2220">
        <v>5</v>
      </c>
      <c r="G2220" t="s">
        <v>8607</v>
      </c>
      <c r="H2220">
        <v>37</v>
      </c>
      <c r="I2220" t="s">
        <v>9306</v>
      </c>
      <c r="J2220" t="str">
        <f t="shared" si="34"/>
        <v>13F-HR-5.37.C11</v>
      </c>
      <c r="K2220" s="5" t="s">
        <v>8643</v>
      </c>
      <c r="L2220" t="s">
        <v>241</v>
      </c>
      <c r="M2220" t="s">
        <v>8644</v>
      </c>
      <c r="N2220" t="s">
        <v>8645</v>
      </c>
      <c r="Q2220" s="28">
        <v>0</v>
      </c>
    </row>
    <row r="2221" spans="1:17" x14ac:dyDescent="0.35">
      <c r="A2221" t="s">
        <v>8520</v>
      </c>
      <c r="B2221" s="3" t="s">
        <v>102</v>
      </c>
      <c r="F2221">
        <v>5</v>
      </c>
      <c r="G2221" t="s">
        <v>8607</v>
      </c>
      <c r="H2221">
        <v>38</v>
      </c>
      <c r="I2221" t="s">
        <v>9307</v>
      </c>
      <c r="J2221" t="str">
        <f t="shared" si="34"/>
        <v>13F-HR-5.38.C12</v>
      </c>
      <c r="K2221" s="5" t="s">
        <v>8646</v>
      </c>
      <c r="L2221" t="s">
        <v>241</v>
      </c>
      <c r="M2221" t="s">
        <v>8647</v>
      </c>
      <c r="N2221" t="s">
        <v>8648</v>
      </c>
      <c r="Q2221" s="28">
        <v>1547</v>
      </c>
    </row>
    <row r="2222" spans="1:17" x14ac:dyDescent="0.35">
      <c r="A2222" t="s">
        <v>8520</v>
      </c>
      <c r="B2222" s="3" t="s">
        <v>102</v>
      </c>
      <c r="F2222">
        <v>5</v>
      </c>
      <c r="G2222" t="s">
        <v>8607</v>
      </c>
      <c r="H2222">
        <v>27</v>
      </c>
      <c r="I2222" t="s">
        <v>9296</v>
      </c>
      <c r="J2222" t="str">
        <f t="shared" si="34"/>
        <v>13F-HR-5.27.C1</v>
      </c>
      <c r="K2222" s="5" t="s">
        <v>8608</v>
      </c>
      <c r="L2222" t="s">
        <v>229</v>
      </c>
      <c r="M2222" t="s">
        <v>8609</v>
      </c>
      <c r="N2222" t="s">
        <v>8610</v>
      </c>
      <c r="Q2222" s="28" t="s">
        <v>8937</v>
      </c>
    </row>
    <row r="2223" spans="1:17" x14ac:dyDescent="0.35">
      <c r="A2223" t="s">
        <v>8520</v>
      </c>
      <c r="B2223" s="3" t="s">
        <v>102</v>
      </c>
      <c r="F2223">
        <v>5</v>
      </c>
      <c r="G2223" t="s">
        <v>8607</v>
      </c>
      <c r="H2223">
        <v>28</v>
      </c>
      <c r="I2223" t="s">
        <v>9297</v>
      </c>
      <c r="J2223" t="str">
        <f t="shared" si="34"/>
        <v>13F-HR-5.28.C2</v>
      </c>
      <c r="K2223" s="5" t="s">
        <v>8612</v>
      </c>
      <c r="L2223" t="s">
        <v>229</v>
      </c>
      <c r="M2223" t="s">
        <v>8613</v>
      </c>
      <c r="N2223" t="s">
        <v>8614</v>
      </c>
      <c r="Q2223" s="28" t="s">
        <v>8698</v>
      </c>
    </row>
    <row r="2224" spans="1:17" x14ac:dyDescent="0.35">
      <c r="A2224" t="s">
        <v>8520</v>
      </c>
      <c r="B2224" s="3" t="s">
        <v>102</v>
      </c>
      <c r="F2224">
        <v>5</v>
      </c>
      <c r="G2224" t="s">
        <v>8607</v>
      </c>
      <c r="H2224">
        <v>29</v>
      </c>
      <c r="I2224" t="s">
        <v>9298</v>
      </c>
      <c r="J2224" t="str">
        <f t="shared" si="34"/>
        <v>13F-HR-5.29.C3</v>
      </c>
      <c r="K2224" s="5" t="s">
        <v>8616</v>
      </c>
      <c r="L2224" t="s">
        <v>229</v>
      </c>
      <c r="M2224" t="s">
        <v>7927</v>
      </c>
      <c r="N2224" t="s">
        <v>8617</v>
      </c>
      <c r="Q2224" s="28" t="s">
        <v>8938</v>
      </c>
    </row>
    <row r="2225" spans="1:17" x14ac:dyDescent="0.35">
      <c r="A2225" t="s">
        <v>8520</v>
      </c>
      <c r="B2225" s="3" t="s">
        <v>102</v>
      </c>
      <c r="F2225">
        <v>5</v>
      </c>
      <c r="G2225" t="s">
        <v>8607</v>
      </c>
      <c r="H2225">
        <v>30</v>
      </c>
      <c r="I2225" t="s">
        <v>9299</v>
      </c>
      <c r="J2225" t="str">
        <f t="shared" si="34"/>
        <v>13F-HR-5.30.C4</v>
      </c>
      <c r="K2225" s="5" t="s">
        <v>8618</v>
      </c>
      <c r="L2225" t="s">
        <v>8619</v>
      </c>
      <c r="M2225" t="s">
        <v>8620</v>
      </c>
      <c r="N2225" t="s">
        <v>8621</v>
      </c>
      <c r="Q2225" s="28">
        <v>48745897</v>
      </c>
    </row>
    <row r="2226" spans="1:17" x14ac:dyDescent="0.35">
      <c r="A2226" t="s">
        <v>8520</v>
      </c>
      <c r="B2226" s="3" t="s">
        <v>102</v>
      </c>
      <c r="F2226">
        <v>5</v>
      </c>
      <c r="G2226" t="s">
        <v>8607</v>
      </c>
      <c r="H2226">
        <v>31</v>
      </c>
      <c r="I2226" t="s">
        <v>9300</v>
      </c>
      <c r="J2226" t="str">
        <f t="shared" si="34"/>
        <v>13F-HR-5.31.C5</v>
      </c>
      <c r="K2226" s="5" t="s">
        <v>8622</v>
      </c>
      <c r="L2226" t="s">
        <v>241</v>
      </c>
      <c r="M2226" t="s">
        <v>8623</v>
      </c>
      <c r="N2226" t="s">
        <v>8624</v>
      </c>
      <c r="Q2226" s="28">
        <v>473629</v>
      </c>
    </row>
    <row r="2227" spans="1:17" x14ac:dyDescent="0.35">
      <c r="A2227" t="s">
        <v>8520</v>
      </c>
      <c r="B2227" s="3" t="s">
        <v>102</v>
      </c>
      <c r="F2227">
        <v>5</v>
      </c>
      <c r="G2227" t="s">
        <v>8607</v>
      </c>
      <c r="H2227">
        <v>32</v>
      </c>
      <c r="I2227" t="s">
        <v>9301</v>
      </c>
      <c r="J2227" t="str">
        <f t="shared" si="34"/>
        <v>13F-HR-5.32.C6</v>
      </c>
      <c r="K2227" s="5" t="s">
        <v>8625</v>
      </c>
      <c r="L2227" t="s">
        <v>229</v>
      </c>
      <c r="M2227" t="s">
        <v>8626</v>
      </c>
      <c r="N2227" t="s">
        <v>8627</v>
      </c>
      <c r="Q2227" s="28" t="s">
        <v>8628</v>
      </c>
    </row>
    <row r="2228" spans="1:17" x14ac:dyDescent="0.35">
      <c r="A2228" t="s">
        <v>8520</v>
      </c>
      <c r="B2228" s="3" t="s">
        <v>102</v>
      </c>
      <c r="F2228">
        <v>5</v>
      </c>
      <c r="G2228" t="s">
        <v>8607</v>
      </c>
      <c r="H2228">
        <v>33</v>
      </c>
      <c r="I2228" t="s">
        <v>9302</v>
      </c>
      <c r="J2228" t="str">
        <f t="shared" si="34"/>
        <v>13F-HR-5.33.C7</v>
      </c>
      <c r="K2228" s="5" t="s">
        <v>8629</v>
      </c>
      <c r="L2228" t="s">
        <v>229</v>
      </c>
      <c r="M2228" t="s">
        <v>8630</v>
      </c>
      <c r="N2228" t="s">
        <v>8631</v>
      </c>
      <c r="Q2228" s="28" t="s">
        <v>8685</v>
      </c>
    </row>
    <row r="2229" spans="1:17" x14ac:dyDescent="0.35">
      <c r="A2229" t="s">
        <v>8520</v>
      </c>
      <c r="B2229" s="3" t="s">
        <v>102</v>
      </c>
      <c r="F2229">
        <v>5</v>
      </c>
      <c r="G2229" t="s">
        <v>8607</v>
      </c>
      <c r="H2229">
        <v>34</v>
      </c>
      <c r="I2229" t="s">
        <v>9303</v>
      </c>
      <c r="J2229" t="str">
        <f t="shared" si="34"/>
        <v>13F-HR-5.34.C8</v>
      </c>
      <c r="K2229" s="5" t="s">
        <v>8633</v>
      </c>
      <c r="L2229" t="s">
        <v>4735</v>
      </c>
      <c r="M2229" t="s">
        <v>8634</v>
      </c>
      <c r="N2229" t="s">
        <v>8635</v>
      </c>
      <c r="Q2229" s="28" t="s">
        <v>8632</v>
      </c>
    </row>
    <row r="2230" spans="1:17" x14ac:dyDescent="0.35">
      <c r="A2230" t="s">
        <v>8520</v>
      </c>
      <c r="B2230" s="3" t="s">
        <v>102</v>
      </c>
      <c r="F2230">
        <v>5</v>
      </c>
      <c r="G2230" t="s">
        <v>8607</v>
      </c>
      <c r="H2230">
        <v>35</v>
      </c>
      <c r="I2230" t="s">
        <v>9304</v>
      </c>
      <c r="J2230" t="str">
        <f t="shared" si="34"/>
        <v>13F-HR-5.35.C9</v>
      </c>
      <c r="K2230" s="5" t="s">
        <v>8637</v>
      </c>
      <c r="L2230" t="s">
        <v>229</v>
      </c>
      <c r="M2230" t="s">
        <v>8638</v>
      </c>
      <c r="N2230" t="s">
        <v>8639</v>
      </c>
      <c r="Q2230" s="28" t="s">
        <v>8636</v>
      </c>
    </row>
    <row r="2231" spans="1:17" x14ac:dyDescent="0.35">
      <c r="A2231" t="s">
        <v>8520</v>
      </c>
      <c r="B2231" s="3" t="s">
        <v>102</v>
      </c>
      <c r="F2231">
        <v>5</v>
      </c>
      <c r="G2231" t="s">
        <v>8607</v>
      </c>
      <c r="H2231">
        <v>36</v>
      </c>
      <c r="I2231" t="s">
        <v>9305</v>
      </c>
      <c r="J2231" t="str">
        <f t="shared" si="34"/>
        <v>13F-HR-5.36.C10</v>
      </c>
      <c r="K2231" s="5" t="s">
        <v>8640</v>
      </c>
      <c r="L2231" t="s">
        <v>241</v>
      </c>
      <c r="M2231" t="s">
        <v>8641</v>
      </c>
      <c r="N2231" t="s">
        <v>8642</v>
      </c>
      <c r="Q2231" s="28">
        <v>473629</v>
      </c>
    </row>
    <row r="2232" spans="1:17" x14ac:dyDescent="0.35">
      <c r="A2232" t="s">
        <v>8520</v>
      </c>
      <c r="B2232" s="3" t="s">
        <v>102</v>
      </c>
      <c r="F2232">
        <v>5</v>
      </c>
      <c r="G2232" t="s">
        <v>8607</v>
      </c>
      <c r="H2232">
        <v>37</v>
      </c>
      <c r="I2232" t="s">
        <v>9306</v>
      </c>
      <c r="J2232" t="str">
        <f t="shared" si="34"/>
        <v>13F-HR-5.37.C11</v>
      </c>
      <c r="K2232" s="5" t="s">
        <v>8643</v>
      </c>
      <c r="L2232" t="s">
        <v>241</v>
      </c>
      <c r="M2232" t="s">
        <v>8644</v>
      </c>
      <c r="N2232" t="s">
        <v>8645</v>
      </c>
      <c r="Q2232" s="28">
        <v>0</v>
      </c>
    </row>
    <row r="2233" spans="1:17" x14ac:dyDescent="0.35">
      <c r="A2233" t="s">
        <v>8520</v>
      </c>
      <c r="B2233" s="3" t="s">
        <v>102</v>
      </c>
      <c r="F2233">
        <v>5</v>
      </c>
      <c r="G2233" t="s">
        <v>8607</v>
      </c>
      <c r="H2233">
        <v>38</v>
      </c>
      <c r="I2233" t="s">
        <v>9307</v>
      </c>
      <c r="J2233" t="str">
        <f t="shared" si="34"/>
        <v>13F-HR-5.38.C12</v>
      </c>
      <c r="K2233" s="5" t="s">
        <v>8646</v>
      </c>
      <c r="L2233" t="s">
        <v>241</v>
      </c>
      <c r="M2233" t="s">
        <v>8647</v>
      </c>
      <c r="N2233" t="s">
        <v>8648</v>
      </c>
      <c r="Q2233" s="28">
        <v>0</v>
      </c>
    </row>
    <row r="2234" spans="1:17" x14ac:dyDescent="0.35">
      <c r="A2234" t="s">
        <v>8520</v>
      </c>
      <c r="B2234" s="3" t="s">
        <v>102</v>
      </c>
      <c r="F2234">
        <v>5</v>
      </c>
      <c r="G2234" t="s">
        <v>8607</v>
      </c>
      <c r="H2234">
        <v>27</v>
      </c>
      <c r="I2234" t="s">
        <v>9296</v>
      </c>
      <c r="J2234" t="str">
        <f t="shared" si="34"/>
        <v>13F-HR-5.27.C1</v>
      </c>
      <c r="K2234" s="5" t="s">
        <v>8608</v>
      </c>
      <c r="L2234" t="s">
        <v>229</v>
      </c>
      <c r="M2234" t="s">
        <v>8609</v>
      </c>
      <c r="N2234" t="s">
        <v>8610</v>
      </c>
      <c r="Q2234" s="28" t="s">
        <v>8939</v>
      </c>
    </row>
    <row r="2235" spans="1:17" x14ac:dyDescent="0.35">
      <c r="A2235" t="s">
        <v>8520</v>
      </c>
      <c r="B2235" s="3" t="s">
        <v>102</v>
      </c>
      <c r="F2235">
        <v>5</v>
      </c>
      <c r="G2235" t="s">
        <v>8607</v>
      </c>
      <c r="H2235">
        <v>28</v>
      </c>
      <c r="I2235" t="s">
        <v>9297</v>
      </c>
      <c r="J2235" t="str">
        <f t="shared" si="34"/>
        <v>13F-HR-5.28.C2</v>
      </c>
      <c r="K2235" s="5" t="s">
        <v>8612</v>
      </c>
      <c r="L2235" t="s">
        <v>229</v>
      </c>
      <c r="M2235" t="s">
        <v>8613</v>
      </c>
      <c r="N2235" t="s">
        <v>8614</v>
      </c>
      <c r="Q2235" s="28" t="s">
        <v>8615</v>
      </c>
    </row>
    <row r="2236" spans="1:17" x14ac:dyDescent="0.35">
      <c r="A2236" t="s">
        <v>8520</v>
      </c>
      <c r="B2236" s="3" t="s">
        <v>102</v>
      </c>
      <c r="F2236">
        <v>5</v>
      </c>
      <c r="G2236" t="s">
        <v>8607</v>
      </c>
      <c r="H2236">
        <v>29</v>
      </c>
      <c r="I2236" t="s">
        <v>9298</v>
      </c>
      <c r="J2236" t="str">
        <f t="shared" si="34"/>
        <v>13F-HR-5.29.C3</v>
      </c>
      <c r="K2236" s="5" t="s">
        <v>8616</v>
      </c>
      <c r="L2236" t="s">
        <v>229</v>
      </c>
      <c r="M2236" t="s">
        <v>7927</v>
      </c>
      <c r="N2236" t="s">
        <v>8617</v>
      </c>
      <c r="Q2236" s="28" t="s">
        <v>8940</v>
      </c>
    </row>
    <row r="2237" spans="1:17" x14ac:dyDescent="0.35">
      <c r="A2237" t="s">
        <v>8520</v>
      </c>
      <c r="B2237" s="3" t="s">
        <v>102</v>
      </c>
      <c r="F2237">
        <v>5</v>
      </c>
      <c r="G2237" t="s">
        <v>8607</v>
      </c>
      <c r="H2237">
        <v>30</v>
      </c>
      <c r="I2237" t="s">
        <v>9299</v>
      </c>
      <c r="J2237" t="str">
        <f t="shared" si="34"/>
        <v>13F-HR-5.30.C4</v>
      </c>
      <c r="K2237" s="5" t="s">
        <v>8618</v>
      </c>
      <c r="L2237" t="s">
        <v>8619</v>
      </c>
      <c r="M2237" t="s">
        <v>8620</v>
      </c>
      <c r="N2237" t="s">
        <v>8621</v>
      </c>
      <c r="Q2237" s="28">
        <v>4320816</v>
      </c>
    </row>
    <row r="2238" spans="1:17" x14ac:dyDescent="0.35">
      <c r="A2238" t="s">
        <v>8520</v>
      </c>
      <c r="B2238" s="3" t="s">
        <v>102</v>
      </c>
      <c r="F2238">
        <v>5</v>
      </c>
      <c r="G2238" t="s">
        <v>8607</v>
      </c>
      <c r="H2238">
        <v>31</v>
      </c>
      <c r="I2238" t="s">
        <v>9300</v>
      </c>
      <c r="J2238" t="str">
        <f t="shared" si="34"/>
        <v>13F-HR-5.31.C5</v>
      </c>
      <c r="K2238" s="5" t="s">
        <v>8622</v>
      </c>
      <c r="L2238" t="s">
        <v>241</v>
      </c>
      <c r="M2238" t="s">
        <v>8623</v>
      </c>
      <c r="N2238" t="s">
        <v>8624</v>
      </c>
      <c r="Q2238" s="28">
        <v>60951</v>
      </c>
    </row>
    <row r="2239" spans="1:17" x14ac:dyDescent="0.35">
      <c r="A2239" t="s">
        <v>8520</v>
      </c>
      <c r="B2239" s="3" t="s">
        <v>102</v>
      </c>
      <c r="F2239">
        <v>5</v>
      </c>
      <c r="G2239" t="s">
        <v>8607</v>
      </c>
      <c r="H2239">
        <v>32</v>
      </c>
      <c r="I2239" t="s">
        <v>9301</v>
      </c>
      <c r="J2239" t="str">
        <f t="shared" si="34"/>
        <v>13F-HR-5.32.C6</v>
      </c>
      <c r="K2239" s="5" t="s">
        <v>8625</v>
      </c>
      <c r="L2239" t="s">
        <v>229</v>
      </c>
      <c r="M2239" t="s">
        <v>8626</v>
      </c>
      <c r="N2239" t="s">
        <v>8627</v>
      </c>
      <c r="Q2239" s="28" t="s">
        <v>8628</v>
      </c>
    </row>
    <row r="2240" spans="1:17" x14ac:dyDescent="0.35">
      <c r="A2240" t="s">
        <v>8520</v>
      </c>
      <c r="B2240" s="3" t="s">
        <v>102</v>
      </c>
      <c r="F2240">
        <v>5</v>
      </c>
      <c r="G2240" t="s">
        <v>8607</v>
      </c>
      <c r="H2240">
        <v>33</v>
      </c>
      <c r="I2240" t="s">
        <v>9302</v>
      </c>
      <c r="J2240" t="str">
        <f t="shared" si="34"/>
        <v>13F-HR-5.33.C7</v>
      </c>
      <c r="K2240" s="5" t="s">
        <v>8629</v>
      </c>
      <c r="L2240" t="s">
        <v>229</v>
      </c>
      <c r="M2240" t="s">
        <v>8630</v>
      </c>
      <c r="N2240" t="s">
        <v>8631</v>
      </c>
      <c r="Q2240" s="28" t="s">
        <v>8685</v>
      </c>
    </row>
    <row r="2241" spans="1:17" x14ac:dyDescent="0.35">
      <c r="A2241" t="s">
        <v>8520</v>
      </c>
      <c r="B2241" s="3" t="s">
        <v>102</v>
      </c>
      <c r="F2241">
        <v>5</v>
      </c>
      <c r="G2241" t="s">
        <v>8607</v>
      </c>
      <c r="H2241">
        <v>34</v>
      </c>
      <c r="I2241" t="s">
        <v>9303</v>
      </c>
      <c r="J2241" t="str">
        <f t="shared" si="34"/>
        <v>13F-HR-5.34.C8</v>
      </c>
      <c r="K2241" s="5" t="s">
        <v>8633</v>
      </c>
      <c r="L2241" t="s">
        <v>4735</v>
      </c>
      <c r="M2241" t="s">
        <v>8634</v>
      </c>
      <c r="N2241" t="s">
        <v>8635</v>
      </c>
      <c r="Q2241" s="28" t="s">
        <v>8632</v>
      </c>
    </row>
    <row r="2242" spans="1:17" x14ac:dyDescent="0.35">
      <c r="A2242" t="s">
        <v>8520</v>
      </c>
      <c r="B2242" s="3" t="s">
        <v>102</v>
      </c>
      <c r="F2242">
        <v>5</v>
      </c>
      <c r="G2242" t="s">
        <v>8607</v>
      </c>
      <c r="H2242">
        <v>35</v>
      </c>
      <c r="I2242" t="s">
        <v>9304</v>
      </c>
      <c r="J2242" t="str">
        <f t="shared" si="34"/>
        <v>13F-HR-5.35.C9</v>
      </c>
      <c r="K2242" s="5" t="s">
        <v>8637</v>
      </c>
      <c r="L2242" t="s">
        <v>229</v>
      </c>
      <c r="M2242" t="s">
        <v>8638</v>
      </c>
      <c r="N2242" t="s">
        <v>8639</v>
      </c>
      <c r="Q2242" s="28" t="s">
        <v>8636</v>
      </c>
    </row>
    <row r="2243" spans="1:17" x14ac:dyDescent="0.35">
      <c r="A2243" t="s">
        <v>8520</v>
      </c>
      <c r="B2243" s="3" t="s">
        <v>102</v>
      </c>
      <c r="F2243">
        <v>5</v>
      </c>
      <c r="G2243" t="s">
        <v>8607</v>
      </c>
      <c r="H2243">
        <v>36</v>
      </c>
      <c r="I2243" t="s">
        <v>9305</v>
      </c>
      <c r="J2243" t="str">
        <f t="shared" ref="J2243:J2306" si="35">_xlfn.CONCAT(A2243,"-",F2243,".",H2243,".",I2243)</f>
        <v>13F-HR-5.36.C10</v>
      </c>
      <c r="K2243" s="5" t="s">
        <v>8640</v>
      </c>
      <c r="L2243" t="s">
        <v>241</v>
      </c>
      <c r="M2243" t="s">
        <v>8641</v>
      </c>
      <c r="N2243" t="s">
        <v>8642</v>
      </c>
      <c r="Q2243" s="28">
        <v>30617</v>
      </c>
    </row>
    <row r="2244" spans="1:17" x14ac:dyDescent="0.35">
      <c r="A2244" t="s">
        <v>8520</v>
      </c>
      <c r="B2244" s="3" t="s">
        <v>102</v>
      </c>
      <c r="F2244">
        <v>5</v>
      </c>
      <c r="G2244" t="s">
        <v>8607</v>
      </c>
      <c r="H2244">
        <v>37</v>
      </c>
      <c r="I2244" t="s">
        <v>9306</v>
      </c>
      <c r="J2244" t="str">
        <f t="shared" si="35"/>
        <v>13F-HR-5.37.C11</v>
      </c>
      <c r="K2244" s="5" t="s">
        <v>8643</v>
      </c>
      <c r="L2244" t="s">
        <v>241</v>
      </c>
      <c r="M2244" t="s">
        <v>8644</v>
      </c>
      <c r="N2244" t="s">
        <v>8645</v>
      </c>
      <c r="Q2244" s="28">
        <v>0</v>
      </c>
    </row>
    <row r="2245" spans="1:17" x14ac:dyDescent="0.35">
      <c r="A2245" t="s">
        <v>8520</v>
      </c>
      <c r="B2245" s="3" t="s">
        <v>102</v>
      </c>
      <c r="F2245">
        <v>5</v>
      </c>
      <c r="G2245" t="s">
        <v>8607</v>
      </c>
      <c r="H2245">
        <v>38</v>
      </c>
      <c r="I2245" t="s">
        <v>9307</v>
      </c>
      <c r="J2245" t="str">
        <f t="shared" si="35"/>
        <v>13F-HR-5.38.C12</v>
      </c>
      <c r="K2245" s="5" t="s">
        <v>8646</v>
      </c>
      <c r="L2245" t="s">
        <v>241</v>
      </c>
      <c r="M2245" t="s">
        <v>8647</v>
      </c>
      <c r="N2245" t="s">
        <v>8648</v>
      </c>
      <c r="Q2245" s="28">
        <v>30334</v>
      </c>
    </row>
    <row r="2246" spans="1:17" x14ac:dyDescent="0.35">
      <c r="A2246" t="s">
        <v>8520</v>
      </c>
      <c r="B2246" s="3" t="s">
        <v>102</v>
      </c>
      <c r="F2246">
        <v>5</v>
      </c>
      <c r="G2246" t="s">
        <v>8607</v>
      </c>
      <c r="H2246">
        <v>27</v>
      </c>
      <c r="I2246" t="s">
        <v>9296</v>
      </c>
      <c r="J2246" t="str">
        <f t="shared" si="35"/>
        <v>13F-HR-5.27.C1</v>
      </c>
      <c r="K2246" s="5" t="s">
        <v>8608</v>
      </c>
      <c r="L2246" t="s">
        <v>229</v>
      </c>
      <c r="M2246" t="s">
        <v>8609</v>
      </c>
      <c r="N2246" t="s">
        <v>8610</v>
      </c>
      <c r="Q2246" s="28" t="s">
        <v>8941</v>
      </c>
    </row>
    <row r="2247" spans="1:17" x14ac:dyDescent="0.35">
      <c r="A2247" t="s">
        <v>8520</v>
      </c>
      <c r="B2247" s="3" t="s">
        <v>102</v>
      </c>
      <c r="F2247">
        <v>5</v>
      </c>
      <c r="G2247" t="s">
        <v>8607</v>
      </c>
      <c r="H2247">
        <v>28</v>
      </c>
      <c r="I2247" t="s">
        <v>9297</v>
      </c>
      <c r="J2247" t="str">
        <f t="shared" si="35"/>
        <v>13F-HR-5.28.C2</v>
      </c>
      <c r="K2247" s="5" t="s">
        <v>8612</v>
      </c>
      <c r="L2247" t="s">
        <v>229</v>
      </c>
      <c r="M2247" t="s">
        <v>8613</v>
      </c>
      <c r="N2247" t="s">
        <v>8614</v>
      </c>
      <c r="Q2247" s="28" t="s">
        <v>8834</v>
      </c>
    </row>
    <row r="2248" spans="1:17" x14ac:dyDescent="0.35">
      <c r="A2248" t="s">
        <v>8520</v>
      </c>
      <c r="B2248" s="3" t="s">
        <v>102</v>
      </c>
      <c r="F2248">
        <v>5</v>
      </c>
      <c r="G2248" t="s">
        <v>8607</v>
      </c>
      <c r="H2248">
        <v>29</v>
      </c>
      <c r="I2248" t="s">
        <v>9298</v>
      </c>
      <c r="J2248" t="str">
        <f t="shared" si="35"/>
        <v>13F-HR-5.29.C3</v>
      </c>
      <c r="K2248" s="5" t="s">
        <v>8616</v>
      </c>
      <c r="L2248" t="s">
        <v>229</v>
      </c>
      <c r="M2248" t="s">
        <v>7927</v>
      </c>
      <c r="N2248" t="s">
        <v>8617</v>
      </c>
      <c r="Q2248" s="28">
        <v>654106103</v>
      </c>
    </row>
    <row r="2249" spans="1:17" x14ac:dyDescent="0.35">
      <c r="A2249" t="s">
        <v>8520</v>
      </c>
      <c r="B2249" s="3" t="s">
        <v>102</v>
      </c>
      <c r="F2249">
        <v>5</v>
      </c>
      <c r="G2249" t="s">
        <v>8607</v>
      </c>
      <c r="H2249">
        <v>30</v>
      </c>
      <c r="I2249" t="s">
        <v>9299</v>
      </c>
      <c r="J2249" t="str">
        <f t="shared" si="35"/>
        <v>13F-HR-5.30.C4</v>
      </c>
      <c r="K2249" s="5" t="s">
        <v>8618</v>
      </c>
      <c r="L2249" t="s">
        <v>8619</v>
      </c>
      <c r="M2249" t="s">
        <v>8620</v>
      </c>
      <c r="N2249" t="s">
        <v>8621</v>
      </c>
      <c r="Q2249" s="28">
        <v>14696509</v>
      </c>
    </row>
    <row r="2250" spans="1:17" x14ac:dyDescent="0.35">
      <c r="A2250" t="s">
        <v>8520</v>
      </c>
      <c r="B2250" s="3" t="s">
        <v>102</v>
      </c>
      <c r="F2250">
        <v>5</v>
      </c>
      <c r="G2250" t="s">
        <v>8607</v>
      </c>
      <c r="H2250">
        <v>31</v>
      </c>
      <c r="I2250" t="s">
        <v>9300</v>
      </c>
      <c r="J2250" t="str">
        <f t="shared" si="35"/>
        <v>13F-HR-5.31.C5</v>
      </c>
      <c r="K2250" s="5" t="s">
        <v>8622</v>
      </c>
      <c r="L2250" t="s">
        <v>241</v>
      </c>
      <c r="M2250" t="s">
        <v>8623</v>
      </c>
      <c r="N2250" t="s">
        <v>8624</v>
      </c>
      <c r="Q2250" s="28">
        <v>231514</v>
      </c>
    </row>
    <row r="2251" spans="1:17" x14ac:dyDescent="0.35">
      <c r="A2251" t="s">
        <v>8520</v>
      </c>
      <c r="B2251" s="3" t="s">
        <v>102</v>
      </c>
      <c r="F2251">
        <v>5</v>
      </c>
      <c r="G2251" t="s">
        <v>8607</v>
      </c>
      <c r="H2251">
        <v>32</v>
      </c>
      <c r="I2251" t="s">
        <v>9301</v>
      </c>
      <c r="J2251" t="str">
        <f t="shared" si="35"/>
        <v>13F-HR-5.32.C6</v>
      </c>
      <c r="K2251" s="5" t="s">
        <v>8625</v>
      </c>
      <c r="L2251" t="s">
        <v>229</v>
      </c>
      <c r="M2251" t="s">
        <v>8626</v>
      </c>
      <c r="N2251" t="s">
        <v>8627</v>
      </c>
      <c r="Q2251" s="28" t="s">
        <v>8628</v>
      </c>
    </row>
    <row r="2252" spans="1:17" x14ac:dyDescent="0.35">
      <c r="A2252" t="s">
        <v>8520</v>
      </c>
      <c r="B2252" s="3" t="s">
        <v>102</v>
      </c>
      <c r="F2252">
        <v>5</v>
      </c>
      <c r="G2252" t="s">
        <v>8607</v>
      </c>
      <c r="H2252">
        <v>33</v>
      </c>
      <c r="I2252" t="s">
        <v>9302</v>
      </c>
      <c r="J2252" t="str">
        <f t="shared" si="35"/>
        <v>13F-HR-5.33.C7</v>
      </c>
      <c r="K2252" s="5" t="s">
        <v>8629</v>
      </c>
      <c r="L2252" t="s">
        <v>229</v>
      </c>
      <c r="M2252" t="s">
        <v>8630</v>
      </c>
      <c r="N2252" t="s">
        <v>8631</v>
      </c>
      <c r="Q2252" s="28" t="s">
        <v>8685</v>
      </c>
    </row>
    <row r="2253" spans="1:17" x14ac:dyDescent="0.35">
      <c r="A2253" t="s">
        <v>8520</v>
      </c>
      <c r="B2253" s="3" t="s">
        <v>102</v>
      </c>
      <c r="F2253">
        <v>5</v>
      </c>
      <c r="G2253" t="s">
        <v>8607</v>
      </c>
      <c r="H2253">
        <v>34</v>
      </c>
      <c r="I2253" t="s">
        <v>9303</v>
      </c>
      <c r="J2253" t="str">
        <f t="shared" si="35"/>
        <v>13F-HR-5.34.C8</v>
      </c>
      <c r="K2253" s="5" t="s">
        <v>8633</v>
      </c>
      <c r="L2253" t="s">
        <v>4735</v>
      </c>
      <c r="M2253" t="s">
        <v>8634</v>
      </c>
      <c r="N2253" t="s">
        <v>8635</v>
      </c>
      <c r="Q2253" s="28" t="s">
        <v>8632</v>
      </c>
    </row>
    <row r="2254" spans="1:17" x14ac:dyDescent="0.35">
      <c r="A2254" t="s">
        <v>8520</v>
      </c>
      <c r="B2254" s="3" t="s">
        <v>102</v>
      </c>
      <c r="F2254">
        <v>5</v>
      </c>
      <c r="G2254" t="s">
        <v>8607</v>
      </c>
      <c r="H2254">
        <v>35</v>
      </c>
      <c r="I2254" t="s">
        <v>9304</v>
      </c>
      <c r="J2254" t="str">
        <f t="shared" si="35"/>
        <v>13F-HR-5.35.C9</v>
      </c>
      <c r="K2254" s="5" t="s">
        <v>8637</v>
      </c>
      <c r="L2254" t="s">
        <v>229</v>
      </c>
      <c r="M2254" t="s">
        <v>8638</v>
      </c>
      <c r="N2254" t="s">
        <v>8639</v>
      </c>
      <c r="Q2254" s="28" t="s">
        <v>8636</v>
      </c>
    </row>
    <row r="2255" spans="1:17" x14ac:dyDescent="0.35">
      <c r="A2255" t="s">
        <v>8520</v>
      </c>
      <c r="B2255" s="3" t="s">
        <v>102</v>
      </c>
      <c r="F2255">
        <v>5</v>
      </c>
      <c r="G2255" t="s">
        <v>8607</v>
      </c>
      <c r="H2255">
        <v>36</v>
      </c>
      <c r="I2255" t="s">
        <v>9305</v>
      </c>
      <c r="J2255" t="str">
        <f t="shared" si="35"/>
        <v>13F-HR-5.36.C10</v>
      </c>
      <c r="K2255" s="5" t="s">
        <v>8640</v>
      </c>
      <c r="L2255" t="s">
        <v>241</v>
      </c>
      <c r="M2255" t="s">
        <v>8641</v>
      </c>
      <c r="N2255" t="s">
        <v>8642</v>
      </c>
      <c r="Q2255" s="28">
        <v>148697</v>
      </c>
    </row>
    <row r="2256" spans="1:17" x14ac:dyDescent="0.35">
      <c r="A2256" t="s">
        <v>8520</v>
      </c>
      <c r="B2256" s="3" t="s">
        <v>102</v>
      </c>
      <c r="F2256">
        <v>5</v>
      </c>
      <c r="G2256" t="s">
        <v>8607</v>
      </c>
      <c r="H2256">
        <v>37</v>
      </c>
      <c r="I2256" t="s">
        <v>9306</v>
      </c>
      <c r="J2256" t="str">
        <f t="shared" si="35"/>
        <v>13F-HR-5.37.C11</v>
      </c>
      <c r="K2256" s="5" t="s">
        <v>8643</v>
      </c>
      <c r="L2256" t="s">
        <v>241</v>
      </c>
      <c r="M2256" t="s">
        <v>8644</v>
      </c>
      <c r="N2256" t="s">
        <v>8645</v>
      </c>
      <c r="Q2256" s="28">
        <v>0</v>
      </c>
    </row>
    <row r="2257" spans="1:17" x14ac:dyDescent="0.35">
      <c r="A2257" t="s">
        <v>8520</v>
      </c>
      <c r="B2257" s="3" t="s">
        <v>102</v>
      </c>
      <c r="F2257">
        <v>5</v>
      </c>
      <c r="G2257" t="s">
        <v>8607</v>
      </c>
      <c r="H2257">
        <v>38</v>
      </c>
      <c r="I2257" t="s">
        <v>9307</v>
      </c>
      <c r="J2257" t="str">
        <f t="shared" si="35"/>
        <v>13F-HR-5.38.C12</v>
      </c>
      <c r="K2257" s="5" t="s">
        <v>8646</v>
      </c>
      <c r="L2257" t="s">
        <v>241</v>
      </c>
      <c r="M2257" t="s">
        <v>8647</v>
      </c>
      <c r="N2257" t="s">
        <v>8648</v>
      </c>
      <c r="Q2257" s="28">
        <v>82817</v>
      </c>
    </row>
    <row r="2258" spans="1:17" x14ac:dyDescent="0.35">
      <c r="A2258" t="s">
        <v>8520</v>
      </c>
      <c r="B2258" s="3" t="s">
        <v>102</v>
      </c>
      <c r="F2258">
        <v>5</v>
      </c>
      <c r="G2258" t="s">
        <v>8607</v>
      </c>
      <c r="H2258">
        <v>27</v>
      </c>
      <c r="I2258" t="s">
        <v>9296</v>
      </c>
      <c r="J2258" t="str">
        <f t="shared" si="35"/>
        <v>13F-HR-5.27.C1</v>
      </c>
      <c r="K2258" s="5" t="s">
        <v>8608</v>
      </c>
      <c r="L2258" t="s">
        <v>229</v>
      </c>
      <c r="M2258" t="s">
        <v>8609</v>
      </c>
      <c r="N2258" t="s">
        <v>8610</v>
      </c>
      <c r="Q2258" s="28" t="s">
        <v>8942</v>
      </c>
    </row>
    <row r="2259" spans="1:17" x14ac:dyDescent="0.35">
      <c r="A2259" t="s">
        <v>8520</v>
      </c>
      <c r="B2259" s="3" t="s">
        <v>102</v>
      </c>
      <c r="F2259">
        <v>5</v>
      </c>
      <c r="G2259" t="s">
        <v>8607</v>
      </c>
      <c r="H2259">
        <v>28</v>
      </c>
      <c r="I2259" t="s">
        <v>9297</v>
      </c>
      <c r="J2259" t="str">
        <f t="shared" si="35"/>
        <v>13F-HR-5.28.C2</v>
      </c>
      <c r="K2259" s="5" t="s">
        <v>8612</v>
      </c>
      <c r="L2259" t="s">
        <v>229</v>
      </c>
      <c r="M2259" t="s">
        <v>8613</v>
      </c>
      <c r="N2259" t="s">
        <v>8614</v>
      </c>
      <c r="Q2259" s="28" t="s">
        <v>8615</v>
      </c>
    </row>
    <row r="2260" spans="1:17" x14ac:dyDescent="0.35">
      <c r="A2260" t="s">
        <v>8520</v>
      </c>
      <c r="B2260" s="3" t="s">
        <v>102</v>
      </c>
      <c r="F2260">
        <v>5</v>
      </c>
      <c r="G2260" t="s">
        <v>8607</v>
      </c>
      <c r="H2260">
        <v>29</v>
      </c>
      <c r="I2260" t="s">
        <v>9298</v>
      </c>
      <c r="J2260" t="str">
        <f t="shared" si="35"/>
        <v>13F-HR-5.29.C3</v>
      </c>
      <c r="K2260" s="5" t="s">
        <v>8616</v>
      </c>
      <c r="L2260" t="s">
        <v>229</v>
      </c>
      <c r="M2260" t="s">
        <v>7927</v>
      </c>
      <c r="N2260" t="s">
        <v>8617</v>
      </c>
      <c r="Q2260" s="28" t="s">
        <v>8943</v>
      </c>
    </row>
    <row r="2261" spans="1:17" x14ac:dyDescent="0.35">
      <c r="A2261" t="s">
        <v>8520</v>
      </c>
      <c r="B2261" s="3" t="s">
        <v>102</v>
      </c>
      <c r="F2261">
        <v>5</v>
      </c>
      <c r="G2261" t="s">
        <v>8607</v>
      </c>
      <c r="H2261">
        <v>30</v>
      </c>
      <c r="I2261" t="s">
        <v>9299</v>
      </c>
      <c r="J2261" t="str">
        <f t="shared" si="35"/>
        <v>13F-HR-5.30.C4</v>
      </c>
      <c r="K2261" s="5" t="s">
        <v>8618</v>
      </c>
      <c r="L2261" t="s">
        <v>8619</v>
      </c>
      <c r="M2261" t="s">
        <v>8620</v>
      </c>
      <c r="N2261" t="s">
        <v>8621</v>
      </c>
      <c r="Q2261" s="28">
        <v>37639258</v>
      </c>
    </row>
    <row r="2262" spans="1:17" x14ac:dyDescent="0.35">
      <c r="A2262" t="s">
        <v>8520</v>
      </c>
      <c r="B2262" s="3" t="s">
        <v>102</v>
      </c>
      <c r="F2262">
        <v>5</v>
      </c>
      <c r="G2262" t="s">
        <v>8607</v>
      </c>
      <c r="H2262">
        <v>31</v>
      </c>
      <c r="I2262" t="s">
        <v>9300</v>
      </c>
      <c r="J2262" t="str">
        <f t="shared" si="35"/>
        <v>13F-HR-5.31.C5</v>
      </c>
      <c r="K2262" s="5" t="s">
        <v>8622</v>
      </c>
      <c r="L2262" t="s">
        <v>241</v>
      </c>
      <c r="M2262" t="s">
        <v>8623</v>
      </c>
      <c r="N2262" t="s">
        <v>8624</v>
      </c>
      <c r="Q2262" s="28">
        <v>938869</v>
      </c>
    </row>
    <row r="2263" spans="1:17" x14ac:dyDescent="0.35">
      <c r="A2263" t="s">
        <v>8520</v>
      </c>
      <c r="B2263" s="3" t="s">
        <v>102</v>
      </c>
      <c r="F2263">
        <v>5</v>
      </c>
      <c r="G2263" t="s">
        <v>8607</v>
      </c>
      <c r="H2263">
        <v>32</v>
      </c>
      <c r="I2263" t="s">
        <v>9301</v>
      </c>
      <c r="J2263" t="str">
        <f t="shared" si="35"/>
        <v>13F-HR-5.32.C6</v>
      </c>
      <c r="K2263" s="5" t="s">
        <v>8625</v>
      </c>
      <c r="L2263" t="s">
        <v>229</v>
      </c>
      <c r="M2263" t="s">
        <v>8626</v>
      </c>
      <c r="N2263" t="s">
        <v>8627</v>
      </c>
      <c r="Q2263" s="28" t="s">
        <v>8628</v>
      </c>
    </row>
    <row r="2264" spans="1:17" x14ac:dyDescent="0.35">
      <c r="A2264" t="s">
        <v>8520</v>
      </c>
      <c r="B2264" s="3" t="s">
        <v>102</v>
      </c>
      <c r="F2264">
        <v>5</v>
      </c>
      <c r="G2264" t="s">
        <v>8607</v>
      </c>
      <c r="H2264">
        <v>33</v>
      </c>
      <c r="I2264" t="s">
        <v>9302</v>
      </c>
      <c r="J2264" t="str">
        <f t="shared" si="35"/>
        <v>13F-HR-5.33.C7</v>
      </c>
      <c r="K2264" s="5" t="s">
        <v>8629</v>
      </c>
      <c r="L2264" t="s">
        <v>229</v>
      </c>
      <c r="M2264" t="s">
        <v>8630</v>
      </c>
      <c r="N2264" t="s">
        <v>8631</v>
      </c>
      <c r="Q2264" s="28" t="s">
        <v>8685</v>
      </c>
    </row>
    <row r="2265" spans="1:17" x14ac:dyDescent="0.35">
      <c r="A2265" t="s">
        <v>8520</v>
      </c>
      <c r="B2265" s="3" t="s">
        <v>102</v>
      </c>
      <c r="F2265">
        <v>5</v>
      </c>
      <c r="G2265" t="s">
        <v>8607</v>
      </c>
      <c r="H2265">
        <v>34</v>
      </c>
      <c r="I2265" t="s">
        <v>9303</v>
      </c>
      <c r="J2265" t="str">
        <f t="shared" si="35"/>
        <v>13F-HR-5.34.C8</v>
      </c>
      <c r="K2265" s="5" t="s">
        <v>8633</v>
      </c>
      <c r="L2265" t="s">
        <v>4735</v>
      </c>
      <c r="M2265" t="s">
        <v>8634</v>
      </c>
      <c r="N2265" t="s">
        <v>8635</v>
      </c>
      <c r="Q2265" s="28" t="s">
        <v>8632</v>
      </c>
    </row>
    <row r="2266" spans="1:17" x14ac:dyDescent="0.35">
      <c r="A2266" t="s">
        <v>8520</v>
      </c>
      <c r="B2266" s="3" t="s">
        <v>102</v>
      </c>
      <c r="F2266">
        <v>5</v>
      </c>
      <c r="G2266" t="s">
        <v>8607</v>
      </c>
      <c r="H2266">
        <v>35</v>
      </c>
      <c r="I2266" t="s">
        <v>9304</v>
      </c>
      <c r="J2266" t="str">
        <f t="shared" si="35"/>
        <v>13F-HR-5.35.C9</v>
      </c>
      <c r="K2266" s="5" t="s">
        <v>8637</v>
      </c>
      <c r="L2266" t="s">
        <v>229</v>
      </c>
      <c r="M2266" t="s">
        <v>8638</v>
      </c>
      <c r="N2266" t="s">
        <v>8639</v>
      </c>
      <c r="Q2266" s="28" t="s">
        <v>8636</v>
      </c>
    </row>
    <row r="2267" spans="1:17" x14ac:dyDescent="0.35">
      <c r="A2267" t="s">
        <v>8520</v>
      </c>
      <c r="B2267" s="3" t="s">
        <v>102</v>
      </c>
      <c r="F2267">
        <v>5</v>
      </c>
      <c r="G2267" t="s">
        <v>8607</v>
      </c>
      <c r="H2267">
        <v>36</v>
      </c>
      <c r="I2267" t="s">
        <v>9305</v>
      </c>
      <c r="J2267" t="str">
        <f t="shared" si="35"/>
        <v>13F-HR-5.36.C10</v>
      </c>
      <c r="K2267" s="5" t="s">
        <v>8640</v>
      </c>
      <c r="L2267" t="s">
        <v>241</v>
      </c>
      <c r="M2267" t="s">
        <v>8641</v>
      </c>
      <c r="N2267" t="s">
        <v>8642</v>
      </c>
      <c r="Q2267" s="28">
        <v>938869</v>
      </c>
    </row>
    <row r="2268" spans="1:17" x14ac:dyDescent="0.35">
      <c r="A2268" t="s">
        <v>8520</v>
      </c>
      <c r="B2268" s="3" t="s">
        <v>102</v>
      </c>
      <c r="F2268">
        <v>5</v>
      </c>
      <c r="G2268" t="s">
        <v>8607</v>
      </c>
      <c r="H2268">
        <v>37</v>
      </c>
      <c r="I2268" t="s">
        <v>9306</v>
      </c>
      <c r="J2268" t="str">
        <f t="shared" si="35"/>
        <v>13F-HR-5.37.C11</v>
      </c>
      <c r="K2268" s="5" t="s">
        <v>8643</v>
      </c>
      <c r="L2268" t="s">
        <v>241</v>
      </c>
      <c r="M2268" t="s">
        <v>8644</v>
      </c>
      <c r="N2268" t="s">
        <v>8645</v>
      </c>
      <c r="Q2268" s="28">
        <v>0</v>
      </c>
    </row>
    <row r="2269" spans="1:17" x14ac:dyDescent="0.35">
      <c r="A2269" t="s">
        <v>8520</v>
      </c>
      <c r="B2269" s="3" t="s">
        <v>102</v>
      </c>
      <c r="F2269">
        <v>5</v>
      </c>
      <c r="G2269" t="s">
        <v>8607</v>
      </c>
      <c r="H2269">
        <v>38</v>
      </c>
      <c r="I2269" t="s">
        <v>9307</v>
      </c>
      <c r="J2269" t="str">
        <f t="shared" si="35"/>
        <v>13F-HR-5.38.C12</v>
      </c>
      <c r="K2269" s="5" t="s">
        <v>8646</v>
      </c>
      <c r="L2269" t="s">
        <v>241</v>
      </c>
      <c r="M2269" t="s">
        <v>8647</v>
      </c>
      <c r="N2269" t="s">
        <v>8648</v>
      </c>
      <c r="Q2269" s="28">
        <v>0</v>
      </c>
    </row>
    <row r="2270" spans="1:17" x14ac:dyDescent="0.35">
      <c r="A2270" t="s">
        <v>8520</v>
      </c>
      <c r="B2270" s="3" t="s">
        <v>102</v>
      </c>
      <c r="F2270">
        <v>5</v>
      </c>
      <c r="G2270" t="s">
        <v>8607</v>
      </c>
      <c r="H2270">
        <v>27</v>
      </c>
      <c r="I2270" t="s">
        <v>9296</v>
      </c>
      <c r="J2270" t="str">
        <f t="shared" si="35"/>
        <v>13F-HR-5.27.C1</v>
      </c>
      <c r="K2270" s="5" t="s">
        <v>8608</v>
      </c>
      <c r="L2270" t="s">
        <v>229</v>
      </c>
      <c r="M2270" t="s">
        <v>8609</v>
      </c>
      <c r="N2270" t="s">
        <v>8610</v>
      </c>
      <c r="Q2270" s="28" t="s">
        <v>8944</v>
      </c>
    </row>
    <row r="2271" spans="1:17" x14ac:dyDescent="0.35">
      <c r="A2271" t="s">
        <v>8520</v>
      </c>
      <c r="B2271" s="3" t="s">
        <v>102</v>
      </c>
      <c r="F2271">
        <v>5</v>
      </c>
      <c r="G2271" t="s">
        <v>8607</v>
      </c>
      <c r="H2271">
        <v>28</v>
      </c>
      <c r="I2271" t="s">
        <v>9297</v>
      </c>
      <c r="J2271" t="str">
        <f t="shared" si="35"/>
        <v>13F-HR-5.28.C2</v>
      </c>
      <c r="K2271" s="5" t="s">
        <v>8612</v>
      </c>
      <c r="L2271" t="s">
        <v>229</v>
      </c>
      <c r="M2271" t="s">
        <v>8613</v>
      </c>
      <c r="N2271" t="s">
        <v>8614</v>
      </c>
      <c r="Q2271" s="28" t="s">
        <v>8615</v>
      </c>
    </row>
    <row r="2272" spans="1:17" x14ac:dyDescent="0.35">
      <c r="A2272" t="s">
        <v>8520</v>
      </c>
      <c r="B2272" s="3" t="s">
        <v>102</v>
      </c>
      <c r="F2272">
        <v>5</v>
      </c>
      <c r="G2272" t="s">
        <v>8607</v>
      </c>
      <c r="H2272">
        <v>29</v>
      </c>
      <c r="I2272" t="s">
        <v>9298</v>
      </c>
      <c r="J2272" t="str">
        <f t="shared" si="35"/>
        <v>13F-HR-5.29.C3</v>
      </c>
      <c r="K2272" s="5" t="s">
        <v>8616</v>
      </c>
      <c r="L2272" t="s">
        <v>229</v>
      </c>
      <c r="M2272" t="s">
        <v>7927</v>
      </c>
      <c r="N2272" t="s">
        <v>8617</v>
      </c>
      <c r="Q2272" s="28">
        <v>655844108</v>
      </c>
    </row>
    <row r="2273" spans="1:17" x14ac:dyDescent="0.35">
      <c r="A2273" t="s">
        <v>8520</v>
      </c>
      <c r="B2273" s="3" t="s">
        <v>102</v>
      </c>
      <c r="F2273">
        <v>5</v>
      </c>
      <c r="G2273" t="s">
        <v>8607</v>
      </c>
      <c r="H2273">
        <v>30</v>
      </c>
      <c r="I2273" t="s">
        <v>9299</v>
      </c>
      <c r="J2273" t="str">
        <f t="shared" si="35"/>
        <v>13F-HR-5.30.C4</v>
      </c>
      <c r="K2273" s="5" t="s">
        <v>8618</v>
      </c>
      <c r="L2273" t="s">
        <v>8619</v>
      </c>
      <c r="M2273" t="s">
        <v>8620</v>
      </c>
      <c r="N2273" t="s">
        <v>8621</v>
      </c>
      <c r="Q2273" s="28">
        <v>1017981</v>
      </c>
    </row>
    <row r="2274" spans="1:17" x14ac:dyDescent="0.35">
      <c r="A2274" t="s">
        <v>8520</v>
      </c>
      <c r="B2274" s="3" t="s">
        <v>102</v>
      </c>
      <c r="F2274">
        <v>5</v>
      </c>
      <c r="G2274" t="s">
        <v>8607</v>
      </c>
      <c r="H2274">
        <v>31</v>
      </c>
      <c r="I2274" t="s">
        <v>9300</v>
      </c>
      <c r="J2274" t="str">
        <f t="shared" si="35"/>
        <v>13F-HR-5.31.C5</v>
      </c>
      <c r="K2274" s="5" t="s">
        <v>8622</v>
      </c>
      <c r="L2274" t="s">
        <v>241</v>
      </c>
      <c r="M2274" t="s">
        <v>8623</v>
      </c>
      <c r="N2274" t="s">
        <v>8624</v>
      </c>
      <c r="Q2274" s="28">
        <v>4298</v>
      </c>
    </row>
    <row r="2275" spans="1:17" x14ac:dyDescent="0.35">
      <c r="A2275" t="s">
        <v>8520</v>
      </c>
      <c r="B2275" s="3" t="s">
        <v>102</v>
      </c>
      <c r="F2275">
        <v>5</v>
      </c>
      <c r="G2275" t="s">
        <v>8607</v>
      </c>
      <c r="H2275">
        <v>32</v>
      </c>
      <c r="I2275" t="s">
        <v>9301</v>
      </c>
      <c r="J2275" t="str">
        <f t="shared" si="35"/>
        <v>13F-HR-5.32.C6</v>
      </c>
      <c r="K2275" s="5" t="s">
        <v>8625</v>
      </c>
      <c r="L2275" t="s">
        <v>229</v>
      </c>
      <c r="M2275" t="s">
        <v>8626</v>
      </c>
      <c r="N2275" t="s">
        <v>8627</v>
      </c>
      <c r="Q2275" s="28" t="s">
        <v>8628</v>
      </c>
    </row>
    <row r="2276" spans="1:17" x14ac:dyDescent="0.35">
      <c r="A2276" t="s">
        <v>8520</v>
      </c>
      <c r="B2276" s="3" t="s">
        <v>102</v>
      </c>
      <c r="F2276">
        <v>5</v>
      </c>
      <c r="G2276" t="s">
        <v>8607</v>
      </c>
      <c r="H2276">
        <v>33</v>
      </c>
      <c r="I2276" t="s">
        <v>9302</v>
      </c>
      <c r="J2276" t="str">
        <f t="shared" si="35"/>
        <v>13F-HR-5.33.C7</v>
      </c>
      <c r="K2276" s="5" t="s">
        <v>8629</v>
      </c>
      <c r="L2276" t="s">
        <v>229</v>
      </c>
      <c r="M2276" t="s">
        <v>8630</v>
      </c>
      <c r="N2276" t="s">
        <v>8631</v>
      </c>
      <c r="Q2276" s="28" t="s">
        <v>8685</v>
      </c>
    </row>
    <row r="2277" spans="1:17" x14ac:dyDescent="0.35">
      <c r="A2277" t="s">
        <v>8520</v>
      </c>
      <c r="B2277" s="3" t="s">
        <v>102</v>
      </c>
      <c r="F2277">
        <v>5</v>
      </c>
      <c r="G2277" t="s">
        <v>8607</v>
      </c>
      <c r="H2277">
        <v>34</v>
      </c>
      <c r="I2277" t="s">
        <v>9303</v>
      </c>
      <c r="J2277" t="str">
        <f t="shared" si="35"/>
        <v>13F-HR-5.34.C8</v>
      </c>
      <c r="K2277" s="5" t="s">
        <v>8633</v>
      </c>
      <c r="L2277" t="s">
        <v>4735</v>
      </c>
      <c r="M2277" t="s">
        <v>8634</v>
      </c>
      <c r="N2277" t="s">
        <v>8635</v>
      </c>
      <c r="Q2277" s="28" t="s">
        <v>8632</v>
      </c>
    </row>
    <row r="2278" spans="1:17" x14ac:dyDescent="0.35">
      <c r="A2278" t="s">
        <v>8520</v>
      </c>
      <c r="B2278" s="3" t="s">
        <v>102</v>
      </c>
      <c r="F2278">
        <v>5</v>
      </c>
      <c r="G2278" t="s">
        <v>8607</v>
      </c>
      <c r="H2278">
        <v>35</v>
      </c>
      <c r="I2278" t="s">
        <v>9304</v>
      </c>
      <c r="J2278" t="str">
        <f t="shared" si="35"/>
        <v>13F-HR-5.35.C9</v>
      </c>
      <c r="K2278" s="5" t="s">
        <v>8637</v>
      </c>
      <c r="L2278" t="s">
        <v>229</v>
      </c>
      <c r="M2278" t="s">
        <v>8638</v>
      </c>
      <c r="N2278" t="s">
        <v>8639</v>
      </c>
      <c r="Q2278" s="28" t="s">
        <v>8636</v>
      </c>
    </row>
    <row r="2279" spans="1:17" x14ac:dyDescent="0.35">
      <c r="A2279" t="s">
        <v>8520</v>
      </c>
      <c r="B2279" s="3" t="s">
        <v>102</v>
      </c>
      <c r="F2279">
        <v>5</v>
      </c>
      <c r="G2279" t="s">
        <v>8607</v>
      </c>
      <c r="H2279">
        <v>36</v>
      </c>
      <c r="I2279" t="s">
        <v>9305</v>
      </c>
      <c r="J2279" t="str">
        <f t="shared" si="35"/>
        <v>13F-HR-5.36.C10</v>
      </c>
      <c r="K2279" s="5" t="s">
        <v>8640</v>
      </c>
      <c r="L2279" t="s">
        <v>241</v>
      </c>
      <c r="M2279" t="s">
        <v>8641</v>
      </c>
      <c r="N2279" t="s">
        <v>8642</v>
      </c>
      <c r="Q2279" s="28">
        <v>4298</v>
      </c>
    </row>
    <row r="2280" spans="1:17" x14ac:dyDescent="0.35">
      <c r="A2280" t="s">
        <v>8520</v>
      </c>
      <c r="B2280" s="3" t="s">
        <v>102</v>
      </c>
      <c r="F2280">
        <v>5</v>
      </c>
      <c r="G2280" t="s">
        <v>8607</v>
      </c>
      <c r="H2280">
        <v>37</v>
      </c>
      <c r="I2280" t="s">
        <v>9306</v>
      </c>
      <c r="J2280" t="str">
        <f t="shared" si="35"/>
        <v>13F-HR-5.37.C11</v>
      </c>
      <c r="K2280" s="5" t="s">
        <v>8643</v>
      </c>
      <c r="L2280" t="s">
        <v>241</v>
      </c>
      <c r="M2280" t="s">
        <v>8644</v>
      </c>
      <c r="N2280" t="s">
        <v>8645</v>
      </c>
      <c r="Q2280" s="28">
        <v>0</v>
      </c>
    </row>
    <row r="2281" spans="1:17" x14ac:dyDescent="0.35">
      <c r="A2281" t="s">
        <v>8520</v>
      </c>
      <c r="B2281" s="3" t="s">
        <v>102</v>
      </c>
      <c r="F2281">
        <v>5</v>
      </c>
      <c r="G2281" t="s">
        <v>8607</v>
      </c>
      <c r="H2281">
        <v>38</v>
      </c>
      <c r="I2281" t="s">
        <v>9307</v>
      </c>
      <c r="J2281" t="str">
        <f t="shared" si="35"/>
        <v>13F-HR-5.38.C12</v>
      </c>
      <c r="K2281" s="5" t="s">
        <v>8646</v>
      </c>
      <c r="L2281" t="s">
        <v>241</v>
      </c>
      <c r="M2281" t="s">
        <v>8647</v>
      </c>
      <c r="N2281" t="s">
        <v>8648</v>
      </c>
      <c r="Q2281" s="28">
        <v>0</v>
      </c>
    </row>
    <row r="2282" spans="1:17" x14ac:dyDescent="0.35">
      <c r="A2282" t="s">
        <v>8520</v>
      </c>
      <c r="B2282" s="3" t="s">
        <v>102</v>
      </c>
      <c r="F2282">
        <v>5</v>
      </c>
      <c r="G2282" t="s">
        <v>8607</v>
      </c>
      <c r="H2282">
        <v>27</v>
      </c>
      <c r="I2282" t="s">
        <v>9296</v>
      </c>
      <c r="J2282" t="str">
        <f t="shared" si="35"/>
        <v>13F-HR-5.27.C1</v>
      </c>
      <c r="K2282" s="5" t="s">
        <v>8608</v>
      </c>
      <c r="L2282" t="s">
        <v>229</v>
      </c>
      <c r="M2282" t="s">
        <v>8609</v>
      </c>
      <c r="N2282" t="s">
        <v>8610</v>
      </c>
      <c r="Q2282" s="28" t="s">
        <v>8945</v>
      </c>
    </row>
    <row r="2283" spans="1:17" x14ac:dyDescent="0.35">
      <c r="A2283" t="s">
        <v>8520</v>
      </c>
      <c r="B2283" s="3" t="s">
        <v>102</v>
      </c>
      <c r="F2283">
        <v>5</v>
      </c>
      <c r="G2283" t="s">
        <v>8607</v>
      </c>
      <c r="H2283">
        <v>28</v>
      </c>
      <c r="I2283" t="s">
        <v>9297</v>
      </c>
      <c r="J2283" t="str">
        <f t="shared" si="35"/>
        <v>13F-HR-5.28.C2</v>
      </c>
      <c r="K2283" s="5" t="s">
        <v>8612</v>
      </c>
      <c r="L2283" t="s">
        <v>229</v>
      </c>
      <c r="M2283" t="s">
        <v>8613</v>
      </c>
      <c r="N2283" t="s">
        <v>8614</v>
      </c>
      <c r="Q2283" s="28" t="s">
        <v>8615</v>
      </c>
    </row>
    <row r="2284" spans="1:17" x14ac:dyDescent="0.35">
      <c r="A2284" t="s">
        <v>8520</v>
      </c>
      <c r="B2284" s="3" t="s">
        <v>102</v>
      </c>
      <c r="F2284">
        <v>5</v>
      </c>
      <c r="G2284" t="s">
        <v>8607</v>
      </c>
      <c r="H2284">
        <v>29</v>
      </c>
      <c r="I2284" t="s">
        <v>9298</v>
      </c>
      <c r="J2284" t="str">
        <f t="shared" si="35"/>
        <v>13F-HR-5.29.C3</v>
      </c>
      <c r="K2284" s="5" t="s">
        <v>8616</v>
      </c>
      <c r="L2284" t="s">
        <v>229</v>
      </c>
      <c r="M2284" t="s">
        <v>7927</v>
      </c>
      <c r="N2284" t="s">
        <v>8617</v>
      </c>
      <c r="Q2284" s="28">
        <v>666807102</v>
      </c>
    </row>
    <row r="2285" spans="1:17" x14ac:dyDescent="0.35">
      <c r="A2285" t="s">
        <v>8520</v>
      </c>
      <c r="B2285" s="3" t="s">
        <v>102</v>
      </c>
      <c r="F2285">
        <v>5</v>
      </c>
      <c r="G2285" t="s">
        <v>8607</v>
      </c>
      <c r="H2285">
        <v>30</v>
      </c>
      <c r="I2285" t="s">
        <v>9299</v>
      </c>
      <c r="J2285" t="str">
        <f t="shared" si="35"/>
        <v>13F-HR-5.30.C4</v>
      </c>
      <c r="K2285" s="5" t="s">
        <v>8618</v>
      </c>
      <c r="L2285" t="s">
        <v>8619</v>
      </c>
      <c r="M2285" t="s">
        <v>8620</v>
      </c>
      <c r="N2285" t="s">
        <v>8621</v>
      </c>
      <c r="Q2285" s="28">
        <v>50089938</v>
      </c>
    </row>
    <row r="2286" spans="1:17" x14ac:dyDescent="0.35">
      <c r="A2286" t="s">
        <v>8520</v>
      </c>
      <c r="B2286" s="3" t="s">
        <v>102</v>
      </c>
      <c r="F2286">
        <v>5</v>
      </c>
      <c r="G2286" t="s">
        <v>8607</v>
      </c>
      <c r="H2286">
        <v>31</v>
      </c>
      <c r="I2286" t="s">
        <v>9300</v>
      </c>
      <c r="J2286" t="str">
        <f t="shared" si="35"/>
        <v>13F-HR-5.31.C5</v>
      </c>
      <c r="K2286" s="5" t="s">
        <v>8622</v>
      </c>
      <c r="L2286" t="s">
        <v>241</v>
      </c>
      <c r="M2286" t="s">
        <v>8623</v>
      </c>
      <c r="N2286" t="s">
        <v>8624</v>
      </c>
      <c r="Q2286" s="28">
        <v>97830</v>
      </c>
    </row>
    <row r="2287" spans="1:17" x14ac:dyDescent="0.35">
      <c r="A2287" t="s">
        <v>8520</v>
      </c>
      <c r="B2287" s="3" t="s">
        <v>102</v>
      </c>
      <c r="F2287">
        <v>5</v>
      </c>
      <c r="G2287" t="s">
        <v>8607</v>
      </c>
      <c r="H2287">
        <v>32</v>
      </c>
      <c r="I2287" t="s">
        <v>9301</v>
      </c>
      <c r="J2287" t="str">
        <f t="shared" si="35"/>
        <v>13F-HR-5.32.C6</v>
      </c>
      <c r="K2287" s="5" t="s">
        <v>8625</v>
      </c>
      <c r="L2287" t="s">
        <v>229</v>
      </c>
      <c r="M2287" t="s">
        <v>8626</v>
      </c>
      <c r="N2287" t="s">
        <v>8627</v>
      </c>
      <c r="Q2287" s="28" t="s">
        <v>8628</v>
      </c>
    </row>
    <row r="2288" spans="1:17" x14ac:dyDescent="0.35">
      <c r="A2288" t="s">
        <v>8520</v>
      </c>
      <c r="B2288" s="3" t="s">
        <v>102</v>
      </c>
      <c r="F2288">
        <v>5</v>
      </c>
      <c r="G2288" t="s">
        <v>8607</v>
      </c>
      <c r="H2288">
        <v>33</v>
      </c>
      <c r="I2288" t="s">
        <v>9302</v>
      </c>
      <c r="J2288" t="str">
        <f t="shared" si="35"/>
        <v>13F-HR-5.33.C7</v>
      </c>
      <c r="K2288" s="5" t="s">
        <v>8629</v>
      </c>
      <c r="L2288" t="s">
        <v>229</v>
      </c>
      <c r="M2288" t="s">
        <v>8630</v>
      </c>
      <c r="N2288" t="s">
        <v>8631</v>
      </c>
      <c r="Q2288" s="28" t="s">
        <v>8685</v>
      </c>
    </row>
    <row r="2289" spans="1:17" x14ac:dyDescent="0.35">
      <c r="A2289" t="s">
        <v>8520</v>
      </c>
      <c r="B2289" s="3" t="s">
        <v>102</v>
      </c>
      <c r="F2289">
        <v>5</v>
      </c>
      <c r="G2289" t="s">
        <v>8607</v>
      </c>
      <c r="H2289">
        <v>34</v>
      </c>
      <c r="I2289" t="s">
        <v>9303</v>
      </c>
      <c r="J2289" t="str">
        <f t="shared" si="35"/>
        <v>13F-HR-5.34.C8</v>
      </c>
      <c r="K2289" s="5" t="s">
        <v>8633</v>
      </c>
      <c r="L2289" t="s">
        <v>4735</v>
      </c>
      <c r="M2289" t="s">
        <v>8634</v>
      </c>
      <c r="N2289" t="s">
        <v>8635</v>
      </c>
      <c r="Q2289" s="28" t="s">
        <v>8632</v>
      </c>
    </row>
    <row r="2290" spans="1:17" x14ac:dyDescent="0.35">
      <c r="A2290" t="s">
        <v>8520</v>
      </c>
      <c r="B2290" s="3" t="s">
        <v>102</v>
      </c>
      <c r="F2290">
        <v>5</v>
      </c>
      <c r="G2290" t="s">
        <v>8607</v>
      </c>
      <c r="H2290">
        <v>35</v>
      </c>
      <c r="I2290" t="s">
        <v>9304</v>
      </c>
      <c r="J2290" t="str">
        <f t="shared" si="35"/>
        <v>13F-HR-5.35.C9</v>
      </c>
      <c r="K2290" s="5" t="s">
        <v>8637</v>
      </c>
      <c r="L2290" t="s">
        <v>229</v>
      </c>
      <c r="M2290" t="s">
        <v>8638</v>
      </c>
      <c r="N2290" t="s">
        <v>8639</v>
      </c>
      <c r="Q2290" s="28" t="s">
        <v>8636</v>
      </c>
    </row>
    <row r="2291" spans="1:17" x14ac:dyDescent="0.35">
      <c r="A2291" t="s">
        <v>8520</v>
      </c>
      <c r="B2291" s="3" t="s">
        <v>102</v>
      </c>
      <c r="F2291">
        <v>5</v>
      </c>
      <c r="G2291" t="s">
        <v>8607</v>
      </c>
      <c r="H2291">
        <v>36</v>
      </c>
      <c r="I2291" t="s">
        <v>9305</v>
      </c>
      <c r="J2291" t="str">
        <f t="shared" si="35"/>
        <v>13F-HR-5.36.C10</v>
      </c>
      <c r="K2291" s="5" t="s">
        <v>8640</v>
      </c>
      <c r="L2291" t="s">
        <v>241</v>
      </c>
      <c r="M2291" t="s">
        <v>8641</v>
      </c>
      <c r="N2291" t="s">
        <v>8642</v>
      </c>
      <c r="Q2291" s="28">
        <v>46868</v>
      </c>
    </row>
    <row r="2292" spans="1:17" x14ac:dyDescent="0.35">
      <c r="A2292" t="s">
        <v>8520</v>
      </c>
      <c r="B2292" s="3" t="s">
        <v>102</v>
      </c>
      <c r="F2292">
        <v>5</v>
      </c>
      <c r="G2292" t="s">
        <v>8607</v>
      </c>
      <c r="H2292">
        <v>37</v>
      </c>
      <c r="I2292" t="s">
        <v>9306</v>
      </c>
      <c r="J2292" t="str">
        <f t="shared" si="35"/>
        <v>13F-HR-5.37.C11</v>
      </c>
      <c r="K2292" s="5" t="s">
        <v>8643</v>
      </c>
      <c r="L2292" t="s">
        <v>241</v>
      </c>
      <c r="M2292" t="s">
        <v>8644</v>
      </c>
      <c r="N2292" t="s">
        <v>8645</v>
      </c>
      <c r="Q2292" s="28">
        <v>0</v>
      </c>
    </row>
    <row r="2293" spans="1:17" x14ac:dyDescent="0.35">
      <c r="A2293" t="s">
        <v>8520</v>
      </c>
      <c r="B2293" s="3" t="s">
        <v>102</v>
      </c>
      <c r="F2293">
        <v>5</v>
      </c>
      <c r="G2293" t="s">
        <v>8607</v>
      </c>
      <c r="H2293">
        <v>38</v>
      </c>
      <c r="I2293" t="s">
        <v>9307</v>
      </c>
      <c r="J2293" t="str">
        <f t="shared" si="35"/>
        <v>13F-HR-5.38.C12</v>
      </c>
      <c r="K2293" s="5" t="s">
        <v>8646</v>
      </c>
      <c r="L2293" t="s">
        <v>241</v>
      </c>
      <c r="M2293" t="s">
        <v>8647</v>
      </c>
      <c r="N2293" t="s">
        <v>8648</v>
      </c>
      <c r="Q2293" s="28">
        <v>50962</v>
      </c>
    </row>
    <row r="2294" spans="1:17" x14ac:dyDescent="0.35">
      <c r="A2294" t="s">
        <v>8520</v>
      </c>
      <c r="B2294" s="3" t="s">
        <v>102</v>
      </c>
      <c r="F2294">
        <v>5</v>
      </c>
      <c r="G2294" t="s">
        <v>8607</v>
      </c>
      <c r="H2294">
        <v>27</v>
      </c>
      <c r="I2294" t="s">
        <v>9296</v>
      </c>
      <c r="J2294" t="str">
        <f t="shared" si="35"/>
        <v>13F-HR-5.27.C1</v>
      </c>
      <c r="K2294" s="5" t="s">
        <v>8608</v>
      </c>
      <c r="L2294" t="s">
        <v>229</v>
      </c>
      <c r="M2294" t="s">
        <v>8609</v>
      </c>
      <c r="N2294" t="s">
        <v>8610</v>
      </c>
      <c r="Q2294" s="28" t="s">
        <v>8946</v>
      </c>
    </row>
    <row r="2295" spans="1:17" x14ac:dyDescent="0.35">
      <c r="A2295" t="s">
        <v>8520</v>
      </c>
      <c r="B2295" s="3" t="s">
        <v>102</v>
      </c>
      <c r="F2295">
        <v>5</v>
      </c>
      <c r="G2295" t="s">
        <v>8607</v>
      </c>
      <c r="H2295">
        <v>28</v>
      </c>
      <c r="I2295" t="s">
        <v>9297</v>
      </c>
      <c r="J2295" t="str">
        <f t="shared" si="35"/>
        <v>13F-HR-5.28.C2</v>
      </c>
      <c r="K2295" s="5" t="s">
        <v>8612</v>
      </c>
      <c r="L2295" t="s">
        <v>229</v>
      </c>
      <c r="M2295" t="s">
        <v>8613</v>
      </c>
      <c r="N2295" t="s">
        <v>8614</v>
      </c>
      <c r="Q2295" s="28" t="s">
        <v>8867</v>
      </c>
    </row>
    <row r="2296" spans="1:17" x14ac:dyDescent="0.35">
      <c r="A2296" t="s">
        <v>8520</v>
      </c>
      <c r="B2296" s="3" t="s">
        <v>102</v>
      </c>
      <c r="F2296">
        <v>5</v>
      </c>
      <c r="G2296" t="s">
        <v>8607</v>
      </c>
      <c r="H2296">
        <v>29</v>
      </c>
      <c r="I2296" t="s">
        <v>9298</v>
      </c>
      <c r="J2296" t="str">
        <f t="shared" si="35"/>
        <v>13F-HR-5.29.C3</v>
      </c>
      <c r="K2296" s="5" t="s">
        <v>8616</v>
      </c>
      <c r="L2296" t="s">
        <v>229</v>
      </c>
      <c r="M2296" t="s">
        <v>7927</v>
      </c>
      <c r="N2296" t="s">
        <v>8617</v>
      </c>
      <c r="Q2296" s="28">
        <v>670100205</v>
      </c>
    </row>
    <row r="2297" spans="1:17" x14ac:dyDescent="0.35">
      <c r="A2297" t="s">
        <v>8520</v>
      </c>
      <c r="B2297" s="3" t="s">
        <v>102</v>
      </c>
      <c r="F2297">
        <v>5</v>
      </c>
      <c r="G2297" t="s">
        <v>8607</v>
      </c>
      <c r="H2297">
        <v>30</v>
      </c>
      <c r="I2297" t="s">
        <v>9299</v>
      </c>
      <c r="J2297" t="str">
        <f t="shared" si="35"/>
        <v>13F-HR-5.30.C4</v>
      </c>
      <c r="K2297" s="5" t="s">
        <v>8618</v>
      </c>
      <c r="L2297" t="s">
        <v>8619</v>
      </c>
      <c r="M2297" t="s">
        <v>8620</v>
      </c>
      <c r="N2297" t="s">
        <v>8621</v>
      </c>
      <c r="Q2297" s="28">
        <v>3966482</v>
      </c>
    </row>
    <row r="2298" spans="1:17" x14ac:dyDescent="0.35">
      <c r="A2298" t="s">
        <v>8520</v>
      </c>
      <c r="B2298" s="3" t="s">
        <v>102</v>
      </c>
      <c r="F2298">
        <v>5</v>
      </c>
      <c r="G2298" t="s">
        <v>8607</v>
      </c>
      <c r="H2298">
        <v>31</v>
      </c>
      <c r="I2298" t="s">
        <v>9300</v>
      </c>
      <c r="J2298" t="str">
        <f t="shared" si="35"/>
        <v>13F-HR-5.31.C5</v>
      </c>
      <c r="K2298" s="5" t="s">
        <v>8622</v>
      </c>
      <c r="L2298" t="s">
        <v>241</v>
      </c>
      <c r="M2298" t="s">
        <v>8623</v>
      </c>
      <c r="N2298" t="s">
        <v>8624</v>
      </c>
      <c r="Q2298" s="28">
        <v>57121</v>
      </c>
    </row>
    <row r="2299" spans="1:17" x14ac:dyDescent="0.35">
      <c r="A2299" t="s">
        <v>8520</v>
      </c>
      <c r="B2299" s="3" t="s">
        <v>102</v>
      </c>
      <c r="F2299">
        <v>5</v>
      </c>
      <c r="G2299" t="s">
        <v>8607</v>
      </c>
      <c r="H2299">
        <v>32</v>
      </c>
      <c r="I2299" t="s">
        <v>9301</v>
      </c>
      <c r="J2299" t="str">
        <f t="shared" si="35"/>
        <v>13F-HR-5.32.C6</v>
      </c>
      <c r="K2299" s="5" t="s">
        <v>8625</v>
      </c>
      <c r="L2299" t="s">
        <v>229</v>
      </c>
      <c r="M2299" t="s">
        <v>8626</v>
      </c>
      <c r="N2299" t="s">
        <v>8627</v>
      </c>
      <c r="Q2299" s="28" t="s">
        <v>8628</v>
      </c>
    </row>
    <row r="2300" spans="1:17" x14ac:dyDescent="0.35">
      <c r="A2300" t="s">
        <v>8520</v>
      </c>
      <c r="B2300" s="3" t="s">
        <v>102</v>
      </c>
      <c r="F2300">
        <v>5</v>
      </c>
      <c r="G2300" t="s">
        <v>8607</v>
      </c>
      <c r="H2300">
        <v>33</v>
      </c>
      <c r="I2300" t="s">
        <v>9302</v>
      </c>
      <c r="J2300" t="str">
        <f t="shared" si="35"/>
        <v>13F-HR-5.33.C7</v>
      </c>
      <c r="K2300" s="5" t="s">
        <v>8629</v>
      </c>
      <c r="L2300" t="s">
        <v>229</v>
      </c>
      <c r="M2300" t="s">
        <v>8630</v>
      </c>
      <c r="N2300" t="s">
        <v>8631</v>
      </c>
      <c r="Q2300" s="28" t="s">
        <v>8685</v>
      </c>
    </row>
    <row r="2301" spans="1:17" x14ac:dyDescent="0.35">
      <c r="A2301" t="s">
        <v>8520</v>
      </c>
      <c r="B2301" s="3" t="s">
        <v>102</v>
      </c>
      <c r="F2301">
        <v>5</v>
      </c>
      <c r="G2301" t="s">
        <v>8607</v>
      </c>
      <c r="H2301">
        <v>34</v>
      </c>
      <c r="I2301" t="s">
        <v>9303</v>
      </c>
      <c r="J2301" t="str">
        <f t="shared" si="35"/>
        <v>13F-HR-5.34.C8</v>
      </c>
      <c r="K2301" s="5" t="s">
        <v>8633</v>
      </c>
      <c r="L2301" t="s">
        <v>4735</v>
      </c>
      <c r="M2301" t="s">
        <v>8634</v>
      </c>
      <c r="N2301" t="s">
        <v>8635</v>
      </c>
      <c r="Q2301" s="28" t="s">
        <v>8632</v>
      </c>
    </row>
    <row r="2302" spans="1:17" x14ac:dyDescent="0.35">
      <c r="A2302" t="s">
        <v>8520</v>
      </c>
      <c r="B2302" s="3" t="s">
        <v>102</v>
      </c>
      <c r="F2302">
        <v>5</v>
      </c>
      <c r="G2302" t="s">
        <v>8607</v>
      </c>
      <c r="H2302">
        <v>35</v>
      </c>
      <c r="I2302" t="s">
        <v>9304</v>
      </c>
      <c r="J2302" t="str">
        <f t="shared" si="35"/>
        <v>13F-HR-5.35.C9</v>
      </c>
      <c r="K2302" s="5" t="s">
        <v>8637</v>
      </c>
      <c r="L2302" t="s">
        <v>229</v>
      </c>
      <c r="M2302" t="s">
        <v>8638</v>
      </c>
      <c r="N2302" t="s">
        <v>8639</v>
      </c>
      <c r="Q2302" s="28" t="s">
        <v>8636</v>
      </c>
    </row>
    <row r="2303" spans="1:17" x14ac:dyDescent="0.35">
      <c r="A2303" t="s">
        <v>8520</v>
      </c>
      <c r="B2303" s="3" t="s">
        <v>102</v>
      </c>
      <c r="F2303">
        <v>5</v>
      </c>
      <c r="G2303" t="s">
        <v>8607</v>
      </c>
      <c r="H2303">
        <v>36</v>
      </c>
      <c r="I2303" t="s">
        <v>9305</v>
      </c>
      <c r="J2303" t="str">
        <f t="shared" si="35"/>
        <v>13F-HR-5.36.C10</v>
      </c>
      <c r="K2303" s="5" t="s">
        <v>8640</v>
      </c>
      <c r="L2303" t="s">
        <v>241</v>
      </c>
      <c r="M2303" t="s">
        <v>8641</v>
      </c>
      <c r="N2303" t="s">
        <v>8642</v>
      </c>
      <c r="Q2303" s="28">
        <v>10869</v>
      </c>
    </row>
    <row r="2304" spans="1:17" x14ac:dyDescent="0.35">
      <c r="A2304" t="s">
        <v>8520</v>
      </c>
      <c r="B2304" s="3" t="s">
        <v>102</v>
      </c>
      <c r="F2304">
        <v>5</v>
      </c>
      <c r="G2304" t="s">
        <v>8607</v>
      </c>
      <c r="H2304">
        <v>37</v>
      </c>
      <c r="I2304" t="s">
        <v>9306</v>
      </c>
      <c r="J2304" t="str">
        <f t="shared" si="35"/>
        <v>13F-HR-5.37.C11</v>
      </c>
      <c r="K2304" s="5" t="s">
        <v>8643</v>
      </c>
      <c r="L2304" t="s">
        <v>241</v>
      </c>
      <c r="M2304" t="s">
        <v>8644</v>
      </c>
      <c r="N2304" t="s">
        <v>8645</v>
      </c>
      <c r="Q2304" s="28">
        <v>0</v>
      </c>
    </row>
    <row r="2305" spans="1:17" x14ac:dyDescent="0.35">
      <c r="A2305" t="s">
        <v>8520</v>
      </c>
      <c r="B2305" s="3" t="s">
        <v>102</v>
      </c>
      <c r="F2305">
        <v>5</v>
      </c>
      <c r="G2305" t="s">
        <v>8607</v>
      </c>
      <c r="H2305">
        <v>38</v>
      </c>
      <c r="I2305" t="s">
        <v>9307</v>
      </c>
      <c r="J2305" t="str">
        <f t="shared" si="35"/>
        <v>13F-HR-5.38.C12</v>
      </c>
      <c r="K2305" s="5" t="s">
        <v>8646</v>
      </c>
      <c r="L2305" t="s">
        <v>241</v>
      </c>
      <c r="M2305" t="s">
        <v>8647</v>
      </c>
      <c r="N2305" t="s">
        <v>8648</v>
      </c>
      <c r="Q2305" s="28">
        <v>46252</v>
      </c>
    </row>
    <row r="2306" spans="1:17" x14ac:dyDescent="0.35">
      <c r="A2306" t="s">
        <v>8520</v>
      </c>
      <c r="B2306" s="3" t="s">
        <v>102</v>
      </c>
      <c r="F2306">
        <v>5</v>
      </c>
      <c r="G2306" t="s">
        <v>8607</v>
      </c>
      <c r="H2306">
        <v>27</v>
      </c>
      <c r="I2306" t="s">
        <v>9296</v>
      </c>
      <c r="J2306" t="str">
        <f t="shared" si="35"/>
        <v>13F-HR-5.27.C1</v>
      </c>
      <c r="K2306" s="5" t="s">
        <v>8608</v>
      </c>
      <c r="L2306" t="s">
        <v>229</v>
      </c>
      <c r="M2306" t="s">
        <v>8609</v>
      </c>
      <c r="N2306" t="s">
        <v>8610</v>
      </c>
      <c r="Q2306" s="28" t="s">
        <v>8947</v>
      </c>
    </row>
    <row r="2307" spans="1:17" x14ac:dyDescent="0.35">
      <c r="A2307" t="s">
        <v>8520</v>
      </c>
      <c r="B2307" s="3" t="s">
        <v>102</v>
      </c>
      <c r="F2307">
        <v>5</v>
      </c>
      <c r="G2307" t="s">
        <v>8607</v>
      </c>
      <c r="H2307">
        <v>28</v>
      </c>
      <c r="I2307" t="s">
        <v>9297</v>
      </c>
      <c r="J2307" t="str">
        <f t="shared" ref="J2307:J2370" si="36">_xlfn.CONCAT(A2307,"-",F2307,".",H2307,".",I2307)</f>
        <v>13F-HR-5.28.C2</v>
      </c>
      <c r="K2307" s="5" t="s">
        <v>8612</v>
      </c>
      <c r="L2307" t="s">
        <v>229</v>
      </c>
      <c r="M2307" t="s">
        <v>8613</v>
      </c>
      <c r="N2307" t="s">
        <v>8614</v>
      </c>
      <c r="Q2307" s="28" t="s">
        <v>8615</v>
      </c>
    </row>
    <row r="2308" spans="1:17" x14ac:dyDescent="0.35">
      <c r="A2308" t="s">
        <v>8520</v>
      </c>
      <c r="B2308" s="3" t="s">
        <v>102</v>
      </c>
      <c r="F2308">
        <v>5</v>
      </c>
      <c r="G2308" t="s">
        <v>8607</v>
      </c>
      <c r="H2308">
        <v>29</v>
      </c>
      <c r="I2308" t="s">
        <v>9298</v>
      </c>
      <c r="J2308" t="str">
        <f t="shared" si="36"/>
        <v>13F-HR-5.29.C3</v>
      </c>
      <c r="K2308" s="5" t="s">
        <v>8616</v>
      </c>
      <c r="L2308" t="s">
        <v>229</v>
      </c>
      <c r="M2308" t="s">
        <v>7927</v>
      </c>
      <c r="N2308" t="s">
        <v>8617</v>
      </c>
      <c r="Q2308" s="28" t="s">
        <v>8948</v>
      </c>
    </row>
    <row r="2309" spans="1:17" x14ac:dyDescent="0.35">
      <c r="A2309" t="s">
        <v>8520</v>
      </c>
      <c r="B2309" s="3" t="s">
        <v>102</v>
      </c>
      <c r="F2309">
        <v>5</v>
      </c>
      <c r="G2309" t="s">
        <v>8607</v>
      </c>
      <c r="H2309">
        <v>30</v>
      </c>
      <c r="I2309" t="s">
        <v>9299</v>
      </c>
      <c r="J2309" t="str">
        <f t="shared" si="36"/>
        <v>13F-HR-5.30.C4</v>
      </c>
      <c r="K2309" s="5" t="s">
        <v>8618</v>
      </c>
      <c r="L2309" t="s">
        <v>8619</v>
      </c>
      <c r="M2309" t="s">
        <v>8620</v>
      </c>
      <c r="N2309" t="s">
        <v>8621</v>
      </c>
      <c r="Q2309" s="28">
        <v>152196733</v>
      </c>
    </row>
    <row r="2310" spans="1:17" x14ac:dyDescent="0.35">
      <c r="A2310" t="s">
        <v>8520</v>
      </c>
      <c r="B2310" s="3" t="s">
        <v>102</v>
      </c>
      <c r="F2310">
        <v>5</v>
      </c>
      <c r="G2310" t="s">
        <v>8607</v>
      </c>
      <c r="H2310">
        <v>31</v>
      </c>
      <c r="I2310" t="s">
        <v>9300</v>
      </c>
      <c r="J2310" t="str">
        <f t="shared" si="36"/>
        <v>13F-HR-5.31.C5</v>
      </c>
      <c r="K2310" s="5" t="s">
        <v>8622</v>
      </c>
      <c r="L2310" t="s">
        <v>241</v>
      </c>
      <c r="M2310" t="s">
        <v>8623</v>
      </c>
      <c r="N2310" t="s">
        <v>8624</v>
      </c>
      <c r="Q2310" s="28">
        <v>1404288</v>
      </c>
    </row>
    <row r="2311" spans="1:17" x14ac:dyDescent="0.35">
      <c r="A2311" t="s">
        <v>8520</v>
      </c>
      <c r="B2311" s="3" t="s">
        <v>102</v>
      </c>
      <c r="F2311">
        <v>5</v>
      </c>
      <c r="G2311" t="s">
        <v>8607</v>
      </c>
      <c r="H2311">
        <v>32</v>
      </c>
      <c r="I2311" t="s">
        <v>9301</v>
      </c>
      <c r="J2311" t="str">
        <f t="shared" si="36"/>
        <v>13F-HR-5.32.C6</v>
      </c>
      <c r="K2311" s="5" t="s">
        <v>8625</v>
      </c>
      <c r="L2311" t="s">
        <v>229</v>
      </c>
      <c r="M2311" t="s">
        <v>8626</v>
      </c>
      <c r="N2311" t="s">
        <v>8627</v>
      </c>
      <c r="Q2311" s="28" t="s">
        <v>8628</v>
      </c>
    </row>
    <row r="2312" spans="1:17" x14ac:dyDescent="0.35">
      <c r="A2312" t="s">
        <v>8520</v>
      </c>
      <c r="B2312" s="3" t="s">
        <v>102</v>
      </c>
      <c r="F2312">
        <v>5</v>
      </c>
      <c r="G2312" t="s">
        <v>8607</v>
      </c>
      <c r="H2312">
        <v>33</v>
      </c>
      <c r="I2312" t="s">
        <v>9302</v>
      </c>
      <c r="J2312" t="str">
        <f t="shared" si="36"/>
        <v>13F-HR-5.33.C7</v>
      </c>
      <c r="K2312" s="5" t="s">
        <v>8629</v>
      </c>
      <c r="L2312" t="s">
        <v>229</v>
      </c>
      <c r="M2312" t="s">
        <v>8630</v>
      </c>
      <c r="N2312" t="s">
        <v>8631</v>
      </c>
      <c r="Q2312" s="28" t="s">
        <v>8685</v>
      </c>
    </row>
    <row r="2313" spans="1:17" x14ac:dyDescent="0.35">
      <c r="A2313" t="s">
        <v>8520</v>
      </c>
      <c r="B2313" s="3" t="s">
        <v>102</v>
      </c>
      <c r="F2313">
        <v>5</v>
      </c>
      <c r="G2313" t="s">
        <v>8607</v>
      </c>
      <c r="H2313">
        <v>34</v>
      </c>
      <c r="I2313" t="s">
        <v>9303</v>
      </c>
      <c r="J2313" t="str">
        <f t="shared" si="36"/>
        <v>13F-HR-5.34.C8</v>
      </c>
      <c r="K2313" s="5" t="s">
        <v>8633</v>
      </c>
      <c r="L2313" t="s">
        <v>4735</v>
      </c>
      <c r="M2313" t="s">
        <v>8634</v>
      </c>
      <c r="N2313" t="s">
        <v>8635</v>
      </c>
      <c r="Q2313" s="28" t="s">
        <v>8632</v>
      </c>
    </row>
    <row r="2314" spans="1:17" x14ac:dyDescent="0.35">
      <c r="A2314" t="s">
        <v>8520</v>
      </c>
      <c r="B2314" s="3" t="s">
        <v>102</v>
      </c>
      <c r="F2314">
        <v>5</v>
      </c>
      <c r="G2314" t="s">
        <v>8607</v>
      </c>
      <c r="H2314">
        <v>35</v>
      </c>
      <c r="I2314" t="s">
        <v>9304</v>
      </c>
      <c r="J2314" t="str">
        <f t="shared" si="36"/>
        <v>13F-HR-5.35.C9</v>
      </c>
      <c r="K2314" s="5" t="s">
        <v>8637</v>
      </c>
      <c r="L2314" t="s">
        <v>229</v>
      </c>
      <c r="M2314" t="s">
        <v>8638</v>
      </c>
      <c r="N2314" t="s">
        <v>8639</v>
      </c>
      <c r="Q2314" s="28" t="s">
        <v>8636</v>
      </c>
    </row>
    <row r="2315" spans="1:17" x14ac:dyDescent="0.35">
      <c r="A2315" t="s">
        <v>8520</v>
      </c>
      <c r="B2315" s="3" t="s">
        <v>102</v>
      </c>
      <c r="F2315">
        <v>5</v>
      </c>
      <c r="G2315" t="s">
        <v>8607</v>
      </c>
      <c r="H2315">
        <v>36</v>
      </c>
      <c r="I2315" t="s">
        <v>9305</v>
      </c>
      <c r="J2315" t="str">
        <f t="shared" si="36"/>
        <v>13F-HR-5.36.C10</v>
      </c>
      <c r="K2315" s="5" t="s">
        <v>8640</v>
      </c>
      <c r="L2315" t="s">
        <v>241</v>
      </c>
      <c r="M2315" t="s">
        <v>8641</v>
      </c>
      <c r="N2315" t="s">
        <v>8642</v>
      </c>
      <c r="Q2315" s="28">
        <v>1064003</v>
      </c>
    </row>
    <row r="2316" spans="1:17" x14ac:dyDescent="0.35">
      <c r="A2316" t="s">
        <v>8520</v>
      </c>
      <c r="B2316" s="3" t="s">
        <v>102</v>
      </c>
      <c r="F2316">
        <v>5</v>
      </c>
      <c r="G2316" t="s">
        <v>8607</v>
      </c>
      <c r="H2316">
        <v>37</v>
      </c>
      <c r="I2316" t="s">
        <v>9306</v>
      </c>
      <c r="J2316" t="str">
        <f t="shared" si="36"/>
        <v>13F-HR-5.37.C11</v>
      </c>
      <c r="K2316" s="5" t="s">
        <v>8643</v>
      </c>
      <c r="L2316" t="s">
        <v>241</v>
      </c>
      <c r="M2316" t="s">
        <v>8644</v>
      </c>
      <c r="N2316" t="s">
        <v>8645</v>
      </c>
      <c r="Q2316" s="28">
        <v>0</v>
      </c>
    </row>
    <row r="2317" spans="1:17" x14ac:dyDescent="0.35">
      <c r="A2317" t="s">
        <v>8520</v>
      </c>
      <c r="B2317" s="3" t="s">
        <v>102</v>
      </c>
      <c r="F2317">
        <v>5</v>
      </c>
      <c r="G2317" t="s">
        <v>8607</v>
      </c>
      <c r="H2317">
        <v>38</v>
      </c>
      <c r="I2317" t="s">
        <v>9307</v>
      </c>
      <c r="J2317" t="str">
        <f t="shared" si="36"/>
        <v>13F-HR-5.38.C12</v>
      </c>
      <c r="K2317" s="5" t="s">
        <v>8646</v>
      </c>
      <c r="L2317" t="s">
        <v>241</v>
      </c>
      <c r="M2317" t="s">
        <v>8647</v>
      </c>
      <c r="N2317" t="s">
        <v>8648</v>
      </c>
      <c r="Q2317" s="28">
        <v>340285</v>
      </c>
    </row>
    <row r="2318" spans="1:17" x14ac:dyDescent="0.35">
      <c r="A2318" t="s">
        <v>8520</v>
      </c>
      <c r="B2318" s="3" t="s">
        <v>102</v>
      </c>
      <c r="F2318">
        <v>5</v>
      </c>
      <c r="G2318" t="s">
        <v>8607</v>
      </c>
      <c r="H2318">
        <v>27</v>
      </c>
      <c r="I2318" t="s">
        <v>9296</v>
      </c>
      <c r="J2318" t="str">
        <f t="shared" si="36"/>
        <v>13F-HR-5.27.C1</v>
      </c>
      <c r="K2318" s="5" t="s">
        <v>8608</v>
      </c>
      <c r="L2318" t="s">
        <v>229</v>
      </c>
      <c r="M2318" t="s">
        <v>8609</v>
      </c>
      <c r="N2318" t="s">
        <v>8610</v>
      </c>
      <c r="Q2318" s="28" t="s">
        <v>8949</v>
      </c>
    </row>
    <row r="2319" spans="1:17" x14ac:dyDescent="0.35">
      <c r="A2319" t="s">
        <v>8520</v>
      </c>
      <c r="B2319" s="3" t="s">
        <v>102</v>
      </c>
      <c r="F2319">
        <v>5</v>
      </c>
      <c r="G2319" t="s">
        <v>8607</v>
      </c>
      <c r="H2319">
        <v>28</v>
      </c>
      <c r="I2319" t="s">
        <v>9297</v>
      </c>
      <c r="J2319" t="str">
        <f t="shared" si="36"/>
        <v>13F-HR-5.28.C2</v>
      </c>
      <c r="K2319" s="5" t="s">
        <v>8612</v>
      </c>
      <c r="L2319" t="s">
        <v>229</v>
      </c>
      <c r="M2319" t="s">
        <v>8613</v>
      </c>
      <c r="N2319" t="s">
        <v>8614</v>
      </c>
      <c r="Q2319" s="28" t="s">
        <v>8615</v>
      </c>
    </row>
    <row r="2320" spans="1:17" x14ac:dyDescent="0.35">
      <c r="A2320" t="s">
        <v>8520</v>
      </c>
      <c r="B2320" s="3" t="s">
        <v>102</v>
      </c>
      <c r="F2320">
        <v>5</v>
      </c>
      <c r="G2320" t="s">
        <v>8607</v>
      </c>
      <c r="H2320">
        <v>29</v>
      </c>
      <c r="I2320" t="s">
        <v>9298</v>
      </c>
      <c r="J2320" t="str">
        <f t="shared" si="36"/>
        <v>13F-HR-5.29.C3</v>
      </c>
      <c r="K2320" s="5" t="s">
        <v>8616</v>
      </c>
      <c r="L2320" t="s">
        <v>229</v>
      </c>
      <c r="M2320" t="s">
        <v>7927</v>
      </c>
      <c r="N2320" t="s">
        <v>8617</v>
      </c>
      <c r="Q2320" s="28" t="s">
        <v>8950</v>
      </c>
    </row>
    <row r="2321" spans="1:17" x14ac:dyDescent="0.35">
      <c r="A2321" t="s">
        <v>8520</v>
      </c>
      <c r="B2321" s="3" t="s">
        <v>102</v>
      </c>
      <c r="F2321">
        <v>5</v>
      </c>
      <c r="G2321" t="s">
        <v>8607</v>
      </c>
      <c r="H2321">
        <v>30</v>
      </c>
      <c r="I2321" t="s">
        <v>9299</v>
      </c>
      <c r="J2321" t="str">
        <f t="shared" si="36"/>
        <v>13F-HR-5.30.C4</v>
      </c>
      <c r="K2321" s="5" t="s">
        <v>8618</v>
      </c>
      <c r="L2321" t="s">
        <v>8619</v>
      </c>
      <c r="M2321" t="s">
        <v>8620</v>
      </c>
      <c r="N2321" t="s">
        <v>8621</v>
      </c>
      <c r="Q2321" s="28">
        <v>17002283</v>
      </c>
    </row>
    <row r="2322" spans="1:17" x14ac:dyDescent="0.35">
      <c r="A2322" t="s">
        <v>8520</v>
      </c>
      <c r="B2322" s="3" t="s">
        <v>102</v>
      </c>
      <c r="F2322">
        <v>5</v>
      </c>
      <c r="G2322" t="s">
        <v>8607</v>
      </c>
      <c r="H2322">
        <v>31</v>
      </c>
      <c r="I2322" t="s">
        <v>9300</v>
      </c>
      <c r="J2322" t="str">
        <f t="shared" si="36"/>
        <v>13F-HR-5.31.C5</v>
      </c>
      <c r="K2322" s="5" t="s">
        <v>8622</v>
      </c>
      <c r="L2322" t="s">
        <v>241</v>
      </c>
      <c r="M2322" t="s">
        <v>8623</v>
      </c>
      <c r="N2322" t="s">
        <v>8624</v>
      </c>
      <c r="Q2322" s="28">
        <v>342581</v>
      </c>
    </row>
    <row r="2323" spans="1:17" x14ac:dyDescent="0.35">
      <c r="A2323" t="s">
        <v>8520</v>
      </c>
      <c r="B2323" s="3" t="s">
        <v>102</v>
      </c>
      <c r="F2323">
        <v>5</v>
      </c>
      <c r="G2323" t="s">
        <v>8607</v>
      </c>
      <c r="H2323">
        <v>32</v>
      </c>
      <c r="I2323" t="s">
        <v>9301</v>
      </c>
      <c r="J2323" t="str">
        <f t="shared" si="36"/>
        <v>13F-HR-5.32.C6</v>
      </c>
      <c r="K2323" s="5" t="s">
        <v>8625</v>
      </c>
      <c r="L2323" t="s">
        <v>229</v>
      </c>
      <c r="M2323" t="s">
        <v>8626</v>
      </c>
      <c r="N2323" t="s">
        <v>8627</v>
      </c>
      <c r="Q2323" s="28" t="s">
        <v>8628</v>
      </c>
    </row>
    <row r="2324" spans="1:17" x14ac:dyDescent="0.35">
      <c r="A2324" t="s">
        <v>8520</v>
      </c>
      <c r="B2324" s="3" t="s">
        <v>102</v>
      </c>
      <c r="F2324">
        <v>5</v>
      </c>
      <c r="G2324" t="s">
        <v>8607</v>
      </c>
      <c r="H2324">
        <v>33</v>
      </c>
      <c r="I2324" t="s">
        <v>9302</v>
      </c>
      <c r="J2324" t="str">
        <f t="shared" si="36"/>
        <v>13F-HR-5.33.C7</v>
      </c>
      <c r="K2324" s="5" t="s">
        <v>8629</v>
      </c>
      <c r="L2324" t="s">
        <v>229</v>
      </c>
      <c r="M2324" t="s">
        <v>8630</v>
      </c>
      <c r="N2324" t="s">
        <v>8631</v>
      </c>
      <c r="Q2324" s="28" t="s">
        <v>8685</v>
      </c>
    </row>
    <row r="2325" spans="1:17" x14ac:dyDescent="0.35">
      <c r="A2325" t="s">
        <v>8520</v>
      </c>
      <c r="B2325" s="3" t="s">
        <v>102</v>
      </c>
      <c r="F2325">
        <v>5</v>
      </c>
      <c r="G2325" t="s">
        <v>8607</v>
      </c>
      <c r="H2325">
        <v>34</v>
      </c>
      <c r="I2325" t="s">
        <v>9303</v>
      </c>
      <c r="J2325" t="str">
        <f t="shared" si="36"/>
        <v>13F-HR-5.34.C8</v>
      </c>
      <c r="K2325" s="5" t="s">
        <v>8633</v>
      </c>
      <c r="L2325" t="s">
        <v>4735</v>
      </c>
      <c r="M2325" t="s">
        <v>8634</v>
      </c>
      <c r="N2325" t="s">
        <v>8635</v>
      </c>
      <c r="Q2325" s="28" t="s">
        <v>8632</v>
      </c>
    </row>
    <row r="2326" spans="1:17" x14ac:dyDescent="0.35">
      <c r="A2326" t="s">
        <v>8520</v>
      </c>
      <c r="B2326" s="3" t="s">
        <v>102</v>
      </c>
      <c r="F2326">
        <v>5</v>
      </c>
      <c r="G2326" t="s">
        <v>8607</v>
      </c>
      <c r="H2326">
        <v>35</v>
      </c>
      <c r="I2326" t="s">
        <v>9304</v>
      </c>
      <c r="J2326" t="str">
        <f t="shared" si="36"/>
        <v>13F-HR-5.35.C9</v>
      </c>
      <c r="K2326" s="5" t="s">
        <v>8637</v>
      </c>
      <c r="L2326" t="s">
        <v>229</v>
      </c>
      <c r="M2326" t="s">
        <v>8638</v>
      </c>
      <c r="N2326" t="s">
        <v>8639</v>
      </c>
      <c r="Q2326" s="28" t="s">
        <v>8636</v>
      </c>
    </row>
    <row r="2327" spans="1:17" x14ac:dyDescent="0.35">
      <c r="A2327" t="s">
        <v>8520</v>
      </c>
      <c r="B2327" s="3" t="s">
        <v>102</v>
      </c>
      <c r="F2327">
        <v>5</v>
      </c>
      <c r="G2327" t="s">
        <v>8607</v>
      </c>
      <c r="H2327">
        <v>36</v>
      </c>
      <c r="I2327" t="s">
        <v>9305</v>
      </c>
      <c r="J2327" t="str">
        <f t="shared" si="36"/>
        <v>13F-HR-5.36.C10</v>
      </c>
      <c r="K2327" s="5" t="s">
        <v>8640</v>
      </c>
      <c r="L2327" t="s">
        <v>241</v>
      </c>
      <c r="M2327" t="s">
        <v>8641</v>
      </c>
      <c r="N2327" t="s">
        <v>8642</v>
      </c>
      <c r="Q2327" s="28">
        <v>303673</v>
      </c>
    </row>
    <row r="2328" spans="1:17" x14ac:dyDescent="0.35">
      <c r="A2328" t="s">
        <v>8520</v>
      </c>
      <c r="B2328" s="3" t="s">
        <v>102</v>
      </c>
      <c r="F2328">
        <v>5</v>
      </c>
      <c r="G2328" t="s">
        <v>8607</v>
      </c>
      <c r="H2328">
        <v>37</v>
      </c>
      <c r="I2328" t="s">
        <v>9306</v>
      </c>
      <c r="J2328" t="str">
        <f t="shared" si="36"/>
        <v>13F-HR-5.37.C11</v>
      </c>
      <c r="K2328" s="5" t="s">
        <v>8643</v>
      </c>
      <c r="L2328" t="s">
        <v>241</v>
      </c>
      <c r="M2328" t="s">
        <v>8644</v>
      </c>
      <c r="N2328" t="s">
        <v>8645</v>
      </c>
      <c r="Q2328" s="28">
        <v>0</v>
      </c>
    </row>
    <row r="2329" spans="1:17" x14ac:dyDescent="0.35">
      <c r="A2329" t="s">
        <v>8520</v>
      </c>
      <c r="B2329" s="3" t="s">
        <v>102</v>
      </c>
      <c r="F2329">
        <v>5</v>
      </c>
      <c r="G2329" t="s">
        <v>8607</v>
      </c>
      <c r="H2329">
        <v>38</v>
      </c>
      <c r="I2329" t="s">
        <v>9307</v>
      </c>
      <c r="J2329" t="str">
        <f t="shared" si="36"/>
        <v>13F-HR-5.38.C12</v>
      </c>
      <c r="K2329" s="5" t="s">
        <v>8646</v>
      </c>
      <c r="L2329" t="s">
        <v>241</v>
      </c>
      <c r="M2329" t="s">
        <v>8647</v>
      </c>
      <c r="N2329" t="s">
        <v>8648</v>
      </c>
      <c r="Q2329" s="28">
        <v>38908</v>
      </c>
    </row>
    <row r="2330" spans="1:17" x14ac:dyDescent="0.35">
      <c r="A2330" t="s">
        <v>8520</v>
      </c>
      <c r="B2330" s="3" t="s">
        <v>102</v>
      </c>
      <c r="F2330">
        <v>5</v>
      </c>
      <c r="G2330" t="s">
        <v>8607</v>
      </c>
      <c r="H2330">
        <v>27</v>
      </c>
      <c r="I2330" t="s">
        <v>9296</v>
      </c>
      <c r="J2330" t="str">
        <f t="shared" si="36"/>
        <v>13F-HR-5.27.C1</v>
      </c>
      <c r="K2330" s="5" t="s">
        <v>8608</v>
      </c>
      <c r="L2330" t="s">
        <v>229</v>
      </c>
      <c r="M2330" t="s">
        <v>8609</v>
      </c>
      <c r="N2330" t="s">
        <v>8610</v>
      </c>
      <c r="Q2330" s="28" t="s">
        <v>8951</v>
      </c>
    </row>
    <row r="2331" spans="1:17" x14ac:dyDescent="0.35">
      <c r="A2331" t="s">
        <v>8520</v>
      </c>
      <c r="B2331" s="3" t="s">
        <v>102</v>
      </c>
      <c r="F2331">
        <v>5</v>
      </c>
      <c r="G2331" t="s">
        <v>8607</v>
      </c>
      <c r="H2331">
        <v>28</v>
      </c>
      <c r="I2331" t="s">
        <v>9297</v>
      </c>
      <c r="J2331" t="str">
        <f t="shared" si="36"/>
        <v>13F-HR-5.28.C2</v>
      </c>
      <c r="K2331" s="5" t="s">
        <v>8612</v>
      </c>
      <c r="L2331" t="s">
        <v>229</v>
      </c>
      <c r="M2331" t="s">
        <v>8613</v>
      </c>
      <c r="N2331" t="s">
        <v>8614</v>
      </c>
      <c r="Q2331" s="28" t="s">
        <v>8615</v>
      </c>
    </row>
    <row r="2332" spans="1:17" x14ac:dyDescent="0.35">
      <c r="A2332" t="s">
        <v>8520</v>
      </c>
      <c r="B2332" s="3" t="s">
        <v>102</v>
      </c>
      <c r="F2332">
        <v>5</v>
      </c>
      <c r="G2332" t="s">
        <v>8607</v>
      </c>
      <c r="H2332">
        <v>29</v>
      </c>
      <c r="I2332" t="s">
        <v>9298</v>
      </c>
      <c r="J2332" t="str">
        <f t="shared" si="36"/>
        <v>13F-HR-5.29.C3</v>
      </c>
      <c r="K2332" s="5" t="s">
        <v>8616</v>
      </c>
      <c r="L2332" t="s">
        <v>229</v>
      </c>
      <c r="M2332" t="s">
        <v>7927</v>
      </c>
      <c r="N2332" t="s">
        <v>8617</v>
      </c>
      <c r="Q2332" s="28">
        <v>682189105</v>
      </c>
    </row>
    <row r="2333" spans="1:17" x14ac:dyDescent="0.35">
      <c r="A2333" t="s">
        <v>8520</v>
      </c>
      <c r="B2333" s="3" t="s">
        <v>102</v>
      </c>
      <c r="F2333">
        <v>5</v>
      </c>
      <c r="G2333" t="s">
        <v>8607</v>
      </c>
      <c r="H2333">
        <v>30</v>
      </c>
      <c r="I2333" t="s">
        <v>9299</v>
      </c>
      <c r="J2333" t="str">
        <f t="shared" si="36"/>
        <v>13F-HR-5.30.C4</v>
      </c>
      <c r="K2333" s="5" t="s">
        <v>8618</v>
      </c>
      <c r="L2333" t="s">
        <v>8619</v>
      </c>
      <c r="M2333" t="s">
        <v>8620</v>
      </c>
      <c r="N2333" t="s">
        <v>8621</v>
      </c>
      <c r="Q2333" s="28">
        <v>1996048</v>
      </c>
    </row>
    <row r="2334" spans="1:17" x14ac:dyDescent="0.35">
      <c r="A2334" t="s">
        <v>8520</v>
      </c>
      <c r="B2334" s="3" t="s">
        <v>102</v>
      </c>
      <c r="F2334">
        <v>5</v>
      </c>
      <c r="G2334" t="s">
        <v>8607</v>
      </c>
      <c r="H2334">
        <v>31</v>
      </c>
      <c r="I2334" t="s">
        <v>9300</v>
      </c>
      <c r="J2334" t="str">
        <f t="shared" si="36"/>
        <v>13F-HR-5.31.C5</v>
      </c>
      <c r="K2334" s="5" t="s">
        <v>8622</v>
      </c>
      <c r="L2334" t="s">
        <v>241</v>
      </c>
      <c r="M2334" t="s">
        <v>8623</v>
      </c>
      <c r="N2334" t="s">
        <v>8624</v>
      </c>
      <c r="Q2334" s="28">
        <v>49055</v>
      </c>
    </row>
    <row r="2335" spans="1:17" x14ac:dyDescent="0.35">
      <c r="A2335" t="s">
        <v>8520</v>
      </c>
      <c r="B2335" s="3" t="s">
        <v>102</v>
      </c>
      <c r="F2335">
        <v>5</v>
      </c>
      <c r="G2335" t="s">
        <v>8607</v>
      </c>
      <c r="H2335">
        <v>32</v>
      </c>
      <c r="I2335" t="s">
        <v>9301</v>
      </c>
      <c r="J2335" t="str">
        <f t="shared" si="36"/>
        <v>13F-HR-5.32.C6</v>
      </c>
      <c r="K2335" s="5" t="s">
        <v>8625</v>
      </c>
      <c r="L2335" t="s">
        <v>229</v>
      </c>
      <c r="M2335" t="s">
        <v>8626</v>
      </c>
      <c r="N2335" t="s">
        <v>8627</v>
      </c>
      <c r="Q2335" s="28" t="s">
        <v>8628</v>
      </c>
    </row>
    <row r="2336" spans="1:17" x14ac:dyDescent="0.35">
      <c r="A2336" t="s">
        <v>8520</v>
      </c>
      <c r="B2336" s="3" t="s">
        <v>102</v>
      </c>
      <c r="F2336">
        <v>5</v>
      </c>
      <c r="G2336" t="s">
        <v>8607</v>
      </c>
      <c r="H2336">
        <v>33</v>
      </c>
      <c r="I2336" t="s">
        <v>9302</v>
      </c>
      <c r="J2336" t="str">
        <f t="shared" si="36"/>
        <v>13F-HR-5.33.C7</v>
      </c>
      <c r="K2336" s="5" t="s">
        <v>8629</v>
      </c>
      <c r="L2336" t="s">
        <v>229</v>
      </c>
      <c r="M2336" t="s">
        <v>8630</v>
      </c>
      <c r="N2336" t="s">
        <v>8631</v>
      </c>
      <c r="Q2336" s="28" t="s">
        <v>8685</v>
      </c>
    </row>
    <row r="2337" spans="1:17" x14ac:dyDescent="0.35">
      <c r="A2337" t="s">
        <v>8520</v>
      </c>
      <c r="B2337" s="3" t="s">
        <v>102</v>
      </c>
      <c r="F2337">
        <v>5</v>
      </c>
      <c r="G2337" t="s">
        <v>8607</v>
      </c>
      <c r="H2337">
        <v>34</v>
      </c>
      <c r="I2337" t="s">
        <v>9303</v>
      </c>
      <c r="J2337" t="str">
        <f t="shared" si="36"/>
        <v>13F-HR-5.34.C8</v>
      </c>
      <c r="K2337" s="5" t="s">
        <v>8633</v>
      </c>
      <c r="L2337" t="s">
        <v>4735</v>
      </c>
      <c r="M2337" t="s">
        <v>8634</v>
      </c>
      <c r="N2337" t="s">
        <v>8635</v>
      </c>
      <c r="Q2337" s="28" t="s">
        <v>8632</v>
      </c>
    </row>
    <row r="2338" spans="1:17" x14ac:dyDescent="0.35">
      <c r="A2338" t="s">
        <v>8520</v>
      </c>
      <c r="B2338" s="3" t="s">
        <v>102</v>
      </c>
      <c r="F2338">
        <v>5</v>
      </c>
      <c r="G2338" t="s">
        <v>8607</v>
      </c>
      <c r="H2338">
        <v>35</v>
      </c>
      <c r="I2338" t="s">
        <v>9304</v>
      </c>
      <c r="J2338" t="str">
        <f t="shared" si="36"/>
        <v>13F-HR-5.35.C9</v>
      </c>
      <c r="K2338" s="5" t="s">
        <v>8637</v>
      </c>
      <c r="L2338" t="s">
        <v>229</v>
      </c>
      <c r="M2338" t="s">
        <v>8638</v>
      </c>
      <c r="N2338" t="s">
        <v>8639</v>
      </c>
      <c r="Q2338" s="28" t="s">
        <v>8636</v>
      </c>
    </row>
    <row r="2339" spans="1:17" x14ac:dyDescent="0.35">
      <c r="A2339" t="s">
        <v>8520</v>
      </c>
      <c r="B2339" s="3" t="s">
        <v>102</v>
      </c>
      <c r="F2339">
        <v>5</v>
      </c>
      <c r="G2339" t="s">
        <v>8607</v>
      </c>
      <c r="H2339">
        <v>36</v>
      </c>
      <c r="I2339" t="s">
        <v>9305</v>
      </c>
      <c r="J2339" t="str">
        <f t="shared" si="36"/>
        <v>13F-HR-5.36.C10</v>
      </c>
      <c r="K2339" s="5" t="s">
        <v>8640</v>
      </c>
      <c r="L2339" t="s">
        <v>241</v>
      </c>
      <c r="M2339" t="s">
        <v>8641</v>
      </c>
      <c r="N2339" t="s">
        <v>8642</v>
      </c>
      <c r="Q2339" s="28">
        <v>46919</v>
      </c>
    </row>
    <row r="2340" spans="1:17" x14ac:dyDescent="0.35">
      <c r="A2340" t="s">
        <v>8520</v>
      </c>
      <c r="B2340" s="3" t="s">
        <v>102</v>
      </c>
      <c r="F2340">
        <v>5</v>
      </c>
      <c r="G2340" t="s">
        <v>8607</v>
      </c>
      <c r="H2340">
        <v>37</v>
      </c>
      <c r="I2340" t="s">
        <v>9306</v>
      </c>
      <c r="J2340" t="str">
        <f t="shared" si="36"/>
        <v>13F-HR-5.37.C11</v>
      </c>
      <c r="K2340" s="5" t="s">
        <v>8643</v>
      </c>
      <c r="L2340" t="s">
        <v>241</v>
      </c>
      <c r="M2340" t="s">
        <v>8644</v>
      </c>
      <c r="N2340" t="s">
        <v>8645</v>
      </c>
      <c r="Q2340" s="28">
        <v>0</v>
      </c>
    </row>
    <row r="2341" spans="1:17" x14ac:dyDescent="0.35">
      <c r="A2341" t="s">
        <v>8520</v>
      </c>
      <c r="B2341" s="3" t="s">
        <v>102</v>
      </c>
      <c r="F2341">
        <v>5</v>
      </c>
      <c r="G2341" t="s">
        <v>8607</v>
      </c>
      <c r="H2341">
        <v>38</v>
      </c>
      <c r="I2341" t="s">
        <v>9307</v>
      </c>
      <c r="J2341" t="str">
        <f t="shared" si="36"/>
        <v>13F-HR-5.38.C12</v>
      </c>
      <c r="K2341" s="5" t="s">
        <v>8646</v>
      </c>
      <c r="L2341" t="s">
        <v>241</v>
      </c>
      <c r="M2341" t="s">
        <v>8647</v>
      </c>
      <c r="N2341" t="s">
        <v>8648</v>
      </c>
      <c r="Q2341" s="28">
        <v>2136</v>
      </c>
    </row>
    <row r="2342" spans="1:17" x14ac:dyDescent="0.35">
      <c r="A2342" t="s">
        <v>8520</v>
      </c>
      <c r="B2342" s="3" t="s">
        <v>102</v>
      </c>
      <c r="F2342">
        <v>5</v>
      </c>
      <c r="G2342" t="s">
        <v>8607</v>
      </c>
      <c r="H2342">
        <v>27</v>
      </c>
      <c r="I2342" t="s">
        <v>9296</v>
      </c>
      <c r="J2342" t="str">
        <f t="shared" si="36"/>
        <v>13F-HR-5.27.C1</v>
      </c>
      <c r="K2342" s="5" t="s">
        <v>8608</v>
      </c>
      <c r="L2342" t="s">
        <v>229</v>
      </c>
      <c r="M2342" t="s">
        <v>8609</v>
      </c>
      <c r="N2342" t="s">
        <v>8610</v>
      </c>
      <c r="Q2342" s="28" t="s">
        <v>8952</v>
      </c>
    </row>
    <row r="2343" spans="1:17" x14ac:dyDescent="0.35">
      <c r="A2343" t="s">
        <v>8520</v>
      </c>
      <c r="B2343" s="3" t="s">
        <v>102</v>
      </c>
      <c r="F2343">
        <v>5</v>
      </c>
      <c r="G2343" t="s">
        <v>8607</v>
      </c>
      <c r="H2343">
        <v>28</v>
      </c>
      <c r="I2343" t="s">
        <v>9297</v>
      </c>
      <c r="J2343" t="str">
        <f t="shared" si="36"/>
        <v>13F-HR-5.28.C2</v>
      </c>
      <c r="K2343" s="5" t="s">
        <v>8612</v>
      </c>
      <c r="L2343" t="s">
        <v>229</v>
      </c>
      <c r="M2343" t="s">
        <v>8613</v>
      </c>
      <c r="N2343" t="s">
        <v>8614</v>
      </c>
      <c r="Q2343" s="28" t="s">
        <v>8615</v>
      </c>
    </row>
    <row r="2344" spans="1:17" x14ac:dyDescent="0.35">
      <c r="A2344" t="s">
        <v>8520</v>
      </c>
      <c r="B2344" s="3" t="s">
        <v>102</v>
      </c>
      <c r="F2344">
        <v>5</v>
      </c>
      <c r="G2344" t="s">
        <v>8607</v>
      </c>
      <c r="H2344">
        <v>29</v>
      </c>
      <c r="I2344" t="s">
        <v>9298</v>
      </c>
      <c r="J2344" t="str">
        <f t="shared" si="36"/>
        <v>13F-HR-5.29.C3</v>
      </c>
      <c r="K2344" s="5" t="s">
        <v>8616</v>
      </c>
      <c r="L2344" t="s">
        <v>229</v>
      </c>
      <c r="M2344" t="s">
        <v>7927</v>
      </c>
      <c r="N2344" t="s">
        <v>8617</v>
      </c>
      <c r="Q2344" s="28" t="s">
        <v>8953</v>
      </c>
    </row>
    <row r="2345" spans="1:17" x14ac:dyDescent="0.35">
      <c r="A2345" t="s">
        <v>8520</v>
      </c>
      <c r="B2345" s="3" t="s">
        <v>102</v>
      </c>
      <c r="F2345">
        <v>5</v>
      </c>
      <c r="G2345" t="s">
        <v>8607</v>
      </c>
      <c r="H2345">
        <v>30</v>
      </c>
      <c r="I2345" t="s">
        <v>9299</v>
      </c>
      <c r="J2345" t="str">
        <f t="shared" si="36"/>
        <v>13F-HR-5.30.C4</v>
      </c>
      <c r="K2345" s="5" t="s">
        <v>8618</v>
      </c>
      <c r="L2345" t="s">
        <v>8619</v>
      </c>
      <c r="M2345" t="s">
        <v>8620</v>
      </c>
      <c r="N2345" t="s">
        <v>8621</v>
      </c>
      <c r="Q2345" s="28">
        <v>5351927</v>
      </c>
    </row>
    <row r="2346" spans="1:17" x14ac:dyDescent="0.35">
      <c r="A2346" t="s">
        <v>8520</v>
      </c>
      <c r="B2346" s="3" t="s">
        <v>102</v>
      </c>
      <c r="F2346">
        <v>5</v>
      </c>
      <c r="G2346" t="s">
        <v>8607</v>
      </c>
      <c r="H2346">
        <v>31</v>
      </c>
      <c r="I2346" t="s">
        <v>9300</v>
      </c>
      <c r="J2346" t="str">
        <f t="shared" si="36"/>
        <v>13F-HR-5.31.C5</v>
      </c>
      <c r="K2346" s="5" t="s">
        <v>8622</v>
      </c>
      <c r="L2346" t="s">
        <v>241</v>
      </c>
      <c r="M2346" t="s">
        <v>8623</v>
      </c>
      <c r="N2346" t="s">
        <v>8624</v>
      </c>
      <c r="Q2346" s="28">
        <v>38280</v>
      </c>
    </row>
    <row r="2347" spans="1:17" x14ac:dyDescent="0.35">
      <c r="A2347" t="s">
        <v>8520</v>
      </c>
      <c r="B2347" s="3" t="s">
        <v>102</v>
      </c>
      <c r="F2347">
        <v>5</v>
      </c>
      <c r="G2347" t="s">
        <v>8607</v>
      </c>
      <c r="H2347">
        <v>32</v>
      </c>
      <c r="I2347" t="s">
        <v>9301</v>
      </c>
      <c r="J2347" t="str">
        <f t="shared" si="36"/>
        <v>13F-HR-5.32.C6</v>
      </c>
      <c r="K2347" s="5" t="s">
        <v>8625</v>
      </c>
      <c r="L2347" t="s">
        <v>229</v>
      </c>
      <c r="M2347" t="s">
        <v>8626</v>
      </c>
      <c r="N2347" t="s">
        <v>8627</v>
      </c>
      <c r="Q2347" s="28" t="s">
        <v>8628</v>
      </c>
    </row>
    <row r="2348" spans="1:17" x14ac:dyDescent="0.35">
      <c r="A2348" t="s">
        <v>8520</v>
      </c>
      <c r="B2348" s="3" t="s">
        <v>102</v>
      </c>
      <c r="F2348">
        <v>5</v>
      </c>
      <c r="G2348" t="s">
        <v>8607</v>
      </c>
      <c r="H2348">
        <v>33</v>
      </c>
      <c r="I2348" t="s">
        <v>9302</v>
      </c>
      <c r="J2348" t="str">
        <f t="shared" si="36"/>
        <v>13F-HR-5.33.C7</v>
      </c>
      <c r="K2348" s="5" t="s">
        <v>8629</v>
      </c>
      <c r="L2348" t="s">
        <v>229</v>
      </c>
      <c r="M2348" t="s">
        <v>8630</v>
      </c>
      <c r="N2348" t="s">
        <v>8631</v>
      </c>
      <c r="Q2348" s="28" t="s">
        <v>8685</v>
      </c>
    </row>
    <row r="2349" spans="1:17" x14ac:dyDescent="0.35">
      <c r="A2349" t="s">
        <v>8520</v>
      </c>
      <c r="B2349" s="3" t="s">
        <v>102</v>
      </c>
      <c r="F2349">
        <v>5</v>
      </c>
      <c r="G2349" t="s">
        <v>8607</v>
      </c>
      <c r="H2349">
        <v>34</v>
      </c>
      <c r="I2349" t="s">
        <v>9303</v>
      </c>
      <c r="J2349" t="str">
        <f t="shared" si="36"/>
        <v>13F-HR-5.34.C8</v>
      </c>
      <c r="K2349" s="5" t="s">
        <v>8633</v>
      </c>
      <c r="L2349" t="s">
        <v>4735</v>
      </c>
      <c r="M2349" t="s">
        <v>8634</v>
      </c>
      <c r="N2349" t="s">
        <v>8635</v>
      </c>
      <c r="Q2349" s="28" t="s">
        <v>8632</v>
      </c>
    </row>
    <row r="2350" spans="1:17" x14ac:dyDescent="0.35">
      <c r="A2350" t="s">
        <v>8520</v>
      </c>
      <c r="B2350" s="3" t="s">
        <v>102</v>
      </c>
      <c r="F2350">
        <v>5</v>
      </c>
      <c r="G2350" t="s">
        <v>8607</v>
      </c>
      <c r="H2350">
        <v>35</v>
      </c>
      <c r="I2350" t="s">
        <v>9304</v>
      </c>
      <c r="J2350" t="str">
        <f t="shared" si="36"/>
        <v>13F-HR-5.35.C9</v>
      </c>
      <c r="K2350" s="5" t="s">
        <v>8637</v>
      </c>
      <c r="L2350" t="s">
        <v>229</v>
      </c>
      <c r="M2350" t="s">
        <v>8638</v>
      </c>
      <c r="N2350" t="s">
        <v>8639</v>
      </c>
      <c r="Q2350" s="28" t="s">
        <v>8636</v>
      </c>
    </row>
    <row r="2351" spans="1:17" x14ac:dyDescent="0.35">
      <c r="A2351" t="s">
        <v>8520</v>
      </c>
      <c r="B2351" s="3" t="s">
        <v>102</v>
      </c>
      <c r="F2351">
        <v>5</v>
      </c>
      <c r="G2351" t="s">
        <v>8607</v>
      </c>
      <c r="H2351">
        <v>36</v>
      </c>
      <c r="I2351" t="s">
        <v>9305</v>
      </c>
      <c r="J2351" t="str">
        <f t="shared" si="36"/>
        <v>13F-HR-5.36.C10</v>
      </c>
      <c r="K2351" s="5" t="s">
        <v>8640</v>
      </c>
      <c r="L2351" t="s">
        <v>241</v>
      </c>
      <c r="M2351" t="s">
        <v>8641</v>
      </c>
      <c r="N2351" t="s">
        <v>8642</v>
      </c>
      <c r="Q2351" s="28">
        <v>2874</v>
      </c>
    </row>
    <row r="2352" spans="1:17" x14ac:dyDescent="0.35">
      <c r="A2352" t="s">
        <v>8520</v>
      </c>
      <c r="B2352" s="3" t="s">
        <v>102</v>
      </c>
      <c r="F2352">
        <v>5</v>
      </c>
      <c r="G2352" t="s">
        <v>8607</v>
      </c>
      <c r="H2352">
        <v>37</v>
      </c>
      <c r="I2352" t="s">
        <v>9306</v>
      </c>
      <c r="J2352" t="str">
        <f t="shared" si="36"/>
        <v>13F-HR-5.37.C11</v>
      </c>
      <c r="K2352" s="5" t="s">
        <v>8643</v>
      </c>
      <c r="L2352" t="s">
        <v>241</v>
      </c>
      <c r="M2352" t="s">
        <v>8644</v>
      </c>
      <c r="N2352" t="s">
        <v>8645</v>
      </c>
      <c r="Q2352" s="28">
        <v>0</v>
      </c>
    </row>
    <row r="2353" spans="1:17" x14ac:dyDescent="0.35">
      <c r="A2353" t="s">
        <v>8520</v>
      </c>
      <c r="B2353" s="3" t="s">
        <v>102</v>
      </c>
      <c r="F2353">
        <v>5</v>
      </c>
      <c r="G2353" t="s">
        <v>8607</v>
      </c>
      <c r="H2353">
        <v>38</v>
      </c>
      <c r="I2353" t="s">
        <v>9307</v>
      </c>
      <c r="J2353" t="str">
        <f t="shared" si="36"/>
        <v>13F-HR-5.38.C12</v>
      </c>
      <c r="K2353" s="5" t="s">
        <v>8646</v>
      </c>
      <c r="L2353" t="s">
        <v>241</v>
      </c>
      <c r="M2353" t="s">
        <v>8647</v>
      </c>
      <c r="N2353" t="s">
        <v>8648</v>
      </c>
      <c r="Q2353" s="28">
        <v>35406</v>
      </c>
    </row>
    <row r="2354" spans="1:17" x14ac:dyDescent="0.35">
      <c r="A2354" t="s">
        <v>8520</v>
      </c>
      <c r="B2354" s="3" t="s">
        <v>102</v>
      </c>
      <c r="F2354">
        <v>5</v>
      </c>
      <c r="G2354" t="s">
        <v>8607</v>
      </c>
      <c r="H2354">
        <v>27</v>
      </c>
      <c r="I2354" t="s">
        <v>9296</v>
      </c>
      <c r="J2354" t="str">
        <f t="shared" si="36"/>
        <v>13F-HR-5.27.C1</v>
      </c>
      <c r="K2354" s="5" t="s">
        <v>8608</v>
      </c>
      <c r="L2354" t="s">
        <v>229</v>
      </c>
      <c r="M2354" t="s">
        <v>8609</v>
      </c>
      <c r="N2354" t="s">
        <v>8610</v>
      </c>
      <c r="Q2354" s="28" t="s">
        <v>8954</v>
      </c>
    </row>
    <row r="2355" spans="1:17" x14ac:dyDescent="0.35">
      <c r="A2355" t="s">
        <v>8520</v>
      </c>
      <c r="B2355" s="3" t="s">
        <v>102</v>
      </c>
      <c r="F2355">
        <v>5</v>
      </c>
      <c r="G2355" t="s">
        <v>8607</v>
      </c>
      <c r="H2355">
        <v>28</v>
      </c>
      <c r="I2355" t="s">
        <v>9297</v>
      </c>
      <c r="J2355" t="str">
        <f t="shared" si="36"/>
        <v>13F-HR-5.28.C2</v>
      </c>
      <c r="K2355" s="5" t="s">
        <v>8612</v>
      </c>
      <c r="L2355" t="s">
        <v>229</v>
      </c>
      <c r="M2355" t="s">
        <v>8613</v>
      </c>
      <c r="N2355" t="s">
        <v>8614</v>
      </c>
      <c r="Q2355" s="28" t="s">
        <v>8615</v>
      </c>
    </row>
    <row r="2356" spans="1:17" x14ac:dyDescent="0.35">
      <c r="A2356" t="s">
        <v>8520</v>
      </c>
      <c r="B2356" s="3" t="s">
        <v>102</v>
      </c>
      <c r="F2356">
        <v>5</v>
      </c>
      <c r="G2356" t="s">
        <v>8607</v>
      </c>
      <c r="H2356">
        <v>29</v>
      </c>
      <c r="I2356" t="s">
        <v>9298</v>
      </c>
      <c r="J2356" t="str">
        <f t="shared" si="36"/>
        <v>13F-HR-5.29.C3</v>
      </c>
      <c r="K2356" s="5" t="s">
        <v>8616</v>
      </c>
      <c r="L2356" t="s">
        <v>229</v>
      </c>
      <c r="M2356" t="s">
        <v>7927</v>
      </c>
      <c r="N2356" t="s">
        <v>8617</v>
      </c>
      <c r="Q2356" s="28" t="s">
        <v>8955</v>
      </c>
    </row>
    <row r="2357" spans="1:17" x14ac:dyDescent="0.35">
      <c r="A2357" t="s">
        <v>8520</v>
      </c>
      <c r="B2357" s="3" t="s">
        <v>102</v>
      </c>
      <c r="F2357">
        <v>5</v>
      </c>
      <c r="G2357" t="s">
        <v>8607</v>
      </c>
      <c r="H2357">
        <v>30</v>
      </c>
      <c r="I2357" t="s">
        <v>9299</v>
      </c>
      <c r="J2357" t="str">
        <f t="shared" si="36"/>
        <v>13F-HR-5.30.C4</v>
      </c>
      <c r="K2357" s="5" t="s">
        <v>8618</v>
      </c>
      <c r="L2357" t="s">
        <v>8619</v>
      </c>
      <c r="M2357" t="s">
        <v>8620</v>
      </c>
      <c r="N2357" t="s">
        <v>8621</v>
      </c>
      <c r="Q2357" s="28">
        <v>3832102</v>
      </c>
    </row>
    <row r="2358" spans="1:17" x14ac:dyDescent="0.35">
      <c r="A2358" t="s">
        <v>8520</v>
      </c>
      <c r="B2358" s="3" t="s">
        <v>102</v>
      </c>
      <c r="F2358">
        <v>5</v>
      </c>
      <c r="G2358" t="s">
        <v>8607</v>
      </c>
      <c r="H2358">
        <v>31</v>
      </c>
      <c r="I2358" t="s">
        <v>9300</v>
      </c>
      <c r="J2358" t="str">
        <f t="shared" si="36"/>
        <v>13F-HR-5.31.C5</v>
      </c>
      <c r="K2358" s="5" t="s">
        <v>8622</v>
      </c>
      <c r="L2358" t="s">
        <v>241</v>
      </c>
      <c r="M2358" t="s">
        <v>8623</v>
      </c>
      <c r="N2358" t="s">
        <v>8624</v>
      </c>
      <c r="Q2358" s="28">
        <v>223056</v>
      </c>
    </row>
    <row r="2359" spans="1:17" x14ac:dyDescent="0.35">
      <c r="A2359" t="s">
        <v>8520</v>
      </c>
      <c r="B2359" s="3" t="s">
        <v>102</v>
      </c>
      <c r="F2359">
        <v>5</v>
      </c>
      <c r="G2359" t="s">
        <v>8607</v>
      </c>
      <c r="H2359">
        <v>32</v>
      </c>
      <c r="I2359" t="s">
        <v>9301</v>
      </c>
      <c r="J2359" t="str">
        <f t="shared" si="36"/>
        <v>13F-HR-5.32.C6</v>
      </c>
      <c r="K2359" s="5" t="s">
        <v>8625</v>
      </c>
      <c r="L2359" t="s">
        <v>229</v>
      </c>
      <c r="M2359" t="s">
        <v>8626</v>
      </c>
      <c r="N2359" t="s">
        <v>8627</v>
      </c>
      <c r="Q2359" s="28" t="s">
        <v>8628</v>
      </c>
    </row>
    <row r="2360" spans="1:17" x14ac:dyDescent="0.35">
      <c r="A2360" t="s">
        <v>8520</v>
      </c>
      <c r="B2360" s="3" t="s">
        <v>102</v>
      </c>
      <c r="F2360">
        <v>5</v>
      </c>
      <c r="G2360" t="s">
        <v>8607</v>
      </c>
      <c r="H2360">
        <v>33</v>
      </c>
      <c r="I2360" t="s">
        <v>9302</v>
      </c>
      <c r="J2360" t="str">
        <f t="shared" si="36"/>
        <v>13F-HR-5.33.C7</v>
      </c>
      <c r="K2360" s="5" t="s">
        <v>8629</v>
      </c>
      <c r="L2360" t="s">
        <v>229</v>
      </c>
      <c r="M2360" t="s">
        <v>8630</v>
      </c>
      <c r="N2360" t="s">
        <v>8631</v>
      </c>
      <c r="Q2360" s="28" t="s">
        <v>8685</v>
      </c>
    </row>
    <row r="2361" spans="1:17" x14ac:dyDescent="0.35">
      <c r="A2361" t="s">
        <v>8520</v>
      </c>
      <c r="B2361" s="3" t="s">
        <v>102</v>
      </c>
      <c r="F2361">
        <v>5</v>
      </c>
      <c r="G2361" t="s">
        <v>8607</v>
      </c>
      <c r="H2361">
        <v>34</v>
      </c>
      <c r="I2361" t="s">
        <v>9303</v>
      </c>
      <c r="J2361" t="str">
        <f t="shared" si="36"/>
        <v>13F-HR-5.34.C8</v>
      </c>
      <c r="K2361" s="5" t="s">
        <v>8633</v>
      </c>
      <c r="L2361" t="s">
        <v>4735</v>
      </c>
      <c r="M2361" t="s">
        <v>8634</v>
      </c>
      <c r="N2361" t="s">
        <v>8635</v>
      </c>
      <c r="Q2361" s="28" t="s">
        <v>8632</v>
      </c>
    </row>
    <row r="2362" spans="1:17" x14ac:dyDescent="0.35">
      <c r="A2362" t="s">
        <v>8520</v>
      </c>
      <c r="B2362" s="3" t="s">
        <v>102</v>
      </c>
      <c r="F2362">
        <v>5</v>
      </c>
      <c r="G2362" t="s">
        <v>8607</v>
      </c>
      <c r="H2362">
        <v>35</v>
      </c>
      <c r="I2362" t="s">
        <v>9304</v>
      </c>
      <c r="J2362" t="str">
        <f t="shared" si="36"/>
        <v>13F-HR-5.35.C9</v>
      </c>
      <c r="K2362" s="5" t="s">
        <v>8637</v>
      </c>
      <c r="L2362" t="s">
        <v>229</v>
      </c>
      <c r="M2362" t="s">
        <v>8638</v>
      </c>
      <c r="N2362" t="s">
        <v>8639</v>
      </c>
      <c r="Q2362" s="28" t="s">
        <v>8636</v>
      </c>
    </row>
    <row r="2363" spans="1:17" x14ac:dyDescent="0.35">
      <c r="A2363" t="s">
        <v>8520</v>
      </c>
      <c r="B2363" s="3" t="s">
        <v>102</v>
      </c>
      <c r="F2363">
        <v>5</v>
      </c>
      <c r="G2363" t="s">
        <v>8607</v>
      </c>
      <c r="H2363">
        <v>36</v>
      </c>
      <c r="I2363" t="s">
        <v>9305</v>
      </c>
      <c r="J2363" t="str">
        <f t="shared" si="36"/>
        <v>13F-HR-5.36.C10</v>
      </c>
      <c r="K2363" s="5" t="s">
        <v>8640</v>
      </c>
      <c r="L2363" t="s">
        <v>241</v>
      </c>
      <c r="M2363" t="s">
        <v>8641</v>
      </c>
      <c r="N2363" t="s">
        <v>8642</v>
      </c>
      <c r="Q2363" s="28">
        <v>223056</v>
      </c>
    </row>
    <row r="2364" spans="1:17" x14ac:dyDescent="0.35">
      <c r="A2364" t="s">
        <v>8520</v>
      </c>
      <c r="B2364" s="3" t="s">
        <v>102</v>
      </c>
      <c r="F2364">
        <v>5</v>
      </c>
      <c r="G2364" t="s">
        <v>8607</v>
      </c>
      <c r="H2364">
        <v>37</v>
      </c>
      <c r="I2364" t="s">
        <v>9306</v>
      </c>
      <c r="J2364" t="str">
        <f t="shared" si="36"/>
        <v>13F-HR-5.37.C11</v>
      </c>
      <c r="K2364" s="5" t="s">
        <v>8643</v>
      </c>
      <c r="L2364" t="s">
        <v>241</v>
      </c>
      <c r="M2364" t="s">
        <v>8644</v>
      </c>
      <c r="N2364" t="s">
        <v>8645</v>
      </c>
      <c r="Q2364" s="28">
        <v>0</v>
      </c>
    </row>
    <row r="2365" spans="1:17" x14ac:dyDescent="0.35">
      <c r="A2365" t="s">
        <v>8520</v>
      </c>
      <c r="B2365" s="3" t="s">
        <v>102</v>
      </c>
      <c r="F2365">
        <v>5</v>
      </c>
      <c r="G2365" t="s">
        <v>8607</v>
      </c>
      <c r="H2365">
        <v>38</v>
      </c>
      <c r="I2365" t="s">
        <v>9307</v>
      </c>
      <c r="J2365" t="str">
        <f t="shared" si="36"/>
        <v>13F-HR-5.38.C12</v>
      </c>
      <c r="K2365" s="5" t="s">
        <v>8646</v>
      </c>
      <c r="L2365" t="s">
        <v>241</v>
      </c>
      <c r="M2365" t="s">
        <v>8647</v>
      </c>
      <c r="N2365" t="s">
        <v>8648</v>
      </c>
      <c r="Q2365" s="28">
        <v>0</v>
      </c>
    </row>
    <row r="2366" spans="1:17" x14ac:dyDescent="0.35">
      <c r="A2366" t="s">
        <v>8520</v>
      </c>
      <c r="B2366" s="3" t="s">
        <v>102</v>
      </c>
      <c r="F2366">
        <v>5</v>
      </c>
      <c r="G2366" t="s">
        <v>8607</v>
      </c>
      <c r="H2366">
        <v>27</v>
      </c>
      <c r="I2366" t="s">
        <v>9296</v>
      </c>
      <c r="J2366" t="str">
        <f t="shared" si="36"/>
        <v>13F-HR-5.27.C1</v>
      </c>
      <c r="K2366" s="5" t="s">
        <v>8608</v>
      </c>
      <c r="L2366" t="s">
        <v>229</v>
      </c>
      <c r="M2366" t="s">
        <v>8609</v>
      </c>
      <c r="N2366" t="s">
        <v>8610</v>
      </c>
      <c r="Q2366" s="28" t="s">
        <v>8956</v>
      </c>
    </row>
    <row r="2367" spans="1:17" x14ac:dyDescent="0.35">
      <c r="A2367" t="s">
        <v>8520</v>
      </c>
      <c r="B2367" s="3" t="s">
        <v>102</v>
      </c>
      <c r="F2367">
        <v>5</v>
      </c>
      <c r="G2367" t="s">
        <v>8607</v>
      </c>
      <c r="H2367">
        <v>28</v>
      </c>
      <c r="I2367" t="s">
        <v>9297</v>
      </c>
      <c r="J2367" t="str">
        <f t="shared" si="36"/>
        <v>13F-HR-5.28.C2</v>
      </c>
      <c r="K2367" s="5" t="s">
        <v>8612</v>
      </c>
      <c r="L2367" t="s">
        <v>229</v>
      </c>
      <c r="M2367" t="s">
        <v>8613</v>
      </c>
      <c r="N2367" t="s">
        <v>8614</v>
      </c>
      <c r="Q2367" s="28" t="s">
        <v>8615</v>
      </c>
    </row>
    <row r="2368" spans="1:17" x14ac:dyDescent="0.35">
      <c r="A2368" t="s">
        <v>8520</v>
      </c>
      <c r="B2368" s="3" t="s">
        <v>102</v>
      </c>
      <c r="F2368">
        <v>5</v>
      </c>
      <c r="G2368" t="s">
        <v>8607</v>
      </c>
      <c r="H2368">
        <v>29</v>
      </c>
      <c r="I2368" t="s">
        <v>9298</v>
      </c>
      <c r="J2368" t="str">
        <f t="shared" si="36"/>
        <v>13F-HR-5.29.C3</v>
      </c>
      <c r="K2368" s="5" t="s">
        <v>8616</v>
      </c>
      <c r="L2368" t="s">
        <v>229</v>
      </c>
      <c r="M2368" t="s">
        <v>7927</v>
      </c>
      <c r="N2368" t="s">
        <v>8617</v>
      </c>
      <c r="Q2368" s="28">
        <v>693475105</v>
      </c>
    </row>
    <row r="2369" spans="1:17" x14ac:dyDescent="0.35">
      <c r="A2369" t="s">
        <v>8520</v>
      </c>
      <c r="B2369" s="3" t="s">
        <v>102</v>
      </c>
      <c r="F2369">
        <v>5</v>
      </c>
      <c r="G2369" t="s">
        <v>8607</v>
      </c>
      <c r="H2369">
        <v>30</v>
      </c>
      <c r="I2369" t="s">
        <v>9299</v>
      </c>
      <c r="J2369" t="str">
        <f t="shared" si="36"/>
        <v>13F-HR-5.30.C4</v>
      </c>
      <c r="K2369" s="5" t="s">
        <v>8618</v>
      </c>
      <c r="L2369" t="s">
        <v>8619</v>
      </c>
      <c r="M2369" t="s">
        <v>8620</v>
      </c>
      <c r="N2369" t="s">
        <v>8621</v>
      </c>
      <c r="Q2369" s="28">
        <v>2973325</v>
      </c>
    </row>
    <row r="2370" spans="1:17" x14ac:dyDescent="0.35">
      <c r="A2370" t="s">
        <v>8520</v>
      </c>
      <c r="B2370" s="3" t="s">
        <v>102</v>
      </c>
      <c r="F2370">
        <v>5</v>
      </c>
      <c r="G2370" t="s">
        <v>8607</v>
      </c>
      <c r="H2370">
        <v>31</v>
      </c>
      <c r="I2370" t="s">
        <v>9300</v>
      </c>
      <c r="J2370" t="str">
        <f t="shared" si="36"/>
        <v>13F-HR-5.31.C5</v>
      </c>
      <c r="K2370" s="5" t="s">
        <v>8622</v>
      </c>
      <c r="L2370" t="s">
        <v>241</v>
      </c>
      <c r="M2370" t="s">
        <v>8623</v>
      </c>
      <c r="N2370" t="s">
        <v>8624</v>
      </c>
      <c r="Q2370" s="28">
        <v>16916</v>
      </c>
    </row>
    <row r="2371" spans="1:17" x14ac:dyDescent="0.35">
      <c r="A2371" t="s">
        <v>8520</v>
      </c>
      <c r="B2371" s="3" t="s">
        <v>102</v>
      </c>
      <c r="F2371">
        <v>5</v>
      </c>
      <c r="G2371" t="s">
        <v>8607</v>
      </c>
      <c r="H2371">
        <v>32</v>
      </c>
      <c r="I2371" t="s">
        <v>9301</v>
      </c>
      <c r="J2371" t="str">
        <f t="shared" ref="J2371:J2434" si="37">_xlfn.CONCAT(A2371,"-",F2371,".",H2371,".",I2371)</f>
        <v>13F-HR-5.32.C6</v>
      </c>
      <c r="K2371" s="5" t="s">
        <v>8625</v>
      </c>
      <c r="L2371" t="s">
        <v>229</v>
      </c>
      <c r="M2371" t="s">
        <v>8626</v>
      </c>
      <c r="N2371" t="s">
        <v>8627</v>
      </c>
      <c r="Q2371" s="28" t="s">
        <v>8628</v>
      </c>
    </row>
    <row r="2372" spans="1:17" x14ac:dyDescent="0.35">
      <c r="A2372" t="s">
        <v>8520</v>
      </c>
      <c r="B2372" s="3" t="s">
        <v>102</v>
      </c>
      <c r="F2372">
        <v>5</v>
      </c>
      <c r="G2372" t="s">
        <v>8607</v>
      </c>
      <c r="H2372">
        <v>33</v>
      </c>
      <c r="I2372" t="s">
        <v>9302</v>
      </c>
      <c r="J2372" t="str">
        <f t="shared" si="37"/>
        <v>13F-HR-5.33.C7</v>
      </c>
      <c r="K2372" s="5" t="s">
        <v>8629</v>
      </c>
      <c r="L2372" t="s">
        <v>229</v>
      </c>
      <c r="M2372" t="s">
        <v>8630</v>
      </c>
      <c r="N2372" t="s">
        <v>8631</v>
      </c>
      <c r="Q2372" s="28" t="s">
        <v>8685</v>
      </c>
    </row>
    <row r="2373" spans="1:17" x14ac:dyDescent="0.35">
      <c r="A2373" t="s">
        <v>8520</v>
      </c>
      <c r="B2373" s="3" t="s">
        <v>102</v>
      </c>
      <c r="F2373">
        <v>5</v>
      </c>
      <c r="G2373" t="s">
        <v>8607</v>
      </c>
      <c r="H2373">
        <v>34</v>
      </c>
      <c r="I2373" t="s">
        <v>9303</v>
      </c>
      <c r="J2373" t="str">
        <f t="shared" si="37"/>
        <v>13F-HR-5.34.C8</v>
      </c>
      <c r="K2373" s="5" t="s">
        <v>8633</v>
      </c>
      <c r="L2373" t="s">
        <v>4735</v>
      </c>
      <c r="M2373" t="s">
        <v>8634</v>
      </c>
      <c r="N2373" t="s">
        <v>8635</v>
      </c>
      <c r="Q2373" s="28" t="s">
        <v>8632</v>
      </c>
    </row>
    <row r="2374" spans="1:17" x14ac:dyDescent="0.35">
      <c r="A2374" t="s">
        <v>8520</v>
      </c>
      <c r="B2374" s="3" t="s">
        <v>102</v>
      </c>
      <c r="F2374">
        <v>5</v>
      </c>
      <c r="G2374" t="s">
        <v>8607</v>
      </c>
      <c r="H2374">
        <v>35</v>
      </c>
      <c r="I2374" t="s">
        <v>9304</v>
      </c>
      <c r="J2374" t="str">
        <f t="shared" si="37"/>
        <v>13F-HR-5.35.C9</v>
      </c>
      <c r="K2374" s="5" t="s">
        <v>8637</v>
      </c>
      <c r="L2374" t="s">
        <v>229</v>
      </c>
      <c r="M2374" t="s">
        <v>8638</v>
      </c>
      <c r="N2374" t="s">
        <v>8639</v>
      </c>
      <c r="Q2374" s="28" t="s">
        <v>8636</v>
      </c>
    </row>
    <row r="2375" spans="1:17" x14ac:dyDescent="0.35">
      <c r="A2375" t="s">
        <v>8520</v>
      </c>
      <c r="B2375" s="3" t="s">
        <v>102</v>
      </c>
      <c r="F2375">
        <v>5</v>
      </c>
      <c r="G2375" t="s">
        <v>8607</v>
      </c>
      <c r="H2375">
        <v>36</v>
      </c>
      <c r="I2375" t="s">
        <v>9305</v>
      </c>
      <c r="J2375" t="str">
        <f t="shared" si="37"/>
        <v>13F-HR-5.36.C10</v>
      </c>
      <c r="K2375" s="5" t="s">
        <v>8640</v>
      </c>
      <c r="L2375" t="s">
        <v>241</v>
      </c>
      <c r="M2375" t="s">
        <v>8641</v>
      </c>
      <c r="N2375" t="s">
        <v>8642</v>
      </c>
      <c r="Q2375" s="28">
        <v>522</v>
      </c>
    </row>
    <row r="2376" spans="1:17" x14ac:dyDescent="0.35">
      <c r="A2376" t="s">
        <v>8520</v>
      </c>
      <c r="B2376" s="3" t="s">
        <v>102</v>
      </c>
      <c r="F2376">
        <v>5</v>
      </c>
      <c r="G2376" t="s">
        <v>8607</v>
      </c>
      <c r="H2376">
        <v>37</v>
      </c>
      <c r="I2376" t="s">
        <v>9306</v>
      </c>
      <c r="J2376" t="str">
        <f t="shared" si="37"/>
        <v>13F-HR-5.37.C11</v>
      </c>
      <c r="K2376" s="5" t="s">
        <v>8643</v>
      </c>
      <c r="L2376" t="s">
        <v>241</v>
      </c>
      <c r="M2376" t="s">
        <v>8644</v>
      </c>
      <c r="N2376" t="s">
        <v>8645</v>
      </c>
      <c r="Q2376" s="28">
        <v>0</v>
      </c>
    </row>
    <row r="2377" spans="1:17" x14ac:dyDescent="0.35">
      <c r="A2377" t="s">
        <v>8520</v>
      </c>
      <c r="B2377" s="3" t="s">
        <v>102</v>
      </c>
      <c r="F2377">
        <v>5</v>
      </c>
      <c r="G2377" t="s">
        <v>8607</v>
      </c>
      <c r="H2377">
        <v>38</v>
      </c>
      <c r="I2377" t="s">
        <v>9307</v>
      </c>
      <c r="J2377" t="str">
        <f t="shared" si="37"/>
        <v>13F-HR-5.38.C12</v>
      </c>
      <c r="K2377" s="5" t="s">
        <v>8646</v>
      </c>
      <c r="L2377" t="s">
        <v>241</v>
      </c>
      <c r="M2377" t="s">
        <v>8647</v>
      </c>
      <c r="N2377" t="s">
        <v>8648</v>
      </c>
      <c r="Q2377" s="28">
        <v>16394</v>
      </c>
    </row>
    <row r="2378" spans="1:17" x14ac:dyDescent="0.35">
      <c r="A2378" t="s">
        <v>8520</v>
      </c>
      <c r="B2378" s="3" t="s">
        <v>102</v>
      </c>
      <c r="F2378">
        <v>5</v>
      </c>
      <c r="G2378" t="s">
        <v>8607</v>
      </c>
      <c r="H2378">
        <v>27</v>
      </c>
      <c r="I2378" t="s">
        <v>9296</v>
      </c>
      <c r="J2378" t="str">
        <f t="shared" si="37"/>
        <v>13F-HR-5.27.C1</v>
      </c>
      <c r="K2378" s="5" t="s">
        <v>8608</v>
      </c>
      <c r="L2378" t="s">
        <v>229</v>
      </c>
      <c r="M2378" t="s">
        <v>8609</v>
      </c>
      <c r="N2378" t="s">
        <v>8610</v>
      </c>
      <c r="Q2378" s="28" t="s">
        <v>8957</v>
      </c>
    </row>
    <row r="2379" spans="1:17" x14ac:dyDescent="0.35">
      <c r="A2379" t="s">
        <v>8520</v>
      </c>
      <c r="B2379" s="3" t="s">
        <v>102</v>
      </c>
      <c r="F2379">
        <v>5</v>
      </c>
      <c r="G2379" t="s">
        <v>8607</v>
      </c>
      <c r="H2379">
        <v>28</v>
      </c>
      <c r="I2379" t="s">
        <v>9297</v>
      </c>
      <c r="J2379" t="str">
        <f t="shared" si="37"/>
        <v>13F-HR-5.28.C2</v>
      </c>
      <c r="K2379" s="5" t="s">
        <v>8612</v>
      </c>
      <c r="L2379" t="s">
        <v>229</v>
      </c>
      <c r="M2379" t="s">
        <v>8613</v>
      </c>
      <c r="N2379" t="s">
        <v>8614</v>
      </c>
      <c r="Q2379" s="28" t="s">
        <v>8615</v>
      </c>
    </row>
    <row r="2380" spans="1:17" x14ac:dyDescent="0.35">
      <c r="A2380" t="s">
        <v>8520</v>
      </c>
      <c r="B2380" s="3" t="s">
        <v>102</v>
      </c>
      <c r="F2380">
        <v>5</v>
      </c>
      <c r="G2380" t="s">
        <v>8607</v>
      </c>
      <c r="H2380">
        <v>29</v>
      </c>
      <c r="I2380" t="s">
        <v>9298</v>
      </c>
      <c r="J2380" t="str">
        <f t="shared" si="37"/>
        <v>13F-HR-5.29.C3</v>
      </c>
      <c r="K2380" s="5" t="s">
        <v>8616</v>
      </c>
      <c r="L2380" t="s">
        <v>229</v>
      </c>
      <c r="M2380" t="s">
        <v>7927</v>
      </c>
      <c r="N2380" t="s">
        <v>8617</v>
      </c>
      <c r="Q2380" s="28">
        <v>693718108</v>
      </c>
    </row>
    <row r="2381" spans="1:17" x14ac:dyDescent="0.35">
      <c r="A2381" t="s">
        <v>8520</v>
      </c>
      <c r="B2381" s="3" t="s">
        <v>102</v>
      </c>
      <c r="F2381">
        <v>5</v>
      </c>
      <c r="G2381" t="s">
        <v>8607</v>
      </c>
      <c r="H2381">
        <v>30</v>
      </c>
      <c r="I2381" t="s">
        <v>9299</v>
      </c>
      <c r="J2381" t="str">
        <f t="shared" si="37"/>
        <v>13F-HR-5.30.C4</v>
      </c>
      <c r="K2381" s="5" t="s">
        <v>8618</v>
      </c>
      <c r="L2381" t="s">
        <v>8619</v>
      </c>
      <c r="M2381" t="s">
        <v>8620</v>
      </c>
      <c r="N2381" t="s">
        <v>8621</v>
      </c>
      <c r="Q2381" s="28">
        <v>6835861</v>
      </c>
    </row>
    <row r="2382" spans="1:17" x14ac:dyDescent="0.35">
      <c r="A2382" t="s">
        <v>8520</v>
      </c>
      <c r="B2382" s="3" t="s">
        <v>102</v>
      </c>
      <c r="F2382">
        <v>5</v>
      </c>
      <c r="G2382" t="s">
        <v>8607</v>
      </c>
      <c r="H2382">
        <v>31</v>
      </c>
      <c r="I2382" t="s">
        <v>9300</v>
      </c>
      <c r="J2382" t="str">
        <f t="shared" si="37"/>
        <v>13F-HR-5.31.C5</v>
      </c>
      <c r="K2382" s="5" t="s">
        <v>8622</v>
      </c>
      <c r="L2382" t="s">
        <v>241</v>
      </c>
      <c r="M2382" t="s">
        <v>8623</v>
      </c>
      <c r="N2382" t="s">
        <v>8624</v>
      </c>
      <c r="Q2382" s="28">
        <v>70205</v>
      </c>
    </row>
    <row r="2383" spans="1:17" x14ac:dyDescent="0.35">
      <c r="A2383" t="s">
        <v>8520</v>
      </c>
      <c r="B2383" s="3" t="s">
        <v>102</v>
      </c>
      <c r="F2383">
        <v>5</v>
      </c>
      <c r="G2383" t="s">
        <v>8607</v>
      </c>
      <c r="H2383">
        <v>32</v>
      </c>
      <c r="I2383" t="s">
        <v>9301</v>
      </c>
      <c r="J2383" t="str">
        <f t="shared" si="37"/>
        <v>13F-HR-5.32.C6</v>
      </c>
      <c r="K2383" s="5" t="s">
        <v>8625</v>
      </c>
      <c r="L2383" t="s">
        <v>229</v>
      </c>
      <c r="M2383" t="s">
        <v>8626</v>
      </c>
      <c r="N2383" t="s">
        <v>8627</v>
      </c>
      <c r="Q2383" s="28" t="s">
        <v>8628</v>
      </c>
    </row>
    <row r="2384" spans="1:17" x14ac:dyDescent="0.35">
      <c r="A2384" t="s">
        <v>8520</v>
      </c>
      <c r="B2384" s="3" t="s">
        <v>102</v>
      </c>
      <c r="F2384">
        <v>5</v>
      </c>
      <c r="G2384" t="s">
        <v>8607</v>
      </c>
      <c r="H2384">
        <v>33</v>
      </c>
      <c r="I2384" t="s">
        <v>9302</v>
      </c>
      <c r="J2384" t="str">
        <f t="shared" si="37"/>
        <v>13F-HR-5.33.C7</v>
      </c>
      <c r="K2384" s="5" t="s">
        <v>8629</v>
      </c>
      <c r="L2384" t="s">
        <v>229</v>
      </c>
      <c r="M2384" t="s">
        <v>8630</v>
      </c>
      <c r="N2384" t="s">
        <v>8631</v>
      </c>
      <c r="Q2384" s="28" t="s">
        <v>8685</v>
      </c>
    </row>
    <row r="2385" spans="1:17" x14ac:dyDescent="0.35">
      <c r="A2385" t="s">
        <v>8520</v>
      </c>
      <c r="B2385" s="3" t="s">
        <v>102</v>
      </c>
      <c r="F2385">
        <v>5</v>
      </c>
      <c r="G2385" t="s">
        <v>8607</v>
      </c>
      <c r="H2385">
        <v>34</v>
      </c>
      <c r="I2385" t="s">
        <v>9303</v>
      </c>
      <c r="J2385" t="str">
        <f t="shared" si="37"/>
        <v>13F-HR-5.34.C8</v>
      </c>
      <c r="K2385" s="5" t="s">
        <v>8633</v>
      </c>
      <c r="L2385" t="s">
        <v>4735</v>
      </c>
      <c r="M2385" t="s">
        <v>8634</v>
      </c>
      <c r="N2385" t="s">
        <v>8635</v>
      </c>
      <c r="Q2385" s="28" t="s">
        <v>8632</v>
      </c>
    </row>
    <row r="2386" spans="1:17" x14ac:dyDescent="0.35">
      <c r="A2386" t="s">
        <v>8520</v>
      </c>
      <c r="B2386" s="3" t="s">
        <v>102</v>
      </c>
      <c r="F2386">
        <v>5</v>
      </c>
      <c r="G2386" t="s">
        <v>8607</v>
      </c>
      <c r="H2386">
        <v>35</v>
      </c>
      <c r="I2386" t="s">
        <v>9304</v>
      </c>
      <c r="J2386" t="str">
        <f t="shared" si="37"/>
        <v>13F-HR-5.35.C9</v>
      </c>
      <c r="K2386" s="5" t="s">
        <v>8637</v>
      </c>
      <c r="L2386" t="s">
        <v>229</v>
      </c>
      <c r="M2386" t="s">
        <v>8638</v>
      </c>
      <c r="N2386" t="s">
        <v>8639</v>
      </c>
      <c r="Q2386" s="28" t="s">
        <v>8636</v>
      </c>
    </row>
    <row r="2387" spans="1:17" x14ac:dyDescent="0.35">
      <c r="A2387" t="s">
        <v>8520</v>
      </c>
      <c r="B2387" s="3" t="s">
        <v>102</v>
      </c>
      <c r="F2387">
        <v>5</v>
      </c>
      <c r="G2387" t="s">
        <v>8607</v>
      </c>
      <c r="H2387">
        <v>36</v>
      </c>
      <c r="I2387" t="s">
        <v>9305</v>
      </c>
      <c r="J2387" t="str">
        <f t="shared" si="37"/>
        <v>13F-HR-5.36.C10</v>
      </c>
      <c r="K2387" s="5" t="s">
        <v>8640</v>
      </c>
      <c r="L2387" t="s">
        <v>241</v>
      </c>
      <c r="M2387" t="s">
        <v>8641</v>
      </c>
      <c r="N2387" t="s">
        <v>8642</v>
      </c>
      <c r="Q2387" s="28">
        <v>0</v>
      </c>
    </row>
    <row r="2388" spans="1:17" x14ac:dyDescent="0.35">
      <c r="A2388" t="s">
        <v>8520</v>
      </c>
      <c r="B2388" s="3" t="s">
        <v>102</v>
      </c>
      <c r="F2388">
        <v>5</v>
      </c>
      <c r="G2388" t="s">
        <v>8607</v>
      </c>
      <c r="H2388">
        <v>37</v>
      </c>
      <c r="I2388" t="s">
        <v>9306</v>
      </c>
      <c r="J2388" t="str">
        <f t="shared" si="37"/>
        <v>13F-HR-5.37.C11</v>
      </c>
      <c r="K2388" s="5" t="s">
        <v>8643</v>
      </c>
      <c r="L2388" t="s">
        <v>241</v>
      </c>
      <c r="M2388" t="s">
        <v>8644</v>
      </c>
      <c r="N2388" t="s">
        <v>8645</v>
      </c>
      <c r="Q2388" s="28">
        <v>0</v>
      </c>
    </row>
    <row r="2389" spans="1:17" x14ac:dyDescent="0.35">
      <c r="A2389" t="s">
        <v>8520</v>
      </c>
      <c r="B2389" s="3" t="s">
        <v>102</v>
      </c>
      <c r="F2389">
        <v>5</v>
      </c>
      <c r="G2389" t="s">
        <v>8607</v>
      </c>
      <c r="H2389">
        <v>38</v>
      </c>
      <c r="I2389" t="s">
        <v>9307</v>
      </c>
      <c r="J2389" t="str">
        <f t="shared" si="37"/>
        <v>13F-HR-5.38.C12</v>
      </c>
      <c r="K2389" s="5" t="s">
        <v>8646</v>
      </c>
      <c r="L2389" t="s">
        <v>241</v>
      </c>
      <c r="M2389" t="s">
        <v>8647</v>
      </c>
      <c r="N2389" t="s">
        <v>8648</v>
      </c>
      <c r="Q2389" s="28">
        <v>70205</v>
      </c>
    </row>
    <row r="2390" spans="1:17" x14ac:dyDescent="0.35">
      <c r="A2390" t="s">
        <v>8520</v>
      </c>
      <c r="B2390" s="3" t="s">
        <v>102</v>
      </c>
      <c r="F2390">
        <v>5</v>
      </c>
      <c r="G2390" t="s">
        <v>8607</v>
      </c>
      <c r="H2390">
        <v>27</v>
      </c>
      <c r="I2390" t="s">
        <v>9296</v>
      </c>
      <c r="J2390" t="str">
        <f t="shared" si="37"/>
        <v>13F-HR-5.27.C1</v>
      </c>
      <c r="K2390" s="5" t="s">
        <v>8608</v>
      </c>
      <c r="L2390" t="s">
        <v>229</v>
      </c>
      <c r="M2390" t="s">
        <v>8609</v>
      </c>
      <c r="N2390" t="s">
        <v>8610</v>
      </c>
      <c r="Q2390" s="28" t="s">
        <v>8958</v>
      </c>
    </row>
    <row r="2391" spans="1:17" x14ac:dyDescent="0.35">
      <c r="A2391" t="s">
        <v>8520</v>
      </c>
      <c r="B2391" s="3" t="s">
        <v>102</v>
      </c>
      <c r="F2391">
        <v>5</v>
      </c>
      <c r="G2391" t="s">
        <v>8607</v>
      </c>
      <c r="H2391">
        <v>28</v>
      </c>
      <c r="I2391" t="s">
        <v>9297</v>
      </c>
      <c r="J2391" t="str">
        <f t="shared" si="37"/>
        <v>13F-HR-5.28.C2</v>
      </c>
      <c r="K2391" s="5" t="s">
        <v>8612</v>
      </c>
      <c r="L2391" t="s">
        <v>229</v>
      </c>
      <c r="M2391" t="s">
        <v>8613</v>
      </c>
      <c r="N2391" t="s">
        <v>8614</v>
      </c>
      <c r="Q2391" s="28" t="s">
        <v>8706</v>
      </c>
    </row>
    <row r="2392" spans="1:17" x14ac:dyDescent="0.35">
      <c r="A2392" t="s">
        <v>8520</v>
      </c>
      <c r="B2392" s="3" t="s">
        <v>102</v>
      </c>
      <c r="F2392">
        <v>5</v>
      </c>
      <c r="G2392" t="s">
        <v>8607</v>
      </c>
      <c r="H2392">
        <v>29</v>
      </c>
      <c r="I2392" t="s">
        <v>9298</v>
      </c>
      <c r="J2392" t="str">
        <f t="shared" si="37"/>
        <v>13F-HR-5.29.C3</v>
      </c>
      <c r="K2392" s="5" t="s">
        <v>8616</v>
      </c>
      <c r="L2392" t="s">
        <v>229</v>
      </c>
      <c r="M2392" t="s">
        <v>7927</v>
      </c>
      <c r="N2392" t="s">
        <v>8617</v>
      </c>
      <c r="Q2392" s="28" t="s">
        <v>8959</v>
      </c>
    </row>
    <row r="2393" spans="1:17" x14ac:dyDescent="0.35">
      <c r="A2393" t="s">
        <v>8520</v>
      </c>
      <c r="B2393" s="3" t="s">
        <v>102</v>
      </c>
      <c r="F2393">
        <v>5</v>
      </c>
      <c r="G2393" t="s">
        <v>8607</v>
      </c>
      <c r="H2393">
        <v>30</v>
      </c>
      <c r="I2393" t="s">
        <v>9299</v>
      </c>
      <c r="J2393" t="str">
        <f t="shared" si="37"/>
        <v>13F-HR-5.30.C4</v>
      </c>
      <c r="K2393" s="5" t="s">
        <v>8618</v>
      </c>
      <c r="L2393" t="s">
        <v>8619</v>
      </c>
      <c r="M2393" t="s">
        <v>8620</v>
      </c>
      <c r="N2393" t="s">
        <v>8621</v>
      </c>
      <c r="Q2393" s="28">
        <v>6629114</v>
      </c>
    </row>
    <row r="2394" spans="1:17" x14ac:dyDescent="0.35">
      <c r="A2394" t="s">
        <v>8520</v>
      </c>
      <c r="B2394" s="3" t="s">
        <v>102</v>
      </c>
      <c r="F2394">
        <v>5</v>
      </c>
      <c r="G2394" t="s">
        <v>8607</v>
      </c>
      <c r="H2394">
        <v>31</v>
      </c>
      <c r="I2394" t="s">
        <v>9300</v>
      </c>
      <c r="J2394" t="str">
        <f t="shared" si="37"/>
        <v>13F-HR-5.31.C5</v>
      </c>
      <c r="K2394" s="5" t="s">
        <v>8622</v>
      </c>
      <c r="L2394" t="s">
        <v>241</v>
      </c>
      <c r="M2394" t="s">
        <v>8623</v>
      </c>
      <c r="N2394" t="s">
        <v>8624</v>
      </c>
      <c r="Q2394" s="28">
        <v>78544</v>
      </c>
    </row>
    <row r="2395" spans="1:17" x14ac:dyDescent="0.35">
      <c r="A2395" t="s">
        <v>8520</v>
      </c>
      <c r="B2395" s="3" t="s">
        <v>102</v>
      </c>
      <c r="F2395">
        <v>5</v>
      </c>
      <c r="G2395" t="s">
        <v>8607</v>
      </c>
      <c r="H2395">
        <v>32</v>
      </c>
      <c r="I2395" t="s">
        <v>9301</v>
      </c>
      <c r="J2395" t="str">
        <f t="shared" si="37"/>
        <v>13F-HR-5.32.C6</v>
      </c>
      <c r="K2395" s="5" t="s">
        <v>8625</v>
      </c>
      <c r="L2395" t="s">
        <v>229</v>
      </c>
      <c r="M2395" t="s">
        <v>8626</v>
      </c>
      <c r="N2395" t="s">
        <v>8627</v>
      </c>
      <c r="Q2395" s="28" t="s">
        <v>8628</v>
      </c>
    </row>
    <row r="2396" spans="1:17" x14ac:dyDescent="0.35">
      <c r="A2396" t="s">
        <v>8520</v>
      </c>
      <c r="B2396" s="3" t="s">
        <v>102</v>
      </c>
      <c r="F2396">
        <v>5</v>
      </c>
      <c r="G2396" t="s">
        <v>8607</v>
      </c>
      <c r="H2396">
        <v>33</v>
      </c>
      <c r="I2396" t="s">
        <v>9302</v>
      </c>
      <c r="J2396" t="str">
        <f t="shared" si="37"/>
        <v>13F-HR-5.33.C7</v>
      </c>
      <c r="K2396" s="5" t="s">
        <v>8629</v>
      </c>
      <c r="L2396" t="s">
        <v>229</v>
      </c>
      <c r="M2396" t="s">
        <v>8630</v>
      </c>
      <c r="N2396" t="s">
        <v>8631</v>
      </c>
      <c r="Q2396" s="28" t="s">
        <v>8685</v>
      </c>
    </row>
    <row r="2397" spans="1:17" x14ac:dyDescent="0.35">
      <c r="A2397" t="s">
        <v>8520</v>
      </c>
      <c r="B2397" s="3" t="s">
        <v>102</v>
      </c>
      <c r="F2397">
        <v>5</v>
      </c>
      <c r="G2397" t="s">
        <v>8607</v>
      </c>
      <c r="H2397">
        <v>34</v>
      </c>
      <c r="I2397" t="s">
        <v>9303</v>
      </c>
      <c r="J2397" t="str">
        <f t="shared" si="37"/>
        <v>13F-HR-5.34.C8</v>
      </c>
      <c r="K2397" s="5" t="s">
        <v>8633</v>
      </c>
      <c r="L2397" t="s">
        <v>4735</v>
      </c>
      <c r="M2397" t="s">
        <v>8634</v>
      </c>
      <c r="N2397" t="s">
        <v>8635</v>
      </c>
      <c r="Q2397" s="28" t="s">
        <v>8632</v>
      </c>
    </row>
    <row r="2398" spans="1:17" x14ac:dyDescent="0.35">
      <c r="A2398" t="s">
        <v>8520</v>
      </c>
      <c r="B2398" s="3" t="s">
        <v>102</v>
      </c>
      <c r="F2398">
        <v>5</v>
      </c>
      <c r="G2398" t="s">
        <v>8607</v>
      </c>
      <c r="H2398">
        <v>35</v>
      </c>
      <c r="I2398" t="s">
        <v>9304</v>
      </c>
      <c r="J2398" t="str">
        <f t="shared" si="37"/>
        <v>13F-HR-5.35.C9</v>
      </c>
      <c r="K2398" s="5" t="s">
        <v>8637</v>
      </c>
      <c r="L2398" t="s">
        <v>229</v>
      </c>
      <c r="M2398" t="s">
        <v>8638</v>
      </c>
      <c r="N2398" t="s">
        <v>8639</v>
      </c>
      <c r="Q2398" s="28" t="s">
        <v>8636</v>
      </c>
    </row>
    <row r="2399" spans="1:17" x14ac:dyDescent="0.35">
      <c r="A2399" t="s">
        <v>8520</v>
      </c>
      <c r="B2399" s="3" t="s">
        <v>102</v>
      </c>
      <c r="F2399">
        <v>5</v>
      </c>
      <c r="G2399" t="s">
        <v>8607</v>
      </c>
      <c r="H2399">
        <v>36</v>
      </c>
      <c r="I2399" t="s">
        <v>9305</v>
      </c>
      <c r="J2399" t="str">
        <f t="shared" si="37"/>
        <v>13F-HR-5.36.C10</v>
      </c>
      <c r="K2399" s="5" t="s">
        <v>8640</v>
      </c>
      <c r="L2399" t="s">
        <v>241</v>
      </c>
      <c r="M2399" t="s">
        <v>8641</v>
      </c>
      <c r="N2399" t="s">
        <v>8642</v>
      </c>
      <c r="Q2399" s="28">
        <v>76415</v>
      </c>
    </row>
    <row r="2400" spans="1:17" x14ac:dyDescent="0.35">
      <c r="A2400" t="s">
        <v>8520</v>
      </c>
      <c r="B2400" s="3" t="s">
        <v>102</v>
      </c>
      <c r="F2400">
        <v>5</v>
      </c>
      <c r="G2400" t="s">
        <v>8607</v>
      </c>
      <c r="H2400">
        <v>37</v>
      </c>
      <c r="I2400" t="s">
        <v>9306</v>
      </c>
      <c r="J2400" t="str">
        <f t="shared" si="37"/>
        <v>13F-HR-5.37.C11</v>
      </c>
      <c r="K2400" s="5" t="s">
        <v>8643</v>
      </c>
      <c r="L2400" t="s">
        <v>241</v>
      </c>
      <c r="M2400" t="s">
        <v>8644</v>
      </c>
      <c r="N2400" t="s">
        <v>8645</v>
      </c>
      <c r="Q2400" s="28">
        <v>0</v>
      </c>
    </row>
    <row r="2401" spans="1:17" x14ac:dyDescent="0.35">
      <c r="A2401" t="s">
        <v>8520</v>
      </c>
      <c r="B2401" s="3" t="s">
        <v>102</v>
      </c>
      <c r="F2401">
        <v>5</v>
      </c>
      <c r="G2401" t="s">
        <v>8607</v>
      </c>
      <c r="H2401">
        <v>38</v>
      </c>
      <c r="I2401" t="s">
        <v>9307</v>
      </c>
      <c r="J2401" t="str">
        <f t="shared" si="37"/>
        <v>13F-HR-5.38.C12</v>
      </c>
      <c r="K2401" s="5" t="s">
        <v>8646</v>
      </c>
      <c r="L2401" t="s">
        <v>241</v>
      </c>
      <c r="M2401" t="s">
        <v>8647</v>
      </c>
      <c r="N2401" t="s">
        <v>8648</v>
      </c>
      <c r="Q2401" s="28">
        <v>2129</v>
      </c>
    </row>
    <row r="2402" spans="1:17" x14ac:dyDescent="0.35">
      <c r="A2402" t="s">
        <v>8520</v>
      </c>
      <c r="B2402" s="3" t="s">
        <v>102</v>
      </c>
      <c r="F2402">
        <v>5</v>
      </c>
      <c r="G2402" t="s">
        <v>8607</v>
      </c>
      <c r="H2402">
        <v>27</v>
      </c>
      <c r="I2402" t="s">
        <v>9296</v>
      </c>
      <c r="J2402" t="str">
        <f t="shared" si="37"/>
        <v>13F-HR-5.27.C1</v>
      </c>
      <c r="K2402" s="5" t="s">
        <v>8608</v>
      </c>
      <c r="L2402" t="s">
        <v>229</v>
      </c>
      <c r="M2402" t="s">
        <v>8609</v>
      </c>
      <c r="N2402" t="s">
        <v>8610</v>
      </c>
      <c r="Q2402" s="28" t="s">
        <v>8960</v>
      </c>
    </row>
    <row r="2403" spans="1:17" x14ac:dyDescent="0.35">
      <c r="A2403" t="s">
        <v>8520</v>
      </c>
      <c r="B2403" s="3" t="s">
        <v>102</v>
      </c>
      <c r="F2403">
        <v>5</v>
      </c>
      <c r="G2403" t="s">
        <v>8607</v>
      </c>
      <c r="H2403">
        <v>28</v>
      </c>
      <c r="I2403" t="s">
        <v>9297</v>
      </c>
      <c r="J2403" t="str">
        <f t="shared" si="37"/>
        <v>13F-HR-5.28.C2</v>
      </c>
      <c r="K2403" s="5" t="s">
        <v>8612</v>
      </c>
      <c r="L2403" t="s">
        <v>229</v>
      </c>
      <c r="M2403" t="s">
        <v>8613</v>
      </c>
      <c r="N2403" t="s">
        <v>8614</v>
      </c>
      <c r="Q2403" s="28" t="s">
        <v>8615</v>
      </c>
    </row>
    <row r="2404" spans="1:17" x14ac:dyDescent="0.35">
      <c r="A2404" t="s">
        <v>8520</v>
      </c>
      <c r="B2404" s="3" t="s">
        <v>102</v>
      </c>
      <c r="F2404">
        <v>5</v>
      </c>
      <c r="G2404" t="s">
        <v>8607</v>
      </c>
      <c r="H2404">
        <v>29</v>
      </c>
      <c r="I2404" t="s">
        <v>9298</v>
      </c>
      <c r="J2404" t="str">
        <f t="shared" si="37"/>
        <v>13F-HR-5.29.C3</v>
      </c>
      <c r="K2404" s="5" t="s">
        <v>8616</v>
      </c>
      <c r="L2404" t="s">
        <v>229</v>
      </c>
      <c r="M2404" t="s">
        <v>7927</v>
      </c>
      <c r="N2404" t="s">
        <v>8617</v>
      </c>
      <c r="Q2404" s="28">
        <v>701094104</v>
      </c>
    </row>
    <row r="2405" spans="1:17" x14ac:dyDescent="0.35">
      <c r="A2405" t="s">
        <v>8520</v>
      </c>
      <c r="B2405" s="3" t="s">
        <v>102</v>
      </c>
      <c r="F2405">
        <v>5</v>
      </c>
      <c r="G2405" t="s">
        <v>8607</v>
      </c>
      <c r="H2405">
        <v>30</v>
      </c>
      <c r="I2405" t="s">
        <v>9299</v>
      </c>
      <c r="J2405" t="str">
        <f t="shared" si="37"/>
        <v>13F-HR-5.30.C4</v>
      </c>
      <c r="K2405" s="5" t="s">
        <v>8618</v>
      </c>
      <c r="L2405" t="s">
        <v>8619</v>
      </c>
      <c r="M2405" t="s">
        <v>8620</v>
      </c>
      <c r="N2405" t="s">
        <v>8621</v>
      </c>
      <c r="Q2405" s="28">
        <v>6020754</v>
      </c>
    </row>
    <row r="2406" spans="1:17" x14ac:dyDescent="0.35">
      <c r="A2406" t="s">
        <v>8520</v>
      </c>
      <c r="B2406" s="3" t="s">
        <v>102</v>
      </c>
      <c r="F2406">
        <v>5</v>
      </c>
      <c r="G2406" t="s">
        <v>8607</v>
      </c>
      <c r="H2406">
        <v>31</v>
      </c>
      <c r="I2406" t="s">
        <v>9300</v>
      </c>
      <c r="J2406" t="str">
        <f t="shared" si="37"/>
        <v>13F-HR-5.31.C5</v>
      </c>
      <c r="K2406" s="5" t="s">
        <v>8622</v>
      </c>
      <c r="L2406" t="s">
        <v>241</v>
      </c>
      <c r="M2406" t="s">
        <v>8623</v>
      </c>
      <c r="N2406" t="s">
        <v>8624</v>
      </c>
      <c r="Q2406" s="28">
        <v>9905</v>
      </c>
    </row>
    <row r="2407" spans="1:17" x14ac:dyDescent="0.35">
      <c r="A2407" t="s">
        <v>8520</v>
      </c>
      <c r="B2407" s="3" t="s">
        <v>102</v>
      </c>
      <c r="F2407">
        <v>5</v>
      </c>
      <c r="G2407" t="s">
        <v>8607</v>
      </c>
      <c r="H2407">
        <v>32</v>
      </c>
      <c r="I2407" t="s">
        <v>9301</v>
      </c>
      <c r="J2407" t="str">
        <f t="shared" si="37"/>
        <v>13F-HR-5.32.C6</v>
      </c>
      <c r="K2407" s="5" t="s">
        <v>8625</v>
      </c>
      <c r="L2407" t="s">
        <v>229</v>
      </c>
      <c r="M2407" t="s">
        <v>8626</v>
      </c>
      <c r="N2407" t="s">
        <v>8627</v>
      </c>
      <c r="Q2407" s="28" t="s">
        <v>8628</v>
      </c>
    </row>
    <row r="2408" spans="1:17" x14ac:dyDescent="0.35">
      <c r="A2408" t="s">
        <v>8520</v>
      </c>
      <c r="B2408" s="3" t="s">
        <v>102</v>
      </c>
      <c r="F2408">
        <v>5</v>
      </c>
      <c r="G2408" t="s">
        <v>8607</v>
      </c>
      <c r="H2408">
        <v>33</v>
      </c>
      <c r="I2408" t="s">
        <v>9302</v>
      </c>
      <c r="J2408" t="str">
        <f t="shared" si="37"/>
        <v>13F-HR-5.33.C7</v>
      </c>
      <c r="K2408" s="5" t="s">
        <v>8629</v>
      </c>
      <c r="L2408" t="s">
        <v>229</v>
      </c>
      <c r="M2408" t="s">
        <v>8630</v>
      </c>
      <c r="N2408" t="s">
        <v>8631</v>
      </c>
      <c r="Q2408" s="28" t="s">
        <v>8685</v>
      </c>
    </row>
    <row r="2409" spans="1:17" x14ac:dyDescent="0.35">
      <c r="A2409" t="s">
        <v>8520</v>
      </c>
      <c r="B2409" s="3" t="s">
        <v>102</v>
      </c>
      <c r="F2409">
        <v>5</v>
      </c>
      <c r="G2409" t="s">
        <v>8607</v>
      </c>
      <c r="H2409">
        <v>34</v>
      </c>
      <c r="I2409" t="s">
        <v>9303</v>
      </c>
      <c r="J2409" t="str">
        <f t="shared" si="37"/>
        <v>13F-HR-5.34.C8</v>
      </c>
      <c r="K2409" s="5" t="s">
        <v>8633</v>
      </c>
      <c r="L2409" t="s">
        <v>4735</v>
      </c>
      <c r="M2409" t="s">
        <v>8634</v>
      </c>
      <c r="N2409" t="s">
        <v>8635</v>
      </c>
      <c r="Q2409" s="28" t="s">
        <v>8632</v>
      </c>
    </row>
    <row r="2410" spans="1:17" x14ac:dyDescent="0.35">
      <c r="A2410" t="s">
        <v>8520</v>
      </c>
      <c r="B2410" s="3" t="s">
        <v>102</v>
      </c>
      <c r="F2410">
        <v>5</v>
      </c>
      <c r="G2410" t="s">
        <v>8607</v>
      </c>
      <c r="H2410">
        <v>35</v>
      </c>
      <c r="I2410" t="s">
        <v>9304</v>
      </c>
      <c r="J2410" t="str">
        <f t="shared" si="37"/>
        <v>13F-HR-5.35.C9</v>
      </c>
      <c r="K2410" s="5" t="s">
        <v>8637</v>
      </c>
      <c r="L2410" t="s">
        <v>229</v>
      </c>
      <c r="M2410" t="s">
        <v>8638</v>
      </c>
      <c r="N2410" t="s">
        <v>8639</v>
      </c>
      <c r="Q2410" s="28" t="s">
        <v>8636</v>
      </c>
    </row>
    <row r="2411" spans="1:17" x14ac:dyDescent="0.35">
      <c r="A2411" t="s">
        <v>8520</v>
      </c>
      <c r="B2411" s="3" t="s">
        <v>102</v>
      </c>
      <c r="F2411">
        <v>5</v>
      </c>
      <c r="G2411" t="s">
        <v>8607</v>
      </c>
      <c r="H2411">
        <v>36</v>
      </c>
      <c r="I2411" t="s">
        <v>9305</v>
      </c>
      <c r="J2411" t="str">
        <f t="shared" si="37"/>
        <v>13F-HR-5.36.C10</v>
      </c>
      <c r="K2411" s="5" t="s">
        <v>8640</v>
      </c>
      <c r="L2411" t="s">
        <v>241</v>
      </c>
      <c r="M2411" t="s">
        <v>8641</v>
      </c>
      <c r="N2411" t="s">
        <v>8642</v>
      </c>
      <c r="Q2411" s="28">
        <v>1337</v>
      </c>
    </row>
    <row r="2412" spans="1:17" x14ac:dyDescent="0.35">
      <c r="A2412" t="s">
        <v>8520</v>
      </c>
      <c r="B2412" s="3" t="s">
        <v>102</v>
      </c>
      <c r="F2412">
        <v>5</v>
      </c>
      <c r="G2412" t="s">
        <v>8607</v>
      </c>
      <c r="H2412">
        <v>37</v>
      </c>
      <c r="I2412" t="s">
        <v>9306</v>
      </c>
      <c r="J2412" t="str">
        <f t="shared" si="37"/>
        <v>13F-HR-5.37.C11</v>
      </c>
      <c r="K2412" s="5" t="s">
        <v>8643</v>
      </c>
      <c r="L2412" t="s">
        <v>241</v>
      </c>
      <c r="M2412" t="s">
        <v>8644</v>
      </c>
      <c r="N2412" t="s">
        <v>8645</v>
      </c>
      <c r="Q2412" s="28">
        <v>0</v>
      </c>
    </row>
    <row r="2413" spans="1:17" x14ac:dyDescent="0.35">
      <c r="A2413" t="s">
        <v>8520</v>
      </c>
      <c r="B2413" s="3" t="s">
        <v>102</v>
      </c>
      <c r="F2413">
        <v>5</v>
      </c>
      <c r="G2413" t="s">
        <v>8607</v>
      </c>
      <c r="H2413">
        <v>38</v>
      </c>
      <c r="I2413" t="s">
        <v>9307</v>
      </c>
      <c r="J2413" t="str">
        <f t="shared" si="37"/>
        <v>13F-HR-5.38.C12</v>
      </c>
      <c r="K2413" s="5" t="s">
        <v>8646</v>
      </c>
      <c r="L2413" t="s">
        <v>241</v>
      </c>
      <c r="M2413" t="s">
        <v>8647</v>
      </c>
      <c r="N2413" t="s">
        <v>8648</v>
      </c>
      <c r="Q2413" s="28">
        <v>8568</v>
      </c>
    </row>
    <row r="2414" spans="1:17" x14ac:dyDescent="0.35">
      <c r="A2414" t="s">
        <v>8520</v>
      </c>
      <c r="B2414" s="3" t="s">
        <v>102</v>
      </c>
      <c r="F2414">
        <v>5</v>
      </c>
      <c r="G2414" t="s">
        <v>8607</v>
      </c>
      <c r="H2414">
        <v>27</v>
      </c>
      <c r="I2414" t="s">
        <v>9296</v>
      </c>
      <c r="J2414" t="str">
        <f t="shared" si="37"/>
        <v>13F-HR-5.27.C1</v>
      </c>
      <c r="K2414" s="5" t="s">
        <v>8608</v>
      </c>
      <c r="L2414" t="s">
        <v>229</v>
      </c>
      <c r="M2414" t="s">
        <v>8609</v>
      </c>
      <c r="N2414" t="s">
        <v>8610</v>
      </c>
      <c r="Q2414" s="28" t="s">
        <v>8961</v>
      </c>
    </row>
    <row r="2415" spans="1:17" x14ac:dyDescent="0.35">
      <c r="A2415" t="s">
        <v>8520</v>
      </c>
      <c r="B2415" s="3" t="s">
        <v>102</v>
      </c>
      <c r="F2415">
        <v>5</v>
      </c>
      <c r="G2415" t="s">
        <v>8607</v>
      </c>
      <c r="H2415">
        <v>28</v>
      </c>
      <c r="I2415" t="s">
        <v>9297</v>
      </c>
      <c r="J2415" t="str">
        <f t="shared" si="37"/>
        <v>13F-HR-5.28.C2</v>
      </c>
      <c r="K2415" s="5" t="s">
        <v>8612</v>
      </c>
      <c r="L2415" t="s">
        <v>229</v>
      </c>
      <c r="M2415" t="s">
        <v>8613</v>
      </c>
      <c r="N2415" t="s">
        <v>8614</v>
      </c>
      <c r="Q2415" s="28" t="s">
        <v>8615</v>
      </c>
    </row>
    <row r="2416" spans="1:17" x14ac:dyDescent="0.35">
      <c r="A2416" t="s">
        <v>8520</v>
      </c>
      <c r="B2416" s="3" t="s">
        <v>102</v>
      </c>
      <c r="F2416">
        <v>5</v>
      </c>
      <c r="G2416" t="s">
        <v>8607</v>
      </c>
      <c r="H2416">
        <v>29</v>
      </c>
      <c r="I2416" t="s">
        <v>9298</v>
      </c>
      <c r="J2416" t="str">
        <f t="shared" si="37"/>
        <v>13F-HR-5.29.C3</v>
      </c>
      <c r="K2416" s="5" t="s">
        <v>8616</v>
      </c>
      <c r="L2416" t="s">
        <v>229</v>
      </c>
      <c r="M2416" t="s">
        <v>7927</v>
      </c>
      <c r="N2416" t="s">
        <v>8617</v>
      </c>
      <c r="Q2416" s="28">
        <v>704326107</v>
      </c>
    </row>
    <row r="2417" spans="1:17" x14ac:dyDescent="0.35">
      <c r="A2417" t="s">
        <v>8520</v>
      </c>
      <c r="B2417" s="3" t="s">
        <v>102</v>
      </c>
      <c r="F2417">
        <v>5</v>
      </c>
      <c r="G2417" t="s">
        <v>8607</v>
      </c>
      <c r="H2417">
        <v>30</v>
      </c>
      <c r="I2417" t="s">
        <v>9299</v>
      </c>
      <c r="J2417" t="str">
        <f t="shared" si="37"/>
        <v>13F-HR-5.30.C4</v>
      </c>
      <c r="K2417" s="5" t="s">
        <v>8618</v>
      </c>
      <c r="L2417" t="s">
        <v>8619</v>
      </c>
      <c r="M2417" t="s">
        <v>8620</v>
      </c>
      <c r="N2417" t="s">
        <v>8621</v>
      </c>
      <c r="Q2417" s="28">
        <v>26731170</v>
      </c>
    </row>
    <row r="2418" spans="1:17" x14ac:dyDescent="0.35">
      <c r="A2418" t="s">
        <v>8520</v>
      </c>
      <c r="B2418" s="3" t="s">
        <v>102</v>
      </c>
      <c r="F2418">
        <v>5</v>
      </c>
      <c r="G2418" t="s">
        <v>8607</v>
      </c>
      <c r="H2418">
        <v>31</v>
      </c>
      <c r="I2418" t="s">
        <v>9300</v>
      </c>
      <c r="J2418" t="str">
        <f t="shared" si="37"/>
        <v>13F-HR-5.31.C5</v>
      </c>
      <c r="K2418" s="5" t="s">
        <v>8622</v>
      </c>
      <c r="L2418" t="s">
        <v>241</v>
      </c>
      <c r="M2418" t="s">
        <v>8623</v>
      </c>
      <c r="N2418" t="s">
        <v>8624</v>
      </c>
      <c r="Q2418" s="28">
        <v>173264</v>
      </c>
    </row>
    <row r="2419" spans="1:17" x14ac:dyDescent="0.35">
      <c r="A2419" t="s">
        <v>8520</v>
      </c>
      <c r="B2419" s="3" t="s">
        <v>102</v>
      </c>
      <c r="F2419">
        <v>5</v>
      </c>
      <c r="G2419" t="s">
        <v>8607</v>
      </c>
      <c r="H2419">
        <v>32</v>
      </c>
      <c r="I2419" t="s">
        <v>9301</v>
      </c>
      <c r="J2419" t="str">
        <f t="shared" si="37"/>
        <v>13F-HR-5.32.C6</v>
      </c>
      <c r="K2419" s="5" t="s">
        <v>8625</v>
      </c>
      <c r="L2419" t="s">
        <v>229</v>
      </c>
      <c r="M2419" t="s">
        <v>8626</v>
      </c>
      <c r="N2419" t="s">
        <v>8627</v>
      </c>
      <c r="Q2419" s="28" t="s">
        <v>8628</v>
      </c>
    </row>
    <row r="2420" spans="1:17" x14ac:dyDescent="0.35">
      <c r="A2420" t="s">
        <v>8520</v>
      </c>
      <c r="B2420" s="3" t="s">
        <v>102</v>
      </c>
      <c r="F2420">
        <v>5</v>
      </c>
      <c r="G2420" t="s">
        <v>8607</v>
      </c>
      <c r="H2420">
        <v>33</v>
      </c>
      <c r="I2420" t="s">
        <v>9302</v>
      </c>
      <c r="J2420" t="str">
        <f t="shared" si="37"/>
        <v>13F-HR-5.33.C7</v>
      </c>
      <c r="K2420" s="5" t="s">
        <v>8629</v>
      </c>
      <c r="L2420" t="s">
        <v>229</v>
      </c>
      <c r="M2420" t="s">
        <v>8630</v>
      </c>
      <c r="N2420" t="s">
        <v>8631</v>
      </c>
      <c r="Q2420" s="28" t="s">
        <v>8685</v>
      </c>
    </row>
    <row r="2421" spans="1:17" x14ac:dyDescent="0.35">
      <c r="A2421" t="s">
        <v>8520</v>
      </c>
      <c r="B2421" s="3" t="s">
        <v>102</v>
      </c>
      <c r="F2421">
        <v>5</v>
      </c>
      <c r="G2421" t="s">
        <v>8607</v>
      </c>
      <c r="H2421">
        <v>34</v>
      </c>
      <c r="I2421" t="s">
        <v>9303</v>
      </c>
      <c r="J2421" t="str">
        <f t="shared" si="37"/>
        <v>13F-HR-5.34.C8</v>
      </c>
      <c r="K2421" s="5" t="s">
        <v>8633</v>
      </c>
      <c r="L2421" t="s">
        <v>4735</v>
      </c>
      <c r="M2421" t="s">
        <v>8634</v>
      </c>
      <c r="N2421" t="s">
        <v>8635</v>
      </c>
      <c r="Q2421" s="28" t="s">
        <v>8632</v>
      </c>
    </row>
    <row r="2422" spans="1:17" x14ac:dyDescent="0.35">
      <c r="A2422" t="s">
        <v>8520</v>
      </c>
      <c r="B2422" s="3" t="s">
        <v>102</v>
      </c>
      <c r="F2422">
        <v>5</v>
      </c>
      <c r="G2422" t="s">
        <v>8607</v>
      </c>
      <c r="H2422">
        <v>35</v>
      </c>
      <c r="I2422" t="s">
        <v>9304</v>
      </c>
      <c r="J2422" t="str">
        <f t="shared" si="37"/>
        <v>13F-HR-5.35.C9</v>
      </c>
      <c r="K2422" s="5" t="s">
        <v>8637</v>
      </c>
      <c r="L2422" t="s">
        <v>229</v>
      </c>
      <c r="M2422" t="s">
        <v>8638</v>
      </c>
      <c r="N2422" t="s">
        <v>8639</v>
      </c>
      <c r="Q2422" s="28" t="s">
        <v>8636</v>
      </c>
    </row>
    <row r="2423" spans="1:17" x14ac:dyDescent="0.35">
      <c r="A2423" t="s">
        <v>8520</v>
      </c>
      <c r="B2423" s="3" t="s">
        <v>102</v>
      </c>
      <c r="F2423">
        <v>5</v>
      </c>
      <c r="G2423" t="s">
        <v>8607</v>
      </c>
      <c r="H2423">
        <v>36</v>
      </c>
      <c r="I2423" t="s">
        <v>9305</v>
      </c>
      <c r="J2423" t="str">
        <f t="shared" si="37"/>
        <v>13F-HR-5.36.C10</v>
      </c>
      <c r="K2423" s="5" t="s">
        <v>8640</v>
      </c>
      <c r="L2423" t="s">
        <v>241</v>
      </c>
      <c r="M2423" t="s">
        <v>8641</v>
      </c>
      <c r="N2423" t="s">
        <v>8642</v>
      </c>
      <c r="Q2423" s="28">
        <v>52366</v>
      </c>
    </row>
    <row r="2424" spans="1:17" x14ac:dyDescent="0.35">
      <c r="A2424" t="s">
        <v>8520</v>
      </c>
      <c r="B2424" s="3" t="s">
        <v>102</v>
      </c>
      <c r="F2424">
        <v>5</v>
      </c>
      <c r="G2424" t="s">
        <v>8607</v>
      </c>
      <c r="H2424">
        <v>37</v>
      </c>
      <c r="I2424" t="s">
        <v>9306</v>
      </c>
      <c r="J2424" t="str">
        <f t="shared" si="37"/>
        <v>13F-HR-5.37.C11</v>
      </c>
      <c r="K2424" s="5" t="s">
        <v>8643</v>
      </c>
      <c r="L2424" t="s">
        <v>241</v>
      </c>
      <c r="M2424" t="s">
        <v>8644</v>
      </c>
      <c r="N2424" t="s">
        <v>8645</v>
      </c>
      <c r="Q2424" s="28">
        <v>0</v>
      </c>
    </row>
    <row r="2425" spans="1:17" x14ac:dyDescent="0.35">
      <c r="A2425" t="s">
        <v>8520</v>
      </c>
      <c r="B2425" s="3" t="s">
        <v>102</v>
      </c>
      <c r="F2425">
        <v>5</v>
      </c>
      <c r="G2425" t="s">
        <v>8607</v>
      </c>
      <c r="H2425">
        <v>38</v>
      </c>
      <c r="I2425" t="s">
        <v>9307</v>
      </c>
      <c r="J2425" t="str">
        <f t="shared" si="37"/>
        <v>13F-HR-5.38.C12</v>
      </c>
      <c r="K2425" s="5" t="s">
        <v>8646</v>
      </c>
      <c r="L2425" t="s">
        <v>241</v>
      </c>
      <c r="M2425" t="s">
        <v>8647</v>
      </c>
      <c r="N2425" t="s">
        <v>8648</v>
      </c>
      <c r="Q2425" s="28">
        <v>120898</v>
      </c>
    </row>
    <row r="2426" spans="1:17" x14ac:dyDescent="0.35">
      <c r="A2426" t="s">
        <v>8520</v>
      </c>
      <c r="B2426" s="3" t="s">
        <v>102</v>
      </c>
      <c r="F2426">
        <v>5</v>
      </c>
      <c r="G2426" t="s">
        <v>8607</v>
      </c>
      <c r="H2426">
        <v>27</v>
      </c>
      <c r="I2426" t="s">
        <v>9296</v>
      </c>
      <c r="J2426" t="str">
        <f t="shared" si="37"/>
        <v>13F-HR-5.27.C1</v>
      </c>
      <c r="K2426" s="5" t="s">
        <v>8608</v>
      </c>
      <c r="L2426" t="s">
        <v>229</v>
      </c>
      <c r="M2426" t="s">
        <v>8609</v>
      </c>
      <c r="N2426" t="s">
        <v>8610</v>
      </c>
      <c r="Q2426" s="28" t="s">
        <v>8962</v>
      </c>
    </row>
    <row r="2427" spans="1:17" x14ac:dyDescent="0.35">
      <c r="A2427" t="s">
        <v>8520</v>
      </c>
      <c r="B2427" s="3" t="s">
        <v>102</v>
      </c>
      <c r="F2427">
        <v>5</v>
      </c>
      <c r="G2427" t="s">
        <v>8607</v>
      </c>
      <c r="H2427">
        <v>28</v>
      </c>
      <c r="I2427" t="s">
        <v>9297</v>
      </c>
      <c r="J2427" t="str">
        <f t="shared" si="37"/>
        <v>13F-HR-5.28.C2</v>
      </c>
      <c r="K2427" s="5" t="s">
        <v>8612</v>
      </c>
      <c r="L2427" t="s">
        <v>229</v>
      </c>
      <c r="M2427" t="s">
        <v>8613</v>
      </c>
      <c r="N2427" t="s">
        <v>8614</v>
      </c>
      <c r="Q2427" s="28" t="s">
        <v>8615</v>
      </c>
    </row>
    <row r="2428" spans="1:17" x14ac:dyDescent="0.35">
      <c r="A2428" t="s">
        <v>8520</v>
      </c>
      <c r="B2428" s="3" t="s">
        <v>102</v>
      </c>
      <c r="F2428">
        <v>5</v>
      </c>
      <c r="G2428" t="s">
        <v>8607</v>
      </c>
      <c r="H2428">
        <v>29</v>
      </c>
      <c r="I2428" t="s">
        <v>9298</v>
      </c>
      <c r="J2428" t="str">
        <f t="shared" si="37"/>
        <v>13F-HR-5.29.C3</v>
      </c>
      <c r="K2428" s="5" t="s">
        <v>8616</v>
      </c>
      <c r="L2428" t="s">
        <v>229</v>
      </c>
      <c r="M2428" t="s">
        <v>7927</v>
      </c>
      <c r="N2428" t="s">
        <v>8617</v>
      </c>
      <c r="Q2428" s="28">
        <v>717081103</v>
      </c>
    </row>
    <row r="2429" spans="1:17" x14ac:dyDescent="0.35">
      <c r="A2429" t="s">
        <v>8520</v>
      </c>
      <c r="B2429" s="3" t="s">
        <v>102</v>
      </c>
      <c r="F2429">
        <v>5</v>
      </c>
      <c r="G2429" t="s">
        <v>8607</v>
      </c>
      <c r="H2429">
        <v>30</v>
      </c>
      <c r="I2429" t="s">
        <v>9299</v>
      </c>
      <c r="J2429" t="str">
        <f t="shared" si="37"/>
        <v>13F-HR-5.30.C4</v>
      </c>
      <c r="K2429" s="5" t="s">
        <v>8618</v>
      </c>
      <c r="L2429" t="s">
        <v>8619</v>
      </c>
      <c r="M2429" t="s">
        <v>8620</v>
      </c>
      <c r="N2429" t="s">
        <v>8621</v>
      </c>
      <c r="Q2429" s="28">
        <v>5146681</v>
      </c>
    </row>
    <row r="2430" spans="1:17" x14ac:dyDescent="0.35">
      <c r="A2430" t="s">
        <v>8520</v>
      </c>
      <c r="B2430" s="3" t="s">
        <v>102</v>
      </c>
      <c r="F2430">
        <v>5</v>
      </c>
      <c r="G2430" t="s">
        <v>8607</v>
      </c>
      <c r="H2430">
        <v>31</v>
      </c>
      <c r="I2430" t="s">
        <v>9300</v>
      </c>
      <c r="J2430" t="str">
        <f t="shared" si="37"/>
        <v>13F-HR-5.31.C5</v>
      </c>
      <c r="K2430" s="5" t="s">
        <v>8622</v>
      </c>
      <c r="L2430" t="s">
        <v>241</v>
      </c>
      <c r="M2430" t="s">
        <v>8623</v>
      </c>
      <c r="N2430" t="s">
        <v>8624</v>
      </c>
      <c r="Q2430" s="28">
        <v>203105</v>
      </c>
    </row>
    <row r="2431" spans="1:17" x14ac:dyDescent="0.35">
      <c r="A2431" t="s">
        <v>8520</v>
      </c>
      <c r="B2431" s="3" t="s">
        <v>102</v>
      </c>
      <c r="F2431">
        <v>5</v>
      </c>
      <c r="G2431" t="s">
        <v>8607</v>
      </c>
      <c r="H2431">
        <v>32</v>
      </c>
      <c r="I2431" t="s">
        <v>9301</v>
      </c>
      <c r="J2431" t="str">
        <f t="shared" si="37"/>
        <v>13F-HR-5.32.C6</v>
      </c>
      <c r="K2431" s="5" t="s">
        <v>8625</v>
      </c>
      <c r="L2431" t="s">
        <v>229</v>
      </c>
      <c r="M2431" t="s">
        <v>8626</v>
      </c>
      <c r="N2431" t="s">
        <v>8627</v>
      </c>
      <c r="Q2431" s="28" t="s">
        <v>8628</v>
      </c>
    </row>
    <row r="2432" spans="1:17" x14ac:dyDescent="0.35">
      <c r="A2432" t="s">
        <v>8520</v>
      </c>
      <c r="B2432" s="3" t="s">
        <v>102</v>
      </c>
      <c r="F2432">
        <v>5</v>
      </c>
      <c r="G2432" t="s">
        <v>8607</v>
      </c>
      <c r="H2432">
        <v>33</v>
      </c>
      <c r="I2432" t="s">
        <v>9302</v>
      </c>
      <c r="J2432" t="str">
        <f t="shared" si="37"/>
        <v>13F-HR-5.33.C7</v>
      </c>
      <c r="K2432" s="5" t="s">
        <v>8629</v>
      </c>
      <c r="L2432" t="s">
        <v>229</v>
      </c>
      <c r="M2432" t="s">
        <v>8630</v>
      </c>
      <c r="N2432" t="s">
        <v>8631</v>
      </c>
      <c r="Q2432" s="28" t="s">
        <v>8685</v>
      </c>
    </row>
    <row r="2433" spans="1:17" x14ac:dyDescent="0.35">
      <c r="A2433" t="s">
        <v>8520</v>
      </c>
      <c r="B2433" s="3" t="s">
        <v>102</v>
      </c>
      <c r="F2433">
        <v>5</v>
      </c>
      <c r="G2433" t="s">
        <v>8607</v>
      </c>
      <c r="H2433">
        <v>34</v>
      </c>
      <c r="I2433" t="s">
        <v>9303</v>
      </c>
      <c r="J2433" t="str">
        <f t="shared" si="37"/>
        <v>13F-HR-5.34.C8</v>
      </c>
      <c r="K2433" s="5" t="s">
        <v>8633</v>
      </c>
      <c r="L2433" t="s">
        <v>4735</v>
      </c>
      <c r="M2433" t="s">
        <v>8634</v>
      </c>
      <c r="N2433" t="s">
        <v>8635</v>
      </c>
      <c r="Q2433" s="28" t="s">
        <v>8632</v>
      </c>
    </row>
    <row r="2434" spans="1:17" x14ac:dyDescent="0.35">
      <c r="A2434" t="s">
        <v>8520</v>
      </c>
      <c r="B2434" s="3" t="s">
        <v>102</v>
      </c>
      <c r="F2434">
        <v>5</v>
      </c>
      <c r="G2434" t="s">
        <v>8607</v>
      </c>
      <c r="H2434">
        <v>35</v>
      </c>
      <c r="I2434" t="s">
        <v>9304</v>
      </c>
      <c r="J2434" t="str">
        <f t="shared" si="37"/>
        <v>13F-HR-5.35.C9</v>
      </c>
      <c r="K2434" s="5" t="s">
        <v>8637</v>
      </c>
      <c r="L2434" t="s">
        <v>229</v>
      </c>
      <c r="M2434" t="s">
        <v>8638</v>
      </c>
      <c r="N2434" t="s">
        <v>8639</v>
      </c>
      <c r="Q2434" s="28" t="s">
        <v>8636</v>
      </c>
    </row>
    <row r="2435" spans="1:17" x14ac:dyDescent="0.35">
      <c r="A2435" t="s">
        <v>8520</v>
      </c>
      <c r="B2435" s="3" t="s">
        <v>102</v>
      </c>
      <c r="F2435">
        <v>5</v>
      </c>
      <c r="G2435" t="s">
        <v>8607</v>
      </c>
      <c r="H2435">
        <v>36</v>
      </c>
      <c r="I2435" t="s">
        <v>9305</v>
      </c>
      <c r="J2435" t="str">
        <f t="shared" ref="J2435:J2498" si="38">_xlfn.CONCAT(A2435,"-",F2435,".",H2435,".",I2435)</f>
        <v>13F-HR-5.36.C10</v>
      </c>
      <c r="K2435" s="5" t="s">
        <v>8640</v>
      </c>
      <c r="L2435" t="s">
        <v>241</v>
      </c>
      <c r="M2435" t="s">
        <v>8641</v>
      </c>
      <c r="N2435" t="s">
        <v>8642</v>
      </c>
      <c r="Q2435" s="28">
        <v>196223</v>
      </c>
    </row>
    <row r="2436" spans="1:17" x14ac:dyDescent="0.35">
      <c r="A2436" t="s">
        <v>8520</v>
      </c>
      <c r="B2436" s="3" t="s">
        <v>102</v>
      </c>
      <c r="F2436">
        <v>5</v>
      </c>
      <c r="G2436" t="s">
        <v>8607</v>
      </c>
      <c r="H2436">
        <v>37</v>
      </c>
      <c r="I2436" t="s">
        <v>9306</v>
      </c>
      <c r="J2436" t="str">
        <f t="shared" si="38"/>
        <v>13F-HR-5.37.C11</v>
      </c>
      <c r="K2436" s="5" t="s">
        <v>8643</v>
      </c>
      <c r="L2436" t="s">
        <v>241</v>
      </c>
      <c r="M2436" t="s">
        <v>8644</v>
      </c>
      <c r="N2436" t="s">
        <v>8645</v>
      </c>
      <c r="Q2436" s="28">
        <v>0</v>
      </c>
    </row>
    <row r="2437" spans="1:17" x14ac:dyDescent="0.35">
      <c r="A2437" t="s">
        <v>8520</v>
      </c>
      <c r="B2437" s="3" t="s">
        <v>102</v>
      </c>
      <c r="F2437">
        <v>5</v>
      </c>
      <c r="G2437" t="s">
        <v>8607</v>
      </c>
      <c r="H2437">
        <v>38</v>
      </c>
      <c r="I2437" t="s">
        <v>9307</v>
      </c>
      <c r="J2437" t="str">
        <f t="shared" si="38"/>
        <v>13F-HR-5.38.C12</v>
      </c>
      <c r="K2437" s="5" t="s">
        <v>8646</v>
      </c>
      <c r="L2437" t="s">
        <v>241</v>
      </c>
      <c r="M2437" t="s">
        <v>8647</v>
      </c>
      <c r="N2437" t="s">
        <v>8648</v>
      </c>
      <c r="Q2437" s="28">
        <v>6882</v>
      </c>
    </row>
    <row r="2438" spans="1:17" x14ac:dyDescent="0.35">
      <c r="A2438" t="s">
        <v>8520</v>
      </c>
      <c r="B2438" s="3" t="s">
        <v>102</v>
      </c>
      <c r="F2438">
        <v>5</v>
      </c>
      <c r="G2438" t="s">
        <v>8607</v>
      </c>
      <c r="H2438">
        <v>27</v>
      </c>
      <c r="I2438" t="s">
        <v>9296</v>
      </c>
      <c r="J2438" t="str">
        <f t="shared" si="38"/>
        <v>13F-HR-5.27.C1</v>
      </c>
      <c r="K2438" s="5" t="s">
        <v>8608</v>
      </c>
      <c r="L2438" t="s">
        <v>229</v>
      </c>
      <c r="M2438" t="s">
        <v>8609</v>
      </c>
      <c r="N2438" t="s">
        <v>8610</v>
      </c>
      <c r="Q2438" s="28" t="s">
        <v>8963</v>
      </c>
    </row>
    <row r="2439" spans="1:17" x14ac:dyDescent="0.35">
      <c r="A2439" t="s">
        <v>8520</v>
      </c>
      <c r="B2439" s="3" t="s">
        <v>102</v>
      </c>
      <c r="F2439">
        <v>5</v>
      </c>
      <c r="G2439" t="s">
        <v>8607</v>
      </c>
      <c r="H2439">
        <v>28</v>
      </c>
      <c r="I2439" t="s">
        <v>9297</v>
      </c>
      <c r="J2439" t="str">
        <f t="shared" si="38"/>
        <v>13F-HR-5.28.C2</v>
      </c>
      <c r="K2439" s="5" t="s">
        <v>8612</v>
      </c>
      <c r="L2439" t="s">
        <v>229</v>
      </c>
      <c r="M2439" t="s">
        <v>8613</v>
      </c>
      <c r="N2439" t="s">
        <v>8614</v>
      </c>
      <c r="Q2439" s="28" t="s">
        <v>8615</v>
      </c>
    </row>
    <row r="2440" spans="1:17" x14ac:dyDescent="0.35">
      <c r="A2440" t="s">
        <v>8520</v>
      </c>
      <c r="B2440" s="3" t="s">
        <v>102</v>
      </c>
      <c r="F2440">
        <v>5</v>
      </c>
      <c r="G2440" t="s">
        <v>8607</v>
      </c>
      <c r="H2440">
        <v>29</v>
      </c>
      <c r="I2440" t="s">
        <v>9298</v>
      </c>
      <c r="J2440" t="str">
        <f t="shared" si="38"/>
        <v>13F-HR-5.29.C3</v>
      </c>
      <c r="K2440" s="5" t="s">
        <v>8616</v>
      </c>
      <c r="L2440" t="s">
        <v>229</v>
      </c>
      <c r="M2440" t="s">
        <v>7927</v>
      </c>
      <c r="N2440" t="s">
        <v>8617</v>
      </c>
      <c r="Q2440" s="28">
        <v>718172109</v>
      </c>
    </row>
    <row r="2441" spans="1:17" x14ac:dyDescent="0.35">
      <c r="A2441" t="s">
        <v>8520</v>
      </c>
      <c r="B2441" s="3" t="s">
        <v>102</v>
      </c>
      <c r="F2441">
        <v>5</v>
      </c>
      <c r="G2441" t="s">
        <v>8607</v>
      </c>
      <c r="H2441">
        <v>30</v>
      </c>
      <c r="I2441" t="s">
        <v>9299</v>
      </c>
      <c r="J2441" t="str">
        <f t="shared" si="38"/>
        <v>13F-HR-5.30.C4</v>
      </c>
      <c r="K2441" s="5" t="s">
        <v>8618</v>
      </c>
      <c r="L2441" t="s">
        <v>8619</v>
      </c>
      <c r="M2441" t="s">
        <v>8620</v>
      </c>
      <c r="N2441" t="s">
        <v>8621</v>
      </c>
      <c r="Q2441" s="28">
        <v>193700124</v>
      </c>
    </row>
    <row r="2442" spans="1:17" x14ac:dyDescent="0.35">
      <c r="A2442" t="s">
        <v>8520</v>
      </c>
      <c r="B2442" s="3" t="s">
        <v>102</v>
      </c>
      <c r="F2442">
        <v>5</v>
      </c>
      <c r="G2442" t="s">
        <v>8607</v>
      </c>
      <c r="H2442">
        <v>31</v>
      </c>
      <c r="I2442" t="s">
        <v>9300</v>
      </c>
      <c r="J2442" t="str">
        <f t="shared" si="38"/>
        <v>13F-HR-5.31.C5</v>
      </c>
      <c r="K2442" s="5" t="s">
        <v>8622</v>
      </c>
      <c r="L2442" t="s">
        <v>241</v>
      </c>
      <c r="M2442" t="s">
        <v>8623</v>
      </c>
      <c r="N2442" t="s">
        <v>8624</v>
      </c>
      <c r="Q2442" s="28">
        <v>1220312</v>
      </c>
    </row>
    <row r="2443" spans="1:17" x14ac:dyDescent="0.35">
      <c r="A2443" t="s">
        <v>8520</v>
      </c>
      <c r="B2443" s="3" t="s">
        <v>102</v>
      </c>
      <c r="F2443">
        <v>5</v>
      </c>
      <c r="G2443" t="s">
        <v>8607</v>
      </c>
      <c r="H2443">
        <v>32</v>
      </c>
      <c r="I2443" t="s">
        <v>9301</v>
      </c>
      <c r="J2443" t="str">
        <f t="shared" si="38"/>
        <v>13F-HR-5.32.C6</v>
      </c>
      <c r="K2443" s="5" t="s">
        <v>8625</v>
      </c>
      <c r="L2443" t="s">
        <v>229</v>
      </c>
      <c r="M2443" t="s">
        <v>8626</v>
      </c>
      <c r="N2443" t="s">
        <v>8627</v>
      </c>
      <c r="Q2443" s="28" t="s">
        <v>8628</v>
      </c>
    </row>
    <row r="2444" spans="1:17" x14ac:dyDescent="0.35">
      <c r="A2444" t="s">
        <v>8520</v>
      </c>
      <c r="B2444" s="3" t="s">
        <v>102</v>
      </c>
      <c r="F2444">
        <v>5</v>
      </c>
      <c r="G2444" t="s">
        <v>8607</v>
      </c>
      <c r="H2444">
        <v>33</v>
      </c>
      <c r="I2444" t="s">
        <v>9302</v>
      </c>
      <c r="J2444" t="str">
        <f t="shared" si="38"/>
        <v>13F-HR-5.33.C7</v>
      </c>
      <c r="K2444" s="5" t="s">
        <v>8629</v>
      </c>
      <c r="L2444" t="s">
        <v>229</v>
      </c>
      <c r="M2444" t="s">
        <v>8630</v>
      </c>
      <c r="N2444" t="s">
        <v>8631</v>
      </c>
      <c r="Q2444" s="28" t="s">
        <v>8685</v>
      </c>
    </row>
    <row r="2445" spans="1:17" x14ac:dyDescent="0.35">
      <c r="A2445" t="s">
        <v>8520</v>
      </c>
      <c r="B2445" s="3" t="s">
        <v>102</v>
      </c>
      <c r="F2445">
        <v>5</v>
      </c>
      <c r="G2445" t="s">
        <v>8607</v>
      </c>
      <c r="H2445">
        <v>34</v>
      </c>
      <c r="I2445" t="s">
        <v>9303</v>
      </c>
      <c r="J2445" t="str">
        <f t="shared" si="38"/>
        <v>13F-HR-5.34.C8</v>
      </c>
      <c r="K2445" s="5" t="s">
        <v>8633</v>
      </c>
      <c r="L2445" t="s">
        <v>4735</v>
      </c>
      <c r="M2445" t="s">
        <v>8634</v>
      </c>
      <c r="N2445" t="s">
        <v>8635</v>
      </c>
      <c r="Q2445" s="28" t="s">
        <v>8632</v>
      </c>
    </row>
    <row r="2446" spans="1:17" x14ac:dyDescent="0.35">
      <c r="A2446" t="s">
        <v>8520</v>
      </c>
      <c r="B2446" s="3" t="s">
        <v>102</v>
      </c>
      <c r="F2446">
        <v>5</v>
      </c>
      <c r="G2446" t="s">
        <v>8607</v>
      </c>
      <c r="H2446">
        <v>35</v>
      </c>
      <c r="I2446" t="s">
        <v>9304</v>
      </c>
      <c r="J2446" t="str">
        <f t="shared" si="38"/>
        <v>13F-HR-5.35.C9</v>
      </c>
      <c r="K2446" s="5" t="s">
        <v>8637</v>
      </c>
      <c r="L2446" t="s">
        <v>229</v>
      </c>
      <c r="M2446" t="s">
        <v>8638</v>
      </c>
      <c r="N2446" t="s">
        <v>8639</v>
      </c>
      <c r="Q2446" s="28" t="s">
        <v>8636</v>
      </c>
    </row>
    <row r="2447" spans="1:17" x14ac:dyDescent="0.35">
      <c r="A2447" t="s">
        <v>8520</v>
      </c>
      <c r="B2447" s="3" t="s">
        <v>102</v>
      </c>
      <c r="F2447">
        <v>5</v>
      </c>
      <c r="G2447" t="s">
        <v>8607</v>
      </c>
      <c r="H2447">
        <v>36</v>
      </c>
      <c r="I2447" t="s">
        <v>9305</v>
      </c>
      <c r="J2447" t="str">
        <f t="shared" si="38"/>
        <v>13F-HR-5.36.C10</v>
      </c>
      <c r="K2447" s="5" t="s">
        <v>8640</v>
      </c>
      <c r="L2447" t="s">
        <v>241</v>
      </c>
      <c r="M2447" t="s">
        <v>8641</v>
      </c>
      <c r="N2447" t="s">
        <v>8642</v>
      </c>
      <c r="Q2447" s="28">
        <v>608083</v>
      </c>
    </row>
    <row r="2448" spans="1:17" x14ac:dyDescent="0.35">
      <c r="A2448" t="s">
        <v>8520</v>
      </c>
      <c r="B2448" s="3" t="s">
        <v>102</v>
      </c>
      <c r="F2448">
        <v>5</v>
      </c>
      <c r="G2448" t="s">
        <v>8607</v>
      </c>
      <c r="H2448">
        <v>37</v>
      </c>
      <c r="I2448" t="s">
        <v>9306</v>
      </c>
      <c r="J2448" t="str">
        <f t="shared" si="38"/>
        <v>13F-HR-5.37.C11</v>
      </c>
      <c r="K2448" s="5" t="s">
        <v>8643</v>
      </c>
      <c r="L2448" t="s">
        <v>241</v>
      </c>
      <c r="M2448" t="s">
        <v>8644</v>
      </c>
      <c r="N2448" t="s">
        <v>8645</v>
      </c>
      <c r="Q2448" s="28">
        <v>0</v>
      </c>
    </row>
    <row r="2449" spans="1:17" x14ac:dyDescent="0.35">
      <c r="A2449" t="s">
        <v>8520</v>
      </c>
      <c r="B2449" s="3" t="s">
        <v>102</v>
      </c>
      <c r="F2449">
        <v>5</v>
      </c>
      <c r="G2449" t="s">
        <v>8607</v>
      </c>
      <c r="H2449">
        <v>38</v>
      </c>
      <c r="I2449" t="s">
        <v>9307</v>
      </c>
      <c r="J2449" t="str">
        <f t="shared" si="38"/>
        <v>13F-HR-5.38.C12</v>
      </c>
      <c r="K2449" s="5" t="s">
        <v>8646</v>
      </c>
      <c r="L2449" t="s">
        <v>241</v>
      </c>
      <c r="M2449" t="s">
        <v>8647</v>
      </c>
      <c r="N2449" t="s">
        <v>8648</v>
      </c>
      <c r="Q2449" s="28">
        <v>612229</v>
      </c>
    </row>
    <row r="2450" spans="1:17" x14ac:dyDescent="0.35">
      <c r="A2450" t="s">
        <v>8520</v>
      </c>
      <c r="B2450" s="3" t="s">
        <v>102</v>
      </c>
      <c r="F2450">
        <v>5</v>
      </c>
      <c r="G2450" t="s">
        <v>8607</v>
      </c>
      <c r="H2450">
        <v>27</v>
      </c>
      <c r="I2450" t="s">
        <v>9296</v>
      </c>
      <c r="J2450" t="str">
        <f t="shared" si="38"/>
        <v>13F-HR-5.27.C1</v>
      </c>
      <c r="K2450" s="5" t="s">
        <v>8608</v>
      </c>
      <c r="L2450" t="s">
        <v>229</v>
      </c>
      <c r="M2450" t="s">
        <v>8609</v>
      </c>
      <c r="N2450" t="s">
        <v>8610</v>
      </c>
      <c r="Q2450" s="28" t="s">
        <v>8964</v>
      </c>
    </row>
    <row r="2451" spans="1:17" x14ac:dyDescent="0.35">
      <c r="A2451" t="s">
        <v>8520</v>
      </c>
      <c r="B2451" s="3" t="s">
        <v>102</v>
      </c>
      <c r="F2451">
        <v>5</v>
      </c>
      <c r="G2451" t="s">
        <v>8607</v>
      </c>
      <c r="H2451">
        <v>28</v>
      </c>
      <c r="I2451" t="s">
        <v>9297</v>
      </c>
      <c r="J2451" t="str">
        <f t="shared" si="38"/>
        <v>13F-HR-5.28.C2</v>
      </c>
      <c r="K2451" s="5" t="s">
        <v>8612</v>
      </c>
      <c r="L2451" t="s">
        <v>229</v>
      </c>
      <c r="M2451" t="s">
        <v>8613</v>
      </c>
      <c r="N2451" t="s">
        <v>8614</v>
      </c>
      <c r="Q2451" s="28" t="s">
        <v>8698</v>
      </c>
    </row>
    <row r="2452" spans="1:17" x14ac:dyDescent="0.35">
      <c r="A2452" t="s">
        <v>8520</v>
      </c>
      <c r="B2452" s="3" t="s">
        <v>102</v>
      </c>
      <c r="F2452">
        <v>5</v>
      </c>
      <c r="G2452" t="s">
        <v>8607</v>
      </c>
      <c r="H2452">
        <v>29</v>
      </c>
      <c r="I2452" t="s">
        <v>9298</v>
      </c>
      <c r="J2452" t="str">
        <f t="shared" si="38"/>
        <v>13F-HR-5.29.C3</v>
      </c>
      <c r="K2452" s="5" t="s">
        <v>8616</v>
      </c>
      <c r="L2452" t="s">
        <v>229</v>
      </c>
      <c r="M2452" t="s">
        <v>7927</v>
      </c>
      <c r="N2452" t="s">
        <v>8617</v>
      </c>
      <c r="Q2452" s="28">
        <v>722304102</v>
      </c>
    </row>
    <row r="2453" spans="1:17" x14ac:dyDescent="0.35">
      <c r="A2453" t="s">
        <v>8520</v>
      </c>
      <c r="B2453" s="3" t="s">
        <v>102</v>
      </c>
      <c r="F2453">
        <v>5</v>
      </c>
      <c r="G2453" t="s">
        <v>8607</v>
      </c>
      <c r="H2453">
        <v>30</v>
      </c>
      <c r="I2453" t="s">
        <v>9299</v>
      </c>
      <c r="J2453" t="str">
        <f t="shared" si="38"/>
        <v>13F-HR-5.30.C4</v>
      </c>
      <c r="K2453" s="5" t="s">
        <v>8618</v>
      </c>
      <c r="L2453" t="s">
        <v>8619</v>
      </c>
      <c r="M2453" t="s">
        <v>8620</v>
      </c>
      <c r="N2453" t="s">
        <v>8621</v>
      </c>
      <c r="Q2453" s="28">
        <v>21079674</v>
      </c>
    </row>
    <row r="2454" spans="1:17" x14ac:dyDescent="0.35">
      <c r="A2454" t="s">
        <v>8520</v>
      </c>
      <c r="B2454" s="3" t="s">
        <v>102</v>
      </c>
      <c r="F2454">
        <v>5</v>
      </c>
      <c r="G2454" t="s">
        <v>8607</v>
      </c>
      <c r="H2454">
        <v>31</v>
      </c>
      <c r="I2454" t="s">
        <v>9300</v>
      </c>
      <c r="J2454" t="str">
        <f t="shared" si="38"/>
        <v>13F-HR-5.31.C5</v>
      </c>
      <c r="K2454" s="5" t="s">
        <v>8622</v>
      </c>
      <c r="L2454" t="s">
        <v>241</v>
      </c>
      <c r="M2454" t="s">
        <v>8623</v>
      </c>
      <c r="N2454" t="s">
        <v>8624</v>
      </c>
      <c r="Q2454" s="28">
        <v>178113</v>
      </c>
    </row>
    <row r="2455" spans="1:17" x14ac:dyDescent="0.35">
      <c r="A2455" t="s">
        <v>8520</v>
      </c>
      <c r="B2455" s="3" t="s">
        <v>102</v>
      </c>
      <c r="F2455">
        <v>5</v>
      </c>
      <c r="G2455" t="s">
        <v>8607</v>
      </c>
      <c r="H2455">
        <v>32</v>
      </c>
      <c r="I2455" t="s">
        <v>9301</v>
      </c>
      <c r="J2455" t="str">
        <f t="shared" si="38"/>
        <v>13F-HR-5.32.C6</v>
      </c>
      <c r="K2455" s="5" t="s">
        <v>8625</v>
      </c>
      <c r="L2455" t="s">
        <v>229</v>
      </c>
      <c r="M2455" t="s">
        <v>8626</v>
      </c>
      <c r="N2455" t="s">
        <v>8627</v>
      </c>
      <c r="Q2455" s="28" t="s">
        <v>8628</v>
      </c>
    </row>
    <row r="2456" spans="1:17" x14ac:dyDescent="0.35">
      <c r="A2456" t="s">
        <v>8520</v>
      </c>
      <c r="B2456" s="3" t="s">
        <v>102</v>
      </c>
      <c r="F2456">
        <v>5</v>
      </c>
      <c r="G2456" t="s">
        <v>8607</v>
      </c>
      <c r="H2456">
        <v>33</v>
      </c>
      <c r="I2456" t="s">
        <v>9302</v>
      </c>
      <c r="J2456" t="str">
        <f t="shared" si="38"/>
        <v>13F-HR-5.33.C7</v>
      </c>
      <c r="K2456" s="5" t="s">
        <v>8629</v>
      </c>
      <c r="L2456" t="s">
        <v>229</v>
      </c>
      <c r="M2456" t="s">
        <v>8630</v>
      </c>
      <c r="N2456" t="s">
        <v>8631</v>
      </c>
      <c r="Q2456" s="28" t="s">
        <v>8685</v>
      </c>
    </row>
    <row r="2457" spans="1:17" x14ac:dyDescent="0.35">
      <c r="A2457" t="s">
        <v>8520</v>
      </c>
      <c r="B2457" s="3" t="s">
        <v>102</v>
      </c>
      <c r="F2457">
        <v>5</v>
      </c>
      <c r="G2457" t="s">
        <v>8607</v>
      </c>
      <c r="H2457">
        <v>34</v>
      </c>
      <c r="I2457" t="s">
        <v>9303</v>
      </c>
      <c r="J2457" t="str">
        <f t="shared" si="38"/>
        <v>13F-HR-5.34.C8</v>
      </c>
      <c r="K2457" s="5" t="s">
        <v>8633</v>
      </c>
      <c r="L2457" t="s">
        <v>4735</v>
      </c>
      <c r="M2457" t="s">
        <v>8634</v>
      </c>
      <c r="N2457" t="s">
        <v>8635</v>
      </c>
      <c r="Q2457" s="28" t="s">
        <v>8632</v>
      </c>
    </row>
    <row r="2458" spans="1:17" x14ac:dyDescent="0.35">
      <c r="A2458" t="s">
        <v>8520</v>
      </c>
      <c r="B2458" s="3" t="s">
        <v>102</v>
      </c>
      <c r="F2458">
        <v>5</v>
      </c>
      <c r="G2458" t="s">
        <v>8607</v>
      </c>
      <c r="H2458">
        <v>35</v>
      </c>
      <c r="I2458" t="s">
        <v>9304</v>
      </c>
      <c r="J2458" t="str">
        <f t="shared" si="38"/>
        <v>13F-HR-5.35.C9</v>
      </c>
      <c r="K2458" s="5" t="s">
        <v>8637</v>
      </c>
      <c r="L2458" t="s">
        <v>229</v>
      </c>
      <c r="M2458" t="s">
        <v>8638</v>
      </c>
      <c r="N2458" t="s">
        <v>8639</v>
      </c>
      <c r="Q2458" s="28" t="s">
        <v>8636</v>
      </c>
    </row>
    <row r="2459" spans="1:17" x14ac:dyDescent="0.35">
      <c r="A2459" t="s">
        <v>8520</v>
      </c>
      <c r="B2459" s="3" t="s">
        <v>102</v>
      </c>
      <c r="F2459">
        <v>5</v>
      </c>
      <c r="G2459" t="s">
        <v>8607</v>
      </c>
      <c r="H2459">
        <v>36</v>
      </c>
      <c r="I2459" t="s">
        <v>9305</v>
      </c>
      <c r="J2459" t="str">
        <f t="shared" si="38"/>
        <v>13F-HR-5.36.C10</v>
      </c>
      <c r="K2459" s="5" t="s">
        <v>8640</v>
      </c>
      <c r="L2459" t="s">
        <v>241</v>
      </c>
      <c r="M2459" t="s">
        <v>8641</v>
      </c>
      <c r="N2459" t="s">
        <v>8642</v>
      </c>
      <c r="Q2459" s="28">
        <v>178113</v>
      </c>
    </row>
    <row r="2460" spans="1:17" x14ac:dyDescent="0.35">
      <c r="A2460" t="s">
        <v>8520</v>
      </c>
      <c r="B2460" s="3" t="s">
        <v>102</v>
      </c>
      <c r="F2460">
        <v>5</v>
      </c>
      <c r="G2460" t="s">
        <v>8607</v>
      </c>
      <c r="H2460">
        <v>37</v>
      </c>
      <c r="I2460" t="s">
        <v>9306</v>
      </c>
      <c r="J2460" t="str">
        <f t="shared" si="38"/>
        <v>13F-HR-5.37.C11</v>
      </c>
      <c r="K2460" s="5" t="s">
        <v>8643</v>
      </c>
      <c r="L2460" t="s">
        <v>241</v>
      </c>
      <c r="M2460" t="s">
        <v>8644</v>
      </c>
      <c r="N2460" t="s">
        <v>8645</v>
      </c>
      <c r="Q2460" s="28">
        <v>0</v>
      </c>
    </row>
    <row r="2461" spans="1:17" x14ac:dyDescent="0.35">
      <c r="A2461" t="s">
        <v>8520</v>
      </c>
      <c r="B2461" s="3" t="s">
        <v>102</v>
      </c>
      <c r="F2461">
        <v>5</v>
      </c>
      <c r="G2461" t="s">
        <v>8607</v>
      </c>
      <c r="H2461">
        <v>38</v>
      </c>
      <c r="I2461" t="s">
        <v>9307</v>
      </c>
      <c r="J2461" t="str">
        <f t="shared" si="38"/>
        <v>13F-HR-5.38.C12</v>
      </c>
      <c r="K2461" s="5" t="s">
        <v>8646</v>
      </c>
      <c r="L2461" t="s">
        <v>241</v>
      </c>
      <c r="M2461" t="s">
        <v>8647</v>
      </c>
      <c r="N2461" t="s">
        <v>8648</v>
      </c>
      <c r="Q2461" s="28">
        <v>0</v>
      </c>
    </row>
    <row r="2462" spans="1:17" x14ac:dyDescent="0.35">
      <c r="A2462" t="s">
        <v>8520</v>
      </c>
      <c r="B2462" s="3" t="s">
        <v>102</v>
      </c>
      <c r="F2462">
        <v>5</v>
      </c>
      <c r="G2462" t="s">
        <v>8607</v>
      </c>
      <c r="H2462">
        <v>27</v>
      </c>
      <c r="I2462" t="s">
        <v>9296</v>
      </c>
      <c r="J2462" t="str">
        <f t="shared" si="38"/>
        <v>13F-HR-5.27.C1</v>
      </c>
      <c r="K2462" s="5" t="s">
        <v>8608</v>
      </c>
      <c r="L2462" t="s">
        <v>229</v>
      </c>
      <c r="M2462" t="s">
        <v>8609</v>
      </c>
      <c r="N2462" t="s">
        <v>8610</v>
      </c>
      <c r="Q2462" s="28" t="s">
        <v>8965</v>
      </c>
    </row>
    <row r="2463" spans="1:17" x14ac:dyDescent="0.35">
      <c r="A2463" t="s">
        <v>8520</v>
      </c>
      <c r="B2463" s="3" t="s">
        <v>102</v>
      </c>
      <c r="F2463">
        <v>5</v>
      </c>
      <c r="G2463" t="s">
        <v>8607</v>
      </c>
      <c r="H2463">
        <v>28</v>
      </c>
      <c r="I2463" t="s">
        <v>9297</v>
      </c>
      <c r="J2463" t="str">
        <f t="shared" si="38"/>
        <v>13F-HR-5.28.C2</v>
      </c>
      <c r="K2463" s="5" t="s">
        <v>8612</v>
      </c>
      <c r="L2463" t="s">
        <v>229</v>
      </c>
      <c r="M2463" t="s">
        <v>8613</v>
      </c>
      <c r="N2463" t="s">
        <v>8614</v>
      </c>
      <c r="Q2463" s="28" t="s">
        <v>8706</v>
      </c>
    </row>
    <row r="2464" spans="1:17" x14ac:dyDescent="0.35">
      <c r="A2464" t="s">
        <v>8520</v>
      </c>
      <c r="B2464" s="3" t="s">
        <v>102</v>
      </c>
      <c r="F2464">
        <v>5</v>
      </c>
      <c r="G2464" t="s">
        <v>8607</v>
      </c>
      <c r="H2464">
        <v>29</v>
      </c>
      <c r="I2464" t="s">
        <v>9298</v>
      </c>
      <c r="J2464" t="str">
        <f t="shared" si="38"/>
        <v>13F-HR-5.29.C3</v>
      </c>
      <c r="K2464" s="5" t="s">
        <v>8616</v>
      </c>
      <c r="L2464" t="s">
        <v>229</v>
      </c>
      <c r="M2464" t="s">
        <v>7927</v>
      </c>
      <c r="N2464" t="s">
        <v>8617</v>
      </c>
      <c r="Q2464" s="28" t="s">
        <v>8966</v>
      </c>
    </row>
    <row r="2465" spans="1:17" x14ac:dyDescent="0.35">
      <c r="A2465" t="s">
        <v>8520</v>
      </c>
      <c r="B2465" s="3" t="s">
        <v>102</v>
      </c>
      <c r="F2465">
        <v>5</v>
      </c>
      <c r="G2465" t="s">
        <v>8607</v>
      </c>
      <c r="H2465">
        <v>30</v>
      </c>
      <c r="I2465" t="s">
        <v>9299</v>
      </c>
      <c r="J2465" t="str">
        <f t="shared" si="38"/>
        <v>13F-HR-5.30.C4</v>
      </c>
      <c r="K2465" s="5" t="s">
        <v>8618</v>
      </c>
      <c r="L2465" t="s">
        <v>8619</v>
      </c>
      <c r="M2465" t="s">
        <v>8620</v>
      </c>
      <c r="N2465" t="s">
        <v>8621</v>
      </c>
      <c r="Q2465" s="28">
        <v>6284041</v>
      </c>
    </row>
    <row r="2466" spans="1:17" x14ac:dyDescent="0.35">
      <c r="A2466" t="s">
        <v>8520</v>
      </c>
      <c r="B2466" s="3" t="s">
        <v>102</v>
      </c>
      <c r="F2466">
        <v>5</v>
      </c>
      <c r="G2466" t="s">
        <v>8607</v>
      </c>
      <c r="H2466">
        <v>31</v>
      </c>
      <c r="I2466" t="s">
        <v>9300</v>
      </c>
      <c r="J2466" t="str">
        <f t="shared" si="38"/>
        <v>13F-HR-5.31.C5</v>
      </c>
      <c r="K2466" s="5" t="s">
        <v>8622</v>
      </c>
      <c r="L2466" t="s">
        <v>241</v>
      </c>
      <c r="M2466" t="s">
        <v>8623</v>
      </c>
      <c r="N2466" t="s">
        <v>8624</v>
      </c>
      <c r="Q2466" s="28">
        <v>202711</v>
      </c>
    </row>
    <row r="2467" spans="1:17" x14ac:dyDescent="0.35">
      <c r="A2467" t="s">
        <v>8520</v>
      </c>
      <c r="B2467" s="3" t="s">
        <v>102</v>
      </c>
      <c r="F2467">
        <v>5</v>
      </c>
      <c r="G2467" t="s">
        <v>8607</v>
      </c>
      <c r="H2467">
        <v>32</v>
      </c>
      <c r="I2467" t="s">
        <v>9301</v>
      </c>
      <c r="J2467" t="str">
        <f t="shared" si="38"/>
        <v>13F-HR-5.32.C6</v>
      </c>
      <c r="K2467" s="5" t="s">
        <v>8625</v>
      </c>
      <c r="L2467" t="s">
        <v>229</v>
      </c>
      <c r="M2467" t="s">
        <v>8626</v>
      </c>
      <c r="N2467" t="s">
        <v>8627</v>
      </c>
      <c r="Q2467" s="28" t="s">
        <v>8628</v>
      </c>
    </row>
    <row r="2468" spans="1:17" x14ac:dyDescent="0.35">
      <c r="A2468" t="s">
        <v>8520</v>
      </c>
      <c r="B2468" s="3" t="s">
        <v>102</v>
      </c>
      <c r="F2468">
        <v>5</v>
      </c>
      <c r="G2468" t="s">
        <v>8607</v>
      </c>
      <c r="H2468">
        <v>33</v>
      </c>
      <c r="I2468" t="s">
        <v>9302</v>
      </c>
      <c r="J2468" t="str">
        <f t="shared" si="38"/>
        <v>13F-HR-5.33.C7</v>
      </c>
      <c r="K2468" s="5" t="s">
        <v>8629</v>
      </c>
      <c r="L2468" t="s">
        <v>229</v>
      </c>
      <c r="M2468" t="s">
        <v>8630</v>
      </c>
      <c r="N2468" t="s">
        <v>8631</v>
      </c>
      <c r="Q2468" s="28" t="s">
        <v>8685</v>
      </c>
    </row>
    <row r="2469" spans="1:17" x14ac:dyDescent="0.35">
      <c r="A2469" t="s">
        <v>8520</v>
      </c>
      <c r="B2469" s="3" t="s">
        <v>102</v>
      </c>
      <c r="F2469">
        <v>5</v>
      </c>
      <c r="G2469" t="s">
        <v>8607</v>
      </c>
      <c r="H2469">
        <v>34</v>
      </c>
      <c r="I2469" t="s">
        <v>9303</v>
      </c>
      <c r="J2469" t="str">
        <f t="shared" si="38"/>
        <v>13F-HR-5.34.C8</v>
      </c>
      <c r="K2469" s="5" t="s">
        <v>8633</v>
      </c>
      <c r="L2469" t="s">
        <v>4735</v>
      </c>
      <c r="M2469" t="s">
        <v>8634</v>
      </c>
      <c r="N2469" t="s">
        <v>8635</v>
      </c>
      <c r="Q2469" s="28" t="s">
        <v>8632</v>
      </c>
    </row>
    <row r="2470" spans="1:17" x14ac:dyDescent="0.35">
      <c r="A2470" t="s">
        <v>8520</v>
      </c>
      <c r="B2470" s="3" t="s">
        <v>102</v>
      </c>
      <c r="F2470">
        <v>5</v>
      </c>
      <c r="G2470" t="s">
        <v>8607</v>
      </c>
      <c r="H2470">
        <v>35</v>
      </c>
      <c r="I2470" t="s">
        <v>9304</v>
      </c>
      <c r="J2470" t="str">
        <f t="shared" si="38"/>
        <v>13F-HR-5.35.C9</v>
      </c>
      <c r="K2470" s="5" t="s">
        <v>8637</v>
      </c>
      <c r="L2470" t="s">
        <v>229</v>
      </c>
      <c r="M2470" t="s">
        <v>8638</v>
      </c>
      <c r="N2470" t="s">
        <v>8639</v>
      </c>
      <c r="Q2470" s="28" t="s">
        <v>8636</v>
      </c>
    </row>
    <row r="2471" spans="1:17" x14ac:dyDescent="0.35">
      <c r="A2471" t="s">
        <v>8520</v>
      </c>
      <c r="B2471" s="3" t="s">
        <v>102</v>
      </c>
      <c r="F2471">
        <v>5</v>
      </c>
      <c r="G2471" t="s">
        <v>8607</v>
      </c>
      <c r="H2471">
        <v>36</v>
      </c>
      <c r="I2471" t="s">
        <v>9305</v>
      </c>
      <c r="J2471" t="str">
        <f t="shared" si="38"/>
        <v>13F-HR-5.36.C10</v>
      </c>
      <c r="K2471" s="5" t="s">
        <v>8640</v>
      </c>
      <c r="L2471" t="s">
        <v>241</v>
      </c>
      <c r="M2471" t="s">
        <v>8641</v>
      </c>
      <c r="N2471" t="s">
        <v>8642</v>
      </c>
      <c r="Q2471" s="28">
        <v>202711</v>
      </c>
    </row>
    <row r="2472" spans="1:17" x14ac:dyDescent="0.35">
      <c r="A2472" t="s">
        <v>8520</v>
      </c>
      <c r="B2472" s="3" t="s">
        <v>102</v>
      </c>
      <c r="F2472">
        <v>5</v>
      </c>
      <c r="G2472" t="s">
        <v>8607</v>
      </c>
      <c r="H2472">
        <v>37</v>
      </c>
      <c r="I2472" t="s">
        <v>9306</v>
      </c>
      <c r="J2472" t="str">
        <f t="shared" si="38"/>
        <v>13F-HR-5.37.C11</v>
      </c>
      <c r="K2472" s="5" t="s">
        <v>8643</v>
      </c>
      <c r="L2472" t="s">
        <v>241</v>
      </c>
      <c r="M2472" t="s">
        <v>8644</v>
      </c>
      <c r="N2472" t="s">
        <v>8645</v>
      </c>
      <c r="Q2472" s="28">
        <v>0</v>
      </c>
    </row>
    <row r="2473" spans="1:17" x14ac:dyDescent="0.35">
      <c r="A2473" t="s">
        <v>8520</v>
      </c>
      <c r="B2473" s="3" t="s">
        <v>102</v>
      </c>
      <c r="F2473">
        <v>5</v>
      </c>
      <c r="G2473" t="s">
        <v>8607</v>
      </c>
      <c r="H2473">
        <v>38</v>
      </c>
      <c r="I2473" t="s">
        <v>9307</v>
      </c>
      <c r="J2473" t="str">
        <f t="shared" si="38"/>
        <v>13F-HR-5.38.C12</v>
      </c>
      <c r="K2473" s="5" t="s">
        <v>8646</v>
      </c>
      <c r="L2473" t="s">
        <v>241</v>
      </c>
      <c r="M2473" t="s">
        <v>8647</v>
      </c>
      <c r="N2473" t="s">
        <v>8648</v>
      </c>
      <c r="Q2473" s="28">
        <v>0</v>
      </c>
    </row>
    <row r="2474" spans="1:17" x14ac:dyDescent="0.35">
      <c r="A2474" t="s">
        <v>8520</v>
      </c>
      <c r="B2474" s="3" t="s">
        <v>102</v>
      </c>
      <c r="F2474">
        <v>5</v>
      </c>
      <c r="G2474" t="s">
        <v>8607</v>
      </c>
      <c r="H2474">
        <v>27</v>
      </c>
      <c r="I2474" t="s">
        <v>9296</v>
      </c>
      <c r="J2474" t="str">
        <f t="shared" si="38"/>
        <v>13F-HR-5.27.C1</v>
      </c>
      <c r="K2474" s="5" t="s">
        <v>8608</v>
      </c>
      <c r="L2474" t="s">
        <v>229</v>
      </c>
      <c r="M2474" t="s">
        <v>8609</v>
      </c>
      <c r="N2474" t="s">
        <v>8610</v>
      </c>
      <c r="Q2474" s="28" t="s">
        <v>8967</v>
      </c>
    </row>
    <row r="2475" spans="1:17" x14ac:dyDescent="0.35">
      <c r="A2475" t="s">
        <v>8520</v>
      </c>
      <c r="B2475" s="3" t="s">
        <v>102</v>
      </c>
      <c r="F2475">
        <v>5</v>
      </c>
      <c r="G2475" t="s">
        <v>8607</v>
      </c>
      <c r="H2475">
        <v>28</v>
      </c>
      <c r="I2475" t="s">
        <v>9297</v>
      </c>
      <c r="J2475" t="str">
        <f t="shared" si="38"/>
        <v>13F-HR-5.28.C2</v>
      </c>
      <c r="K2475" s="5" t="s">
        <v>8612</v>
      </c>
      <c r="L2475" t="s">
        <v>229</v>
      </c>
      <c r="M2475" t="s">
        <v>8613</v>
      </c>
      <c r="N2475" t="s">
        <v>8614</v>
      </c>
      <c r="Q2475" s="28" t="s">
        <v>8615</v>
      </c>
    </row>
    <row r="2476" spans="1:17" x14ac:dyDescent="0.35">
      <c r="A2476" t="s">
        <v>8520</v>
      </c>
      <c r="B2476" s="3" t="s">
        <v>102</v>
      </c>
      <c r="F2476">
        <v>5</v>
      </c>
      <c r="G2476" t="s">
        <v>8607</v>
      </c>
      <c r="H2476">
        <v>29</v>
      </c>
      <c r="I2476" t="s">
        <v>9298</v>
      </c>
      <c r="J2476" t="str">
        <f t="shared" si="38"/>
        <v>13F-HR-5.29.C3</v>
      </c>
      <c r="K2476" s="5" t="s">
        <v>8616</v>
      </c>
      <c r="L2476" t="s">
        <v>229</v>
      </c>
      <c r="M2476" t="s">
        <v>7927</v>
      </c>
      <c r="N2476" t="s">
        <v>8617</v>
      </c>
      <c r="Q2476" s="28">
        <v>742718109</v>
      </c>
    </row>
    <row r="2477" spans="1:17" x14ac:dyDescent="0.35">
      <c r="A2477" t="s">
        <v>8520</v>
      </c>
      <c r="B2477" s="3" t="s">
        <v>102</v>
      </c>
      <c r="F2477">
        <v>5</v>
      </c>
      <c r="G2477" t="s">
        <v>8607</v>
      </c>
      <c r="H2477">
        <v>30</v>
      </c>
      <c r="I2477" t="s">
        <v>9299</v>
      </c>
      <c r="J2477" t="str">
        <f t="shared" si="38"/>
        <v>13F-HR-5.30.C4</v>
      </c>
      <c r="K2477" s="5" t="s">
        <v>8618</v>
      </c>
      <c r="L2477" t="s">
        <v>8619</v>
      </c>
      <c r="M2477" t="s">
        <v>8620</v>
      </c>
      <c r="N2477" t="s">
        <v>8621</v>
      </c>
      <c r="Q2477" s="28">
        <v>8707951</v>
      </c>
    </row>
    <row r="2478" spans="1:17" x14ac:dyDescent="0.35">
      <c r="A2478" t="s">
        <v>8520</v>
      </c>
      <c r="B2478" s="3" t="s">
        <v>102</v>
      </c>
      <c r="F2478">
        <v>5</v>
      </c>
      <c r="G2478" t="s">
        <v>8607</v>
      </c>
      <c r="H2478">
        <v>31</v>
      </c>
      <c r="I2478" t="s">
        <v>9300</v>
      </c>
      <c r="J2478" t="str">
        <f t="shared" si="38"/>
        <v>13F-HR-5.31.C5</v>
      </c>
      <c r="K2478" s="5" t="s">
        <v>8622</v>
      </c>
      <c r="L2478" t="s">
        <v>241</v>
      </c>
      <c r="M2478" t="s">
        <v>8623</v>
      </c>
      <c r="N2478" t="s">
        <v>8624</v>
      </c>
      <c r="Q2478" s="28">
        <v>51097</v>
      </c>
    </row>
    <row r="2479" spans="1:17" x14ac:dyDescent="0.35">
      <c r="A2479" t="s">
        <v>8520</v>
      </c>
      <c r="B2479" s="3" t="s">
        <v>102</v>
      </c>
      <c r="F2479">
        <v>5</v>
      </c>
      <c r="G2479" t="s">
        <v>8607</v>
      </c>
      <c r="H2479">
        <v>32</v>
      </c>
      <c r="I2479" t="s">
        <v>9301</v>
      </c>
      <c r="J2479" t="str">
        <f t="shared" si="38"/>
        <v>13F-HR-5.32.C6</v>
      </c>
      <c r="K2479" s="5" t="s">
        <v>8625</v>
      </c>
      <c r="L2479" t="s">
        <v>229</v>
      </c>
      <c r="M2479" t="s">
        <v>8626</v>
      </c>
      <c r="N2479" t="s">
        <v>8627</v>
      </c>
      <c r="Q2479" s="28" t="s">
        <v>8628</v>
      </c>
    </row>
    <row r="2480" spans="1:17" x14ac:dyDescent="0.35">
      <c r="A2480" t="s">
        <v>8520</v>
      </c>
      <c r="B2480" s="3" t="s">
        <v>102</v>
      </c>
      <c r="F2480">
        <v>5</v>
      </c>
      <c r="G2480" t="s">
        <v>8607</v>
      </c>
      <c r="H2480">
        <v>33</v>
      </c>
      <c r="I2480" t="s">
        <v>9302</v>
      </c>
      <c r="J2480" t="str">
        <f t="shared" si="38"/>
        <v>13F-HR-5.33.C7</v>
      </c>
      <c r="K2480" s="5" t="s">
        <v>8629</v>
      </c>
      <c r="L2480" t="s">
        <v>229</v>
      </c>
      <c r="M2480" t="s">
        <v>8630</v>
      </c>
      <c r="N2480" t="s">
        <v>8631</v>
      </c>
      <c r="Q2480" s="28" t="s">
        <v>8685</v>
      </c>
    </row>
    <row r="2481" spans="1:17" x14ac:dyDescent="0.35">
      <c r="A2481" t="s">
        <v>8520</v>
      </c>
      <c r="B2481" s="3" t="s">
        <v>102</v>
      </c>
      <c r="F2481">
        <v>5</v>
      </c>
      <c r="G2481" t="s">
        <v>8607</v>
      </c>
      <c r="H2481">
        <v>34</v>
      </c>
      <c r="I2481" t="s">
        <v>9303</v>
      </c>
      <c r="J2481" t="str">
        <f t="shared" si="38"/>
        <v>13F-HR-5.34.C8</v>
      </c>
      <c r="K2481" s="5" t="s">
        <v>8633</v>
      </c>
      <c r="L2481" t="s">
        <v>4735</v>
      </c>
      <c r="M2481" t="s">
        <v>8634</v>
      </c>
      <c r="N2481" t="s">
        <v>8635</v>
      </c>
      <c r="Q2481" s="28" t="s">
        <v>8632</v>
      </c>
    </row>
    <row r="2482" spans="1:17" x14ac:dyDescent="0.35">
      <c r="A2482" t="s">
        <v>8651</v>
      </c>
      <c r="B2482" s="3" t="s">
        <v>102</v>
      </c>
      <c r="F2482">
        <v>5</v>
      </c>
      <c r="G2482" t="s">
        <v>8607</v>
      </c>
      <c r="H2482">
        <v>35</v>
      </c>
      <c r="I2482" t="s">
        <v>9304</v>
      </c>
      <c r="J2482" t="str">
        <f t="shared" si="38"/>
        <v>135-HR-5.35.C9</v>
      </c>
      <c r="K2482" s="5" t="s">
        <v>8637</v>
      </c>
      <c r="L2482" t="s">
        <v>229</v>
      </c>
      <c r="M2482" t="s">
        <v>8638</v>
      </c>
      <c r="N2482" t="s">
        <v>8639</v>
      </c>
      <c r="Q2482" s="28" t="s">
        <v>8636</v>
      </c>
    </row>
    <row r="2483" spans="1:17" x14ac:dyDescent="0.35">
      <c r="A2483" t="s">
        <v>8520</v>
      </c>
      <c r="B2483" s="3" t="s">
        <v>102</v>
      </c>
      <c r="F2483">
        <v>5</v>
      </c>
      <c r="G2483" t="s">
        <v>8607</v>
      </c>
      <c r="H2483">
        <v>36</v>
      </c>
      <c r="I2483" t="s">
        <v>9305</v>
      </c>
      <c r="J2483" t="str">
        <f t="shared" si="38"/>
        <v>13F-HR-5.36.C10</v>
      </c>
      <c r="K2483" s="5" t="s">
        <v>8640</v>
      </c>
      <c r="L2483" t="s">
        <v>241</v>
      </c>
      <c r="M2483" t="s">
        <v>8641</v>
      </c>
      <c r="N2483" t="s">
        <v>8642</v>
      </c>
      <c r="Q2483" s="28">
        <v>0</v>
      </c>
    </row>
    <row r="2484" spans="1:17" x14ac:dyDescent="0.35">
      <c r="A2484" t="s">
        <v>8520</v>
      </c>
      <c r="B2484" s="3" t="s">
        <v>102</v>
      </c>
      <c r="F2484">
        <v>5</v>
      </c>
      <c r="G2484" t="s">
        <v>8607</v>
      </c>
      <c r="H2484">
        <v>37</v>
      </c>
      <c r="I2484" t="s">
        <v>9306</v>
      </c>
      <c r="J2484" t="str">
        <f t="shared" si="38"/>
        <v>13F-HR-5.37.C11</v>
      </c>
      <c r="K2484" s="5" t="s">
        <v>8643</v>
      </c>
      <c r="L2484" t="s">
        <v>241</v>
      </c>
      <c r="M2484" t="s">
        <v>8644</v>
      </c>
      <c r="N2484" t="s">
        <v>8645</v>
      </c>
      <c r="Q2484" s="28">
        <v>0</v>
      </c>
    </row>
    <row r="2485" spans="1:17" x14ac:dyDescent="0.35">
      <c r="A2485" t="s">
        <v>8520</v>
      </c>
      <c r="B2485" s="3" t="s">
        <v>102</v>
      </c>
      <c r="F2485">
        <v>5</v>
      </c>
      <c r="G2485" t="s">
        <v>8607</v>
      </c>
      <c r="H2485">
        <v>38</v>
      </c>
      <c r="I2485" t="s">
        <v>9307</v>
      </c>
      <c r="J2485" t="str">
        <f t="shared" si="38"/>
        <v>13F-HR-5.38.C12</v>
      </c>
      <c r="K2485" s="5" t="s">
        <v>8646</v>
      </c>
      <c r="L2485" t="s">
        <v>241</v>
      </c>
      <c r="M2485" t="s">
        <v>8647</v>
      </c>
      <c r="N2485" t="s">
        <v>8648</v>
      </c>
      <c r="Q2485" s="28">
        <v>51097</v>
      </c>
    </row>
    <row r="2486" spans="1:17" x14ac:dyDescent="0.35">
      <c r="A2486" t="s">
        <v>8520</v>
      </c>
      <c r="B2486" s="3" t="s">
        <v>102</v>
      </c>
      <c r="F2486">
        <v>5</v>
      </c>
      <c r="G2486" t="s">
        <v>8607</v>
      </c>
      <c r="H2486">
        <v>27</v>
      </c>
      <c r="I2486" t="s">
        <v>9296</v>
      </c>
      <c r="J2486" t="str">
        <f t="shared" si="38"/>
        <v>13F-HR-5.27.C1</v>
      </c>
      <c r="K2486" s="5" t="s">
        <v>8608</v>
      </c>
      <c r="L2486" t="s">
        <v>229</v>
      </c>
      <c r="M2486" t="s">
        <v>8609</v>
      </c>
      <c r="N2486" t="s">
        <v>8610</v>
      </c>
      <c r="Q2486" s="28" t="s">
        <v>8968</v>
      </c>
    </row>
    <row r="2487" spans="1:17" x14ac:dyDescent="0.35">
      <c r="A2487" t="s">
        <v>8520</v>
      </c>
      <c r="B2487" s="3" t="s">
        <v>102</v>
      </c>
      <c r="F2487">
        <v>5</v>
      </c>
      <c r="G2487" t="s">
        <v>8607</v>
      </c>
      <c r="H2487">
        <v>28</v>
      </c>
      <c r="I2487" t="s">
        <v>9297</v>
      </c>
      <c r="J2487" t="str">
        <f t="shared" si="38"/>
        <v>13F-HR-5.28.C2</v>
      </c>
      <c r="K2487" s="5" t="s">
        <v>8612</v>
      </c>
      <c r="L2487" t="s">
        <v>229</v>
      </c>
      <c r="M2487" t="s">
        <v>8613</v>
      </c>
      <c r="N2487" t="s">
        <v>8614</v>
      </c>
      <c r="Q2487" s="28" t="s">
        <v>8615</v>
      </c>
    </row>
    <row r="2488" spans="1:17" x14ac:dyDescent="0.35">
      <c r="A2488" t="s">
        <v>8520</v>
      </c>
      <c r="B2488" s="3" t="s">
        <v>102</v>
      </c>
      <c r="F2488">
        <v>5</v>
      </c>
      <c r="G2488" t="s">
        <v>8607</v>
      </c>
      <c r="H2488">
        <v>29</v>
      </c>
      <c r="I2488" t="s">
        <v>9298</v>
      </c>
      <c r="J2488" t="str">
        <f t="shared" si="38"/>
        <v>13F-HR-5.29.C3</v>
      </c>
      <c r="K2488" s="5" t="s">
        <v>8616</v>
      </c>
      <c r="L2488" t="s">
        <v>229</v>
      </c>
      <c r="M2488" t="s">
        <v>7927</v>
      </c>
      <c r="N2488" t="s">
        <v>8617</v>
      </c>
      <c r="Q2488" s="28">
        <v>743315103</v>
      </c>
    </row>
    <row r="2489" spans="1:17" x14ac:dyDescent="0.35">
      <c r="A2489" t="s">
        <v>8520</v>
      </c>
      <c r="B2489" s="3" t="s">
        <v>102</v>
      </c>
      <c r="F2489">
        <v>5</v>
      </c>
      <c r="G2489" t="s">
        <v>8607</v>
      </c>
      <c r="H2489">
        <v>30</v>
      </c>
      <c r="I2489" t="s">
        <v>9299</v>
      </c>
      <c r="J2489" t="str">
        <f t="shared" si="38"/>
        <v>13F-HR-5.30.C4</v>
      </c>
      <c r="K2489" s="5" t="s">
        <v>8618</v>
      </c>
      <c r="L2489" t="s">
        <v>8619</v>
      </c>
      <c r="M2489" t="s">
        <v>8620</v>
      </c>
      <c r="N2489" t="s">
        <v>8621</v>
      </c>
      <c r="Q2489" s="28">
        <v>26259366</v>
      </c>
    </row>
    <row r="2490" spans="1:17" x14ac:dyDescent="0.35">
      <c r="A2490" t="s">
        <v>8520</v>
      </c>
      <c r="B2490" s="3" t="s">
        <v>102</v>
      </c>
      <c r="F2490">
        <v>5</v>
      </c>
      <c r="G2490" t="s">
        <v>8607</v>
      </c>
      <c r="H2490">
        <v>31</v>
      </c>
      <c r="I2490" t="s">
        <v>9300</v>
      </c>
      <c r="J2490" t="str">
        <f t="shared" si="38"/>
        <v>13F-HR-5.31.C5</v>
      </c>
      <c r="K2490" s="5" t="s">
        <v>8622</v>
      </c>
      <c r="L2490" t="s">
        <v>241</v>
      </c>
      <c r="M2490" t="s">
        <v>8623</v>
      </c>
      <c r="N2490" t="s">
        <v>8624</v>
      </c>
      <c r="Q2490" s="28">
        <v>92786</v>
      </c>
    </row>
    <row r="2491" spans="1:17" x14ac:dyDescent="0.35">
      <c r="A2491" t="s">
        <v>8520</v>
      </c>
      <c r="B2491" s="3" t="s">
        <v>102</v>
      </c>
      <c r="F2491">
        <v>5</v>
      </c>
      <c r="G2491" t="s">
        <v>8607</v>
      </c>
      <c r="H2491">
        <v>32</v>
      </c>
      <c r="I2491" t="s">
        <v>9301</v>
      </c>
      <c r="J2491" t="str">
        <f t="shared" si="38"/>
        <v>13F-HR-5.32.C6</v>
      </c>
      <c r="K2491" s="5" t="s">
        <v>8625</v>
      </c>
      <c r="L2491" t="s">
        <v>229</v>
      </c>
      <c r="M2491" t="s">
        <v>8626</v>
      </c>
      <c r="N2491" t="s">
        <v>8627</v>
      </c>
      <c r="Q2491" s="28" t="s">
        <v>8628</v>
      </c>
    </row>
    <row r="2492" spans="1:17" x14ac:dyDescent="0.35">
      <c r="A2492" t="s">
        <v>8520</v>
      </c>
      <c r="B2492" s="3" t="s">
        <v>102</v>
      </c>
      <c r="F2492">
        <v>5</v>
      </c>
      <c r="G2492" t="s">
        <v>8607</v>
      </c>
      <c r="H2492">
        <v>33</v>
      </c>
      <c r="I2492" t="s">
        <v>9302</v>
      </c>
      <c r="J2492" t="str">
        <f t="shared" si="38"/>
        <v>13F-HR-5.33.C7</v>
      </c>
      <c r="K2492" s="5" t="s">
        <v>8629</v>
      </c>
      <c r="L2492" t="s">
        <v>229</v>
      </c>
      <c r="M2492" t="s">
        <v>8630</v>
      </c>
      <c r="N2492" t="s">
        <v>8631</v>
      </c>
      <c r="Q2492" s="28" t="s">
        <v>8685</v>
      </c>
    </row>
    <row r="2493" spans="1:17" x14ac:dyDescent="0.35">
      <c r="A2493" t="s">
        <v>8520</v>
      </c>
      <c r="B2493" s="3" t="s">
        <v>102</v>
      </c>
      <c r="F2493">
        <v>5</v>
      </c>
      <c r="G2493" t="s">
        <v>8607</v>
      </c>
      <c r="H2493">
        <v>34</v>
      </c>
      <c r="I2493" t="s">
        <v>9303</v>
      </c>
      <c r="J2493" t="str">
        <f t="shared" si="38"/>
        <v>13F-HR-5.34.C8</v>
      </c>
      <c r="K2493" s="5" t="s">
        <v>8633</v>
      </c>
      <c r="L2493" t="s">
        <v>4735</v>
      </c>
      <c r="M2493" t="s">
        <v>8634</v>
      </c>
      <c r="N2493" t="s">
        <v>8635</v>
      </c>
      <c r="Q2493" s="28" t="s">
        <v>8632</v>
      </c>
    </row>
    <row r="2494" spans="1:17" x14ac:dyDescent="0.35">
      <c r="A2494" t="s">
        <v>8520</v>
      </c>
      <c r="B2494" s="3" t="s">
        <v>102</v>
      </c>
      <c r="F2494">
        <v>5</v>
      </c>
      <c r="G2494" t="s">
        <v>8607</v>
      </c>
      <c r="H2494">
        <v>35</v>
      </c>
      <c r="I2494" t="s">
        <v>9304</v>
      </c>
      <c r="J2494" t="str">
        <f t="shared" si="38"/>
        <v>13F-HR-5.35.C9</v>
      </c>
      <c r="K2494" s="5" t="s">
        <v>8637</v>
      </c>
      <c r="L2494" t="s">
        <v>229</v>
      </c>
      <c r="M2494" t="s">
        <v>8638</v>
      </c>
      <c r="N2494" t="s">
        <v>8639</v>
      </c>
      <c r="Q2494" s="28" t="s">
        <v>8636</v>
      </c>
    </row>
    <row r="2495" spans="1:17" x14ac:dyDescent="0.35">
      <c r="A2495" t="s">
        <v>8520</v>
      </c>
      <c r="B2495" s="3" t="s">
        <v>102</v>
      </c>
      <c r="F2495">
        <v>5</v>
      </c>
      <c r="G2495" t="s">
        <v>8607</v>
      </c>
      <c r="H2495">
        <v>36</v>
      </c>
      <c r="I2495" t="s">
        <v>9305</v>
      </c>
      <c r="J2495" t="str">
        <f t="shared" si="38"/>
        <v>13F-HR-5.36.C10</v>
      </c>
      <c r="K2495" s="5" t="s">
        <v>8640</v>
      </c>
      <c r="L2495" t="s">
        <v>241</v>
      </c>
      <c r="M2495" t="s">
        <v>8641</v>
      </c>
      <c r="N2495" t="s">
        <v>8642</v>
      </c>
      <c r="Q2495" s="28">
        <v>66503</v>
      </c>
    </row>
    <row r="2496" spans="1:17" x14ac:dyDescent="0.35">
      <c r="A2496" t="s">
        <v>8520</v>
      </c>
      <c r="B2496" s="3" t="s">
        <v>102</v>
      </c>
      <c r="F2496">
        <v>5</v>
      </c>
      <c r="G2496" t="s">
        <v>8607</v>
      </c>
      <c r="H2496">
        <v>37</v>
      </c>
      <c r="I2496" t="s">
        <v>9306</v>
      </c>
      <c r="J2496" t="str">
        <f t="shared" si="38"/>
        <v>13F-HR-5.37.C11</v>
      </c>
      <c r="K2496" s="5" t="s">
        <v>8643</v>
      </c>
      <c r="L2496" t="s">
        <v>241</v>
      </c>
      <c r="M2496" t="s">
        <v>8644</v>
      </c>
      <c r="N2496" t="s">
        <v>8645</v>
      </c>
      <c r="Q2496" s="28">
        <v>0</v>
      </c>
    </row>
    <row r="2497" spans="1:17" x14ac:dyDescent="0.35">
      <c r="A2497" t="s">
        <v>8520</v>
      </c>
      <c r="B2497" s="3" t="s">
        <v>102</v>
      </c>
      <c r="F2497">
        <v>5</v>
      </c>
      <c r="G2497" t="s">
        <v>8607</v>
      </c>
      <c r="H2497">
        <v>38</v>
      </c>
      <c r="I2497" t="s">
        <v>9307</v>
      </c>
      <c r="J2497" t="str">
        <f t="shared" si="38"/>
        <v>13F-HR-5.38.C12</v>
      </c>
      <c r="K2497" s="5" t="s">
        <v>8646</v>
      </c>
      <c r="L2497" t="s">
        <v>241</v>
      </c>
      <c r="M2497" t="s">
        <v>8647</v>
      </c>
      <c r="N2497" t="s">
        <v>8648</v>
      </c>
      <c r="Q2497" s="28">
        <v>26283</v>
      </c>
    </row>
    <row r="2498" spans="1:17" x14ac:dyDescent="0.35">
      <c r="A2498" t="s">
        <v>8520</v>
      </c>
      <c r="B2498" s="3" t="s">
        <v>102</v>
      </c>
      <c r="F2498">
        <v>5</v>
      </c>
      <c r="G2498" t="s">
        <v>8607</v>
      </c>
      <c r="H2498">
        <v>27</v>
      </c>
      <c r="I2498" t="s">
        <v>9296</v>
      </c>
      <c r="J2498" t="str">
        <f t="shared" si="38"/>
        <v>13F-HR-5.27.C1</v>
      </c>
      <c r="K2498" s="5" t="s">
        <v>8608</v>
      </c>
      <c r="L2498" t="s">
        <v>229</v>
      </c>
      <c r="M2498" t="s">
        <v>8609</v>
      </c>
      <c r="N2498" t="s">
        <v>8610</v>
      </c>
      <c r="Q2498" s="28" t="s">
        <v>8969</v>
      </c>
    </row>
    <row r="2499" spans="1:17" x14ac:dyDescent="0.35">
      <c r="A2499" t="s">
        <v>8520</v>
      </c>
      <c r="B2499" s="3" t="s">
        <v>102</v>
      </c>
      <c r="F2499">
        <v>5</v>
      </c>
      <c r="G2499" t="s">
        <v>8607</v>
      </c>
      <c r="H2499">
        <v>28</v>
      </c>
      <c r="I2499" t="s">
        <v>9297</v>
      </c>
      <c r="J2499" t="str">
        <f t="shared" ref="J2499:J2562" si="39">_xlfn.CONCAT(A2499,"-",F2499,".",H2499,".",I2499)</f>
        <v>13F-HR-5.28.C2</v>
      </c>
      <c r="K2499" s="5" t="s">
        <v>8612</v>
      </c>
      <c r="L2499" t="s">
        <v>229</v>
      </c>
      <c r="M2499" t="s">
        <v>8613</v>
      </c>
      <c r="N2499" t="s">
        <v>8614</v>
      </c>
      <c r="Q2499" s="28" t="s">
        <v>8615</v>
      </c>
    </row>
    <row r="2500" spans="1:17" x14ac:dyDescent="0.35">
      <c r="A2500" t="s">
        <v>8520</v>
      </c>
      <c r="B2500" s="3" t="s">
        <v>102</v>
      </c>
      <c r="F2500">
        <v>5</v>
      </c>
      <c r="G2500" t="s">
        <v>8607</v>
      </c>
      <c r="H2500">
        <v>29</v>
      </c>
      <c r="I2500" t="s">
        <v>9298</v>
      </c>
      <c r="J2500" t="str">
        <f t="shared" si="39"/>
        <v>13F-HR-5.29.C3</v>
      </c>
      <c r="K2500" s="5" t="s">
        <v>8616</v>
      </c>
      <c r="L2500" t="s">
        <v>229</v>
      </c>
      <c r="M2500" t="s">
        <v>7927</v>
      </c>
      <c r="N2500" t="s">
        <v>8617</v>
      </c>
      <c r="Q2500" s="28" t="s">
        <v>8970</v>
      </c>
    </row>
    <row r="2501" spans="1:17" x14ac:dyDescent="0.35">
      <c r="A2501" t="s">
        <v>8520</v>
      </c>
      <c r="B2501" s="3" t="s">
        <v>102</v>
      </c>
      <c r="F2501">
        <v>5</v>
      </c>
      <c r="G2501" t="s">
        <v>8607</v>
      </c>
      <c r="H2501">
        <v>30</v>
      </c>
      <c r="I2501" t="s">
        <v>9299</v>
      </c>
      <c r="J2501" t="str">
        <f t="shared" si="39"/>
        <v>13F-HR-5.30.C4</v>
      </c>
      <c r="K2501" s="5" t="s">
        <v>8618</v>
      </c>
      <c r="L2501" t="s">
        <v>8619</v>
      </c>
      <c r="M2501" t="s">
        <v>8620</v>
      </c>
      <c r="N2501" t="s">
        <v>8621</v>
      </c>
      <c r="Q2501" s="28">
        <v>9031849</v>
      </c>
    </row>
    <row r="2502" spans="1:17" x14ac:dyDescent="0.35">
      <c r="A2502" t="s">
        <v>8520</v>
      </c>
      <c r="B2502" s="3" t="s">
        <v>102</v>
      </c>
      <c r="F2502">
        <v>5</v>
      </c>
      <c r="G2502" t="s">
        <v>8607</v>
      </c>
      <c r="H2502">
        <v>31</v>
      </c>
      <c r="I2502" t="s">
        <v>9300</v>
      </c>
      <c r="J2502" t="str">
        <f t="shared" si="39"/>
        <v>13F-HR-5.31.C5</v>
      </c>
      <c r="K2502" s="5" t="s">
        <v>8622</v>
      </c>
      <c r="L2502" t="s">
        <v>241</v>
      </c>
      <c r="M2502" t="s">
        <v>8623</v>
      </c>
      <c r="N2502" t="s">
        <v>8624</v>
      </c>
      <c r="Q2502" s="28">
        <v>80793</v>
      </c>
    </row>
    <row r="2503" spans="1:17" x14ac:dyDescent="0.35">
      <c r="A2503" t="s">
        <v>8520</v>
      </c>
      <c r="B2503" s="3" t="s">
        <v>102</v>
      </c>
      <c r="F2503">
        <v>5</v>
      </c>
      <c r="G2503" t="s">
        <v>8607</v>
      </c>
      <c r="H2503">
        <v>32</v>
      </c>
      <c r="I2503" t="s">
        <v>9301</v>
      </c>
      <c r="J2503" t="str">
        <f t="shared" si="39"/>
        <v>13F-HR-5.32.C6</v>
      </c>
      <c r="K2503" s="5" t="s">
        <v>8625</v>
      </c>
      <c r="L2503" t="s">
        <v>229</v>
      </c>
      <c r="M2503" t="s">
        <v>8626</v>
      </c>
      <c r="N2503" t="s">
        <v>8627</v>
      </c>
      <c r="Q2503" s="28" t="s">
        <v>8628</v>
      </c>
    </row>
    <row r="2504" spans="1:17" x14ac:dyDescent="0.35">
      <c r="A2504" t="s">
        <v>8520</v>
      </c>
      <c r="B2504" s="3" t="s">
        <v>102</v>
      </c>
      <c r="F2504">
        <v>5</v>
      </c>
      <c r="G2504" t="s">
        <v>8607</v>
      </c>
      <c r="H2504">
        <v>33</v>
      </c>
      <c r="I2504" t="s">
        <v>9302</v>
      </c>
      <c r="J2504" t="str">
        <f t="shared" si="39"/>
        <v>13F-HR-5.33.C7</v>
      </c>
      <c r="K2504" s="5" t="s">
        <v>8629</v>
      </c>
      <c r="L2504" t="s">
        <v>229</v>
      </c>
      <c r="M2504" t="s">
        <v>8630</v>
      </c>
      <c r="N2504" t="s">
        <v>8631</v>
      </c>
      <c r="Q2504" s="28" t="s">
        <v>8685</v>
      </c>
    </row>
    <row r="2505" spans="1:17" x14ac:dyDescent="0.35">
      <c r="A2505" t="s">
        <v>8520</v>
      </c>
      <c r="B2505" s="3" t="s">
        <v>102</v>
      </c>
      <c r="F2505">
        <v>5</v>
      </c>
      <c r="G2505" t="s">
        <v>8607</v>
      </c>
      <c r="H2505">
        <v>34</v>
      </c>
      <c r="I2505" t="s">
        <v>9303</v>
      </c>
      <c r="J2505" t="str">
        <f t="shared" si="39"/>
        <v>13F-HR-5.34.C8</v>
      </c>
      <c r="K2505" s="5" t="s">
        <v>8633</v>
      </c>
      <c r="L2505" t="s">
        <v>4735</v>
      </c>
      <c r="M2505" t="s">
        <v>8634</v>
      </c>
      <c r="N2505" t="s">
        <v>8635</v>
      </c>
      <c r="Q2505" s="28" t="s">
        <v>8632</v>
      </c>
    </row>
    <row r="2506" spans="1:17" x14ac:dyDescent="0.35">
      <c r="A2506" t="s">
        <v>8651</v>
      </c>
      <c r="B2506" s="3" t="s">
        <v>102</v>
      </c>
      <c r="F2506">
        <v>5</v>
      </c>
      <c r="G2506" t="s">
        <v>8607</v>
      </c>
      <c r="H2506">
        <v>35</v>
      </c>
      <c r="I2506" t="s">
        <v>9304</v>
      </c>
      <c r="J2506" t="str">
        <f t="shared" si="39"/>
        <v>135-HR-5.35.C9</v>
      </c>
      <c r="K2506" s="5" t="s">
        <v>8637</v>
      </c>
      <c r="L2506" t="s">
        <v>229</v>
      </c>
      <c r="M2506" t="s">
        <v>8638</v>
      </c>
      <c r="N2506" t="s">
        <v>8639</v>
      </c>
      <c r="Q2506" s="28" t="s">
        <v>8636</v>
      </c>
    </row>
    <row r="2507" spans="1:17" x14ac:dyDescent="0.35">
      <c r="A2507" t="s">
        <v>8520</v>
      </c>
      <c r="B2507" s="3" t="s">
        <v>102</v>
      </c>
      <c r="F2507">
        <v>5</v>
      </c>
      <c r="G2507" t="s">
        <v>8607</v>
      </c>
      <c r="H2507">
        <v>36</v>
      </c>
      <c r="I2507" t="s">
        <v>9305</v>
      </c>
      <c r="J2507" t="str">
        <f t="shared" si="39"/>
        <v>13F-HR-5.36.C10</v>
      </c>
      <c r="K2507" s="5" t="s">
        <v>8640</v>
      </c>
      <c r="L2507" t="s">
        <v>241</v>
      </c>
      <c r="M2507" t="s">
        <v>8641</v>
      </c>
      <c r="N2507" t="s">
        <v>8642</v>
      </c>
      <c r="Q2507" s="28">
        <v>0</v>
      </c>
    </row>
    <row r="2508" spans="1:17" x14ac:dyDescent="0.35">
      <c r="A2508" t="s">
        <v>8520</v>
      </c>
      <c r="B2508" s="3" t="s">
        <v>102</v>
      </c>
      <c r="F2508">
        <v>5</v>
      </c>
      <c r="G2508" t="s">
        <v>8607</v>
      </c>
      <c r="H2508">
        <v>37</v>
      </c>
      <c r="I2508" t="s">
        <v>9306</v>
      </c>
      <c r="J2508" t="str">
        <f t="shared" si="39"/>
        <v>13F-HR-5.37.C11</v>
      </c>
      <c r="K2508" s="5" t="s">
        <v>8643</v>
      </c>
      <c r="L2508" t="s">
        <v>241</v>
      </c>
      <c r="M2508" t="s">
        <v>8644</v>
      </c>
      <c r="N2508" t="s">
        <v>8645</v>
      </c>
      <c r="Q2508" s="28">
        <v>0</v>
      </c>
    </row>
    <row r="2509" spans="1:17" x14ac:dyDescent="0.35">
      <c r="A2509" t="s">
        <v>8520</v>
      </c>
      <c r="B2509" s="3" t="s">
        <v>102</v>
      </c>
      <c r="F2509">
        <v>5</v>
      </c>
      <c r="G2509" t="s">
        <v>8607</v>
      </c>
      <c r="H2509">
        <v>38</v>
      </c>
      <c r="I2509" t="s">
        <v>9307</v>
      </c>
      <c r="J2509" t="str">
        <f t="shared" si="39"/>
        <v>13F-HR-5.38.C12</v>
      </c>
      <c r="K2509" s="5" t="s">
        <v>8646</v>
      </c>
      <c r="L2509" t="s">
        <v>241</v>
      </c>
      <c r="M2509" t="s">
        <v>8647</v>
      </c>
      <c r="N2509" t="s">
        <v>8648</v>
      </c>
      <c r="Q2509" s="28">
        <v>80793</v>
      </c>
    </row>
    <row r="2510" spans="1:17" x14ac:dyDescent="0.35">
      <c r="A2510" t="s">
        <v>8520</v>
      </c>
      <c r="B2510" s="3" t="s">
        <v>102</v>
      </c>
      <c r="F2510">
        <v>5</v>
      </c>
      <c r="G2510" t="s">
        <v>8607</v>
      </c>
      <c r="H2510">
        <v>27</v>
      </c>
      <c r="I2510" t="s">
        <v>9296</v>
      </c>
      <c r="J2510" t="str">
        <f t="shared" si="39"/>
        <v>13F-HR-5.27.C1</v>
      </c>
      <c r="K2510" s="5" t="s">
        <v>8608</v>
      </c>
      <c r="L2510" t="s">
        <v>229</v>
      </c>
      <c r="M2510" t="s">
        <v>8609</v>
      </c>
      <c r="N2510" t="s">
        <v>8610</v>
      </c>
      <c r="Q2510" s="28" t="s">
        <v>8971</v>
      </c>
    </row>
    <row r="2511" spans="1:17" x14ac:dyDescent="0.35">
      <c r="A2511" t="s">
        <v>8520</v>
      </c>
      <c r="B2511" s="3" t="s">
        <v>102</v>
      </c>
      <c r="F2511">
        <v>5</v>
      </c>
      <c r="G2511" t="s">
        <v>8607</v>
      </c>
      <c r="H2511">
        <v>28</v>
      </c>
      <c r="I2511" t="s">
        <v>9297</v>
      </c>
      <c r="J2511" t="str">
        <f t="shared" si="39"/>
        <v>13F-HR-5.28.C2</v>
      </c>
      <c r="K2511" s="5" t="s">
        <v>8612</v>
      </c>
      <c r="L2511" t="s">
        <v>229</v>
      </c>
      <c r="M2511" t="s">
        <v>8613</v>
      </c>
      <c r="N2511" t="s">
        <v>8614</v>
      </c>
      <c r="Q2511" s="28" t="s">
        <v>8615</v>
      </c>
    </row>
    <row r="2512" spans="1:17" x14ac:dyDescent="0.35">
      <c r="A2512" t="s">
        <v>8520</v>
      </c>
      <c r="B2512" s="3" t="s">
        <v>102</v>
      </c>
      <c r="F2512">
        <v>5</v>
      </c>
      <c r="G2512" t="s">
        <v>8607</v>
      </c>
      <c r="H2512">
        <v>29</v>
      </c>
      <c r="I2512" t="s">
        <v>9298</v>
      </c>
      <c r="J2512" t="str">
        <f t="shared" si="39"/>
        <v>13F-HR-5.29.C3</v>
      </c>
      <c r="K2512" s="5" t="s">
        <v>8616</v>
      </c>
      <c r="L2512" t="s">
        <v>229</v>
      </c>
      <c r="M2512" t="s">
        <v>7927</v>
      </c>
      <c r="N2512" t="s">
        <v>8617</v>
      </c>
      <c r="Q2512" s="28">
        <v>744573106</v>
      </c>
    </row>
    <row r="2513" spans="1:17" x14ac:dyDescent="0.35">
      <c r="A2513" t="s">
        <v>8520</v>
      </c>
      <c r="B2513" s="3" t="s">
        <v>102</v>
      </c>
      <c r="F2513">
        <v>5</v>
      </c>
      <c r="G2513" t="s">
        <v>8607</v>
      </c>
      <c r="H2513">
        <v>30</v>
      </c>
      <c r="I2513" t="s">
        <v>9299</v>
      </c>
      <c r="J2513" t="str">
        <f t="shared" si="39"/>
        <v>13F-HR-5.30.C4</v>
      </c>
      <c r="K2513" s="5" t="s">
        <v>8618</v>
      </c>
      <c r="L2513" t="s">
        <v>8619</v>
      </c>
      <c r="M2513" t="s">
        <v>8620</v>
      </c>
      <c r="N2513" t="s">
        <v>8621</v>
      </c>
      <c r="Q2513" s="28">
        <v>3699797</v>
      </c>
    </row>
    <row r="2514" spans="1:17" x14ac:dyDescent="0.35">
      <c r="A2514" t="s">
        <v>8520</v>
      </c>
      <c r="B2514" s="3" t="s">
        <v>102</v>
      </c>
      <c r="F2514">
        <v>5</v>
      </c>
      <c r="G2514" t="s">
        <v>8607</v>
      </c>
      <c r="H2514">
        <v>31</v>
      </c>
      <c r="I2514" t="s">
        <v>9300</v>
      </c>
      <c r="J2514" t="str">
        <f t="shared" si="39"/>
        <v>13F-HR-5.31.C5</v>
      </c>
      <c r="K2514" s="5" t="s">
        <v>8622</v>
      </c>
      <c r="L2514" t="s">
        <v>241</v>
      </c>
      <c r="M2514" t="s">
        <v>8623</v>
      </c>
      <c r="N2514" t="s">
        <v>8624</v>
      </c>
      <c r="Q2514" s="28">
        <v>44955</v>
      </c>
    </row>
    <row r="2515" spans="1:17" x14ac:dyDescent="0.35">
      <c r="A2515" t="s">
        <v>8520</v>
      </c>
      <c r="B2515" s="3" t="s">
        <v>102</v>
      </c>
      <c r="F2515">
        <v>5</v>
      </c>
      <c r="G2515" t="s">
        <v>8607</v>
      </c>
      <c r="H2515">
        <v>32</v>
      </c>
      <c r="I2515" t="s">
        <v>9301</v>
      </c>
      <c r="J2515" t="str">
        <f t="shared" si="39"/>
        <v>13F-HR-5.32.C6</v>
      </c>
      <c r="K2515" s="5" t="s">
        <v>8625</v>
      </c>
      <c r="L2515" t="s">
        <v>229</v>
      </c>
      <c r="M2515" t="s">
        <v>8626</v>
      </c>
      <c r="N2515" t="s">
        <v>8627</v>
      </c>
      <c r="Q2515" s="28" t="s">
        <v>8628</v>
      </c>
    </row>
    <row r="2516" spans="1:17" x14ac:dyDescent="0.35">
      <c r="A2516" t="s">
        <v>8520</v>
      </c>
      <c r="B2516" s="3" t="s">
        <v>102</v>
      </c>
      <c r="F2516">
        <v>5</v>
      </c>
      <c r="G2516" t="s">
        <v>8607</v>
      </c>
      <c r="H2516">
        <v>33</v>
      </c>
      <c r="I2516" t="s">
        <v>9302</v>
      </c>
      <c r="J2516" t="str">
        <f t="shared" si="39"/>
        <v>13F-HR-5.33.C7</v>
      </c>
      <c r="K2516" s="5" t="s">
        <v>8629</v>
      </c>
      <c r="L2516" t="s">
        <v>229</v>
      </c>
      <c r="M2516" t="s">
        <v>8630</v>
      </c>
      <c r="N2516" t="s">
        <v>8631</v>
      </c>
      <c r="Q2516" s="28" t="s">
        <v>8685</v>
      </c>
    </row>
    <row r="2517" spans="1:17" x14ac:dyDescent="0.35">
      <c r="A2517" t="s">
        <v>8520</v>
      </c>
      <c r="B2517" s="3" t="s">
        <v>102</v>
      </c>
      <c r="F2517">
        <v>5</v>
      </c>
      <c r="G2517" t="s">
        <v>8607</v>
      </c>
      <c r="H2517">
        <v>34</v>
      </c>
      <c r="I2517" t="s">
        <v>9303</v>
      </c>
      <c r="J2517" t="str">
        <f t="shared" si="39"/>
        <v>13F-HR-5.34.C8</v>
      </c>
      <c r="K2517" s="5" t="s">
        <v>8633</v>
      </c>
      <c r="L2517" t="s">
        <v>4735</v>
      </c>
      <c r="M2517" t="s">
        <v>8634</v>
      </c>
      <c r="N2517" t="s">
        <v>8635</v>
      </c>
      <c r="Q2517" s="28" t="s">
        <v>8632</v>
      </c>
    </row>
    <row r="2518" spans="1:17" x14ac:dyDescent="0.35">
      <c r="A2518" t="s">
        <v>8651</v>
      </c>
      <c r="B2518" s="3" t="s">
        <v>102</v>
      </c>
      <c r="F2518">
        <v>5</v>
      </c>
      <c r="G2518" t="s">
        <v>8607</v>
      </c>
      <c r="H2518">
        <v>35</v>
      </c>
      <c r="I2518" t="s">
        <v>9304</v>
      </c>
      <c r="J2518" t="str">
        <f t="shared" si="39"/>
        <v>135-HR-5.35.C9</v>
      </c>
      <c r="K2518" s="5" t="s">
        <v>8637</v>
      </c>
      <c r="L2518" t="s">
        <v>229</v>
      </c>
      <c r="M2518" t="s">
        <v>8638</v>
      </c>
      <c r="N2518" t="s">
        <v>8639</v>
      </c>
      <c r="Q2518" s="28" t="s">
        <v>8636</v>
      </c>
    </row>
    <row r="2519" spans="1:17" x14ac:dyDescent="0.35">
      <c r="A2519" t="s">
        <v>8520</v>
      </c>
      <c r="B2519" s="3" t="s">
        <v>102</v>
      </c>
      <c r="F2519">
        <v>5</v>
      </c>
      <c r="G2519" t="s">
        <v>8607</v>
      </c>
      <c r="H2519">
        <v>36</v>
      </c>
      <c r="I2519" t="s">
        <v>9305</v>
      </c>
      <c r="J2519" t="str">
        <f t="shared" si="39"/>
        <v>13F-HR-5.36.C10</v>
      </c>
      <c r="K2519" s="5" t="s">
        <v>8640</v>
      </c>
      <c r="L2519" t="s">
        <v>241</v>
      </c>
      <c r="M2519" t="s">
        <v>8641</v>
      </c>
      <c r="N2519" t="s">
        <v>8642</v>
      </c>
      <c r="Q2519" s="28">
        <v>0</v>
      </c>
    </row>
    <row r="2520" spans="1:17" x14ac:dyDescent="0.35">
      <c r="A2520" t="s">
        <v>8520</v>
      </c>
      <c r="B2520" s="3" t="s">
        <v>102</v>
      </c>
      <c r="F2520">
        <v>5</v>
      </c>
      <c r="G2520" t="s">
        <v>8607</v>
      </c>
      <c r="H2520">
        <v>37</v>
      </c>
      <c r="I2520" t="s">
        <v>9306</v>
      </c>
      <c r="J2520" t="str">
        <f t="shared" si="39"/>
        <v>13F-HR-5.37.C11</v>
      </c>
      <c r="K2520" s="5" t="s">
        <v>8643</v>
      </c>
      <c r="L2520" t="s">
        <v>241</v>
      </c>
      <c r="M2520" t="s">
        <v>8644</v>
      </c>
      <c r="N2520" t="s">
        <v>8645</v>
      </c>
      <c r="Q2520" s="28">
        <v>0</v>
      </c>
    </row>
    <row r="2521" spans="1:17" x14ac:dyDescent="0.35">
      <c r="A2521" t="s">
        <v>8520</v>
      </c>
      <c r="B2521" s="3" t="s">
        <v>102</v>
      </c>
      <c r="F2521">
        <v>5</v>
      </c>
      <c r="G2521" t="s">
        <v>8607</v>
      </c>
      <c r="H2521">
        <v>38</v>
      </c>
      <c r="I2521" t="s">
        <v>9307</v>
      </c>
      <c r="J2521" t="str">
        <f t="shared" si="39"/>
        <v>13F-HR-5.38.C12</v>
      </c>
      <c r="K2521" s="5" t="s">
        <v>8646</v>
      </c>
      <c r="L2521" t="s">
        <v>241</v>
      </c>
      <c r="M2521" t="s">
        <v>8647</v>
      </c>
      <c r="N2521" t="s">
        <v>8648</v>
      </c>
      <c r="Q2521" s="28">
        <v>44955</v>
      </c>
    </row>
    <row r="2522" spans="1:17" x14ac:dyDescent="0.35">
      <c r="A2522" t="s">
        <v>8520</v>
      </c>
      <c r="B2522" s="3" t="s">
        <v>102</v>
      </c>
      <c r="F2522">
        <v>5</v>
      </c>
      <c r="G2522" t="s">
        <v>8607</v>
      </c>
      <c r="H2522">
        <v>27</v>
      </c>
      <c r="I2522" t="s">
        <v>9296</v>
      </c>
      <c r="J2522" t="str">
        <f t="shared" si="39"/>
        <v>13F-HR-5.27.C1</v>
      </c>
      <c r="K2522" s="5" t="s">
        <v>8608</v>
      </c>
      <c r="L2522" t="s">
        <v>229</v>
      </c>
      <c r="M2522" t="s">
        <v>8609</v>
      </c>
      <c r="N2522" t="s">
        <v>8610</v>
      </c>
      <c r="Q2522" s="28" t="s">
        <v>8972</v>
      </c>
    </row>
    <row r="2523" spans="1:17" x14ac:dyDescent="0.35">
      <c r="A2523" t="s">
        <v>8520</v>
      </c>
      <c r="B2523" s="3" t="s">
        <v>102</v>
      </c>
      <c r="F2523">
        <v>5</v>
      </c>
      <c r="G2523" t="s">
        <v>8607</v>
      </c>
      <c r="H2523">
        <v>28</v>
      </c>
      <c r="I2523" t="s">
        <v>9297</v>
      </c>
      <c r="J2523" t="str">
        <f t="shared" si="39"/>
        <v>13F-HR-5.28.C2</v>
      </c>
      <c r="K2523" s="5" t="s">
        <v>8612</v>
      </c>
      <c r="L2523" t="s">
        <v>229</v>
      </c>
      <c r="M2523" t="s">
        <v>8613</v>
      </c>
      <c r="N2523" t="s">
        <v>8614</v>
      </c>
      <c r="Q2523" s="28" t="s">
        <v>8615</v>
      </c>
    </row>
    <row r="2524" spans="1:17" x14ac:dyDescent="0.35">
      <c r="A2524" t="s">
        <v>8520</v>
      </c>
      <c r="B2524" s="3" t="s">
        <v>102</v>
      </c>
      <c r="F2524">
        <v>5</v>
      </c>
      <c r="G2524" t="s">
        <v>8607</v>
      </c>
      <c r="H2524">
        <v>29</v>
      </c>
      <c r="I2524" t="s">
        <v>9298</v>
      </c>
      <c r="J2524" t="str">
        <f t="shared" si="39"/>
        <v>13F-HR-5.29.C3</v>
      </c>
      <c r="K2524" s="5" t="s">
        <v>8616</v>
      </c>
      <c r="L2524" t="s">
        <v>229</v>
      </c>
      <c r="M2524" t="s">
        <v>7927</v>
      </c>
      <c r="N2524" t="s">
        <v>8617</v>
      </c>
      <c r="Q2524" s="28">
        <v>7.5513000000000005E+105</v>
      </c>
    </row>
    <row r="2525" spans="1:17" x14ac:dyDescent="0.35">
      <c r="A2525" t="s">
        <v>8520</v>
      </c>
      <c r="B2525" s="3" t="s">
        <v>102</v>
      </c>
      <c r="F2525">
        <v>5</v>
      </c>
      <c r="G2525" t="s">
        <v>8607</v>
      </c>
      <c r="H2525">
        <v>30</v>
      </c>
      <c r="I2525" t="s">
        <v>9299</v>
      </c>
      <c r="J2525" t="str">
        <f t="shared" si="39"/>
        <v>13F-HR-5.30.C4</v>
      </c>
      <c r="K2525" s="5" t="s">
        <v>8618</v>
      </c>
      <c r="L2525" t="s">
        <v>8619</v>
      </c>
      <c r="M2525" t="s">
        <v>8620</v>
      </c>
      <c r="N2525" t="s">
        <v>8621</v>
      </c>
      <c r="Q2525" s="28">
        <v>38123578</v>
      </c>
    </row>
    <row r="2526" spans="1:17" x14ac:dyDescent="0.35">
      <c r="A2526" t="s">
        <v>8520</v>
      </c>
      <c r="B2526" s="3" t="s">
        <v>102</v>
      </c>
      <c r="F2526">
        <v>5</v>
      </c>
      <c r="G2526" t="s">
        <v>8607</v>
      </c>
      <c r="H2526">
        <v>31</v>
      </c>
      <c r="I2526" t="s">
        <v>9300</v>
      </c>
      <c r="J2526" t="str">
        <f t="shared" si="39"/>
        <v>13F-HR-5.31.C5</v>
      </c>
      <c r="K2526" s="5" t="s">
        <v>8622</v>
      </c>
      <c r="L2526" t="s">
        <v>241</v>
      </c>
      <c r="M2526" t="s">
        <v>8623</v>
      </c>
      <c r="N2526" t="s">
        <v>8624</v>
      </c>
      <c r="Q2526" s="28">
        <v>287812</v>
      </c>
    </row>
    <row r="2527" spans="1:17" x14ac:dyDescent="0.35">
      <c r="A2527" t="s">
        <v>8520</v>
      </c>
      <c r="B2527" s="3" t="s">
        <v>102</v>
      </c>
      <c r="F2527">
        <v>5</v>
      </c>
      <c r="G2527" t="s">
        <v>8607</v>
      </c>
      <c r="H2527">
        <v>32</v>
      </c>
      <c r="I2527" t="s">
        <v>9301</v>
      </c>
      <c r="J2527" t="str">
        <f t="shared" si="39"/>
        <v>13F-HR-5.32.C6</v>
      </c>
      <c r="K2527" s="5" t="s">
        <v>8625</v>
      </c>
      <c r="L2527" t="s">
        <v>229</v>
      </c>
      <c r="M2527" t="s">
        <v>8626</v>
      </c>
      <c r="N2527" t="s">
        <v>8627</v>
      </c>
      <c r="Q2527" s="28" t="s">
        <v>8628</v>
      </c>
    </row>
    <row r="2528" spans="1:17" x14ac:dyDescent="0.35">
      <c r="A2528" t="s">
        <v>8520</v>
      </c>
      <c r="B2528" s="3" t="s">
        <v>102</v>
      </c>
      <c r="F2528">
        <v>5</v>
      </c>
      <c r="G2528" t="s">
        <v>8607</v>
      </c>
      <c r="H2528">
        <v>33</v>
      </c>
      <c r="I2528" t="s">
        <v>9302</v>
      </c>
      <c r="J2528" t="str">
        <f t="shared" si="39"/>
        <v>13F-HR-5.33.C7</v>
      </c>
      <c r="K2528" s="5" t="s">
        <v>8629</v>
      </c>
      <c r="L2528" t="s">
        <v>229</v>
      </c>
      <c r="M2528" t="s">
        <v>8630</v>
      </c>
      <c r="N2528" t="s">
        <v>8631</v>
      </c>
      <c r="Q2528" s="28" t="s">
        <v>8685</v>
      </c>
    </row>
    <row r="2529" spans="1:17" x14ac:dyDescent="0.35">
      <c r="A2529" t="s">
        <v>8520</v>
      </c>
      <c r="B2529" s="3" t="s">
        <v>102</v>
      </c>
      <c r="F2529">
        <v>5</v>
      </c>
      <c r="G2529" t="s">
        <v>8607</v>
      </c>
      <c r="H2529">
        <v>34</v>
      </c>
      <c r="I2529" t="s">
        <v>9303</v>
      </c>
      <c r="J2529" t="str">
        <f t="shared" si="39"/>
        <v>13F-HR-5.34.C8</v>
      </c>
      <c r="K2529" s="5" t="s">
        <v>8633</v>
      </c>
      <c r="L2529" t="s">
        <v>4735</v>
      </c>
      <c r="M2529" t="s">
        <v>8634</v>
      </c>
      <c r="N2529" t="s">
        <v>8635</v>
      </c>
      <c r="Q2529" s="28" t="s">
        <v>8632</v>
      </c>
    </row>
    <row r="2530" spans="1:17" x14ac:dyDescent="0.35">
      <c r="A2530" t="s">
        <v>8651</v>
      </c>
      <c r="B2530" s="3" t="s">
        <v>102</v>
      </c>
      <c r="F2530">
        <v>5</v>
      </c>
      <c r="G2530" t="s">
        <v>8607</v>
      </c>
      <c r="H2530">
        <v>35</v>
      </c>
      <c r="I2530" t="s">
        <v>9304</v>
      </c>
      <c r="J2530" t="str">
        <f t="shared" si="39"/>
        <v>135-HR-5.35.C9</v>
      </c>
      <c r="K2530" s="5" t="s">
        <v>8637</v>
      </c>
      <c r="L2530" t="s">
        <v>229</v>
      </c>
      <c r="M2530" t="s">
        <v>8638</v>
      </c>
      <c r="N2530" t="s">
        <v>8639</v>
      </c>
      <c r="Q2530" s="28" t="s">
        <v>8636</v>
      </c>
    </row>
    <row r="2531" spans="1:17" x14ac:dyDescent="0.35">
      <c r="A2531" t="s">
        <v>8520</v>
      </c>
      <c r="B2531" s="3" t="s">
        <v>102</v>
      </c>
      <c r="F2531">
        <v>5</v>
      </c>
      <c r="G2531" t="s">
        <v>8607</v>
      </c>
      <c r="H2531">
        <v>36</v>
      </c>
      <c r="I2531" t="s">
        <v>9305</v>
      </c>
      <c r="J2531" t="str">
        <f t="shared" si="39"/>
        <v>13F-HR-5.36.C10</v>
      </c>
      <c r="K2531" s="5" t="s">
        <v>8640</v>
      </c>
      <c r="L2531" t="s">
        <v>241</v>
      </c>
      <c r="M2531" t="s">
        <v>8641</v>
      </c>
      <c r="N2531" t="s">
        <v>8642</v>
      </c>
      <c r="Q2531" s="28">
        <v>45967</v>
      </c>
    </row>
    <row r="2532" spans="1:17" x14ac:dyDescent="0.35">
      <c r="A2532" t="s">
        <v>8520</v>
      </c>
      <c r="B2532" s="3" t="s">
        <v>102</v>
      </c>
      <c r="F2532">
        <v>5</v>
      </c>
      <c r="G2532" t="s">
        <v>8607</v>
      </c>
      <c r="H2532">
        <v>37</v>
      </c>
      <c r="I2532" t="s">
        <v>9306</v>
      </c>
      <c r="J2532" t="str">
        <f t="shared" si="39"/>
        <v>13F-HR-5.37.C11</v>
      </c>
      <c r="K2532" s="5" t="s">
        <v>8643</v>
      </c>
      <c r="L2532" t="s">
        <v>241</v>
      </c>
      <c r="M2532" t="s">
        <v>8644</v>
      </c>
      <c r="N2532" t="s">
        <v>8645</v>
      </c>
      <c r="Q2532" s="28">
        <v>0</v>
      </c>
    </row>
    <row r="2533" spans="1:17" x14ac:dyDescent="0.35">
      <c r="A2533" t="s">
        <v>8520</v>
      </c>
      <c r="B2533" s="3" t="s">
        <v>102</v>
      </c>
      <c r="F2533">
        <v>5</v>
      </c>
      <c r="G2533" t="s">
        <v>8607</v>
      </c>
      <c r="H2533">
        <v>38</v>
      </c>
      <c r="I2533" t="s">
        <v>9307</v>
      </c>
      <c r="J2533" t="str">
        <f t="shared" si="39"/>
        <v>13F-HR-5.38.C12</v>
      </c>
      <c r="K2533" s="5" t="s">
        <v>8646</v>
      </c>
      <c r="L2533" t="s">
        <v>241</v>
      </c>
      <c r="M2533" t="s">
        <v>8647</v>
      </c>
      <c r="N2533" t="s">
        <v>8648</v>
      </c>
      <c r="Q2533" s="28">
        <v>241845</v>
      </c>
    </row>
    <row r="2534" spans="1:17" x14ac:dyDescent="0.35">
      <c r="A2534" t="s">
        <v>8520</v>
      </c>
      <c r="B2534" s="3" t="s">
        <v>102</v>
      </c>
      <c r="F2534">
        <v>5</v>
      </c>
      <c r="G2534" t="s">
        <v>8607</v>
      </c>
      <c r="H2534">
        <v>27</v>
      </c>
      <c r="I2534" t="s">
        <v>9296</v>
      </c>
      <c r="J2534" t="str">
        <f t="shared" si="39"/>
        <v>13F-HR-5.27.C1</v>
      </c>
      <c r="K2534" s="5" t="s">
        <v>8608</v>
      </c>
      <c r="L2534" t="s">
        <v>229</v>
      </c>
      <c r="M2534" t="s">
        <v>8609</v>
      </c>
      <c r="N2534" t="s">
        <v>8610</v>
      </c>
      <c r="Q2534" s="28" t="s">
        <v>8973</v>
      </c>
    </row>
    <row r="2535" spans="1:17" x14ac:dyDescent="0.35">
      <c r="A2535" t="s">
        <v>8520</v>
      </c>
      <c r="B2535" s="3" t="s">
        <v>102</v>
      </c>
      <c r="F2535">
        <v>5</v>
      </c>
      <c r="G2535" t="s">
        <v>8607</v>
      </c>
      <c r="H2535">
        <v>28</v>
      </c>
      <c r="I2535" t="s">
        <v>9297</v>
      </c>
      <c r="J2535" t="str">
        <f t="shared" si="39"/>
        <v>13F-HR-5.28.C2</v>
      </c>
      <c r="K2535" s="5" t="s">
        <v>8612</v>
      </c>
      <c r="L2535" t="s">
        <v>229</v>
      </c>
      <c r="M2535" t="s">
        <v>8613</v>
      </c>
      <c r="N2535" t="s">
        <v>8614</v>
      </c>
      <c r="Q2535" s="28" t="s">
        <v>8615</v>
      </c>
    </row>
    <row r="2536" spans="1:17" x14ac:dyDescent="0.35">
      <c r="A2536" t="s">
        <v>8520</v>
      </c>
      <c r="B2536" s="3" t="s">
        <v>102</v>
      </c>
      <c r="F2536">
        <v>5</v>
      </c>
      <c r="G2536" t="s">
        <v>8607</v>
      </c>
      <c r="H2536">
        <v>29</v>
      </c>
      <c r="I2536" t="s">
        <v>9298</v>
      </c>
      <c r="J2536" t="str">
        <f t="shared" si="39"/>
        <v>13F-HR-5.29.C3</v>
      </c>
      <c r="K2536" s="5" t="s">
        <v>8616</v>
      </c>
      <c r="L2536" t="s">
        <v>229</v>
      </c>
      <c r="M2536" t="s">
        <v>7927</v>
      </c>
      <c r="N2536" t="s">
        <v>8617</v>
      </c>
      <c r="Q2536" s="28">
        <v>758750103</v>
      </c>
    </row>
    <row r="2537" spans="1:17" x14ac:dyDescent="0.35">
      <c r="A2537" t="s">
        <v>8520</v>
      </c>
      <c r="B2537" s="3" t="s">
        <v>102</v>
      </c>
      <c r="F2537">
        <v>5</v>
      </c>
      <c r="G2537" t="s">
        <v>8607</v>
      </c>
      <c r="H2537">
        <v>30</v>
      </c>
      <c r="I2537" t="s">
        <v>9299</v>
      </c>
      <c r="J2537" t="str">
        <f t="shared" si="39"/>
        <v>13F-HR-5.30.C4</v>
      </c>
      <c r="K2537" s="5" t="s">
        <v>8618</v>
      </c>
      <c r="L2537" t="s">
        <v>8619</v>
      </c>
      <c r="M2537" t="s">
        <v>8620</v>
      </c>
      <c r="N2537" t="s">
        <v>8621</v>
      </c>
      <c r="Q2537" s="28">
        <v>714067</v>
      </c>
    </row>
    <row r="2538" spans="1:17" x14ac:dyDescent="0.35">
      <c r="A2538" t="s">
        <v>8520</v>
      </c>
      <c r="B2538" s="3" t="s">
        <v>102</v>
      </c>
      <c r="F2538">
        <v>5</v>
      </c>
      <c r="G2538" t="s">
        <v>8607</v>
      </c>
      <c r="H2538">
        <v>31</v>
      </c>
      <c r="I2538" t="s">
        <v>9300</v>
      </c>
      <c r="J2538" t="str">
        <f t="shared" si="39"/>
        <v>13F-HR-5.31.C5</v>
      </c>
      <c r="K2538" s="5" t="s">
        <v>8622</v>
      </c>
      <c r="L2538" t="s">
        <v>241</v>
      </c>
      <c r="M2538" t="s">
        <v>8623</v>
      </c>
      <c r="N2538" t="s">
        <v>8624</v>
      </c>
      <c r="Q2538" s="28">
        <v>6272</v>
      </c>
    </row>
    <row r="2539" spans="1:17" x14ac:dyDescent="0.35">
      <c r="A2539" t="s">
        <v>8520</v>
      </c>
      <c r="B2539" s="3" t="s">
        <v>102</v>
      </c>
      <c r="F2539">
        <v>5</v>
      </c>
      <c r="G2539" t="s">
        <v>8607</v>
      </c>
      <c r="H2539">
        <v>32</v>
      </c>
      <c r="I2539" t="s">
        <v>9301</v>
      </c>
      <c r="J2539" t="str">
        <f t="shared" si="39"/>
        <v>13F-HR-5.32.C6</v>
      </c>
      <c r="K2539" s="5" t="s">
        <v>8625</v>
      </c>
      <c r="L2539" t="s">
        <v>229</v>
      </c>
      <c r="M2539" t="s">
        <v>8626</v>
      </c>
      <c r="N2539" t="s">
        <v>8627</v>
      </c>
      <c r="Q2539" s="28" t="s">
        <v>8628</v>
      </c>
    </row>
    <row r="2540" spans="1:17" x14ac:dyDescent="0.35">
      <c r="A2540" t="s">
        <v>8520</v>
      </c>
      <c r="B2540" s="3" t="s">
        <v>102</v>
      </c>
      <c r="F2540">
        <v>5</v>
      </c>
      <c r="G2540" t="s">
        <v>8607</v>
      </c>
      <c r="H2540">
        <v>33</v>
      </c>
      <c r="I2540" t="s">
        <v>9302</v>
      </c>
      <c r="J2540" t="str">
        <f t="shared" si="39"/>
        <v>13F-HR-5.33.C7</v>
      </c>
      <c r="K2540" s="5" t="s">
        <v>8629</v>
      </c>
      <c r="L2540" t="s">
        <v>229</v>
      </c>
      <c r="M2540" t="s">
        <v>8630</v>
      </c>
      <c r="N2540" t="s">
        <v>8631</v>
      </c>
      <c r="Q2540" s="28" t="s">
        <v>8685</v>
      </c>
    </row>
    <row r="2541" spans="1:17" x14ac:dyDescent="0.35">
      <c r="A2541" t="s">
        <v>8520</v>
      </c>
      <c r="B2541" s="3" t="s">
        <v>102</v>
      </c>
      <c r="F2541">
        <v>5</v>
      </c>
      <c r="G2541" t="s">
        <v>8607</v>
      </c>
      <c r="H2541">
        <v>34</v>
      </c>
      <c r="I2541" t="s">
        <v>9303</v>
      </c>
      <c r="J2541" t="str">
        <f t="shared" si="39"/>
        <v>13F-HR-5.34.C8</v>
      </c>
      <c r="K2541" s="5" t="s">
        <v>8633</v>
      </c>
      <c r="L2541" t="s">
        <v>4735</v>
      </c>
      <c r="M2541" t="s">
        <v>8634</v>
      </c>
      <c r="N2541" t="s">
        <v>8635</v>
      </c>
      <c r="Q2541" s="28" t="s">
        <v>8632</v>
      </c>
    </row>
    <row r="2542" spans="1:17" x14ac:dyDescent="0.35">
      <c r="A2542" t="s">
        <v>8651</v>
      </c>
      <c r="B2542" s="3" t="s">
        <v>102</v>
      </c>
      <c r="F2542">
        <v>5</v>
      </c>
      <c r="G2542" t="s">
        <v>8607</v>
      </c>
      <c r="H2542">
        <v>35</v>
      </c>
      <c r="I2542" t="s">
        <v>9304</v>
      </c>
      <c r="J2542" t="str">
        <f t="shared" si="39"/>
        <v>135-HR-5.35.C9</v>
      </c>
      <c r="K2542" s="5" t="s">
        <v>8637</v>
      </c>
      <c r="L2542" t="s">
        <v>229</v>
      </c>
      <c r="M2542" t="s">
        <v>8638</v>
      </c>
      <c r="N2542" t="s">
        <v>8639</v>
      </c>
      <c r="Q2542" s="28" t="s">
        <v>8636</v>
      </c>
    </row>
    <row r="2543" spans="1:17" x14ac:dyDescent="0.35">
      <c r="A2543" t="s">
        <v>8520</v>
      </c>
      <c r="B2543" s="3" t="s">
        <v>102</v>
      </c>
      <c r="F2543">
        <v>5</v>
      </c>
      <c r="G2543" t="s">
        <v>8607</v>
      </c>
      <c r="H2543">
        <v>36</v>
      </c>
      <c r="I2543" t="s">
        <v>9305</v>
      </c>
      <c r="J2543" t="str">
        <f t="shared" si="39"/>
        <v>13F-HR-5.36.C10</v>
      </c>
      <c r="K2543" s="5" t="s">
        <v>8640</v>
      </c>
      <c r="L2543" t="s">
        <v>241</v>
      </c>
      <c r="M2543" t="s">
        <v>8641</v>
      </c>
      <c r="N2543" t="s">
        <v>8642</v>
      </c>
      <c r="Q2543" s="28">
        <v>5939</v>
      </c>
    </row>
    <row r="2544" spans="1:17" x14ac:dyDescent="0.35">
      <c r="A2544" t="s">
        <v>8520</v>
      </c>
      <c r="B2544" s="3" t="s">
        <v>102</v>
      </c>
      <c r="F2544">
        <v>5</v>
      </c>
      <c r="G2544" t="s">
        <v>8607</v>
      </c>
      <c r="H2544">
        <v>37</v>
      </c>
      <c r="I2544" t="s">
        <v>9306</v>
      </c>
      <c r="J2544" t="str">
        <f t="shared" si="39"/>
        <v>13F-HR-5.37.C11</v>
      </c>
      <c r="K2544" s="5" t="s">
        <v>8643</v>
      </c>
      <c r="L2544" t="s">
        <v>241</v>
      </c>
      <c r="M2544" t="s">
        <v>8644</v>
      </c>
      <c r="N2544" t="s">
        <v>8645</v>
      </c>
      <c r="Q2544" s="28">
        <v>0</v>
      </c>
    </row>
    <row r="2545" spans="1:17" x14ac:dyDescent="0.35">
      <c r="A2545" t="s">
        <v>8520</v>
      </c>
      <c r="B2545" s="3" t="s">
        <v>102</v>
      </c>
      <c r="F2545">
        <v>5</v>
      </c>
      <c r="G2545" t="s">
        <v>8607</v>
      </c>
      <c r="H2545">
        <v>38</v>
      </c>
      <c r="I2545" t="s">
        <v>9307</v>
      </c>
      <c r="J2545" t="str">
        <f t="shared" si="39"/>
        <v>13F-HR-5.38.C12</v>
      </c>
      <c r="K2545" s="5" t="s">
        <v>8646</v>
      </c>
      <c r="L2545" t="s">
        <v>241</v>
      </c>
      <c r="M2545" t="s">
        <v>8647</v>
      </c>
      <c r="N2545" t="s">
        <v>8648</v>
      </c>
      <c r="Q2545" s="28">
        <v>333</v>
      </c>
    </row>
    <row r="2546" spans="1:17" x14ac:dyDescent="0.35">
      <c r="A2546" t="s">
        <v>8520</v>
      </c>
      <c r="B2546" s="3" t="s">
        <v>102</v>
      </c>
      <c r="F2546">
        <v>5</v>
      </c>
      <c r="G2546" t="s">
        <v>8607</v>
      </c>
      <c r="H2546">
        <v>27</v>
      </c>
      <c r="I2546" t="s">
        <v>9296</v>
      </c>
      <c r="J2546" t="str">
        <f t="shared" si="39"/>
        <v>13F-HR-5.27.C1</v>
      </c>
      <c r="K2546" s="5" t="s">
        <v>8608</v>
      </c>
      <c r="L2546" t="s">
        <v>229</v>
      </c>
      <c r="M2546" t="s">
        <v>8609</v>
      </c>
      <c r="N2546" t="s">
        <v>8610</v>
      </c>
      <c r="Q2546" s="28" t="s">
        <v>8974</v>
      </c>
    </row>
    <row r="2547" spans="1:17" x14ac:dyDescent="0.35">
      <c r="A2547" t="s">
        <v>8520</v>
      </c>
      <c r="B2547" s="3" t="s">
        <v>102</v>
      </c>
      <c r="F2547">
        <v>5</v>
      </c>
      <c r="G2547" t="s">
        <v>8607</v>
      </c>
      <c r="H2547">
        <v>28</v>
      </c>
      <c r="I2547" t="s">
        <v>9297</v>
      </c>
      <c r="J2547" t="str">
        <f t="shared" si="39"/>
        <v>13F-HR-5.28.C2</v>
      </c>
      <c r="K2547" s="5" t="s">
        <v>8612</v>
      </c>
      <c r="L2547" t="s">
        <v>229</v>
      </c>
      <c r="M2547" t="s">
        <v>8613</v>
      </c>
      <c r="N2547" t="s">
        <v>8614</v>
      </c>
      <c r="Q2547" s="28" t="s">
        <v>8615</v>
      </c>
    </row>
    <row r="2548" spans="1:17" x14ac:dyDescent="0.35">
      <c r="A2548" t="s">
        <v>8520</v>
      </c>
      <c r="B2548" s="3" t="s">
        <v>102</v>
      </c>
      <c r="F2548">
        <v>5</v>
      </c>
      <c r="G2548" t="s">
        <v>8607</v>
      </c>
      <c r="H2548">
        <v>29</v>
      </c>
      <c r="I2548" t="s">
        <v>9298</v>
      </c>
      <c r="J2548" t="str">
        <f t="shared" si="39"/>
        <v>13F-HR-5.29.C3</v>
      </c>
      <c r="K2548" s="5" t="s">
        <v>8616</v>
      </c>
      <c r="L2548" t="s">
        <v>229</v>
      </c>
      <c r="M2548" t="s">
        <v>7927</v>
      </c>
      <c r="N2548" t="s">
        <v>8617</v>
      </c>
      <c r="Q2548" s="28" t="s">
        <v>8975</v>
      </c>
    </row>
    <row r="2549" spans="1:17" x14ac:dyDescent="0.35">
      <c r="A2549" t="s">
        <v>8520</v>
      </c>
      <c r="B2549" s="3" t="s">
        <v>102</v>
      </c>
      <c r="F2549">
        <v>5</v>
      </c>
      <c r="G2549" t="s">
        <v>8607</v>
      </c>
      <c r="H2549">
        <v>30</v>
      </c>
      <c r="I2549" t="s">
        <v>9299</v>
      </c>
      <c r="J2549" t="str">
        <f t="shared" si="39"/>
        <v>13F-HR-5.30.C4</v>
      </c>
      <c r="K2549" s="5" t="s">
        <v>8618</v>
      </c>
      <c r="L2549" t="s">
        <v>8619</v>
      </c>
      <c r="M2549" t="s">
        <v>8620</v>
      </c>
      <c r="N2549" t="s">
        <v>8621</v>
      </c>
      <c r="Q2549" s="28">
        <v>46432613</v>
      </c>
    </row>
    <row r="2550" spans="1:17" x14ac:dyDescent="0.35">
      <c r="A2550" t="s">
        <v>8520</v>
      </c>
      <c r="B2550" s="3" t="s">
        <v>102</v>
      </c>
      <c r="F2550">
        <v>5</v>
      </c>
      <c r="G2550" t="s">
        <v>8607</v>
      </c>
      <c r="H2550">
        <v>31</v>
      </c>
      <c r="I2550" t="s">
        <v>9300</v>
      </c>
      <c r="J2550" t="str">
        <f t="shared" si="39"/>
        <v>13F-HR-5.31.C5</v>
      </c>
      <c r="K2550" s="5" t="s">
        <v>8622</v>
      </c>
      <c r="L2550" t="s">
        <v>241</v>
      </c>
      <c r="M2550" t="s">
        <v>8623</v>
      </c>
      <c r="N2550" t="s">
        <v>8624</v>
      </c>
      <c r="Q2550" s="28">
        <v>73211</v>
      </c>
    </row>
    <row r="2551" spans="1:17" x14ac:dyDescent="0.35">
      <c r="A2551" t="s">
        <v>8520</v>
      </c>
      <c r="B2551" s="3" t="s">
        <v>102</v>
      </c>
      <c r="F2551">
        <v>5</v>
      </c>
      <c r="G2551" t="s">
        <v>8607</v>
      </c>
      <c r="H2551">
        <v>32</v>
      </c>
      <c r="I2551" t="s">
        <v>9301</v>
      </c>
      <c r="J2551" t="str">
        <f t="shared" si="39"/>
        <v>13F-HR-5.32.C6</v>
      </c>
      <c r="K2551" s="5" t="s">
        <v>8625</v>
      </c>
      <c r="L2551" t="s">
        <v>229</v>
      </c>
      <c r="M2551" t="s">
        <v>8626</v>
      </c>
      <c r="N2551" t="s">
        <v>8627</v>
      </c>
      <c r="Q2551" s="28" t="s">
        <v>8628</v>
      </c>
    </row>
    <row r="2552" spans="1:17" x14ac:dyDescent="0.35">
      <c r="A2552" t="s">
        <v>8520</v>
      </c>
      <c r="B2552" s="3" t="s">
        <v>102</v>
      </c>
      <c r="F2552">
        <v>5</v>
      </c>
      <c r="G2552" t="s">
        <v>8607</v>
      </c>
      <c r="H2552">
        <v>33</v>
      </c>
      <c r="I2552" t="s">
        <v>9302</v>
      </c>
      <c r="J2552" t="str">
        <f t="shared" si="39"/>
        <v>13F-HR-5.33.C7</v>
      </c>
      <c r="K2552" s="5" t="s">
        <v>8629</v>
      </c>
      <c r="L2552" t="s">
        <v>229</v>
      </c>
      <c r="M2552" t="s">
        <v>8630</v>
      </c>
      <c r="N2552" t="s">
        <v>8631</v>
      </c>
      <c r="Q2552" s="28" t="s">
        <v>8685</v>
      </c>
    </row>
    <row r="2553" spans="1:17" x14ac:dyDescent="0.35">
      <c r="A2553" t="s">
        <v>8520</v>
      </c>
      <c r="B2553" s="3" t="s">
        <v>102</v>
      </c>
      <c r="F2553">
        <v>5</v>
      </c>
      <c r="G2553" t="s">
        <v>8607</v>
      </c>
      <c r="H2553">
        <v>34</v>
      </c>
      <c r="I2553" t="s">
        <v>9303</v>
      </c>
      <c r="J2553" t="str">
        <f t="shared" si="39"/>
        <v>13F-HR-5.34.C8</v>
      </c>
      <c r="K2553" s="5" t="s">
        <v>8633</v>
      </c>
      <c r="L2553" t="s">
        <v>4735</v>
      </c>
      <c r="M2553" t="s">
        <v>8634</v>
      </c>
      <c r="N2553" t="s">
        <v>8635</v>
      </c>
      <c r="Q2553" s="28" t="s">
        <v>8632</v>
      </c>
    </row>
    <row r="2554" spans="1:17" x14ac:dyDescent="0.35">
      <c r="A2554" t="s">
        <v>8651</v>
      </c>
      <c r="B2554" s="3" t="s">
        <v>102</v>
      </c>
      <c r="F2554">
        <v>5</v>
      </c>
      <c r="G2554" t="s">
        <v>8607</v>
      </c>
      <c r="H2554">
        <v>35</v>
      </c>
      <c r="I2554" t="s">
        <v>9304</v>
      </c>
      <c r="J2554" t="str">
        <f t="shared" si="39"/>
        <v>135-HR-5.35.C9</v>
      </c>
      <c r="K2554" s="5" t="s">
        <v>8637</v>
      </c>
      <c r="L2554" t="s">
        <v>229</v>
      </c>
      <c r="M2554" t="s">
        <v>8638</v>
      </c>
      <c r="N2554" t="s">
        <v>8639</v>
      </c>
      <c r="Q2554" s="28" t="s">
        <v>8636</v>
      </c>
    </row>
    <row r="2555" spans="1:17" x14ac:dyDescent="0.35">
      <c r="A2555" t="s">
        <v>8520</v>
      </c>
      <c r="B2555" s="3" t="s">
        <v>102</v>
      </c>
      <c r="F2555">
        <v>5</v>
      </c>
      <c r="G2555" t="s">
        <v>8607</v>
      </c>
      <c r="H2555">
        <v>36</v>
      </c>
      <c r="I2555" t="s">
        <v>9305</v>
      </c>
      <c r="J2555" t="str">
        <f t="shared" si="39"/>
        <v>13F-HR-5.36.C10</v>
      </c>
      <c r="K2555" s="5" t="s">
        <v>8640</v>
      </c>
      <c r="L2555" t="s">
        <v>241</v>
      </c>
      <c r="M2555" t="s">
        <v>8641</v>
      </c>
      <c r="N2555" t="s">
        <v>8642</v>
      </c>
      <c r="Q2555" s="28">
        <v>72231</v>
      </c>
    </row>
    <row r="2556" spans="1:17" x14ac:dyDescent="0.35">
      <c r="A2556" t="s">
        <v>8520</v>
      </c>
      <c r="B2556" s="3" t="s">
        <v>102</v>
      </c>
      <c r="F2556">
        <v>5</v>
      </c>
      <c r="G2556" t="s">
        <v>8607</v>
      </c>
      <c r="H2556">
        <v>37</v>
      </c>
      <c r="I2556" t="s">
        <v>9306</v>
      </c>
      <c r="J2556" t="str">
        <f t="shared" si="39"/>
        <v>13F-HR-5.37.C11</v>
      </c>
      <c r="K2556" s="5" t="s">
        <v>8643</v>
      </c>
      <c r="L2556" t="s">
        <v>241</v>
      </c>
      <c r="M2556" t="s">
        <v>8644</v>
      </c>
      <c r="N2556" t="s">
        <v>8645</v>
      </c>
      <c r="Q2556" s="28">
        <v>0</v>
      </c>
    </row>
    <row r="2557" spans="1:17" x14ac:dyDescent="0.35">
      <c r="A2557" t="s">
        <v>8520</v>
      </c>
      <c r="B2557" s="3" t="s">
        <v>102</v>
      </c>
      <c r="F2557">
        <v>5</v>
      </c>
      <c r="G2557" t="s">
        <v>8607</v>
      </c>
      <c r="H2557">
        <v>38</v>
      </c>
      <c r="I2557" t="s">
        <v>9307</v>
      </c>
      <c r="J2557" t="str">
        <f t="shared" si="39"/>
        <v>13F-HR-5.38.C12</v>
      </c>
      <c r="K2557" s="5" t="s">
        <v>8646</v>
      </c>
      <c r="L2557" t="s">
        <v>241</v>
      </c>
      <c r="M2557" t="s">
        <v>8647</v>
      </c>
      <c r="N2557" t="s">
        <v>8648</v>
      </c>
      <c r="Q2557" s="28">
        <v>980</v>
      </c>
    </row>
    <row r="2558" spans="1:17" x14ac:dyDescent="0.35">
      <c r="A2558" t="s">
        <v>8520</v>
      </c>
      <c r="B2558" s="3" t="s">
        <v>102</v>
      </c>
      <c r="F2558">
        <v>5</v>
      </c>
      <c r="G2558" t="s">
        <v>8607</v>
      </c>
      <c r="H2558">
        <v>27</v>
      </c>
      <c r="I2558" t="s">
        <v>9296</v>
      </c>
      <c r="J2558" t="str">
        <f t="shared" si="39"/>
        <v>13F-HR-5.27.C1</v>
      </c>
      <c r="K2558" s="5" t="s">
        <v>8608</v>
      </c>
      <c r="L2558" t="s">
        <v>229</v>
      </c>
      <c r="M2558" t="s">
        <v>8609</v>
      </c>
      <c r="N2558" t="s">
        <v>8610</v>
      </c>
      <c r="Q2558" s="28" t="s">
        <v>8976</v>
      </c>
    </row>
    <row r="2559" spans="1:17" x14ac:dyDescent="0.35">
      <c r="A2559" t="s">
        <v>8520</v>
      </c>
      <c r="B2559" s="3" t="s">
        <v>102</v>
      </c>
      <c r="F2559">
        <v>5</v>
      </c>
      <c r="G2559" t="s">
        <v>8607</v>
      </c>
      <c r="H2559">
        <v>28</v>
      </c>
      <c r="I2559" t="s">
        <v>9297</v>
      </c>
      <c r="J2559" t="str">
        <f t="shared" si="39"/>
        <v>13F-HR-5.28.C2</v>
      </c>
      <c r="K2559" s="5" t="s">
        <v>8612</v>
      </c>
      <c r="L2559" t="s">
        <v>229</v>
      </c>
      <c r="M2559" t="s">
        <v>8613</v>
      </c>
      <c r="N2559" t="s">
        <v>8614</v>
      </c>
      <c r="Q2559" s="28" t="s">
        <v>8615</v>
      </c>
    </row>
    <row r="2560" spans="1:17" x14ac:dyDescent="0.35">
      <c r="A2560" t="s">
        <v>8520</v>
      </c>
      <c r="B2560" s="3" t="s">
        <v>102</v>
      </c>
      <c r="F2560">
        <v>5</v>
      </c>
      <c r="G2560" t="s">
        <v>8607</v>
      </c>
      <c r="H2560">
        <v>29</v>
      </c>
      <c r="I2560" t="s">
        <v>9298</v>
      </c>
      <c r="J2560" t="str">
        <f t="shared" si="39"/>
        <v>13F-HR-5.29.C3</v>
      </c>
      <c r="K2560" s="5" t="s">
        <v>8616</v>
      </c>
      <c r="L2560" t="s">
        <v>229</v>
      </c>
      <c r="M2560" t="s">
        <v>7927</v>
      </c>
      <c r="N2560" t="s">
        <v>8617</v>
      </c>
      <c r="Q2560" s="28">
        <v>760759100</v>
      </c>
    </row>
    <row r="2561" spans="1:17" x14ac:dyDescent="0.35">
      <c r="A2561" t="s">
        <v>8520</v>
      </c>
      <c r="B2561" s="3" t="s">
        <v>102</v>
      </c>
      <c r="F2561">
        <v>5</v>
      </c>
      <c r="G2561" t="s">
        <v>8607</v>
      </c>
      <c r="H2561">
        <v>30</v>
      </c>
      <c r="I2561" t="s">
        <v>9299</v>
      </c>
      <c r="J2561" t="str">
        <f t="shared" si="39"/>
        <v>13F-HR-5.30.C4</v>
      </c>
      <c r="K2561" s="5" t="s">
        <v>8618</v>
      </c>
      <c r="L2561" t="s">
        <v>8619</v>
      </c>
      <c r="M2561" t="s">
        <v>8620</v>
      </c>
      <c r="N2561" t="s">
        <v>8621</v>
      </c>
      <c r="Q2561" s="28">
        <v>3990312</v>
      </c>
    </row>
    <row r="2562" spans="1:17" x14ac:dyDescent="0.35">
      <c r="A2562" t="s">
        <v>8520</v>
      </c>
      <c r="B2562" s="3" t="s">
        <v>102</v>
      </c>
      <c r="F2562">
        <v>5</v>
      </c>
      <c r="G2562" t="s">
        <v>8607</v>
      </c>
      <c r="H2562">
        <v>31</v>
      </c>
      <c r="I2562" t="s">
        <v>9300</v>
      </c>
      <c r="J2562" t="str">
        <f t="shared" si="39"/>
        <v>13F-HR-5.31.C5</v>
      </c>
      <c r="K2562" s="5" t="s">
        <v>8622</v>
      </c>
      <c r="L2562" t="s">
        <v>241</v>
      </c>
      <c r="M2562" t="s">
        <v>8623</v>
      </c>
      <c r="N2562" t="s">
        <v>8624</v>
      </c>
      <c r="Q2562" s="28">
        <v>16478</v>
      </c>
    </row>
    <row r="2563" spans="1:17" x14ac:dyDescent="0.35">
      <c r="A2563" t="s">
        <v>8520</v>
      </c>
      <c r="B2563" s="3" t="s">
        <v>102</v>
      </c>
      <c r="F2563">
        <v>5</v>
      </c>
      <c r="G2563" t="s">
        <v>8607</v>
      </c>
      <c r="H2563">
        <v>32</v>
      </c>
      <c r="I2563" t="s">
        <v>9301</v>
      </c>
      <c r="J2563" t="str">
        <f t="shared" ref="J2563:J2626" si="40">_xlfn.CONCAT(A2563,"-",F2563,".",H2563,".",I2563)</f>
        <v>13F-HR-5.32.C6</v>
      </c>
      <c r="K2563" s="5" t="s">
        <v>8625</v>
      </c>
      <c r="L2563" t="s">
        <v>229</v>
      </c>
      <c r="M2563" t="s">
        <v>8626</v>
      </c>
      <c r="N2563" t="s">
        <v>8627</v>
      </c>
      <c r="Q2563" s="28" t="s">
        <v>8628</v>
      </c>
    </row>
    <row r="2564" spans="1:17" x14ac:dyDescent="0.35">
      <c r="A2564" t="s">
        <v>8520</v>
      </c>
      <c r="B2564" s="3" t="s">
        <v>102</v>
      </c>
      <c r="F2564">
        <v>5</v>
      </c>
      <c r="G2564" t="s">
        <v>8607</v>
      </c>
      <c r="H2564">
        <v>33</v>
      </c>
      <c r="I2564" t="s">
        <v>9302</v>
      </c>
      <c r="J2564" t="str">
        <f t="shared" si="40"/>
        <v>13F-HR-5.33.C7</v>
      </c>
      <c r="K2564" s="5" t="s">
        <v>8629</v>
      </c>
      <c r="L2564" t="s">
        <v>229</v>
      </c>
      <c r="M2564" t="s">
        <v>8630</v>
      </c>
      <c r="N2564" t="s">
        <v>8631</v>
      </c>
      <c r="Q2564" s="28" t="s">
        <v>8685</v>
      </c>
    </row>
    <row r="2565" spans="1:17" x14ac:dyDescent="0.35">
      <c r="A2565" t="s">
        <v>8520</v>
      </c>
      <c r="B2565" s="3" t="s">
        <v>102</v>
      </c>
      <c r="F2565">
        <v>5</v>
      </c>
      <c r="G2565" t="s">
        <v>8607</v>
      </c>
      <c r="H2565">
        <v>34</v>
      </c>
      <c r="I2565" t="s">
        <v>9303</v>
      </c>
      <c r="J2565" t="str">
        <f t="shared" si="40"/>
        <v>13F-HR-5.34.C8</v>
      </c>
      <c r="K2565" s="5" t="s">
        <v>8633</v>
      </c>
      <c r="L2565" t="s">
        <v>4735</v>
      </c>
      <c r="M2565" t="s">
        <v>8634</v>
      </c>
      <c r="N2565" t="s">
        <v>8635</v>
      </c>
      <c r="Q2565" s="28" t="s">
        <v>8632</v>
      </c>
    </row>
    <row r="2566" spans="1:17" x14ac:dyDescent="0.35">
      <c r="A2566" t="s">
        <v>8651</v>
      </c>
      <c r="B2566" s="3" t="s">
        <v>102</v>
      </c>
      <c r="F2566">
        <v>5</v>
      </c>
      <c r="G2566" t="s">
        <v>8607</v>
      </c>
      <c r="H2566">
        <v>35</v>
      </c>
      <c r="I2566" t="s">
        <v>9304</v>
      </c>
      <c r="J2566" t="str">
        <f t="shared" si="40"/>
        <v>135-HR-5.35.C9</v>
      </c>
      <c r="K2566" s="5" t="s">
        <v>8637</v>
      </c>
      <c r="L2566" t="s">
        <v>229</v>
      </c>
      <c r="M2566" t="s">
        <v>8638</v>
      </c>
      <c r="N2566" t="s">
        <v>8639</v>
      </c>
      <c r="Q2566" s="28" t="s">
        <v>8636</v>
      </c>
    </row>
    <row r="2567" spans="1:17" x14ac:dyDescent="0.35">
      <c r="A2567" t="s">
        <v>8520</v>
      </c>
      <c r="B2567" s="3" t="s">
        <v>102</v>
      </c>
      <c r="F2567">
        <v>5</v>
      </c>
      <c r="G2567" t="s">
        <v>8607</v>
      </c>
      <c r="H2567">
        <v>36</v>
      </c>
      <c r="I2567" t="s">
        <v>9305</v>
      </c>
      <c r="J2567" t="str">
        <f t="shared" si="40"/>
        <v>13F-HR-5.36.C10</v>
      </c>
      <c r="K2567" s="5" t="s">
        <v>8640</v>
      </c>
      <c r="L2567" t="s">
        <v>241</v>
      </c>
      <c r="M2567" t="s">
        <v>8641</v>
      </c>
      <c r="N2567" t="s">
        <v>8642</v>
      </c>
      <c r="Q2567" s="28">
        <v>0</v>
      </c>
    </row>
    <row r="2568" spans="1:17" x14ac:dyDescent="0.35">
      <c r="A2568" t="s">
        <v>8520</v>
      </c>
      <c r="B2568" s="3" t="s">
        <v>102</v>
      </c>
      <c r="F2568">
        <v>5</v>
      </c>
      <c r="G2568" t="s">
        <v>8607</v>
      </c>
      <c r="H2568">
        <v>37</v>
      </c>
      <c r="I2568" t="s">
        <v>9306</v>
      </c>
      <c r="J2568" t="str">
        <f t="shared" si="40"/>
        <v>13F-HR-5.37.C11</v>
      </c>
      <c r="K2568" s="5" t="s">
        <v>8643</v>
      </c>
      <c r="L2568" t="s">
        <v>241</v>
      </c>
      <c r="M2568" t="s">
        <v>8644</v>
      </c>
      <c r="N2568" t="s">
        <v>8645</v>
      </c>
      <c r="Q2568" s="28">
        <v>0</v>
      </c>
    </row>
    <row r="2569" spans="1:17" x14ac:dyDescent="0.35">
      <c r="A2569" t="s">
        <v>8520</v>
      </c>
      <c r="B2569" s="3" t="s">
        <v>102</v>
      </c>
      <c r="F2569">
        <v>5</v>
      </c>
      <c r="G2569" t="s">
        <v>8607</v>
      </c>
      <c r="H2569">
        <v>38</v>
      </c>
      <c r="I2569" t="s">
        <v>9307</v>
      </c>
      <c r="J2569" t="str">
        <f t="shared" si="40"/>
        <v>13F-HR-5.38.C12</v>
      </c>
      <c r="K2569" s="5" t="s">
        <v>8646</v>
      </c>
      <c r="L2569" t="s">
        <v>241</v>
      </c>
      <c r="M2569" t="s">
        <v>8647</v>
      </c>
      <c r="N2569" t="s">
        <v>8648</v>
      </c>
      <c r="Q2569" s="28">
        <v>16478</v>
      </c>
    </row>
    <row r="2570" spans="1:17" x14ac:dyDescent="0.35">
      <c r="A2570" t="s">
        <v>8520</v>
      </c>
      <c r="B2570" s="3" t="s">
        <v>102</v>
      </c>
      <c r="F2570">
        <v>5</v>
      </c>
      <c r="G2570" t="s">
        <v>8607</v>
      </c>
      <c r="H2570">
        <v>27</v>
      </c>
      <c r="I2570" t="s">
        <v>9296</v>
      </c>
      <c r="J2570" t="str">
        <f t="shared" si="40"/>
        <v>13F-HR-5.27.C1</v>
      </c>
      <c r="K2570" s="5" t="s">
        <v>8608</v>
      </c>
      <c r="L2570" t="s">
        <v>229</v>
      </c>
      <c r="M2570" t="s">
        <v>8609</v>
      </c>
      <c r="N2570" t="s">
        <v>8610</v>
      </c>
      <c r="Q2570" s="28" t="s">
        <v>8977</v>
      </c>
    </row>
    <row r="2571" spans="1:17" x14ac:dyDescent="0.35">
      <c r="A2571" t="s">
        <v>8520</v>
      </c>
      <c r="B2571" s="3" t="s">
        <v>102</v>
      </c>
      <c r="F2571">
        <v>5</v>
      </c>
      <c r="G2571" t="s">
        <v>8607</v>
      </c>
      <c r="H2571">
        <v>28</v>
      </c>
      <c r="I2571" t="s">
        <v>9297</v>
      </c>
      <c r="J2571" t="str">
        <f t="shared" si="40"/>
        <v>13F-HR-5.28.C2</v>
      </c>
      <c r="K2571" s="5" t="s">
        <v>8612</v>
      </c>
      <c r="L2571" t="s">
        <v>229</v>
      </c>
      <c r="M2571" t="s">
        <v>8613</v>
      </c>
      <c r="N2571" t="s">
        <v>8614</v>
      </c>
      <c r="Q2571" s="28" t="s">
        <v>8615</v>
      </c>
    </row>
    <row r="2572" spans="1:17" x14ac:dyDescent="0.35">
      <c r="A2572" t="s">
        <v>8520</v>
      </c>
      <c r="B2572" s="3" t="s">
        <v>102</v>
      </c>
      <c r="F2572">
        <v>5</v>
      </c>
      <c r="G2572" t="s">
        <v>8607</v>
      </c>
      <c r="H2572">
        <v>29</v>
      </c>
      <c r="I2572" t="s">
        <v>9298</v>
      </c>
      <c r="J2572" t="str">
        <f t="shared" si="40"/>
        <v>13F-HR-5.29.C3</v>
      </c>
      <c r="K2572" s="5" t="s">
        <v>8616</v>
      </c>
      <c r="L2572" t="s">
        <v>229</v>
      </c>
      <c r="M2572" t="s">
        <v>7927</v>
      </c>
      <c r="N2572" t="s">
        <v>8617</v>
      </c>
      <c r="Q2572" s="28" t="s">
        <v>8978</v>
      </c>
    </row>
    <row r="2573" spans="1:17" x14ac:dyDescent="0.35">
      <c r="A2573" t="s">
        <v>8520</v>
      </c>
      <c r="B2573" s="3" t="s">
        <v>102</v>
      </c>
      <c r="F2573">
        <v>5</v>
      </c>
      <c r="G2573" t="s">
        <v>8607</v>
      </c>
      <c r="H2573">
        <v>30</v>
      </c>
      <c r="I2573" t="s">
        <v>9299</v>
      </c>
      <c r="J2573" t="str">
        <f t="shared" si="40"/>
        <v>13F-HR-5.30.C4</v>
      </c>
      <c r="K2573" s="5" t="s">
        <v>8618</v>
      </c>
      <c r="L2573" t="s">
        <v>8619</v>
      </c>
      <c r="M2573" t="s">
        <v>8620</v>
      </c>
      <c r="N2573" t="s">
        <v>8621</v>
      </c>
      <c r="Q2573" s="28">
        <v>11386710</v>
      </c>
    </row>
    <row r="2574" spans="1:17" x14ac:dyDescent="0.35">
      <c r="A2574" t="s">
        <v>8520</v>
      </c>
      <c r="B2574" s="3" t="s">
        <v>102</v>
      </c>
      <c r="F2574">
        <v>5</v>
      </c>
      <c r="G2574" t="s">
        <v>8607</v>
      </c>
      <c r="H2574">
        <v>31</v>
      </c>
      <c r="I2574" t="s">
        <v>9300</v>
      </c>
      <c r="J2574" t="str">
        <f t="shared" si="40"/>
        <v>13F-HR-5.31.C5</v>
      </c>
      <c r="K2574" s="5" t="s">
        <v>8622</v>
      </c>
      <c r="L2574" t="s">
        <v>241</v>
      </c>
      <c r="M2574" t="s">
        <v>8623</v>
      </c>
      <c r="N2574" t="s">
        <v>8624</v>
      </c>
      <c r="Q2574" s="28">
        <v>170869</v>
      </c>
    </row>
    <row r="2575" spans="1:17" x14ac:dyDescent="0.35">
      <c r="A2575" t="s">
        <v>8520</v>
      </c>
      <c r="B2575" s="3" t="s">
        <v>102</v>
      </c>
      <c r="F2575">
        <v>5</v>
      </c>
      <c r="G2575" t="s">
        <v>8607</v>
      </c>
      <c r="H2575">
        <v>32</v>
      </c>
      <c r="I2575" t="s">
        <v>9301</v>
      </c>
      <c r="J2575" t="str">
        <f t="shared" si="40"/>
        <v>13F-HR-5.32.C6</v>
      </c>
      <c r="K2575" s="5" t="s">
        <v>8625</v>
      </c>
      <c r="L2575" t="s">
        <v>229</v>
      </c>
      <c r="M2575" t="s">
        <v>8626</v>
      </c>
      <c r="N2575" t="s">
        <v>8627</v>
      </c>
      <c r="Q2575" s="28" t="s">
        <v>8628</v>
      </c>
    </row>
    <row r="2576" spans="1:17" x14ac:dyDescent="0.35">
      <c r="A2576" t="s">
        <v>8520</v>
      </c>
      <c r="B2576" s="3" t="s">
        <v>102</v>
      </c>
      <c r="F2576">
        <v>5</v>
      </c>
      <c r="G2576" t="s">
        <v>8607</v>
      </c>
      <c r="H2576">
        <v>33</v>
      </c>
      <c r="I2576" t="s">
        <v>9302</v>
      </c>
      <c r="J2576" t="str">
        <f t="shared" si="40"/>
        <v>13F-HR-5.33.C7</v>
      </c>
      <c r="K2576" s="5" t="s">
        <v>8629</v>
      </c>
      <c r="L2576" t="s">
        <v>229</v>
      </c>
      <c r="M2576" t="s">
        <v>8630</v>
      </c>
      <c r="N2576" t="s">
        <v>8631</v>
      </c>
      <c r="Q2576" s="28" t="s">
        <v>8685</v>
      </c>
    </row>
    <row r="2577" spans="1:17" x14ac:dyDescent="0.35">
      <c r="A2577" t="s">
        <v>8520</v>
      </c>
      <c r="B2577" s="3" t="s">
        <v>102</v>
      </c>
      <c r="F2577">
        <v>5</v>
      </c>
      <c r="G2577" t="s">
        <v>8607</v>
      </c>
      <c r="H2577">
        <v>34</v>
      </c>
      <c r="I2577" t="s">
        <v>9303</v>
      </c>
      <c r="J2577" t="str">
        <f t="shared" si="40"/>
        <v>13F-HR-5.34.C8</v>
      </c>
      <c r="K2577" s="5" t="s">
        <v>8633</v>
      </c>
      <c r="L2577" t="s">
        <v>4735</v>
      </c>
      <c r="M2577" t="s">
        <v>8634</v>
      </c>
      <c r="N2577" t="s">
        <v>8635</v>
      </c>
      <c r="Q2577" s="28" t="s">
        <v>8632</v>
      </c>
    </row>
    <row r="2578" spans="1:17" x14ac:dyDescent="0.35">
      <c r="A2578" t="s">
        <v>8651</v>
      </c>
      <c r="B2578" s="3" t="s">
        <v>102</v>
      </c>
      <c r="F2578">
        <v>5</v>
      </c>
      <c r="G2578" t="s">
        <v>8607</v>
      </c>
      <c r="H2578">
        <v>35</v>
      </c>
      <c r="I2578" t="s">
        <v>9304</v>
      </c>
      <c r="J2578" t="str">
        <f t="shared" si="40"/>
        <v>135-HR-5.35.C9</v>
      </c>
      <c r="K2578" s="5" t="s">
        <v>8637</v>
      </c>
      <c r="L2578" t="s">
        <v>229</v>
      </c>
      <c r="M2578" t="s">
        <v>8638</v>
      </c>
      <c r="N2578" t="s">
        <v>8639</v>
      </c>
      <c r="Q2578" s="28" t="s">
        <v>8636</v>
      </c>
    </row>
    <row r="2579" spans="1:17" x14ac:dyDescent="0.35">
      <c r="A2579" t="s">
        <v>8520</v>
      </c>
      <c r="B2579" s="3" t="s">
        <v>102</v>
      </c>
      <c r="F2579">
        <v>5</v>
      </c>
      <c r="G2579" t="s">
        <v>8607</v>
      </c>
      <c r="H2579">
        <v>36</v>
      </c>
      <c r="I2579" t="s">
        <v>9305</v>
      </c>
      <c r="J2579" t="str">
        <f t="shared" si="40"/>
        <v>13F-HR-5.36.C10</v>
      </c>
      <c r="K2579" s="5" t="s">
        <v>8640</v>
      </c>
      <c r="L2579" t="s">
        <v>241</v>
      </c>
      <c r="M2579" t="s">
        <v>8641</v>
      </c>
      <c r="N2579" t="s">
        <v>8642</v>
      </c>
      <c r="Q2579" s="28">
        <v>165909</v>
      </c>
    </row>
    <row r="2580" spans="1:17" x14ac:dyDescent="0.35">
      <c r="A2580" t="s">
        <v>8520</v>
      </c>
      <c r="B2580" s="3" t="s">
        <v>102</v>
      </c>
      <c r="F2580">
        <v>5</v>
      </c>
      <c r="G2580" t="s">
        <v>8607</v>
      </c>
      <c r="H2580">
        <v>37</v>
      </c>
      <c r="I2580" t="s">
        <v>9306</v>
      </c>
      <c r="J2580" t="str">
        <f t="shared" si="40"/>
        <v>13F-HR-5.37.C11</v>
      </c>
      <c r="K2580" s="5" t="s">
        <v>8643</v>
      </c>
      <c r="L2580" t="s">
        <v>241</v>
      </c>
      <c r="M2580" t="s">
        <v>8644</v>
      </c>
      <c r="N2580" t="s">
        <v>8645</v>
      </c>
      <c r="Q2580" s="28">
        <v>0</v>
      </c>
    </row>
    <row r="2581" spans="1:17" x14ac:dyDescent="0.35">
      <c r="A2581" t="s">
        <v>8520</v>
      </c>
      <c r="B2581" s="3" t="s">
        <v>102</v>
      </c>
      <c r="F2581">
        <v>5</v>
      </c>
      <c r="G2581" t="s">
        <v>8607</v>
      </c>
      <c r="H2581">
        <v>38</v>
      </c>
      <c r="I2581" t="s">
        <v>9307</v>
      </c>
      <c r="J2581" t="str">
        <f t="shared" si="40"/>
        <v>13F-HR-5.38.C12</v>
      </c>
      <c r="K2581" s="5" t="s">
        <v>8646</v>
      </c>
      <c r="L2581" t="s">
        <v>241</v>
      </c>
      <c r="M2581" t="s">
        <v>8647</v>
      </c>
      <c r="N2581" t="s">
        <v>8648</v>
      </c>
      <c r="Q2581" s="28">
        <v>4960</v>
      </c>
    </row>
    <row r="2582" spans="1:17" x14ac:dyDescent="0.35">
      <c r="A2582" t="s">
        <v>8520</v>
      </c>
      <c r="B2582" s="3" t="s">
        <v>102</v>
      </c>
      <c r="G2582" t="s">
        <v>8607</v>
      </c>
      <c r="H2582">
        <v>27</v>
      </c>
      <c r="I2582" t="s">
        <v>9296</v>
      </c>
      <c r="J2582" t="str">
        <f t="shared" si="40"/>
        <v>13F-HR-.27.C1</v>
      </c>
      <c r="K2582" s="5" t="s">
        <v>8608</v>
      </c>
      <c r="L2582" t="s">
        <v>229</v>
      </c>
      <c r="M2582" t="s">
        <v>8609</v>
      </c>
      <c r="N2582" t="s">
        <v>8610</v>
      </c>
      <c r="Q2582" s="28" t="s">
        <v>8979</v>
      </c>
    </row>
    <row r="2583" spans="1:17" x14ac:dyDescent="0.35">
      <c r="A2583" t="s">
        <v>8520</v>
      </c>
      <c r="B2583" s="3" t="s">
        <v>102</v>
      </c>
      <c r="G2583" t="s">
        <v>8607</v>
      </c>
      <c r="H2583">
        <v>28</v>
      </c>
      <c r="I2583" t="s">
        <v>9297</v>
      </c>
      <c r="J2583" t="str">
        <f t="shared" si="40"/>
        <v>13F-HR-.28.C2</v>
      </c>
      <c r="K2583" s="5" t="s">
        <v>8612</v>
      </c>
      <c r="L2583" t="s">
        <v>229</v>
      </c>
      <c r="M2583" t="s">
        <v>8613</v>
      </c>
      <c r="N2583" t="s">
        <v>8614</v>
      </c>
      <c r="Q2583" s="28" t="s">
        <v>8615</v>
      </c>
    </row>
    <row r="2584" spans="1:17" x14ac:dyDescent="0.35">
      <c r="A2584" t="s">
        <v>8520</v>
      </c>
      <c r="B2584" s="3" t="s">
        <v>102</v>
      </c>
      <c r="G2584" t="s">
        <v>8607</v>
      </c>
      <c r="H2584">
        <v>29</v>
      </c>
      <c r="I2584" t="s">
        <v>9298</v>
      </c>
      <c r="J2584" t="str">
        <f t="shared" si="40"/>
        <v>13F-HR-.29.C3</v>
      </c>
      <c r="K2584" s="5" t="s">
        <v>8616</v>
      </c>
      <c r="L2584" t="s">
        <v>229</v>
      </c>
      <c r="M2584" t="s">
        <v>7927</v>
      </c>
      <c r="N2584" t="s">
        <v>8617</v>
      </c>
      <c r="Q2584" s="28" t="s">
        <v>8980</v>
      </c>
    </row>
    <row r="2585" spans="1:17" x14ac:dyDescent="0.35">
      <c r="A2585" t="s">
        <v>8520</v>
      </c>
      <c r="B2585" s="3" t="s">
        <v>102</v>
      </c>
      <c r="G2585" t="s">
        <v>8607</v>
      </c>
      <c r="H2585">
        <v>30</v>
      </c>
      <c r="I2585" t="s">
        <v>9299</v>
      </c>
      <c r="J2585" t="str">
        <f t="shared" si="40"/>
        <v>13F-HR-.30.C4</v>
      </c>
      <c r="K2585" s="5" t="s">
        <v>8618</v>
      </c>
      <c r="L2585" t="s">
        <v>8619</v>
      </c>
      <c r="M2585" t="s">
        <v>8620</v>
      </c>
      <c r="N2585" t="s">
        <v>8621</v>
      </c>
      <c r="Q2585" s="28">
        <v>3129768</v>
      </c>
    </row>
    <row r="2586" spans="1:17" x14ac:dyDescent="0.35">
      <c r="A2586" t="s">
        <v>8520</v>
      </c>
      <c r="B2586" s="3" t="s">
        <v>102</v>
      </c>
      <c r="G2586" t="s">
        <v>8607</v>
      </c>
      <c r="H2586">
        <v>31</v>
      </c>
      <c r="I2586" t="s">
        <v>9300</v>
      </c>
      <c r="J2586" t="str">
        <f t="shared" si="40"/>
        <v>13F-HR-.31.C5</v>
      </c>
      <c r="K2586" s="5" t="s">
        <v>8622</v>
      </c>
      <c r="L2586" t="s">
        <v>241</v>
      </c>
      <c r="M2586" t="s">
        <v>8623</v>
      </c>
      <c r="N2586" t="s">
        <v>8624</v>
      </c>
      <c r="Q2586" s="28">
        <v>79943</v>
      </c>
    </row>
    <row r="2587" spans="1:17" x14ac:dyDescent="0.35">
      <c r="A2587" t="s">
        <v>8520</v>
      </c>
      <c r="B2587" s="3" t="s">
        <v>102</v>
      </c>
      <c r="G2587" t="s">
        <v>8607</v>
      </c>
      <c r="H2587">
        <v>32</v>
      </c>
      <c r="I2587" t="s">
        <v>9301</v>
      </c>
      <c r="J2587" t="str">
        <f t="shared" si="40"/>
        <v>13F-HR-.32.C6</v>
      </c>
      <c r="K2587" s="5" t="s">
        <v>8625</v>
      </c>
      <c r="L2587" t="s">
        <v>229</v>
      </c>
      <c r="M2587" t="s">
        <v>8626</v>
      </c>
      <c r="N2587" t="s">
        <v>8627</v>
      </c>
      <c r="Q2587" s="28" t="s">
        <v>8628</v>
      </c>
    </row>
    <row r="2588" spans="1:17" x14ac:dyDescent="0.35">
      <c r="A2588" t="s">
        <v>8520</v>
      </c>
      <c r="B2588" s="3" t="s">
        <v>102</v>
      </c>
      <c r="G2588" t="s">
        <v>8607</v>
      </c>
      <c r="H2588">
        <v>33</v>
      </c>
      <c r="I2588" t="s">
        <v>9302</v>
      </c>
      <c r="J2588" t="str">
        <f t="shared" si="40"/>
        <v>13F-HR-.33.C7</v>
      </c>
      <c r="K2588" s="5" t="s">
        <v>8629</v>
      </c>
      <c r="L2588" t="s">
        <v>229</v>
      </c>
      <c r="M2588" t="s">
        <v>8630</v>
      </c>
      <c r="N2588" t="s">
        <v>8631</v>
      </c>
      <c r="Q2588" s="28" t="s">
        <v>8685</v>
      </c>
    </row>
    <row r="2589" spans="1:17" x14ac:dyDescent="0.35">
      <c r="A2589" t="s">
        <v>8520</v>
      </c>
      <c r="B2589" s="3" t="s">
        <v>102</v>
      </c>
      <c r="G2589" t="s">
        <v>8607</v>
      </c>
      <c r="H2589">
        <v>34</v>
      </c>
      <c r="I2589" t="s">
        <v>9303</v>
      </c>
      <c r="J2589" t="str">
        <f t="shared" si="40"/>
        <v>13F-HR-.34.C8</v>
      </c>
      <c r="K2589" s="5" t="s">
        <v>8633</v>
      </c>
      <c r="L2589" t="s">
        <v>4735</v>
      </c>
      <c r="M2589" t="s">
        <v>8634</v>
      </c>
      <c r="N2589" t="s">
        <v>8635</v>
      </c>
      <c r="Q2589" s="28" t="s">
        <v>8632</v>
      </c>
    </row>
    <row r="2590" spans="1:17" x14ac:dyDescent="0.35">
      <c r="A2590" t="s">
        <v>8651</v>
      </c>
      <c r="B2590" s="3" t="s">
        <v>102</v>
      </c>
      <c r="G2590" t="s">
        <v>8607</v>
      </c>
      <c r="H2590">
        <v>35</v>
      </c>
      <c r="I2590" t="s">
        <v>9304</v>
      </c>
      <c r="J2590" t="str">
        <f t="shared" si="40"/>
        <v>135-HR-.35.C9</v>
      </c>
      <c r="K2590" s="5" t="s">
        <v>8637</v>
      </c>
      <c r="L2590" t="s">
        <v>229</v>
      </c>
      <c r="M2590" t="s">
        <v>8638</v>
      </c>
      <c r="N2590" t="s">
        <v>8639</v>
      </c>
      <c r="Q2590" s="28" t="s">
        <v>8636</v>
      </c>
    </row>
    <row r="2591" spans="1:17" x14ac:dyDescent="0.35">
      <c r="A2591" t="s">
        <v>8520</v>
      </c>
      <c r="B2591" s="3" t="s">
        <v>102</v>
      </c>
      <c r="G2591" t="s">
        <v>8607</v>
      </c>
      <c r="H2591">
        <v>36</v>
      </c>
      <c r="I2591" t="s">
        <v>9305</v>
      </c>
      <c r="J2591" t="str">
        <f t="shared" si="40"/>
        <v>13F-HR-.36.C10</v>
      </c>
      <c r="K2591" s="5" t="s">
        <v>8640</v>
      </c>
      <c r="L2591" t="s">
        <v>241</v>
      </c>
      <c r="M2591" t="s">
        <v>8641</v>
      </c>
      <c r="N2591" t="s">
        <v>8642</v>
      </c>
      <c r="Q2591" s="28">
        <v>79943</v>
      </c>
    </row>
    <row r="2592" spans="1:17" x14ac:dyDescent="0.35">
      <c r="A2592" t="s">
        <v>8520</v>
      </c>
      <c r="B2592" s="3" t="s">
        <v>102</v>
      </c>
      <c r="G2592" t="s">
        <v>8607</v>
      </c>
      <c r="H2592">
        <v>37</v>
      </c>
      <c r="I2592" t="s">
        <v>9306</v>
      </c>
      <c r="J2592" t="str">
        <f t="shared" si="40"/>
        <v>13F-HR-.37.C11</v>
      </c>
      <c r="K2592" s="5" t="s">
        <v>8643</v>
      </c>
      <c r="L2592" t="s">
        <v>241</v>
      </c>
      <c r="M2592" t="s">
        <v>8644</v>
      </c>
      <c r="N2592" t="s">
        <v>8645</v>
      </c>
      <c r="Q2592" s="28">
        <v>0</v>
      </c>
    </row>
    <row r="2593" spans="1:17" x14ac:dyDescent="0.35">
      <c r="A2593" t="s">
        <v>8520</v>
      </c>
      <c r="B2593" s="3" t="s">
        <v>102</v>
      </c>
      <c r="G2593" t="s">
        <v>8607</v>
      </c>
      <c r="H2593">
        <v>38</v>
      </c>
      <c r="I2593" t="s">
        <v>9307</v>
      </c>
      <c r="J2593" t="str">
        <f t="shared" si="40"/>
        <v>13F-HR-.38.C12</v>
      </c>
      <c r="K2593" s="5" t="s">
        <v>8646</v>
      </c>
      <c r="L2593" t="s">
        <v>241</v>
      </c>
      <c r="M2593" t="s">
        <v>8647</v>
      </c>
      <c r="N2593" t="s">
        <v>8648</v>
      </c>
      <c r="Q2593" s="28">
        <v>0</v>
      </c>
    </row>
    <row r="2594" spans="1:17" x14ac:dyDescent="0.35">
      <c r="A2594" t="s">
        <v>8520</v>
      </c>
      <c r="B2594" s="3" t="s">
        <v>102</v>
      </c>
      <c r="G2594" t="s">
        <v>8607</v>
      </c>
      <c r="H2594">
        <v>27</v>
      </c>
      <c r="I2594" t="s">
        <v>9296</v>
      </c>
      <c r="J2594" t="str">
        <f t="shared" si="40"/>
        <v>13F-HR-.27.C1</v>
      </c>
      <c r="K2594" s="5" t="s">
        <v>8608</v>
      </c>
      <c r="L2594" t="s">
        <v>229</v>
      </c>
      <c r="M2594" t="s">
        <v>8609</v>
      </c>
      <c r="N2594" t="s">
        <v>8610</v>
      </c>
      <c r="Q2594" s="28" t="s">
        <v>8981</v>
      </c>
    </row>
    <row r="2595" spans="1:17" x14ac:dyDescent="0.35">
      <c r="A2595" t="s">
        <v>8520</v>
      </c>
      <c r="B2595" s="3" t="s">
        <v>102</v>
      </c>
      <c r="G2595" t="s">
        <v>8607</v>
      </c>
      <c r="H2595">
        <v>28</v>
      </c>
      <c r="I2595" t="s">
        <v>9297</v>
      </c>
      <c r="J2595" t="str">
        <f t="shared" si="40"/>
        <v>13F-HR-.28.C2</v>
      </c>
      <c r="K2595" s="5" t="s">
        <v>8612</v>
      </c>
      <c r="L2595" t="s">
        <v>229</v>
      </c>
      <c r="M2595" t="s">
        <v>8613</v>
      </c>
      <c r="N2595" t="s">
        <v>8614</v>
      </c>
      <c r="Q2595" s="28" t="s">
        <v>8702</v>
      </c>
    </row>
    <row r="2596" spans="1:17" x14ac:dyDescent="0.35">
      <c r="A2596" t="s">
        <v>8520</v>
      </c>
      <c r="B2596" s="3" t="s">
        <v>102</v>
      </c>
      <c r="G2596" t="s">
        <v>8607</v>
      </c>
      <c r="H2596">
        <v>29</v>
      </c>
      <c r="I2596" t="s">
        <v>9298</v>
      </c>
      <c r="J2596" t="str">
        <f t="shared" si="40"/>
        <v>13F-HR-.29.C3</v>
      </c>
      <c r="K2596" s="5" t="s">
        <v>8616</v>
      </c>
      <c r="L2596" t="s">
        <v>229</v>
      </c>
      <c r="M2596" t="s">
        <v>7927</v>
      </c>
      <c r="N2596" t="s">
        <v>8617</v>
      </c>
      <c r="Q2596" s="28">
        <v>767204100</v>
      </c>
    </row>
    <row r="2597" spans="1:17" x14ac:dyDescent="0.35">
      <c r="A2597" t="s">
        <v>8520</v>
      </c>
      <c r="B2597" s="3" t="s">
        <v>102</v>
      </c>
      <c r="G2597" t="s">
        <v>8607</v>
      </c>
      <c r="H2597">
        <v>30</v>
      </c>
      <c r="I2597" t="s">
        <v>9299</v>
      </c>
      <c r="J2597" t="str">
        <f t="shared" si="40"/>
        <v>13F-HR-.30.C4</v>
      </c>
      <c r="K2597" s="5" t="s">
        <v>8618</v>
      </c>
      <c r="L2597" t="s">
        <v>8619</v>
      </c>
      <c r="M2597" t="s">
        <v>8620</v>
      </c>
      <c r="N2597" t="s">
        <v>8621</v>
      </c>
      <c r="Q2597" s="28">
        <v>2248554</v>
      </c>
    </row>
    <row r="2598" spans="1:17" x14ac:dyDescent="0.35">
      <c r="A2598" t="s">
        <v>8520</v>
      </c>
      <c r="B2598" s="3" t="s">
        <v>102</v>
      </c>
      <c r="G2598" t="s">
        <v>8607</v>
      </c>
      <c r="H2598">
        <v>31</v>
      </c>
      <c r="I2598" t="s">
        <v>9300</v>
      </c>
      <c r="J2598" t="str">
        <f t="shared" si="40"/>
        <v>13F-HR-.31.C5</v>
      </c>
      <c r="K2598" s="5" t="s">
        <v>8622</v>
      </c>
      <c r="L2598" t="s">
        <v>241</v>
      </c>
      <c r="M2598" t="s">
        <v>8623</v>
      </c>
      <c r="N2598" t="s">
        <v>8624</v>
      </c>
      <c r="Q2598" s="28">
        <v>37426</v>
      </c>
    </row>
    <row r="2599" spans="1:17" x14ac:dyDescent="0.35">
      <c r="A2599" t="s">
        <v>8520</v>
      </c>
      <c r="B2599" s="3" t="s">
        <v>102</v>
      </c>
      <c r="G2599" t="s">
        <v>8607</v>
      </c>
      <c r="H2599">
        <v>32</v>
      </c>
      <c r="I2599" t="s">
        <v>9301</v>
      </c>
      <c r="J2599" t="str">
        <f t="shared" si="40"/>
        <v>13F-HR-.32.C6</v>
      </c>
      <c r="K2599" s="5" t="s">
        <v>8625</v>
      </c>
      <c r="L2599" t="s">
        <v>229</v>
      </c>
      <c r="M2599" t="s">
        <v>8626</v>
      </c>
      <c r="N2599" t="s">
        <v>8627</v>
      </c>
      <c r="Q2599" s="28" t="s">
        <v>8628</v>
      </c>
    </row>
    <row r="2600" spans="1:17" x14ac:dyDescent="0.35">
      <c r="A2600" t="s">
        <v>8520</v>
      </c>
      <c r="B2600" s="3" t="s">
        <v>102</v>
      </c>
      <c r="G2600" t="s">
        <v>8607</v>
      </c>
      <c r="H2600">
        <v>33</v>
      </c>
      <c r="I2600" t="s">
        <v>9302</v>
      </c>
      <c r="J2600" t="str">
        <f t="shared" si="40"/>
        <v>13F-HR-.33.C7</v>
      </c>
      <c r="K2600" s="5" t="s">
        <v>8629</v>
      </c>
      <c r="L2600" t="s">
        <v>229</v>
      </c>
      <c r="M2600" t="s">
        <v>8630</v>
      </c>
      <c r="N2600" t="s">
        <v>8631</v>
      </c>
      <c r="Q2600" s="28" t="s">
        <v>8685</v>
      </c>
    </row>
    <row r="2601" spans="1:17" x14ac:dyDescent="0.35">
      <c r="A2601" t="s">
        <v>8520</v>
      </c>
      <c r="B2601" s="3" t="s">
        <v>102</v>
      </c>
      <c r="G2601" t="s">
        <v>8607</v>
      </c>
      <c r="H2601">
        <v>34</v>
      </c>
      <c r="I2601" t="s">
        <v>9303</v>
      </c>
      <c r="J2601" t="str">
        <f t="shared" si="40"/>
        <v>13F-HR-.34.C8</v>
      </c>
      <c r="K2601" s="5" t="s">
        <v>8633</v>
      </c>
      <c r="L2601" t="s">
        <v>4735</v>
      </c>
      <c r="M2601" t="s">
        <v>8634</v>
      </c>
      <c r="N2601" t="s">
        <v>8635</v>
      </c>
      <c r="Q2601" s="28" t="s">
        <v>8632</v>
      </c>
    </row>
    <row r="2602" spans="1:17" x14ac:dyDescent="0.35">
      <c r="A2602" t="s">
        <v>8651</v>
      </c>
      <c r="B2602" s="3" t="s">
        <v>102</v>
      </c>
      <c r="G2602" t="s">
        <v>8607</v>
      </c>
      <c r="H2602">
        <v>35</v>
      </c>
      <c r="I2602" t="s">
        <v>9304</v>
      </c>
      <c r="J2602" t="str">
        <f t="shared" si="40"/>
        <v>135-HR-.35.C9</v>
      </c>
      <c r="K2602" s="5" t="s">
        <v>8637</v>
      </c>
      <c r="L2602" t="s">
        <v>229</v>
      </c>
      <c r="M2602" t="s">
        <v>8638</v>
      </c>
      <c r="N2602" t="s">
        <v>8639</v>
      </c>
      <c r="Q2602" s="28" t="s">
        <v>8636</v>
      </c>
    </row>
    <row r="2603" spans="1:17" x14ac:dyDescent="0.35">
      <c r="A2603" t="s">
        <v>8520</v>
      </c>
      <c r="B2603" s="3" t="s">
        <v>102</v>
      </c>
      <c r="G2603" t="s">
        <v>8607</v>
      </c>
      <c r="H2603">
        <v>36</v>
      </c>
      <c r="I2603" t="s">
        <v>9305</v>
      </c>
      <c r="J2603" t="str">
        <f t="shared" si="40"/>
        <v>13F-HR-.36.C10</v>
      </c>
      <c r="K2603" s="5" t="s">
        <v>8640</v>
      </c>
      <c r="L2603" t="s">
        <v>241</v>
      </c>
      <c r="M2603" t="s">
        <v>8641</v>
      </c>
      <c r="N2603" t="s">
        <v>8642</v>
      </c>
      <c r="Q2603" s="28">
        <v>0</v>
      </c>
    </row>
    <row r="2604" spans="1:17" x14ac:dyDescent="0.35">
      <c r="A2604" t="s">
        <v>8520</v>
      </c>
      <c r="B2604" s="3" t="s">
        <v>102</v>
      </c>
      <c r="G2604" t="s">
        <v>8607</v>
      </c>
      <c r="H2604">
        <v>37</v>
      </c>
      <c r="I2604" t="s">
        <v>9306</v>
      </c>
      <c r="J2604" t="str">
        <f t="shared" si="40"/>
        <v>13F-HR-.37.C11</v>
      </c>
      <c r="K2604" s="5" t="s">
        <v>8643</v>
      </c>
      <c r="L2604" t="s">
        <v>241</v>
      </c>
      <c r="M2604" t="s">
        <v>8644</v>
      </c>
      <c r="N2604" t="s">
        <v>8645</v>
      </c>
      <c r="Q2604" s="28">
        <v>0</v>
      </c>
    </row>
    <row r="2605" spans="1:17" x14ac:dyDescent="0.35">
      <c r="A2605" t="s">
        <v>8520</v>
      </c>
      <c r="B2605" s="3" t="s">
        <v>102</v>
      </c>
      <c r="G2605" t="s">
        <v>8607</v>
      </c>
      <c r="H2605">
        <v>38</v>
      </c>
      <c r="I2605" t="s">
        <v>9307</v>
      </c>
      <c r="J2605" t="str">
        <f t="shared" si="40"/>
        <v>13F-HR-.38.C12</v>
      </c>
      <c r="K2605" s="5" t="s">
        <v>8646</v>
      </c>
      <c r="L2605" t="s">
        <v>241</v>
      </c>
      <c r="M2605" t="s">
        <v>8647</v>
      </c>
      <c r="N2605" t="s">
        <v>8648</v>
      </c>
      <c r="Q2605" s="28">
        <v>37426</v>
      </c>
    </row>
    <row r="2606" spans="1:17" x14ac:dyDescent="0.35">
      <c r="A2606" t="s">
        <v>8520</v>
      </c>
      <c r="B2606" s="3" t="s">
        <v>102</v>
      </c>
      <c r="G2606" t="s">
        <v>8607</v>
      </c>
      <c r="H2606">
        <v>27</v>
      </c>
      <c r="I2606" t="s">
        <v>9296</v>
      </c>
      <c r="J2606" t="str">
        <f t="shared" si="40"/>
        <v>13F-HR-.27.C1</v>
      </c>
      <c r="K2606" s="5" t="s">
        <v>8608</v>
      </c>
      <c r="L2606" t="s">
        <v>229</v>
      </c>
      <c r="M2606" t="s">
        <v>8609</v>
      </c>
      <c r="N2606" t="s">
        <v>8610</v>
      </c>
      <c r="Q2606" s="28" t="s">
        <v>8982</v>
      </c>
    </row>
    <row r="2607" spans="1:17" x14ac:dyDescent="0.35">
      <c r="A2607" t="s">
        <v>8520</v>
      </c>
      <c r="B2607" s="3" t="s">
        <v>102</v>
      </c>
      <c r="G2607" t="s">
        <v>8607</v>
      </c>
      <c r="H2607">
        <v>28</v>
      </c>
      <c r="I2607" t="s">
        <v>9297</v>
      </c>
      <c r="J2607" t="str">
        <f t="shared" si="40"/>
        <v>13F-HR-.28.C2</v>
      </c>
      <c r="K2607" s="5" t="s">
        <v>8612</v>
      </c>
      <c r="L2607" t="s">
        <v>229</v>
      </c>
      <c r="M2607" t="s">
        <v>8613</v>
      </c>
      <c r="N2607" t="s">
        <v>8614</v>
      </c>
      <c r="Q2607" s="28" t="s">
        <v>8706</v>
      </c>
    </row>
    <row r="2608" spans="1:17" x14ac:dyDescent="0.35">
      <c r="A2608" t="s">
        <v>8520</v>
      </c>
      <c r="B2608" s="3" t="s">
        <v>102</v>
      </c>
      <c r="G2608" t="s">
        <v>8607</v>
      </c>
      <c r="H2608">
        <v>29</v>
      </c>
      <c r="I2608" t="s">
        <v>9298</v>
      </c>
      <c r="J2608" t="str">
        <f t="shared" si="40"/>
        <v>13F-HR-.29.C3</v>
      </c>
      <c r="K2608" s="5" t="s">
        <v>8616</v>
      </c>
      <c r="L2608" t="s">
        <v>229</v>
      </c>
      <c r="M2608" t="s">
        <v>7927</v>
      </c>
      <c r="N2608" t="s">
        <v>8617</v>
      </c>
      <c r="Q2608" s="28">
        <v>771049103</v>
      </c>
    </row>
    <row r="2609" spans="1:17" x14ac:dyDescent="0.35">
      <c r="A2609" t="s">
        <v>8520</v>
      </c>
      <c r="B2609" s="3" t="s">
        <v>102</v>
      </c>
      <c r="G2609" t="s">
        <v>8607</v>
      </c>
      <c r="H2609">
        <v>30</v>
      </c>
      <c r="I2609" t="s">
        <v>9299</v>
      </c>
      <c r="J2609" t="str">
        <f t="shared" si="40"/>
        <v>13F-HR-.30.C4</v>
      </c>
      <c r="K2609" s="5" t="s">
        <v>8618</v>
      </c>
      <c r="L2609" t="s">
        <v>8619</v>
      </c>
      <c r="M2609" t="s">
        <v>8620</v>
      </c>
      <c r="N2609" t="s">
        <v>8621</v>
      </c>
      <c r="Q2609" s="28">
        <v>4463732</v>
      </c>
    </row>
    <row r="2610" spans="1:17" x14ac:dyDescent="0.35">
      <c r="A2610" t="s">
        <v>8520</v>
      </c>
      <c r="B2610" s="3" t="s">
        <v>102</v>
      </c>
      <c r="G2610" t="s">
        <v>8607</v>
      </c>
      <c r="H2610">
        <v>31</v>
      </c>
      <c r="I2610" t="s">
        <v>9300</v>
      </c>
      <c r="J2610" t="str">
        <f t="shared" si="40"/>
        <v>13F-HR-.31.C5</v>
      </c>
      <c r="K2610" s="5" t="s">
        <v>8622</v>
      </c>
      <c r="L2610" t="s">
        <v>241</v>
      </c>
      <c r="M2610" t="s">
        <v>8623</v>
      </c>
      <c r="N2610" t="s">
        <v>8624</v>
      </c>
      <c r="Q2610" s="28">
        <v>76578</v>
      </c>
    </row>
    <row r="2611" spans="1:17" x14ac:dyDescent="0.35">
      <c r="A2611" t="s">
        <v>8520</v>
      </c>
      <c r="B2611" s="3" t="s">
        <v>102</v>
      </c>
      <c r="G2611" t="s">
        <v>8607</v>
      </c>
      <c r="H2611">
        <v>32</v>
      </c>
      <c r="I2611" t="s">
        <v>9301</v>
      </c>
      <c r="J2611" t="str">
        <f t="shared" si="40"/>
        <v>13F-HR-.32.C6</v>
      </c>
      <c r="K2611" s="5" t="s">
        <v>8625</v>
      </c>
      <c r="L2611" t="s">
        <v>229</v>
      </c>
      <c r="M2611" t="s">
        <v>8626</v>
      </c>
      <c r="N2611" t="s">
        <v>8627</v>
      </c>
      <c r="Q2611" s="28" t="s">
        <v>8628</v>
      </c>
    </row>
    <row r="2612" spans="1:17" x14ac:dyDescent="0.35">
      <c r="A2612" t="s">
        <v>8520</v>
      </c>
      <c r="B2612" s="3" t="s">
        <v>102</v>
      </c>
      <c r="G2612" t="s">
        <v>8607</v>
      </c>
      <c r="H2612">
        <v>33</v>
      </c>
      <c r="I2612" t="s">
        <v>9302</v>
      </c>
      <c r="J2612" t="str">
        <f t="shared" si="40"/>
        <v>13F-HR-.33.C7</v>
      </c>
      <c r="K2612" s="5" t="s">
        <v>8629</v>
      </c>
      <c r="L2612" t="s">
        <v>229</v>
      </c>
      <c r="M2612" t="s">
        <v>8630</v>
      </c>
      <c r="N2612" t="s">
        <v>8631</v>
      </c>
      <c r="Q2612" s="28" t="s">
        <v>8685</v>
      </c>
    </row>
    <row r="2613" spans="1:17" x14ac:dyDescent="0.35">
      <c r="A2613" t="s">
        <v>8520</v>
      </c>
      <c r="B2613" s="3" t="s">
        <v>102</v>
      </c>
      <c r="G2613" t="s">
        <v>8607</v>
      </c>
      <c r="H2613">
        <v>34</v>
      </c>
      <c r="I2613" t="s">
        <v>9303</v>
      </c>
      <c r="J2613" t="str">
        <f t="shared" si="40"/>
        <v>13F-HR-.34.C8</v>
      </c>
      <c r="K2613" s="5" t="s">
        <v>8633</v>
      </c>
      <c r="L2613" t="s">
        <v>4735</v>
      </c>
      <c r="M2613" t="s">
        <v>8634</v>
      </c>
      <c r="N2613" t="s">
        <v>8635</v>
      </c>
      <c r="Q2613" s="28" t="s">
        <v>8632</v>
      </c>
    </row>
    <row r="2614" spans="1:17" x14ac:dyDescent="0.35">
      <c r="A2614" t="s">
        <v>8651</v>
      </c>
      <c r="B2614" s="3" t="s">
        <v>102</v>
      </c>
      <c r="G2614" t="s">
        <v>8607</v>
      </c>
      <c r="H2614">
        <v>35</v>
      </c>
      <c r="I2614" t="s">
        <v>9304</v>
      </c>
      <c r="J2614" t="str">
        <f t="shared" si="40"/>
        <v>135-HR-.35.C9</v>
      </c>
      <c r="K2614" s="5" t="s">
        <v>8637</v>
      </c>
      <c r="L2614" t="s">
        <v>229</v>
      </c>
      <c r="M2614" t="s">
        <v>8638</v>
      </c>
      <c r="N2614" t="s">
        <v>8639</v>
      </c>
      <c r="Q2614" s="28" t="s">
        <v>8636</v>
      </c>
    </row>
    <row r="2615" spans="1:17" x14ac:dyDescent="0.35">
      <c r="A2615" t="s">
        <v>8520</v>
      </c>
      <c r="B2615" s="3" t="s">
        <v>102</v>
      </c>
      <c r="G2615" t="s">
        <v>8607</v>
      </c>
      <c r="H2615">
        <v>36</v>
      </c>
      <c r="I2615" t="s">
        <v>9305</v>
      </c>
      <c r="J2615" t="str">
        <f t="shared" si="40"/>
        <v>13F-HR-.36.C10</v>
      </c>
      <c r="K2615" s="5" t="s">
        <v>8640</v>
      </c>
      <c r="L2615" t="s">
        <v>241</v>
      </c>
      <c r="M2615" t="s">
        <v>8641</v>
      </c>
      <c r="N2615" t="s">
        <v>8642</v>
      </c>
      <c r="Q2615" s="28">
        <v>73018</v>
      </c>
    </row>
    <row r="2616" spans="1:17" x14ac:dyDescent="0.35">
      <c r="A2616" t="s">
        <v>8520</v>
      </c>
      <c r="B2616" s="3" t="s">
        <v>102</v>
      </c>
      <c r="G2616" t="s">
        <v>8607</v>
      </c>
      <c r="H2616">
        <v>37</v>
      </c>
      <c r="I2616" t="s">
        <v>9306</v>
      </c>
      <c r="J2616" t="str">
        <f t="shared" si="40"/>
        <v>13F-HR-.37.C11</v>
      </c>
      <c r="K2616" s="5" t="s">
        <v>8643</v>
      </c>
      <c r="L2616" t="s">
        <v>241</v>
      </c>
      <c r="M2616" t="s">
        <v>8644</v>
      </c>
      <c r="N2616" t="s">
        <v>8645</v>
      </c>
      <c r="Q2616" s="28">
        <v>0</v>
      </c>
    </row>
    <row r="2617" spans="1:17" x14ac:dyDescent="0.35">
      <c r="A2617" t="s">
        <v>8520</v>
      </c>
      <c r="B2617" s="3" t="s">
        <v>102</v>
      </c>
      <c r="G2617" t="s">
        <v>8607</v>
      </c>
      <c r="H2617">
        <v>38</v>
      </c>
      <c r="I2617" t="s">
        <v>9307</v>
      </c>
      <c r="J2617" t="str">
        <f t="shared" si="40"/>
        <v>13F-HR-.38.C12</v>
      </c>
      <c r="K2617" s="5" t="s">
        <v>8646</v>
      </c>
      <c r="L2617" t="s">
        <v>241</v>
      </c>
      <c r="M2617" t="s">
        <v>8647</v>
      </c>
      <c r="N2617" t="s">
        <v>8648</v>
      </c>
      <c r="Q2617" s="28">
        <v>3560</v>
      </c>
    </row>
    <row r="2618" spans="1:17" x14ac:dyDescent="0.35">
      <c r="A2618" t="s">
        <v>8520</v>
      </c>
      <c r="B2618" s="3" t="s">
        <v>102</v>
      </c>
      <c r="G2618" t="s">
        <v>8607</v>
      </c>
      <c r="H2618">
        <v>27</v>
      </c>
      <c r="I2618" t="s">
        <v>9296</v>
      </c>
      <c r="J2618" t="str">
        <f t="shared" si="40"/>
        <v>13F-HR-.27.C1</v>
      </c>
      <c r="K2618" s="5" t="s">
        <v>8608</v>
      </c>
      <c r="L2618" t="s">
        <v>229</v>
      </c>
      <c r="M2618" t="s">
        <v>8609</v>
      </c>
      <c r="N2618" t="s">
        <v>8610</v>
      </c>
      <c r="Q2618" s="28" t="s">
        <v>8983</v>
      </c>
    </row>
    <row r="2619" spans="1:17" x14ac:dyDescent="0.35">
      <c r="A2619" t="s">
        <v>8520</v>
      </c>
      <c r="B2619" s="3" t="s">
        <v>102</v>
      </c>
      <c r="G2619" t="s">
        <v>8607</v>
      </c>
      <c r="H2619">
        <v>28</v>
      </c>
      <c r="I2619" t="s">
        <v>9297</v>
      </c>
      <c r="J2619" t="str">
        <f t="shared" si="40"/>
        <v>13F-HR-.28.C2</v>
      </c>
      <c r="K2619" s="5" t="s">
        <v>8612</v>
      </c>
      <c r="L2619" t="s">
        <v>229</v>
      </c>
      <c r="M2619" t="s">
        <v>8613</v>
      </c>
      <c r="N2619" t="s">
        <v>8614</v>
      </c>
      <c r="Q2619" s="28" t="s">
        <v>8984</v>
      </c>
    </row>
    <row r="2620" spans="1:17" x14ac:dyDescent="0.35">
      <c r="A2620" t="s">
        <v>8520</v>
      </c>
      <c r="B2620" s="3" t="s">
        <v>102</v>
      </c>
      <c r="G2620" t="s">
        <v>8607</v>
      </c>
      <c r="H2620">
        <v>29</v>
      </c>
      <c r="I2620" t="s">
        <v>9298</v>
      </c>
      <c r="J2620" t="str">
        <f t="shared" si="40"/>
        <v>13F-HR-.29.C3</v>
      </c>
      <c r="K2620" s="5" t="s">
        <v>8616</v>
      </c>
      <c r="L2620" t="s">
        <v>229</v>
      </c>
      <c r="M2620" t="s">
        <v>7927</v>
      </c>
      <c r="N2620" t="s">
        <v>8617</v>
      </c>
      <c r="Q2620" s="28">
        <v>780259305</v>
      </c>
    </row>
    <row r="2621" spans="1:17" x14ac:dyDescent="0.35">
      <c r="A2621" t="s">
        <v>8520</v>
      </c>
      <c r="B2621" s="3" t="s">
        <v>102</v>
      </c>
      <c r="G2621" t="s">
        <v>8607</v>
      </c>
      <c r="H2621">
        <v>30</v>
      </c>
      <c r="I2621" t="s">
        <v>9299</v>
      </c>
      <c r="J2621" t="str">
        <f t="shared" si="40"/>
        <v>13F-HR-.30.C4</v>
      </c>
      <c r="K2621" s="5" t="s">
        <v>8618</v>
      </c>
      <c r="L2621" t="s">
        <v>8619</v>
      </c>
      <c r="M2621" t="s">
        <v>8620</v>
      </c>
      <c r="N2621" t="s">
        <v>8621</v>
      </c>
      <c r="Q2621" s="28">
        <v>6563396</v>
      </c>
    </row>
    <row r="2622" spans="1:17" x14ac:dyDescent="0.35">
      <c r="A2622" t="s">
        <v>8520</v>
      </c>
      <c r="B2622" s="3" t="s">
        <v>102</v>
      </c>
      <c r="G2622" t="s">
        <v>8607</v>
      </c>
      <c r="H2622">
        <v>31</v>
      </c>
      <c r="I2622" t="s">
        <v>9300</v>
      </c>
      <c r="J2622" t="str">
        <f t="shared" si="40"/>
        <v>13F-HR-.31.C5</v>
      </c>
      <c r="K2622" s="5" t="s">
        <v>8622</v>
      </c>
      <c r="L2622" t="s">
        <v>241</v>
      </c>
      <c r="M2622" t="s">
        <v>8623</v>
      </c>
      <c r="N2622" t="s">
        <v>8624</v>
      </c>
      <c r="Q2622" s="28">
        <v>89566</v>
      </c>
    </row>
    <row r="2623" spans="1:17" x14ac:dyDescent="0.35">
      <c r="A2623" t="s">
        <v>8520</v>
      </c>
      <c r="B2623" s="3" t="s">
        <v>102</v>
      </c>
      <c r="G2623" t="s">
        <v>8607</v>
      </c>
      <c r="H2623">
        <v>32</v>
      </c>
      <c r="I2623" t="s">
        <v>9301</v>
      </c>
      <c r="J2623" t="str">
        <f t="shared" si="40"/>
        <v>13F-HR-.32.C6</v>
      </c>
      <c r="K2623" s="5" t="s">
        <v>8625</v>
      </c>
      <c r="L2623" t="s">
        <v>229</v>
      </c>
      <c r="M2623" t="s">
        <v>8626</v>
      </c>
      <c r="N2623" t="s">
        <v>8627</v>
      </c>
      <c r="Q2623" s="28" t="s">
        <v>8628</v>
      </c>
    </row>
    <row r="2624" spans="1:17" x14ac:dyDescent="0.35">
      <c r="A2624" t="s">
        <v>8520</v>
      </c>
      <c r="B2624" s="3" t="s">
        <v>102</v>
      </c>
      <c r="G2624" t="s">
        <v>8607</v>
      </c>
      <c r="H2624">
        <v>33</v>
      </c>
      <c r="I2624" t="s">
        <v>9302</v>
      </c>
      <c r="J2624" t="str">
        <f t="shared" si="40"/>
        <v>13F-HR-.33.C7</v>
      </c>
      <c r="K2624" s="5" t="s">
        <v>8629</v>
      </c>
      <c r="L2624" t="s">
        <v>229</v>
      </c>
      <c r="M2624" t="s">
        <v>8630</v>
      </c>
      <c r="N2624" t="s">
        <v>8631</v>
      </c>
      <c r="Q2624" s="28" t="s">
        <v>8685</v>
      </c>
    </row>
    <row r="2625" spans="1:17" x14ac:dyDescent="0.35">
      <c r="A2625" t="s">
        <v>8520</v>
      </c>
      <c r="B2625" s="3" t="s">
        <v>102</v>
      </c>
      <c r="G2625" t="s">
        <v>8607</v>
      </c>
      <c r="H2625">
        <v>34</v>
      </c>
      <c r="I2625" t="s">
        <v>9303</v>
      </c>
      <c r="J2625" t="str">
        <f t="shared" si="40"/>
        <v>13F-HR-.34.C8</v>
      </c>
      <c r="K2625" s="5" t="s">
        <v>8633</v>
      </c>
      <c r="L2625" t="s">
        <v>4735</v>
      </c>
      <c r="M2625" t="s">
        <v>8634</v>
      </c>
      <c r="N2625" t="s">
        <v>8635</v>
      </c>
      <c r="Q2625" s="28" t="s">
        <v>8632</v>
      </c>
    </row>
    <row r="2626" spans="1:17" x14ac:dyDescent="0.35">
      <c r="A2626" t="s">
        <v>8651</v>
      </c>
      <c r="B2626" s="3" t="s">
        <v>102</v>
      </c>
      <c r="G2626" t="s">
        <v>8607</v>
      </c>
      <c r="H2626">
        <v>35</v>
      </c>
      <c r="I2626" t="s">
        <v>9304</v>
      </c>
      <c r="J2626" t="str">
        <f t="shared" si="40"/>
        <v>135-HR-.35.C9</v>
      </c>
      <c r="K2626" s="5" t="s">
        <v>8637</v>
      </c>
      <c r="L2626" t="s">
        <v>229</v>
      </c>
      <c r="M2626" t="s">
        <v>8638</v>
      </c>
      <c r="N2626" t="s">
        <v>8639</v>
      </c>
      <c r="Q2626" s="28" t="s">
        <v>8636</v>
      </c>
    </row>
    <row r="2627" spans="1:17" x14ac:dyDescent="0.35">
      <c r="A2627" t="s">
        <v>8520</v>
      </c>
      <c r="B2627" s="3" t="s">
        <v>102</v>
      </c>
      <c r="G2627" t="s">
        <v>8607</v>
      </c>
      <c r="H2627">
        <v>36</v>
      </c>
      <c r="I2627" t="s">
        <v>9305</v>
      </c>
      <c r="J2627" t="str">
        <f t="shared" ref="J2627:J2690" si="41">_xlfn.CONCAT(A2627,"-",F2627,".",H2627,".",I2627)</f>
        <v>13F-HR-.36.C10</v>
      </c>
      <c r="K2627" s="5" t="s">
        <v>8640</v>
      </c>
      <c r="L2627" t="s">
        <v>241</v>
      </c>
      <c r="M2627" t="s">
        <v>8641</v>
      </c>
      <c r="N2627" t="s">
        <v>8642</v>
      </c>
      <c r="Q2627" s="28">
        <v>0</v>
      </c>
    </row>
    <row r="2628" spans="1:17" x14ac:dyDescent="0.35">
      <c r="A2628" t="s">
        <v>8520</v>
      </c>
      <c r="B2628" s="3" t="s">
        <v>102</v>
      </c>
      <c r="G2628" t="s">
        <v>8607</v>
      </c>
      <c r="H2628">
        <v>37</v>
      </c>
      <c r="I2628" t="s">
        <v>9306</v>
      </c>
      <c r="J2628" t="str">
        <f t="shared" si="41"/>
        <v>13F-HR-.37.C11</v>
      </c>
      <c r="K2628" s="5" t="s">
        <v>8643</v>
      </c>
      <c r="L2628" t="s">
        <v>241</v>
      </c>
      <c r="M2628" t="s">
        <v>8644</v>
      </c>
      <c r="N2628" t="s">
        <v>8645</v>
      </c>
      <c r="Q2628" s="28">
        <v>0</v>
      </c>
    </row>
    <row r="2629" spans="1:17" x14ac:dyDescent="0.35">
      <c r="A2629" t="s">
        <v>8520</v>
      </c>
      <c r="B2629" s="3" t="s">
        <v>102</v>
      </c>
      <c r="G2629" t="s">
        <v>8607</v>
      </c>
      <c r="H2629">
        <v>38</v>
      </c>
      <c r="I2629" t="s">
        <v>9307</v>
      </c>
      <c r="J2629" t="str">
        <f t="shared" si="41"/>
        <v>13F-HR-.38.C12</v>
      </c>
      <c r="K2629" s="5" t="s">
        <v>8646</v>
      </c>
      <c r="L2629" t="s">
        <v>241</v>
      </c>
      <c r="M2629" t="s">
        <v>8647</v>
      </c>
      <c r="N2629" t="s">
        <v>8648</v>
      </c>
      <c r="Q2629" s="28">
        <v>89566</v>
      </c>
    </row>
    <row r="2630" spans="1:17" x14ac:dyDescent="0.35">
      <c r="A2630" t="s">
        <v>8520</v>
      </c>
      <c r="B2630" s="3" t="s">
        <v>102</v>
      </c>
      <c r="G2630" t="s">
        <v>8607</v>
      </c>
      <c r="H2630">
        <v>27</v>
      </c>
      <c r="I2630" t="s">
        <v>9296</v>
      </c>
      <c r="J2630" t="str">
        <f t="shared" si="41"/>
        <v>13F-HR-.27.C1</v>
      </c>
      <c r="K2630" s="5" t="s">
        <v>8608</v>
      </c>
      <c r="L2630" t="s">
        <v>229</v>
      </c>
      <c r="M2630" t="s">
        <v>8609</v>
      </c>
      <c r="N2630" t="s">
        <v>8610</v>
      </c>
      <c r="Q2630" s="28" t="s">
        <v>8985</v>
      </c>
    </row>
    <row r="2631" spans="1:17" x14ac:dyDescent="0.35">
      <c r="A2631" t="s">
        <v>8520</v>
      </c>
      <c r="B2631" s="3" t="s">
        <v>102</v>
      </c>
      <c r="G2631" t="s">
        <v>8607</v>
      </c>
      <c r="H2631">
        <v>28</v>
      </c>
      <c r="I2631" t="s">
        <v>9297</v>
      </c>
      <c r="J2631" t="str">
        <f t="shared" si="41"/>
        <v>13F-HR-.28.C2</v>
      </c>
      <c r="K2631" s="5" t="s">
        <v>8612</v>
      </c>
      <c r="L2631" t="s">
        <v>229</v>
      </c>
      <c r="M2631" t="s">
        <v>8613</v>
      </c>
      <c r="N2631" t="s">
        <v>8614</v>
      </c>
      <c r="Q2631" s="28" t="s">
        <v>8615</v>
      </c>
    </row>
    <row r="2632" spans="1:17" x14ac:dyDescent="0.35">
      <c r="A2632" t="s">
        <v>8520</v>
      </c>
      <c r="B2632" s="3" t="s">
        <v>102</v>
      </c>
      <c r="G2632" t="s">
        <v>8607</v>
      </c>
      <c r="H2632">
        <v>29</v>
      </c>
      <c r="I2632" t="s">
        <v>9298</v>
      </c>
      <c r="J2632" t="str">
        <f t="shared" si="41"/>
        <v>13F-HR-.29.C3</v>
      </c>
      <c r="K2632" s="5" t="s">
        <v>8616</v>
      </c>
      <c r="L2632" t="s">
        <v>229</v>
      </c>
      <c r="M2632" t="s">
        <v>7927</v>
      </c>
      <c r="N2632" t="s">
        <v>8617</v>
      </c>
      <c r="Q2632" s="28">
        <v>780287108</v>
      </c>
    </row>
    <row r="2633" spans="1:17" x14ac:dyDescent="0.35">
      <c r="A2633" t="s">
        <v>8520</v>
      </c>
      <c r="B2633" s="3" t="s">
        <v>102</v>
      </c>
      <c r="G2633" t="s">
        <v>8607</v>
      </c>
      <c r="H2633">
        <v>30</v>
      </c>
      <c r="I2633" t="s">
        <v>9299</v>
      </c>
      <c r="J2633" t="str">
        <f t="shared" si="41"/>
        <v>13F-HR-.30.C4</v>
      </c>
      <c r="K2633" s="5" t="s">
        <v>8618</v>
      </c>
      <c r="L2633" t="s">
        <v>8619</v>
      </c>
      <c r="M2633" t="s">
        <v>8620</v>
      </c>
      <c r="N2633" t="s">
        <v>8621</v>
      </c>
      <c r="Q2633" s="28">
        <v>1028478</v>
      </c>
    </row>
    <row r="2634" spans="1:17" x14ac:dyDescent="0.35">
      <c r="A2634" t="s">
        <v>8520</v>
      </c>
      <c r="B2634" s="3" t="s">
        <v>102</v>
      </c>
      <c r="G2634" t="s">
        <v>8607</v>
      </c>
      <c r="H2634">
        <v>31</v>
      </c>
      <c r="I2634" t="s">
        <v>9300</v>
      </c>
      <c r="J2634" t="str">
        <f t="shared" si="41"/>
        <v>13F-HR-.31.C5</v>
      </c>
      <c r="K2634" s="5" t="s">
        <v>8622</v>
      </c>
      <c r="L2634" t="s">
        <v>241</v>
      </c>
      <c r="M2634" t="s">
        <v>8623</v>
      </c>
      <c r="N2634" t="s">
        <v>8624</v>
      </c>
      <c r="Q2634" s="28">
        <v>6290</v>
      </c>
    </row>
    <row r="2635" spans="1:17" x14ac:dyDescent="0.35">
      <c r="A2635" t="s">
        <v>8520</v>
      </c>
      <c r="B2635" s="3" t="s">
        <v>102</v>
      </c>
      <c r="G2635" t="s">
        <v>8607</v>
      </c>
      <c r="H2635">
        <v>32</v>
      </c>
      <c r="I2635" t="s">
        <v>9301</v>
      </c>
      <c r="J2635" t="str">
        <f t="shared" si="41"/>
        <v>13F-HR-.32.C6</v>
      </c>
      <c r="K2635" s="5" t="s">
        <v>8625</v>
      </c>
      <c r="L2635" t="s">
        <v>229</v>
      </c>
      <c r="M2635" t="s">
        <v>8626</v>
      </c>
      <c r="N2635" t="s">
        <v>8627</v>
      </c>
      <c r="Q2635" s="28" t="s">
        <v>8628</v>
      </c>
    </row>
    <row r="2636" spans="1:17" x14ac:dyDescent="0.35">
      <c r="A2636" t="s">
        <v>8520</v>
      </c>
      <c r="B2636" s="3" t="s">
        <v>102</v>
      </c>
      <c r="G2636" t="s">
        <v>8607</v>
      </c>
      <c r="H2636">
        <v>33</v>
      </c>
      <c r="I2636" t="s">
        <v>9302</v>
      </c>
      <c r="J2636" t="str">
        <f t="shared" si="41"/>
        <v>13F-HR-.33.C7</v>
      </c>
      <c r="K2636" s="5" t="s">
        <v>8629</v>
      </c>
      <c r="L2636" t="s">
        <v>229</v>
      </c>
      <c r="M2636" t="s">
        <v>8630</v>
      </c>
      <c r="N2636" t="s">
        <v>8631</v>
      </c>
      <c r="Q2636" s="28" t="s">
        <v>8685</v>
      </c>
    </row>
    <row r="2637" spans="1:17" x14ac:dyDescent="0.35">
      <c r="A2637" t="s">
        <v>8520</v>
      </c>
      <c r="B2637" s="3" t="s">
        <v>102</v>
      </c>
      <c r="G2637" t="s">
        <v>8607</v>
      </c>
      <c r="H2637">
        <v>34</v>
      </c>
      <c r="I2637" t="s">
        <v>9303</v>
      </c>
      <c r="J2637" t="str">
        <f t="shared" si="41"/>
        <v>13F-HR-.34.C8</v>
      </c>
      <c r="K2637" s="5" t="s">
        <v>8633</v>
      </c>
      <c r="L2637" t="s">
        <v>4735</v>
      </c>
      <c r="M2637" t="s">
        <v>8634</v>
      </c>
      <c r="N2637" t="s">
        <v>8635</v>
      </c>
      <c r="Q2637" s="28" t="s">
        <v>8632</v>
      </c>
    </row>
    <row r="2638" spans="1:17" x14ac:dyDescent="0.35">
      <c r="A2638" t="s">
        <v>8651</v>
      </c>
      <c r="B2638" s="3" t="s">
        <v>102</v>
      </c>
      <c r="G2638" t="s">
        <v>8607</v>
      </c>
      <c r="H2638">
        <v>35</v>
      </c>
      <c r="I2638" t="s">
        <v>9304</v>
      </c>
      <c r="J2638" t="str">
        <f t="shared" si="41"/>
        <v>135-HR-.35.C9</v>
      </c>
      <c r="K2638" s="5" t="s">
        <v>8637</v>
      </c>
      <c r="L2638" t="s">
        <v>229</v>
      </c>
      <c r="M2638" t="s">
        <v>8638</v>
      </c>
      <c r="N2638" t="s">
        <v>8639</v>
      </c>
      <c r="Q2638" s="28" t="s">
        <v>8636</v>
      </c>
    </row>
    <row r="2639" spans="1:17" x14ac:dyDescent="0.35">
      <c r="A2639" t="s">
        <v>8520</v>
      </c>
      <c r="B2639" s="3" t="s">
        <v>102</v>
      </c>
      <c r="G2639" t="s">
        <v>8607</v>
      </c>
      <c r="H2639">
        <v>36</v>
      </c>
      <c r="I2639" t="s">
        <v>9305</v>
      </c>
      <c r="J2639" t="str">
        <f t="shared" si="41"/>
        <v>13F-HR-.36.C10</v>
      </c>
      <c r="K2639" s="5" t="s">
        <v>8640</v>
      </c>
      <c r="L2639" t="s">
        <v>241</v>
      </c>
      <c r="M2639" t="s">
        <v>8641</v>
      </c>
      <c r="N2639" t="s">
        <v>8642</v>
      </c>
      <c r="Q2639" s="28">
        <v>0</v>
      </c>
    </row>
    <row r="2640" spans="1:17" x14ac:dyDescent="0.35">
      <c r="A2640" t="s">
        <v>8520</v>
      </c>
      <c r="B2640" s="3" t="s">
        <v>102</v>
      </c>
      <c r="G2640" t="s">
        <v>8607</v>
      </c>
      <c r="H2640">
        <v>37</v>
      </c>
      <c r="I2640" t="s">
        <v>9306</v>
      </c>
      <c r="J2640" t="str">
        <f t="shared" si="41"/>
        <v>13F-HR-.37.C11</v>
      </c>
      <c r="K2640" s="5" t="s">
        <v>8643</v>
      </c>
      <c r="L2640" t="s">
        <v>241</v>
      </c>
      <c r="M2640" t="s">
        <v>8644</v>
      </c>
      <c r="N2640" t="s">
        <v>8645</v>
      </c>
      <c r="Q2640" s="28">
        <v>0</v>
      </c>
    </row>
    <row r="2641" spans="1:17" x14ac:dyDescent="0.35">
      <c r="A2641" t="s">
        <v>8520</v>
      </c>
      <c r="B2641" s="3" t="s">
        <v>102</v>
      </c>
      <c r="G2641" t="s">
        <v>8607</v>
      </c>
      <c r="H2641">
        <v>38</v>
      </c>
      <c r="I2641" t="s">
        <v>9307</v>
      </c>
      <c r="J2641" t="str">
        <f t="shared" si="41"/>
        <v>13F-HR-.38.C12</v>
      </c>
      <c r="K2641" s="5" t="s">
        <v>8646</v>
      </c>
      <c r="L2641" t="s">
        <v>241</v>
      </c>
      <c r="M2641" t="s">
        <v>8647</v>
      </c>
      <c r="N2641" t="s">
        <v>8648</v>
      </c>
      <c r="Q2641" s="28">
        <v>6290</v>
      </c>
    </row>
    <row r="2642" spans="1:17" x14ac:dyDescent="0.35">
      <c r="A2642" t="s">
        <v>8520</v>
      </c>
      <c r="B2642" s="3" t="s">
        <v>102</v>
      </c>
      <c r="G2642" t="s">
        <v>8607</v>
      </c>
      <c r="H2642">
        <v>27</v>
      </c>
      <c r="I2642" t="s">
        <v>9296</v>
      </c>
      <c r="J2642" t="str">
        <f t="shared" si="41"/>
        <v>13F-HR-.27.C1</v>
      </c>
      <c r="K2642" s="5" t="s">
        <v>8608</v>
      </c>
      <c r="L2642" t="s">
        <v>229</v>
      </c>
      <c r="M2642" t="s">
        <v>8609</v>
      </c>
      <c r="N2642" t="s">
        <v>8610</v>
      </c>
      <c r="Q2642" s="28" t="s">
        <v>8986</v>
      </c>
    </row>
    <row r="2643" spans="1:17" x14ac:dyDescent="0.35">
      <c r="A2643" t="s">
        <v>8520</v>
      </c>
      <c r="B2643" s="3" t="s">
        <v>102</v>
      </c>
      <c r="G2643" t="s">
        <v>8607</v>
      </c>
      <c r="H2643">
        <v>28</v>
      </c>
      <c r="I2643" t="s">
        <v>9297</v>
      </c>
      <c r="J2643" t="str">
        <f t="shared" si="41"/>
        <v>13F-HR-.28.C2</v>
      </c>
      <c r="K2643" s="5" t="s">
        <v>8612</v>
      </c>
      <c r="L2643" t="s">
        <v>229</v>
      </c>
      <c r="M2643" t="s">
        <v>8613</v>
      </c>
      <c r="N2643" t="s">
        <v>8614</v>
      </c>
      <c r="Q2643" s="28" t="s">
        <v>8702</v>
      </c>
    </row>
    <row r="2644" spans="1:17" x14ac:dyDescent="0.35">
      <c r="A2644" t="s">
        <v>8520</v>
      </c>
      <c r="B2644" s="3" t="s">
        <v>102</v>
      </c>
      <c r="G2644" t="s">
        <v>8607</v>
      </c>
      <c r="H2644">
        <v>29</v>
      </c>
      <c r="I2644" t="s">
        <v>9298</v>
      </c>
      <c r="J2644" t="str">
        <f t="shared" si="41"/>
        <v>13F-HR-.29.C3</v>
      </c>
      <c r="K2644" s="5" t="s">
        <v>8616</v>
      </c>
      <c r="L2644" t="s">
        <v>229</v>
      </c>
      <c r="M2644" t="s">
        <v>7927</v>
      </c>
      <c r="N2644" t="s">
        <v>8617</v>
      </c>
      <c r="Q2644" s="28">
        <v>783513203</v>
      </c>
    </row>
    <row r="2645" spans="1:17" x14ac:dyDescent="0.35">
      <c r="A2645" t="s">
        <v>8520</v>
      </c>
      <c r="B2645" s="3" t="s">
        <v>102</v>
      </c>
      <c r="G2645" t="s">
        <v>8607</v>
      </c>
      <c r="H2645">
        <v>30</v>
      </c>
      <c r="I2645" t="s">
        <v>9299</v>
      </c>
      <c r="J2645" t="str">
        <f t="shared" si="41"/>
        <v>13F-HR-.30.C4</v>
      </c>
      <c r="K2645" s="5" t="s">
        <v>8618</v>
      </c>
      <c r="L2645" t="s">
        <v>8619</v>
      </c>
      <c r="M2645" t="s">
        <v>8620</v>
      </c>
      <c r="N2645" t="s">
        <v>8621</v>
      </c>
      <c r="Q2645" s="28">
        <v>72121960</v>
      </c>
    </row>
    <row r="2646" spans="1:17" x14ac:dyDescent="0.35">
      <c r="A2646" t="s">
        <v>8520</v>
      </c>
      <c r="B2646" s="3" t="s">
        <v>102</v>
      </c>
      <c r="G2646" t="s">
        <v>8607</v>
      </c>
      <c r="H2646">
        <v>31</v>
      </c>
      <c r="I2646" t="s">
        <v>9300</v>
      </c>
      <c r="J2646" t="str">
        <f t="shared" si="41"/>
        <v>13F-HR-.31.C5</v>
      </c>
      <c r="K2646" s="5" t="s">
        <v>8622</v>
      </c>
      <c r="L2646" t="s">
        <v>241</v>
      </c>
      <c r="M2646" t="s">
        <v>8623</v>
      </c>
      <c r="N2646" t="s">
        <v>8624</v>
      </c>
      <c r="Q2646" s="28">
        <v>1702194</v>
      </c>
    </row>
    <row r="2647" spans="1:17" x14ac:dyDescent="0.35">
      <c r="A2647" t="s">
        <v>8520</v>
      </c>
      <c r="B2647" s="3" t="s">
        <v>102</v>
      </c>
      <c r="G2647" t="s">
        <v>8607</v>
      </c>
      <c r="H2647">
        <v>32</v>
      </c>
      <c r="I2647" t="s">
        <v>9301</v>
      </c>
      <c r="J2647" t="str">
        <f t="shared" si="41"/>
        <v>13F-HR-.32.C6</v>
      </c>
      <c r="K2647" s="5" t="s">
        <v>8625</v>
      </c>
      <c r="L2647" t="s">
        <v>229</v>
      </c>
      <c r="M2647" t="s">
        <v>8626</v>
      </c>
      <c r="N2647" t="s">
        <v>8627</v>
      </c>
      <c r="Q2647" s="28" t="s">
        <v>8628</v>
      </c>
    </row>
    <row r="2648" spans="1:17" x14ac:dyDescent="0.35">
      <c r="A2648" t="s">
        <v>8520</v>
      </c>
      <c r="B2648" s="3" t="s">
        <v>102</v>
      </c>
      <c r="G2648" t="s">
        <v>8607</v>
      </c>
      <c r="H2648">
        <v>33</v>
      </c>
      <c r="I2648" t="s">
        <v>9302</v>
      </c>
      <c r="J2648" t="str">
        <f t="shared" si="41"/>
        <v>13F-HR-.33.C7</v>
      </c>
      <c r="K2648" s="5" t="s">
        <v>8629</v>
      </c>
      <c r="L2648" t="s">
        <v>229</v>
      </c>
      <c r="M2648" t="s">
        <v>8630</v>
      </c>
      <c r="N2648" t="s">
        <v>8631</v>
      </c>
      <c r="Q2648" s="28" t="s">
        <v>8685</v>
      </c>
    </row>
    <row r="2649" spans="1:17" x14ac:dyDescent="0.35">
      <c r="A2649" t="s">
        <v>8520</v>
      </c>
      <c r="B2649" s="3" t="s">
        <v>102</v>
      </c>
      <c r="G2649" t="s">
        <v>8607</v>
      </c>
      <c r="H2649">
        <v>34</v>
      </c>
      <c r="I2649" t="s">
        <v>9303</v>
      </c>
      <c r="J2649" t="str">
        <f t="shared" si="41"/>
        <v>13F-HR-.34.C8</v>
      </c>
      <c r="K2649" s="5" t="s">
        <v>8633</v>
      </c>
      <c r="L2649" t="s">
        <v>4735</v>
      </c>
      <c r="M2649" t="s">
        <v>8634</v>
      </c>
      <c r="N2649" t="s">
        <v>8635</v>
      </c>
      <c r="Q2649" s="28" t="s">
        <v>8632</v>
      </c>
    </row>
    <row r="2650" spans="1:17" x14ac:dyDescent="0.35">
      <c r="A2650" t="s">
        <v>8651</v>
      </c>
      <c r="B2650" s="3" t="s">
        <v>102</v>
      </c>
      <c r="G2650" t="s">
        <v>8607</v>
      </c>
      <c r="H2650">
        <v>35</v>
      </c>
      <c r="I2650" t="s">
        <v>9304</v>
      </c>
      <c r="J2650" t="str">
        <f t="shared" si="41"/>
        <v>135-HR-.35.C9</v>
      </c>
      <c r="K2650" s="5" t="s">
        <v>8637</v>
      </c>
      <c r="L2650" t="s">
        <v>229</v>
      </c>
      <c r="M2650" t="s">
        <v>8638</v>
      </c>
      <c r="N2650" t="s">
        <v>8639</v>
      </c>
      <c r="Q2650" s="28" t="s">
        <v>8636</v>
      </c>
    </row>
    <row r="2651" spans="1:17" x14ac:dyDescent="0.35">
      <c r="A2651" t="s">
        <v>8520</v>
      </c>
      <c r="B2651" s="3" t="s">
        <v>102</v>
      </c>
      <c r="G2651" t="s">
        <v>8607</v>
      </c>
      <c r="H2651">
        <v>36</v>
      </c>
      <c r="I2651" t="s">
        <v>9305</v>
      </c>
      <c r="J2651" t="str">
        <f t="shared" si="41"/>
        <v>13F-HR-.36.C10</v>
      </c>
      <c r="K2651" s="5" t="s">
        <v>8640</v>
      </c>
      <c r="L2651" t="s">
        <v>241</v>
      </c>
      <c r="M2651" t="s">
        <v>8641</v>
      </c>
      <c r="N2651" t="s">
        <v>8642</v>
      </c>
      <c r="Q2651" s="28">
        <v>1417353</v>
      </c>
    </row>
    <row r="2652" spans="1:17" x14ac:dyDescent="0.35">
      <c r="A2652" t="s">
        <v>8520</v>
      </c>
      <c r="B2652" s="3" t="s">
        <v>102</v>
      </c>
      <c r="G2652" t="s">
        <v>8607</v>
      </c>
      <c r="H2652">
        <v>37</v>
      </c>
      <c r="I2652" t="s">
        <v>9306</v>
      </c>
      <c r="J2652" t="str">
        <f t="shared" si="41"/>
        <v>13F-HR-.37.C11</v>
      </c>
      <c r="K2652" s="5" t="s">
        <v>8643</v>
      </c>
      <c r="L2652" t="s">
        <v>241</v>
      </c>
      <c r="M2652" t="s">
        <v>8644</v>
      </c>
      <c r="N2652" t="s">
        <v>8645</v>
      </c>
      <c r="Q2652" s="28">
        <v>0</v>
      </c>
    </row>
    <row r="2653" spans="1:17" x14ac:dyDescent="0.35">
      <c r="A2653" t="s">
        <v>8520</v>
      </c>
      <c r="B2653" s="3" t="s">
        <v>102</v>
      </c>
      <c r="G2653" t="s">
        <v>8607</v>
      </c>
      <c r="H2653">
        <v>38</v>
      </c>
      <c r="I2653" t="s">
        <v>9307</v>
      </c>
      <c r="J2653" t="str">
        <f t="shared" si="41"/>
        <v>13F-HR-.38.C12</v>
      </c>
      <c r="K2653" s="5" t="s">
        <v>8646</v>
      </c>
      <c r="L2653" t="s">
        <v>241</v>
      </c>
      <c r="M2653" t="s">
        <v>8647</v>
      </c>
      <c r="N2653" t="s">
        <v>8648</v>
      </c>
      <c r="Q2653" s="28">
        <v>284841</v>
      </c>
    </row>
    <row r="2654" spans="1:17" x14ac:dyDescent="0.35">
      <c r="A2654" t="s">
        <v>8520</v>
      </c>
      <c r="B2654" s="3" t="s">
        <v>102</v>
      </c>
      <c r="G2654" t="s">
        <v>8607</v>
      </c>
      <c r="H2654">
        <v>27</v>
      </c>
      <c r="I2654" t="s">
        <v>9296</v>
      </c>
      <c r="J2654" t="str">
        <f t="shared" si="41"/>
        <v>13F-HR-.27.C1</v>
      </c>
      <c r="K2654" s="5" t="s">
        <v>8608</v>
      </c>
      <c r="L2654" t="s">
        <v>229</v>
      </c>
      <c r="M2654" t="s">
        <v>8609</v>
      </c>
      <c r="N2654" t="s">
        <v>8610</v>
      </c>
      <c r="Q2654" s="28" t="s">
        <v>8987</v>
      </c>
    </row>
    <row r="2655" spans="1:17" x14ac:dyDescent="0.35">
      <c r="A2655" t="s">
        <v>8520</v>
      </c>
      <c r="B2655" s="3" t="s">
        <v>102</v>
      </c>
      <c r="G2655" t="s">
        <v>8607</v>
      </c>
      <c r="H2655">
        <v>28</v>
      </c>
      <c r="I2655" t="s">
        <v>9297</v>
      </c>
      <c r="J2655" t="str">
        <f t="shared" si="41"/>
        <v>13F-HR-.28.C2</v>
      </c>
      <c r="K2655" s="5" t="s">
        <v>8612</v>
      </c>
      <c r="L2655" t="s">
        <v>229</v>
      </c>
      <c r="M2655" t="s">
        <v>8613</v>
      </c>
      <c r="N2655" t="s">
        <v>8614</v>
      </c>
      <c r="Q2655" s="28" t="s">
        <v>8615</v>
      </c>
    </row>
    <row r="2656" spans="1:17" x14ac:dyDescent="0.35">
      <c r="A2656" t="s">
        <v>8520</v>
      </c>
      <c r="B2656" s="3" t="s">
        <v>102</v>
      </c>
      <c r="G2656" t="s">
        <v>8607</v>
      </c>
      <c r="H2656">
        <v>29</v>
      </c>
      <c r="I2656" t="s">
        <v>9298</v>
      </c>
      <c r="J2656" t="str">
        <f t="shared" si="41"/>
        <v>13F-HR-.29.C3</v>
      </c>
      <c r="K2656" s="5" t="s">
        <v>8616</v>
      </c>
      <c r="L2656" t="s">
        <v>229</v>
      </c>
      <c r="M2656" t="s">
        <v>7927</v>
      </c>
      <c r="N2656" t="s">
        <v>8617</v>
      </c>
      <c r="Q2656" s="28" t="s">
        <v>8988</v>
      </c>
    </row>
    <row r="2657" spans="1:17" x14ac:dyDescent="0.35">
      <c r="A2657" t="s">
        <v>8520</v>
      </c>
      <c r="B2657" s="3" t="s">
        <v>102</v>
      </c>
      <c r="G2657" t="s">
        <v>8607</v>
      </c>
      <c r="H2657">
        <v>30</v>
      </c>
      <c r="I2657" t="s">
        <v>9299</v>
      </c>
      <c r="J2657" t="str">
        <f t="shared" si="41"/>
        <v>13F-HR-.30.C4</v>
      </c>
      <c r="K2657" s="5" t="s">
        <v>8618</v>
      </c>
      <c r="L2657" t="s">
        <v>8619</v>
      </c>
      <c r="M2657" t="s">
        <v>8620</v>
      </c>
      <c r="N2657" t="s">
        <v>8621</v>
      </c>
      <c r="Q2657" s="28">
        <v>21403713</v>
      </c>
    </row>
    <row r="2658" spans="1:17" x14ac:dyDescent="0.35">
      <c r="A2658" t="s">
        <v>8520</v>
      </c>
      <c r="B2658" s="3" t="s">
        <v>102</v>
      </c>
      <c r="G2658" t="s">
        <v>8607</v>
      </c>
      <c r="H2658">
        <v>31</v>
      </c>
      <c r="I2658" t="s">
        <v>9300</v>
      </c>
      <c r="J2658" t="str">
        <f t="shared" si="41"/>
        <v>13F-HR-.31.C5</v>
      </c>
      <c r="K2658" s="5" t="s">
        <v>8622</v>
      </c>
      <c r="L2658" t="s">
        <v>241</v>
      </c>
      <c r="M2658" t="s">
        <v>8623</v>
      </c>
      <c r="N2658" t="s">
        <v>8624</v>
      </c>
      <c r="Q2658" s="28">
        <v>42125</v>
      </c>
    </row>
    <row r="2659" spans="1:17" x14ac:dyDescent="0.35">
      <c r="A2659" t="s">
        <v>8520</v>
      </c>
      <c r="B2659" s="3" t="s">
        <v>102</v>
      </c>
      <c r="G2659" t="s">
        <v>8607</v>
      </c>
      <c r="H2659">
        <v>32</v>
      </c>
      <c r="I2659" t="s">
        <v>9301</v>
      </c>
      <c r="J2659" t="str">
        <f t="shared" si="41"/>
        <v>13F-HR-.32.C6</v>
      </c>
      <c r="K2659" s="5" t="s">
        <v>8625</v>
      </c>
      <c r="L2659" t="s">
        <v>229</v>
      </c>
      <c r="M2659" t="s">
        <v>8626</v>
      </c>
      <c r="N2659" t="s">
        <v>8627</v>
      </c>
      <c r="Q2659" s="28" t="s">
        <v>8628</v>
      </c>
    </row>
    <row r="2660" spans="1:17" x14ac:dyDescent="0.35">
      <c r="A2660" t="s">
        <v>8520</v>
      </c>
      <c r="B2660" s="3" t="s">
        <v>102</v>
      </c>
      <c r="G2660" t="s">
        <v>8607</v>
      </c>
      <c r="H2660">
        <v>33</v>
      </c>
      <c r="I2660" t="s">
        <v>9302</v>
      </c>
      <c r="J2660" t="str">
        <f t="shared" si="41"/>
        <v>13F-HR-.33.C7</v>
      </c>
      <c r="K2660" s="5" t="s">
        <v>8629</v>
      </c>
      <c r="L2660" t="s">
        <v>229</v>
      </c>
      <c r="M2660" t="s">
        <v>8630</v>
      </c>
      <c r="N2660" t="s">
        <v>8631</v>
      </c>
      <c r="Q2660" s="28" t="s">
        <v>8685</v>
      </c>
    </row>
    <row r="2661" spans="1:17" x14ac:dyDescent="0.35">
      <c r="A2661" t="s">
        <v>8520</v>
      </c>
      <c r="B2661" s="3" t="s">
        <v>102</v>
      </c>
      <c r="G2661" t="s">
        <v>8607</v>
      </c>
      <c r="H2661">
        <v>34</v>
      </c>
      <c r="I2661" t="s">
        <v>9303</v>
      </c>
      <c r="J2661" t="str">
        <f t="shared" si="41"/>
        <v>13F-HR-.34.C8</v>
      </c>
      <c r="K2661" s="5" t="s">
        <v>8633</v>
      </c>
      <c r="L2661" t="s">
        <v>4735</v>
      </c>
      <c r="M2661" t="s">
        <v>8634</v>
      </c>
      <c r="N2661" t="s">
        <v>8635</v>
      </c>
      <c r="Q2661" s="28" t="s">
        <v>8632</v>
      </c>
    </row>
    <row r="2662" spans="1:17" x14ac:dyDescent="0.35">
      <c r="A2662" t="s">
        <v>8651</v>
      </c>
      <c r="B2662" s="3" t="s">
        <v>102</v>
      </c>
      <c r="G2662" t="s">
        <v>8607</v>
      </c>
      <c r="H2662">
        <v>35</v>
      </c>
      <c r="I2662" t="s">
        <v>9304</v>
      </c>
      <c r="J2662" t="str">
        <f t="shared" si="41"/>
        <v>135-HR-.35.C9</v>
      </c>
      <c r="K2662" s="5" t="s">
        <v>8637</v>
      </c>
      <c r="L2662" t="s">
        <v>229</v>
      </c>
      <c r="M2662" t="s">
        <v>8638</v>
      </c>
      <c r="N2662" t="s">
        <v>8639</v>
      </c>
      <c r="Q2662" s="28" t="s">
        <v>8636</v>
      </c>
    </row>
    <row r="2663" spans="1:17" x14ac:dyDescent="0.35">
      <c r="A2663" t="s">
        <v>8520</v>
      </c>
      <c r="B2663" s="3" t="s">
        <v>102</v>
      </c>
      <c r="G2663" t="s">
        <v>8607</v>
      </c>
      <c r="H2663">
        <v>36</v>
      </c>
      <c r="I2663" t="s">
        <v>9305</v>
      </c>
      <c r="J2663" t="str">
        <f t="shared" si="41"/>
        <v>13F-HR-.36.C10</v>
      </c>
      <c r="K2663" s="5" t="s">
        <v>8640</v>
      </c>
      <c r="L2663" t="s">
        <v>241</v>
      </c>
      <c r="M2663" t="s">
        <v>8641</v>
      </c>
      <c r="N2663" t="s">
        <v>8642</v>
      </c>
      <c r="Q2663" s="28">
        <v>25998</v>
      </c>
    </row>
    <row r="2664" spans="1:17" x14ac:dyDescent="0.35">
      <c r="A2664" t="s">
        <v>8520</v>
      </c>
      <c r="B2664" s="3" t="s">
        <v>102</v>
      </c>
      <c r="G2664" t="s">
        <v>8607</v>
      </c>
      <c r="H2664">
        <v>37</v>
      </c>
      <c r="I2664" t="s">
        <v>9306</v>
      </c>
      <c r="J2664" t="str">
        <f t="shared" si="41"/>
        <v>13F-HR-.37.C11</v>
      </c>
      <c r="K2664" s="5" t="s">
        <v>8643</v>
      </c>
      <c r="L2664" t="s">
        <v>241</v>
      </c>
      <c r="M2664" t="s">
        <v>8644</v>
      </c>
      <c r="N2664" t="s">
        <v>8645</v>
      </c>
      <c r="Q2664" s="28">
        <v>0</v>
      </c>
    </row>
    <row r="2665" spans="1:17" x14ac:dyDescent="0.35">
      <c r="A2665" t="s">
        <v>8520</v>
      </c>
      <c r="B2665" s="3" t="s">
        <v>102</v>
      </c>
      <c r="G2665" t="s">
        <v>8607</v>
      </c>
      <c r="H2665">
        <v>38</v>
      </c>
      <c r="I2665" t="s">
        <v>9307</v>
      </c>
      <c r="J2665" t="str">
        <f t="shared" si="41"/>
        <v>13F-HR-.38.C12</v>
      </c>
      <c r="K2665" s="5" t="s">
        <v>8646</v>
      </c>
      <c r="L2665" t="s">
        <v>241</v>
      </c>
      <c r="M2665" t="s">
        <v>8647</v>
      </c>
      <c r="N2665" t="s">
        <v>8648</v>
      </c>
      <c r="Q2665" s="28">
        <v>16127</v>
      </c>
    </row>
    <row r="2666" spans="1:17" x14ac:dyDescent="0.35">
      <c r="A2666" t="s">
        <v>8520</v>
      </c>
      <c r="B2666" s="3" t="s">
        <v>102</v>
      </c>
      <c r="G2666" t="s">
        <v>8607</v>
      </c>
      <c r="H2666">
        <v>27</v>
      </c>
      <c r="I2666" t="s">
        <v>9296</v>
      </c>
      <c r="J2666" t="str">
        <f t="shared" si="41"/>
        <v>13F-HR-.27.C1</v>
      </c>
      <c r="K2666" s="5" t="s">
        <v>8608</v>
      </c>
      <c r="L2666" t="s">
        <v>229</v>
      </c>
      <c r="M2666" t="s">
        <v>8609</v>
      </c>
      <c r="N2666" t="s">
        <v>8610</v>
      </c>
      <c r="Q2666" s="28" t="s">
        <v>8989</v>
      </c>
    </row>
    <row r="2667" spans="1:17" x14ac:dyDescent="0.35">
      <c r="A2667" t="s">
        <v>8520</v>
      </c>
      <c r="B2667" s="3" t="s">
        <v>102</v>
      </c>
      <c r="G2667" t="s">
        <v>8607</v>
      </c>
      <c r="H2667">
        <v>28</v>
      </c>
      <c r="I2667" t="s">
        <v>9297</v>
      </c>
      <c r="J2667" t="str">
        <f t="shared" si="41"/>
        <v>13F-HR-.28.C2</v>
      </c>
      <c r="K2667" s="5" t="s">
        <v>8612</v>
      </c>
      <c r="L2667" t="s">
        <v>229</v>
      </c>
      <c r="M2667" t="s">
        <v>8613</v>
      </c>
      <c r="N2667" t="s">
        <v>8614</v>
      </c>
      <c r="Q2667" s="28" t="s">
        <v>8706</v>
      </c>
    </row>
    <row r="2668" spans="1:17" x14ac:dyDescent="0.35">
      <c r="A2668" t="s">
        <v>8520</v>
      </c>
      <c r="B2668" s="3" t="s">
        <v>102</v>
      </c>
      <c r="G2668" t="s">
        <v>8607</v>
      </c>
      <c r="H2668">
        <v>29</v>
      </c>
      <c r="I2668" t="s">
        <v>9298</v>
      </c>
      <c r="J2668" t="str">
        <f t="shared" si="41"/>
        <v>13F-HR-.29.C3</v>
      </c>
      <c r="K2668" s="5" t="s">
        <v>8616</v>
      </c>
      <c r="L2668" t="s">
        <v>229</v>
      </c>
      <c r="M2668" t="s">
        <v>7927</v>
      </c>
      <c r="N2668" t="s">
        <v>8617</v>
      </c>
      <c r="Q2668" s="28" t="s">
        <v>8990</v>
      </c>
    </row>
    <row r="2669" spans="1:17" x14ac:dyDescent="0.35">
      <c r="A2669" t="s">
        <v>8520</v>
      </c>
      <c r="B2669" s="3" t="s">
        <v>102</v>
      </c>
      <c r="G2669" t="s">
        <v>8607</v>
      </c>
      <c r="H2669">
        <v>30</v>
      </c>
      <c r="I2669" t="s">
        <v>9299</v>
      </c>
      <c r="J2669" t="str">
        <f t="shared" si="41"/>
        <v>13F-HR-.30.C4</v>
      </c>
      <c r="K2669" s="5" t="s">
        <v>8618</v>
      </c>
      <c r="L2669" t="s">
        <v>8619</v>
      </c>
      <c r="M2669" t="s">
        <v>8620</v>
      </c>
      <c r="N2669" t="s">
        <v>8621</v>
      </c>
      <c r="Q2669" s="28">
        <v>712612</v>
      </c>
    </row>
    <row r="2670" spans="1:17" x14ac:dyDescent="0.35">
      <c r="A2670" t="s">
        <v>8520</v>
      </c>
      <c r="B2670" s="3" t="s">
        <v>102</v>
      </c>
      <c r="G2670" t="s">
        <v>8607</v>
      </c>
      <c r="H2670">
        <v>31</v>
      </c>
      <c r="I2670" t="s">
        <v>9300</v>
      </c>
      <c r="J2670" t="str">
        <f t="shared" si="41"/>
        <v>13F-HR-.31.C5</v>
      </c>
      <c r="K2670" s="5" t="s">
        <v>8622</v>
      </c>
      <c r="L2670" t="s">
        <v>241</v>
      </c>
      <c r="M2670" t="s">
        <v>8623</v>
      </c>
      <c r="N2670" t="s">
        <v>8624</v>
      </c>
      <c r="Q2670" s="28">
        <v>3239</v>
      </c>
    </row>
    <row r="2671" spans="1:17" x14ac:dyDescent="0.35">
      <c r="A2671" t="s">
        <v>8520</v>
      </c>
      <c r="B2671" s="3" t="s">
        <v>102</v>
      </c>
      <c r="G2671" t="s">
        <v>8607</v>
      </c>
      <c r="H2671">
        <v>32</v>
      </c>
      <c r="I2671" t="s">
        <v>9301</v>
      </c>
      <c r="J2671" t="str">
        <f t="shared" si="41"/>
        <v>13F-HR-.32.C6</v>
      </c>
      <c r="K2671" s="5" t="s">
        <v>8625</v>
      </c>
      <c r="L2671" t="s">
        <v>229</v>
      </c>
      <c r="M2671" t="s">
        <v>8626</v>
      </c>
      <c r="N2671" t="s">
        <v>8627</v>
      </c>
      <c r="Q2671" s="28" t="s">
        <v>8628</v>
      </c>
    </row>
    <row r="2672" spans="1:17" x14ac:dyDescent="0.35">
      <c r="A2672" t="s">
        <v>8520</v>
      </c>
      <c r="B2672" s="3" t="s">
        <v>102</v>
      </c>
      <c r="G2672" t="s">
        <v>8607</v>
      </c>
      <c r="H2672">
        <v>33</v>
      </c>
      <c r="I2672" t="s">
        <v>9302</v>
      </c>
      <c r="J2672" t="str">
        <f t="shared" si="41"/>
        <v>13F-HR-.33.C7</v>
      </c>
      <c r="K2672" s="5" t="s">
        <v>8629</v>
      </c>
      <c r="L2672" t="s">
        <v>229</v>
      </c>
      <c r="M2672" t="s">
        <v>8630</v>
      </c>
      <c r="N2672" t="s">
        <v>8631</v>
      </c>
      <c r="Q2672" s="28" t="s">
        <v>8685</v>
      </c>
    </row>
    <row r="2673" spans="1:17" x14ac:dyDescent="0.35">
      <c r="A2673" t="s">
        <v>8520</v>
      </c>
      <c r="B2673" s="3" t="s">
        <v>102</v>
      </c>
      <c r="G2673" t="s">
        <v>8607</v>
      </c>
      <c r="H2673">
        <v>34</v>
      </c>
      <c r="I2673" t="s">
        <v>9303</v>
      </c>
      <c r="J2673" t="str">
        <f t="shared" si="41"/>
        <v>13F-HR-.34.C8</v>
      </c>
      <c r="K2673" s="5" t="s">
        <v>8633</v>
      </c>
      <c r="L2673" t="s">
        <v>4735</v>
      </c>
      <c r="M2673" t="s">
        <v>8634</v>
      </c>
      <c r="N2673" t="s">
        <v>8635</v>
      </c>
      <c r="Q2673" s="28" t="s">
        <v>8632</v>
      </c>
    </row>
    <row r="2674" spans="1:17" x14ac:dyDescent="0.35">
      <c r="A2674" t="s">
        <v>8651</v>
      </c>
      <c r="B2674" s="3" t="s">
        <v>102</v>
      </c>
      <c r="G2674" t="s">
        <v>8607</v>
      </c>
      <c r="H2674">
        <v>35</v>
      </c>
      <c r="I2674" t="s">
        <v>9304</v>
      </c>
      <c r="J2674" t="str">
        <f t="shared" si="41"/>
        <v>135-HR-.35.C9</v>
      </c>
      <c r="K2674" s="5" t="s">
        <v>8637</v>
      </c>
      <c r="L2674" t="s">
        <v>229</v>
      </c>
      <c r="M2674" t="s">
        <v>8638</v>
      </c>
      <c r="N2674" t="s">
        <v>8639</v>
      </c>
      <c r="Q2674" s="28" t="s">
        <v>8636</v>
      </c>
    </row>
    <row r="2675" spans="1:17" x14ac:dyDescent="0.35">
      <c r="A2675" t="s">
        <v>8520</v>
      </c>
      <c r="B2675" s="3" t="s">
        <v>102</v>
      </c>
      <c r="G2675" t="s">
        <v>8607</v>
      </c>
      <c r="H2675">
        <v>36</v>
      </c>
      <c r="I2675" t="s">
        <v>9305</v>
      </c>
      <c r="J2675" t="str">
        <f t="shared" si="41"/>
        <v>13F-HR-.36.C10</v>
      </c>
      <c r="K2675" s="5" t="s">
        <v>8640</v>
      </c>
      <c r="L2675" t="s">
        <v>241</v>
      </c>
      <c r="M2675" t="s">
        <v>8641</v>
      </c>
      <c r="N2675" t="s">
        <v>8642</v>
      </c>
      <c r="Q2675" s="28">
        <v>3239</v>
      </c>
    </row>
    <row r="2676" spans="1:17" x14ac:dyDescent="0.35">
      <c r="A2676" t="s">
        <v>8520</v>
      </c>
      <c r="B2676" s="3" t="s">
        <v>102</v>
      </c>
      <c r="G2676" t="s">
        <v>8607</v>
      </c>
      <c r="H2676">
        <v>37</v>
      </c>
      <c r="I2676" t="s">
        <v>9306</v>
      </c>
      <c r="J2676" t="str">
        <f t="shared" si="41"/>
        <v>13F-HR-.37.C11</v>
      </c>
      <c r="K2676" s="5" t="s">
        <v>8643</v>
      </c>
      <c r="L2676" t="s">
        <v>241</v>
      </c>
      <c r="M2676" t="s">
        <v>8644</v>
      </c>
      <c r="N2676" t="s">
        <v>8645</v>
      </c>
      <c r="Q2676" s="28">
        <v>0</v>
      </c>
    </row>
    <row r="2677" spans="1:17" x14ac:dyDescent="0.35">
      <c r="A2677" t="s">
        <v>8520</v>
      </c>
      <c r="B2677" s="3" t="s">
        <v>102</v>
      </c>
      <c r="G2677" t="s">
        <v>8607</v>
      </c>
      <c r="H2677">
        <v>38</v>
      </c>
      <c r="I2677" t="s">
        <v>9307</v>
      </c>
      <c r="J2677" t="str">
        <f t="shared" si="41"/>
        <v>13F-HR-.38.C12</v>
      </c>
      <c r="K2677" s="5" t="s">
        <v>8646</v>
      </c>
      <c r="L2677" t="s">
        <v>241</v>
      </c>
      <c r="M2677" t="s">
        <v>8647</v>
      </c>
      <c r="N2677" t="s">
        <v>8648</v>
      </c>
      <c r="Q2677" s="28">
        <v>0</v>
      </c>
    </row>
    <row r="2678" spans="1:17" x14ac:dyDescent="0.35">
      <c r="A2678" t="s">
        <v>8520</v>
      </c>
      <c r="B2678" s="3" t="s">
        <v>102</v>
      </c>
      <c r="G2678" t="s">
        <v>8607</v>
      </c>
      <c r="H2678">
        <v>27</v>
      </c>
      <c r="I2678" t="s">
        <v>9296</v>
      </c>
      <c r="J2678" t="str">
        <f t="shared" si="41"/>
        <v>13F-HR-.27.C1</v>
      </c>
      <c r="K2678" s="5" t="s">
        <v>8608</v>
      </c>
      <c r="L2678" t="s">
        <v>229</v>
      </c>
      <c r="M2678" t="s">
        <v>8609</v>
      </c>
      <c r="N2678" t="s">
        <v>8610</v>
      </c>
      <c r="Q2678" s="28" t="s">
        <v>8991</v>
      </c>
    </row>
    <row r="2679" spans="1:17" x14ac:dyDescent="0.35">
      <c r="A2679" t="s">
        <v>8520</v>
      </c>
      <c r="B2679" s="3" t="s">
        <v>102</v>
      </c>
      <c r="G2679" t="s">
        <v>8607</v>
      </c>
      <c r="H2679">
        <v>28</v>
      </c>
      <c r="I2679" t="s">
        <v>9297</v>
      </c>
      <c r="J2679" t="str">
        <f t="shared" si="41"/>
        <v>13F-HR-.28.C2</v>
      </c>
      <c r="K2679" s="5" t="s">
        <v>8612</v>
      </c>
      <c r="L2679" t="s">
        <v>229</v>
      </c>
      <c r="M2679" t="s">
        <v>8613</v>
      </c>
      <c r="N2679" t="s">
        <v>8614</v>
      </c>
      <c r="Q2679" s="28" t="s">
        <v>8615</v>
      </c>
    </row>
    <row r="2680" spans="1:17" x14ac:dyDescent="0.35">
      <c r="A2680" t="s">
        <v>8520</v>
      </c>
      <c r="B2680" s="3" t="s">
        <v>102</v>
      </c>
      <c r="G2680" t="s">
        <v>8607</v>
      </c>
      <c r="H2680">
        <v>29</v>
      </c>
      <c r="I2680" t="s">
        <v>9298</v>
      </c>
      <c r="J2680" t="str">
        <f t="shared" si="41"/>
        <v>13F-HR-.29.C3</v>
      </c>
      <c r="K2680" s="5" t="s">
        <v>8616</v>
      </c>
      <c r="L2680" t="s">
        <v>229</v>
      </c>
      <c r="M2680" t="s">
        <v>7927</v>
      </c>
      <c r="N2680" t="s">
        <v>8617</v>
      </c>
      <c r="Q2680" s="28" t="s">
        <v>8992</v>
      </c>
    </row>
    <row r="2681" spans="1:17" x14ac:dyDescent="0.35">
      <c r="A2681" t="s">
        <v>8520</v>
      </c>
      <c r="B2681" s="3" t="s">
        <v>102</v>
      </c>
      <c r="G2681" t="s">
        <v>8607</v>
      </c>
      <c r="H2681">
        <v>30</v>
      </c>
      <c r="I2681" t="s">
        <v>9299</v>
      </c>
      <c r="J2681" t="str">
        <f t="shared" si="41"/>
        <v>13F-HR-.30.C4</v>
      </c>
      <c r="K2681" s="5" t="s">
        <v>8618</v>
      </c>
      <c r="L2681" t="s">
        <v>8619</v>
      </c>
      <c r="M2681" t="s">
        <v>8620</v>
      </c>
      <c r="N2681" t="s">
        <v>8621</v>
      </c>
      <c r="Q2681" s="28">
        <v>11352981</v>
      </c>
    </row>
    <row r="2682" spans="1:17" x14ac:dyDescent="0.35">
      <c r="A2682" t="s">
        <v>8520</v>
      </c>
      <c r="B2682" s="3" t="s">
        <v>102</v>
      </c>
      <c r="G2682" t="s">
        <v>8607</v>
      </c>
      <c r="H2682">
        <v>31</v>
      </c>
      <c r="I2682" t="s">
        <v>9300</v>
      </c>
      <c r="J2682" t="str">
        <f t="shared" si="41"/>
        <v>13F-HR-.31.C5</v>
      </c>
      <c r="K2682" s="5" t="s">
        <v>8622</v>
      </c>
      <c r="L2682" t="s">
        <v>241</v>
      </c>
      <c r="M2682" t="s">
        <v>8623</v>
      </c>
      <c r="N2682" t="s">
        <v>8624</v>
      </c>
      <c r="Q2682" s="28">
        <v>32490</v>
      </c>
    </row>
    <row r="2683" spans="1:17" x14ac:dyDescent="0.35">
      <c r="A2683" t="s">
        <v>8520</v>
      </c>
      <c r="B2683" s="3" t="s">
        <v>102</v>
      </c>
      <c r="G2683" t="s">
        <v>8607</v>
      </c>
      <c r="H2683">
        <v>32</v>
      </c>
      <c r="I2683" t="s">
        <v>9301</v>
      </c>
      <c r="J2683" t="str">
        <f t="shared" si="41"/>
        <v>13F-HR-.32.C6</v>
      </c>
      <c r="K2683" s="5" t="s">
        <v>8625</v>
      </c>
      <c r="L2683" t="s">
        <v>229</v>
      </c>
      <c r="M2683" t="s">
        <v>8626</v>
      </c>
      <c r="N2683" t="s">
        <v>8627</v>
      </c>
      <c r="Q2683" s="28" t="s">
        <v>8628</v>
      </c>
    </row>
    <row r="2684" spans="1:17" x14ac:dyDescent="0.35">
      <c r="A2684" t="s">
        <v>8520</v>
      </c>
      <c r="B2684" s="3" t="s">
        <v>102</v>
      </c>
      <c r="G2684" t="s">
        <v>8607</v>
      </c>
      <c r="H2684">
        <v>33</v>
      </c>
      <c r="I2684" t="s">
        <v>9302</v>
      </c>
      <c r="J2684" t="str">
        <f t="shared" si="41"/>
        <v>13F-HR-.33.C7</v>
      </c>
      <c r="K2684" s="5" t="s">
        <v>8629</v>
      </c>
      <c r="L2684" t="s">
        <v>229</v>
      </c>
      <c r="M2684" t="s">
        <v>8630</v>
      </c>
      <c r="N2684" t="s">
        <v>8631</v>
      </c>
      <c r="Q2684" s="28" t="s">
        <v>8685</v>
      </c>
    </row>
    <row r="2685" spans="1:17" x14ac:dyDescent="0.35">
      <c r="A2685" t="s">
        <v>8520</v>
      </c>
      <c r="B2685" s="3" t="s">
        <v>102</v>
      </c>
      <c r="G2685" t="s">
        <v>8607</v>
      </c>
      <c r="H2685">
        <v>34</v>
      </c>
      <c r="I2685" t="s">
        <v>9303</v>
      </c>
      <c r="J2685" t="str">
        <f t="shared" si="41"/>
        <v>13F-HR-.34.C8</v>
      </c>
      <c r="K2685" s="5" t="s">
        <v>8633</v>
      </c>
      <c r="L2685" t="s">
        <v>4735</v>
      </c>
      <c r="M2685" t="s">
        <v>8634</v>
      </c>
      <c r="N2685" t="s">
        <v>8635</v>
      </c>
      <c r="Q2685" s="28" t="s">
        <v>8632</v>
      </c>
    </row>
    <row r="2686" spans="1:17" x14ac:dyDescent="0.35">
      <c r="A2686" t="s">
        <v>8651</v>
      </c>
      <c r="B2686" s="3" t="s">
        <v>102</v>
      </c>
      <c r="G2686" t="s">
        <v>8607</v>
      </c>
      <c r="H2686">
        <v>35</v>
      </c>
      <c r="I2686" t="s">
        <v>9304</v>
      </c>
      <c r="J2686" t="str">
        <f t="shared" si="41"/>
        <v>135-HR-.35.C9</v>
      </c>
      <c r="K2686" s="5" t="s">
        <v>8637</v>
      </c>
      <c r="L2686" t="s">
        <v>229</v>
      </c>
      <c r="M2686" t="s">
        <v>8638</v>
      </c>
      <c r="N2686" t="s">
        <v>8639</v>
      </c>
      <c r="Q2686" s="28" t="s">
        <v>8636</v>
      </c>
    </row>
    <row r="2687" spans="1:17" x14ac:dyDescent="0.35">
      <c r="A2687" t="s">
        <v>8520</v>
      </c>
      <c r="B2687" s="3" t="s">
        <v>102</v>
      </c>
      <c r="G2687" t="s">
        <v>8607</v>
      </c>
      <c r="H2687">
        <v>36</v>
      </c>
      <c r="I2687" t="s">
        <v>9305</v>
      </c>
      <c r="J2687" t="str">
        <f t="shared" si="41"/>
        <v>13F-HR-.36.C10</v>
      </c>
      <c r="K2687" s="5" t="s">
        <v>8640</v>
      </c>
      <c r="L2687" t="s">
        <v>241</v>
      </c>
      <c r="M2687" t="s">
        <v>8641</v>
      </c>
      <c r="N2687" t="s">
        <v>8642</v>
      </c>
      <c r="Q2687" s="28">
        <v>32490</v>
      </c>
    </row>
    <row r="2688" spans="1:17" x14ac:dyDescent="0.35">
      <c r="A2688" t="s">
        <v>8520</v>
      </c>
      <c r="B2688" s="3" t="s">
        <v>102</v>
      </c>
      <c r="G2688" t="s">
        <v>8607</v>
      </c>
      <c r="H2688">
        <v>37</v>
      </c>
      <c r="I2688" t="s">
        <v>9306</v>
      </c>
      <c r="J2688" t="str">
        <f t="shared" si="41"/>
        <v>13F-HR-.37.C11</v>
      </c>
      <c r="K2688" s="5" t="s">
        <v>8643</v>
      </c>
      <c r="L2688" t="s">
        <v>241</v>
      </c>
      <c r="M2688" t="s">
        <v>8644</v>
      </c>
      <c r="N2688" t="s">
        <v>8645</v>
      </c>
      <c r="Q2688" s="28">
        <v>0</v>
      </c>
    </row>
    <row r="2689" spans="1:17" x14ac:dyDescent="0.35">
      <c r="A2689" t="s">
        <v>8520</v>
      </c>
      <c r="B2689" s="3" t="s">
        <v>102</v>
      </c>
      <c r="G2689" t="s">
        <v>8607</v>
      </c>
      <c r="H2689">
        <v>38</v>
      </c>
      <c r="I2689" t="s">
        <v>9307</v>
      </c>
      <c r="J2689" t="str">
        <f t="shared" si="41"/>
        <v>13F-HR-.38.C12</v>
      </c>
      <c r="K2689" s="5" t="s">
        <v>8646</v>
      </c>
      <c r="L2689" t="s">
        <v>241</v>
      </c>
      <c r="M2689" t="s">
        <v>8647</v>
      </c>
      <c r="N2689" t="s">
        <v>8648</v>
      </c>
      <c r="Q2689" s="28">
        <v>0</v>
      </c>
    </row>
    <row r="2690" spans="1:17" x14ac:dyDescent="0.35">
      <c r="A2690" t="s">
        <v>8520</v>
      </c>
      <c r="B2690" s="3" t="s">
        <v>102</v>
      </c>
      <c r="G2690" t="s">
        <v>8607</v>
      </c>
      <c r="H2690">
        <v>27</v>
      </c>
      <c r="I2690" t="s">
        <v>9296</v>
      </c>
      <c r="J2690" t="str">
        <f t="shared" si="41"/>
        <v>13F-HR-.27.C1</v>
      </c>
      <c r="K2690" s="5" t="s">
        <v>8608</v>
      </c>
      <c r="L2690" t="s">
        <v>229</v>
      </c>
      <c r="M2690" t="s">
        <v>8609</v>
      </c>
      <c r="N2690" t="s">
        <v>8610</v>
      </c>
      <c r="Q2690" s="28" t="s">
        <v>8993</v>
      </c>
    </row>
    <row r="2691" spans="1:17" x14ac:dyDescent="0.35">
      <c r="A2691" t="s">
        <v>8520</v>
      </c>
      <c r="B2691" s="3" t="s">
        <v>102</v>
      </c>
      <c r="G2691" t="s">
        <v>8607</v>
      </c>
      <c r="H2691">
        <v>28</v>
      </c>
      <c r="I2691" t="s">
        <v>9297</v>
      </c>
      <c r="J2691" t="str">
        <f t="shared" ref="J2691:J2754" si="42">_xlfn.CONCAT(A2691,"-",F2691,".",H2691,".",I2691)</f>
        <v>13F-HR-.28.C2</v>
      </c>
      <c r="K2691" s="5" t="s">
        <v>8612</v>
      </c>
      <c r="L2691" t="s">
        <v>229</v>
      </c>
      <c r="M2691" t="s">
        <v>8613</v>
      </c>
      <c r="N2691" t="s">
        <v>8614</v>
      </c>
      <c r="Q2691" s="28" t="s">
        <v>8615</v>
      </c>
    </row>
    <row r="2692" spans="1:17" x14ac:dyDescent="0.35">
      <c r="A2692" t="s">
        <v>8520</v>
      </c>
      <c r="B2692" s="3" t="s">
        <v>102</v>
      </c>
      <c r="G2692" t="s">
        <v>8607</v>
      </c>
      <c r="H2692">
        <v>29</v>
      </c>
      <c r="I2692" t="s">
        <v>9298</v>
      </c>
      <c r="J2692" t="str">
        <f t="shared" si="42"/>
        <v>13F-HR-.29.C3</v>
      </c>
      <c r="K2692" s="5" t="s">
        <v>8616</v>
      </c>
      <c r="L2692" t="s">
        <v>229</v>
      </c>
      <c r="M2692" t="s">
        <v>7927</v>
      </c>
      <c r="N2692" t="s">
        <v>8617</v>
      </c>
      <c r="Q2692" s="28" t="s">
        <v>8994</v>
      </c>
    </row>
    <row r="2693" spans="1:17" x14ac:dyDescent="0.35">
      <c r="A2693" t="s">
        <v>8520</v>
      </c>
      <c r="B2693" s="3" t="s">
        <v>102</v>
      </c>
      <c r="G2693" t="s">
        <v>8607</v>
      </c>
      <c r="H2693">
        <v>30</v>
      </c>
      <c r="I2693" t="s">
        <v>9299</v>
      </c>
      <c r="J2693" t="str">
        <f t="shared" si="42"/>
        <v>13F-HR-.30.C4</v>
      </c>
      <c r="K2693" s="5" t="s">
        <v>8618</v>
      </c>
      <c r="L2693" t="s">
        <v>8619</v>
      </c>
      <c r="M2693" t="s">
        <v>8620</v>
      </c>
      <c r="N2693" t="s">
        <v>8621</v>
      </c>
      <c r="Q2693" s="28">
        <v>62037050</v>
      </c>
    </row>
    <row r="2694" spans="1:17" x14ac:dyDescent="0.35">
      <c r="A2694" t="s">
        <v>8520</v>
      </c>
      <c r="B2694" s="3" t="s">
        <v>102</v>
      </c>
      <c r="G2694" t="s">
        <v>8607</v>
      </c>
      <c r="H2694">
        <v>31</v>
      </c>
      <c r="I2694" t="s">
        <v>9300</v>
      </c>
      <c r="J2694" t="str">
        <f t="shared" si="42"/>
        <v>13F-HR-.31.C5</v>
      </c>
      <c r="K2694" s="5" t="s">
        <v>8622</v>
      </c>
      <c r="L2694" t="s">
        <v>241</v>
      </c>
      <c r="M2694" t="s">
        <v>8623</v>
      </c>
      <c r="N2694" t="s">
        <v>8624</v>
      </c>
      <c r="Q2694" s="28">
        <v>231171</v>
      </c>
    </row>
    <row r="2695" spans="1:17" x14ac:dyDescent="0.35">
      <c r="A2695" t="s">
        <v>8520</v>
      </c>
      <c r="B2695" s="3" t="s">
        <v>102</v>
      </c>
      <c r="G2695" t="s">
        <v>8607</v>
      </c>
      <c r="H2695">
        <v>32</v>
      </c>
      <c r="I2695" t="s">
        <v>9301</v>
      </c>
      <c r="J2695" t="str">
        <f t="shared" si="42"/>
        <v>13F-HR-.32.C6</v>
      </c>
      <c r="K2695" s="5" t="s">
        <v>8625</v>
      </c>
      <c r="L2695" t="s">
        <v>229</v>
      </c>
      <c r="M2695" t="s">
        <v>8626</v>
      </c>
      <c r="N2695" t="s">
        <v>8627</v>
      </c>
      <c r="Q2695" s="28" t="s">
        <v>8628</v>
      </c>
    </row>
    <row r="2696" spans="1:17" x14ac:dyDescent="0.35">
      <c r="A2696" t="s">
        <v>8520</v>
      </c>
      <c r="B2696" s="3" t="s">
        <v>102</v>
      </c>
      <c r="G2696" t="s">
        <v>8607</v>
      </c>
      <c r="H2696">
        <v>33</v>
      </c>
      <c r="I2696" t="s">
        <v>9302</v>
      </c>
      <c r="J2696" t="str">
        <f t="shared" si="42"/>
        <v>13F-HR-.33.C7</v>
      </c>
      <c r="K2696" s="5" t="s">
        <v>8629</v>
      </c>
      <c r="L2696" t="s">
        <v>229</v>
      </c>
      <c r="M2696" t="s">
        <v>8630</v>
      </c>
      <c r="N2696" t="s">
        <v>8631</v>
      </c>
      <c r="Q2696" s="28" t="s">
        <v>8685</v>
      </c>
    </row>
    <row r="2697" spans="1:17" x14ac:dyDescent="0.35">
      <c r="A2697" t="s">
        <v>8520</v>
      </c>
      <c r="B2697" s="3" t="s">
        <v>102</v>
      </c>
      <c r="G2697" t="s">
        <v>8607</v>
      </c>
      <c r="H2697">
        <v>34</v>
      </c>
      <c r="I2697" t="s">
        <v>9303</v>
      </c>
      <c r="J2697" t="str">
        <f t="shared" si="42"/>
        <v>13F-HR-.34.C8</v>
      </c>
      <c r="K2697" s="5" t="s">
        <v>8633</v>
      </c>
      <c r="L2697" t="s">
        <v>4735</v>
      </c>
      <c r="M2697" t="s">
        <v>8634</v>
      </c>
      <c r="N2697" t="s">
        <v>8635</v>
      </c>
      <c r="Q2697" s="28" t="s">
        <v>8632</v>
      </c>
    </row>
    <row r="2698" spans="1:17" x14ac:dyDescent="0.35">
      <c r="A2698" t="s">
        <v>8651</v>
      </c>
      <c r="B2698" s="3" t="s">
        <v>102</v>
      </c>
      <c r="G2698" t="s">
        <v>8607</v>
      </c>
      <c r="H2698">
        <v>35</v>
      </c>
      <c r="I2698" t="s">
        <v>9304</v>
      </c>
      <c r="J2698" t="str">
        <f t="shared" si="42"/>
        <v>135-HR-.35.C9</v>
      </c>
      <c r="K2698" s="5" t="s">
        <v>8637</v>
      </c>
      <c r="L2698" t="s">
        <v>229</v>
      </c>
      <c r="M2698" t="s">
        <v>8638</v>
      </c>
      <c r="N2698" t="s">
        <v>8639</v>
      </c>
      <c r="Q2698" s="28" t="s">
        <v>8636</v>
      </c>
    </row>
    <row r="2699" spans="1:17" x14ac:dyDescent="0.35">
      <c r="A2699" t="s">
        <v>8520</v>
      </c>
      <c r="B2699" s="3" t="s">
        <v>102</v>
      </c>
      <c r="G2699" t="s">
        <v>8607</v>
      </c>
      <c r="H2699">
        <v>36</v>
      </c>
      <c r="I2699" t="s">
        <v>9305</v>
      </c>
      <c r="J2699" t="str">
        <f t="shared" si="42"/>
        <v>13F-HR-.36.C10</v>
      </c>
      <c r="K2699" s="5" t="s">
        <v>8640</v>
      </c>
      <c r="L2699" t="s">
        <v>241</v>
      </c>
      <c r="M2699" t="s">
        <v>8641</v>
      </c>
      <c r="N2699" t="s">
        <v>8642</v>
      </c>
      <c r="Q2699" s="28">
        <v>213706</v>
      </c>
    </row>
    <row r="2700" spans="1:17" x14ac:dyDescent="0.35">
      <c r="A2700" t="s">
        <v>8520</v>
      </c>
      <c r="B2700" s="3" t="s">
        <v>102</v>
      </c>
      <c r="G2700" t="s">
        <v>8607</v>
      </c>
      <c r="H2700">
        <v>37</v>
      </c>
      <c r="I2700" t="s">
        <v>9306</v>
      </c>
      <c r="J2700" t="str">
        <f t="shared" si="42"/>
        <v>13F-HR-.37.C11</v>
      </c>
      <c r="K2700" s="5" t="s">
        <v>8643</v>
      </c>
      <c r="L2700" t="s">
        <v>241</v>
      </c>
      <c r="M2700" t="s">
        <v>8644</v>
      </c>
      <c r="N2700" t="s">
        <v>8645</v>
      </c>
      <c r="Q2700" s="28">
        <v>0</v>
      </c>
    </row>
    <row r="2701" spans="1:17" x14ac:dyDescent="0.35">
      <c r="A2701" t="s">
        <v>8520</v>
      </c>
      <c r="B2701" s="3" t="s">
        <v>102</v>
      </c>
      <c r="G2701" t="s">
        <v>8607</v>
      </c>
      <c r="H2701">
        <v>38</v>
      </c>
      <c r="I2701" t="s">
        <v>9307</v>
      </c>
      <c r="J2701" t="str">
        <f t="shared" si="42"/>
        <v>13F-HR-.38.C12</v>
      </c>
      <c r="K2701" s="5" t="s">
        <v>8646</v>
      </c>
      <c r="L2701" t="s">
        <v>241</v>
      </c>
      <c r="M2701" t="s">
        <v>8647</v>
      </c>
      <c r="N2701" t="s">
        <v>8648</v>
      </c>
      <c r="Q2701" s="28">
        <v>17465</v>
      </c>
    </row>
    <row r="2702" spans="1:17" x14ac:dyDescent="0.35">
      <c r="A2702" t="s">
        <v>8520</v>
      </c>
      <c r="B2702" s="3" t="s">
        <v>102</v>
      </c>
      <c r="G2702" t="s">
        <v>8607</v>
      </c>
      <c r="H2702">
        <v>27</v>
      </c>
      <c r="I2702" t="s">
        <v>9296</v>
      </c>
      <c r="J2702" t="str">
        <f t="shared" si="42"/>
        <v>13F-HR-.27.C1</v>
      </c>
      <c r="K2702" t="s">
        <v>8608</v>
      </c>
      <c r="L2702" t="s">
        <v>229</v>
      </c>
      <c r="M2702" t="s">
        <v>8609</v>
      </c>
      <c r="N2702" t="s">
        <v>8610</v>
      </c>
      <c r="Q2702" s="28" t="s">
        <v>8995</v>
      </c>
    </row>
    <row r="2703" spans="1:17" x14ac:dyDescent="0.35">
      <c r="A2703" t="s">
        <v>8520</v>
      </c>
      <c r="B2703" s="3" t="s">
        <v>102</v>
      </c>
      <c r="G2703" t="s">
        <v>8607</v>
      </c>
      <c r="H2703">
        <v>28</v>
      </c>
      <c r="I2703" t="s">
        <v>9297</v>
      </c>
      <c r="J2703" t="str">
        <f t="shared" si="42"/>
        <v>13F-HR-.28.C2</v>
      </c>
      <c r="K2703" t="s">
        <v>8612</v>
      </c>
      <c r="L2703" t="s">
        <v>229</v>
      </c>
      <c r="M2703" t="s">
        <v>8613</v>
      </c>
      <c r="N2703" t="s">
        <v>8614</v>
      </c>
      <c r="Q2703" s="28" t="s">
        <v>8702</v>
      </c>
    </row>
    <row r="2704" spans="1:17" x14ac:dyDescent="0.35">
      <c r="A2704" t="s">
        <v>8520</v>
      </c>
      <c r="B2704" s="3" t="s">
        <v>102</v>
      </c>
      <c r="G2704" t="s">
        <v>8607</v>
      </c>
      <c r="H2704">
        <v>29</v>
      </c>
      <c r="I2704" t="s">
        <v>9298</v>
      </c>
      <c r="J2704" t="str">
        <f t="shared" si="42"/>
        <v>13F-HR-.29.C3</v>
      </c>
      <c r="K2704" t="s">
        <v>8616</v>
      </c>
      <c r="L2704" t="s">
        <v>229</v>
      </c>
      <c r="M2704" t="s">
        <v>7927</v>
      </c>
      <c r="N2704" t="s">
        <v>8617</v>
      </c>
      <c r="Q2704" s="28" t="s">
        <v>8996</v>
      </c>
    </row>
    <row r="2705" spans="1:17" x14ac:dyDescent="0.35">
      <c r="A2705" t="s">
        <v>8520</v>
      </c>
      <c r="B2705" s="3" t="s">
        <v>102</v>
      </c>
      <c r="G2705" t="s">
        <v>8607</v>
      </c>
      <c r="H2705">
        <v>30</v>
      </c>
      <c r="I2705" t="s">
        <v>9299</v>
      </c>
      <c r="J2705" t="str">
        <f t="shared" si="42"/>
        <v>13F-HR-.30.C4</v>
      </c>
      <c r="K2705" t="s">
        <v>8618</v>
      </c>
      <c r="L2705" t="s">
        <v>8619</v>
      </c>
      <c r="M2705" t="s">
        <v>8620</v>
      </c>
      <c r="N2705" t="s">
        <v>8621</v>
      </c>
      <c r="Q2705" s="28">
        <v>5911481</v>
      </c>
    </row>
    <row r="2706" spans="1:17" x14ac:dyDescent="0.35">
      <c r="A2706" t="s">
        <v>8520</v>
      </c>
      <c r="B2706" s="3" t="s">
        <v>102</v>
      </c>
      <c r="G2706" t="s">
        <v>8607</v>
      </c>
      <c r="H2706">
        <v>31</v>
      </c>
      <c r="I2706" t="s">
        <v>9300</v>
      </c>
      <c r="J2706" t="str">
        <f t="shared" si="42"/>
        <v>13F-HR-.31.C5</v>
      </c>
      <c r="K2706" t="s">
        <v>8622</v>
      </c>
      <c r="L2706" t="s">
        <v>241</v>
      </c>
      <c r="M2706" t="s">
        <v>8623</v>
      </c>
      <c r="N2706" t="s">
        <v>8624</v>
      </c>
      <c r="Q2706" s="28">
        <v>106590</v>
      </c>
    </row>
    <row r="2707" spans="1:17" x14ac:dyDescent="0.35">
      <c r="A2707" t="s">
        <v>8520</v>
      </c>
      <c r="B2707" s="3" t="s">
        <v>102</v>
      </c>
      <c r="G2707" t="s">
        <v>8607</v>
      </c>
      <c r="H2707">
        <v>32</v>
      </c>
      <c r="I2707" t="s">
        <v>9301</v>
      </c>
      <c r="J2707" t="str">
        <f t="shared" si="42"/>
        <v>13F-HR-.32.C6</v>
      </c>
      <c r="K2707" t="s">
        <v>8625</v>
      </c>
      <c r="L2707" t="s">
        <v>229</v>
      </c>
      <c r="M2707" t="s">
        <v>8626</v>
      </c>
      <c r="N2707" t="s">
        <v>8627</v>
      </c>
      <c r="Q2707" s="28" t="s">
        <v>8628</v>
      </c>
    </row>
    <row r="2708" spans="1:17" x14ac:dyDescent="0.35">
      <c r="A2708" t="s">
        <v>8520</v>
      </c>
      <c r="B2708" s="3" t="s">
        <v>102</v>
      </c>
      <c r="G2708" t="s">
        <v>8607</v>
      </c>
      <c r="H2708">
        <v>33</v>
      </c>
      <c r="I2708" t="s">
        <v>9302</v>
      </c>
      <c r="J2708" t="str">
        <f t="shared" si="42"/>
        <v>13F-HR-.33.C7</v>
      </c>
      <c r="K2708" t="s">
        <v>8629</v>
      </c>
      <c r="L2708" t="s">
        <v>229</v>
      </c>
      <c r="M2708" t="s">
        <v>8630</v>
      </c>
      <c r="N2708" t="s">
        <v>8631</v>
      </c>
      <c r="Q2708" s="28" t="s">
        <v>8685</v>
      </c>
    </row>
    <row r="2709" spans="1:17" x14ac:dyDescent="0.35">
      <c r="A2709" t="s">
        <v>8520</v>
      </c>
      <c r="B2709" s="3" t="s">
        <v>102</v>
      </c>
      <c r="G2709" t="s">
        <v>8607</v>
      </c>
      <c r="H2709">
        <v>34</v>
      </c>
      <c r="I2709" t="s">
        <v>9303</v>
      </c>
      <c r="J2709" t="str">
        <f t="shared" si="42"/>
        <v>13F-HR-.34.C8</v>
      </c>
      <c r="K2709" t="s">
        <v>8633</v>
      </c>
      <c r="L2709" t="s">
        <v>4735</v>
      </c>
      <c r="M2709" t="s">
        <v>8634</v>
      </c>
      <c r="N2709" t="s">
        <v>8635</v>
      </c>
      <c r="Q2709" s="28" t="s">
        <v>8632</v>
      </c>
    </row>
    <row r="2710" spans="1:17" x14ac:dyDescent="0.35">
      <c r="A2710" t="s">
        <v>8651</v>
      </c>
      <c r="B2710" s="3" t="s">
        <v>102</v>
      </c>
      <c r="G2710" t="s">
        <v>8607</v>
      </c>
      <c r="H2710">
        <v>35</v>
      </c>
      <c r="I2710" t="s">
        <v>9304</v>
      </c>
      <c r="J2710" t="str">
        <f t="shared" si="42"/>
        <v>135-HR-.35.C9</v>
      </c>
      <c r="K2710" t="s">
        <v>8637</v>
      </c>
      <c r="L2710" t="s">
        <v>229</v>
      </c>
      <c r="M2710" t="s">
        <v>8638</v>
      </c>
      <c r="N2710" t="s">
        <v>8639</v>
      </c>
      <c r="Q2710" s="28" t="s">
        <v>8636</v>
      </c>
    </row>
    <row r="2711" spans="1:17" x14ac:dyDescent="0.35">
      <c r="A2711" t="s">
        <v>8520</v>
      </c>
      <c r="B2711" s="3" t="s">
        <v>102</v>
      </c>
      <c r="G2711" t="s">
        <v>8607</v>
      </c>
      <c r="H2711">
        <v>36</v>
      </c>
      <c r="I2711" t="s">
        <v>9305</v>
      </c>
      <c r="J2711" t="str">
        <f t="shared" si="42"/>
        <v>13F-HR-.36.C10</v>
      </c>
      <c r="K2711" t="s">
        <v>8640</v>
      </c>
      <c r="L2711" t="s">
        <v>241</v>
      </c>
      <c r="M2711" t="s">
        <v>8641</v>
      </c>
      <c r="N2711" t="s">
        <v>8642</v>
      </c>
      <c r="Q2711" s="28">
        <v>0</v>
      </c>
    </row>
    <row r="2712" spans="1:17" x14ac:dyDescent="0.35">
      <c r="A2712" t="s">
        <v>8520</v>
      </c>
      <c r="B2712" s="3" t="s">
        <v>102</v>
      </c>
      <c r="G2712" t="s">
        <v>8607</v>
      </c>
      <c r="H2712">
        <v>37</v>
      </c>
      <c r="I2712" t="s">
        <v>9306</v>
      </c>
      <c r="J2712" t="str">
        <f t="shared" si="42"/>
        <v>13F-HR-.37.C11</v>
      </c>
      <c r="K2712" t="s">
        <v>8643</v>
      </c>
      <c r="L2712" t="s">
        <v>241</v>
      </c>
      <c r="M2712" t="s">
        <v>8644</v>
      </c>
      <c r="N2712" t="s">
        <v>8645</v>
      </c>
      <c r="Q2712" s="28">
        <v>0</v>
      </c>
    </row>
    <row r="2713" spans="1:17" x14ac:dyDescent="0.35">
      <c r="A2713" t="s">
        <v>8520</v>
      </c>
      <c r="B2713" s="3" t="s">
        <v>102</v>
      </c>
      <c r="G2713" t="s">
        <v>8607</v>
      </c>
      <c r="H2713">
        <v>38</v>
      </c>
      <c r="I2713" t="s">
        <v>9307</v>
      </c>
      <c r="J2713" t="str">
        <f t="shared" si="42"/>
        <v>13F-HR-.38.C12</v>
      </c>
      <c r="K2713" t="s">
        <v>8646</v>
      </c>
      <c r="L2713" t="s">
        <v>241</v>
      </c>
      <c r="M2713" t="s">
        <v>8647</v>
      </c>
      <c r="N2713" t="s">
        <v>8648</v>
      </c>
      <c r="Q2713" s="28">
        <v>106590</v>
      </c>
    </row>
    <row r="2714" spans="1:17" x14ac:dyDescent="0.35">
      <c r="A2714" t="s">
        <v>8520</v>
      </c>
      <c r="B2714" s="3" t="s">
        <v>102</v>
      </c>
      <c r="G2714" t="s">
        <v>8607</v>
      </c>
      <c r="H2714">
        <v>27</v>
      </c>
      <c r="I2714" t="s">
        <v>9296</v>
      </c>
      <c r="J2714" t="str">
        <f t="shared" si="42"/>
        <v>13F-HR-.27.C1</v>
      </c>
      <c r="K2714" s="5" t="s">
        <v>8608</v>
      </c>
      <c r="L2714" t="s">
        <v>229</v>
      </c>
      <c r="M2714" t="s">
        <v>8609</v>
      </c>
      <c r="N2714" t="s">
        <v>8610</v>
      </c>
      <c r="Q2714" s="28" t="s">
        <v>8997</v>
      </c>
    </row>
    <row r="2715" spans="1:17" x14ac:dyDescent="0.35">
      <c r="A2715" t="s">
        <v>8520</v>
      </c>
      <c r="B2715" s="3" t="s">
        <v>102</v>
      </c>
      <c r="G2715" t="s">
        <v>8607</v>
      </c>
      <c r="H2715">
        <v>28</v>
      </c>
      <c r="I2715" t="s">
        <v>9297</v>
      </c>
      <c r="J2715" t="str">
        <f t="shared" si="42"/>
        <v>13F-HR-.28.C2</v>
      </c>
      <c r="K2715" s="5" t="s">
        <v>8612</v>
      </c>
      <c r="L2715" t="s">
        <v>229</v>
      </c>
      <c r="M2715" t="s">
        <v>8613</v>
      </c>
      <c r="N2715" t="s">
        <v>8614</v>
      </c>
      <c r="Q2715" s="28" t="s">
        <v>8998</v>
      </c>
    </row>
    <row r="2716" spans="1:17" x14ac:dyDescent="0.35">
      <c r="A2716" t="s">
        <v>8520</v>
      </c>
      <c r="B2716" s="3" t="s">
        <v>102</v>
      </c>
      <c r="G2716" t="s">
        <v>8607</v>
      </c>
      <c r="H2716">
        <v>29</v>
      </c>
      <c r="I2716" t="s">
        <v>9298</v>
      </c>
      <c r="J2716" t="str">
        <f t="shared" si="42"/>
        <v>13F-HR-.29.C3</v>
      </c>
      <c r="K2716" s="5" t="s">
        <v>8616</v>
      </c>
      <c r="L2716" t="s">
        <v>229</v>
      </c>
      <c r="M2716" t="s">
        <v>7927</v>
      </c>
      <c r="N2716" t="s">
        <v>8617</v>
      </c>
      <c r="Q2716" s="28">
        <v>803054204</v>
      </c>
    </row>
    <row r="2717" spans="1:17" x14ac:dyDescent="0.35">
      <c r="A2717" t="s">
        <v>8520</v>
      </c>
      <c r="B2717" s="3" t="s">
        <v>102</v>
      </c>
      <c r="G2717" t="s">
        <v>8607</v>
      </c>
      <c r="H2717">
        <v>30</v>
      </c>
      <c r="I2717" t="s">
        <v>9299</v>
      </c>
      <c r="J2717" t="str">
        <f t="shared" si="42"/>
        <v>13F-HR-.30.C4</v>
      </c>
      <c r="K2717" s="5" t="s">
        <v>8618</v>
      </c>
      <c r="L2717" t="s">
        <v>8619</v>
      </c>
      <c r="M2717" t="s">
        <v>8620</v>
      </c>
      <c r="N2717" t="s">
        <v>8621</v>
      </c>
      <c r="Q2717" s="28">
        <v>18883143</v>
      </c>
    </row>
    <row r="2718" spans="1:17" x14ac:dyDescent="0.35">
      <c r="A2718" t="s">
        <v>8520</v>
      </c>
      <c r="B2718" s="3" t="s">
        <v>102</v>
      </c>
      <c r="G2718" t="s">
        <v>8607</v>
      </c>
      <c r="H2718">
        <v>31</v>
      </c>
      <c r="I2718" t="s">
        <v>9300</v>
      </c>
      <c r="J2718" t="str">
        <f t="shared" si="42"/>
        <v>13F-HR-.31.C5</v>
      </c>
      <c r="K2718" s="5" t="s">
        <v>8622</v>
      </c>
      <c r="L2718" t="s">
        <v>241</v>
      </c>
      <c r="M2718" t="s">
        <v>8623</v>
      </c>
      <c r="N2718" t="s">
        <v>8624</v>
      </c>
      <c r="Q2718" s="28">
        <v>70344</v>
      </c>
    </row>
    <row r="2719" spans="1:17" x14ac:dyDescent="0.35">
      <c r="A2719" t="s">
        <v>8520</v>
      </c>
      <c r="B2719" s="3" t="s">
        <v>102</v>
      </c>
      <c r="G2719" t="s">
        <v>8607</v>
      </c>
      <c r="H2719">
        <v>32</v>
      </c>
      <c r="I2719" t="s">
        <v>9301</v>
      </c>
      <c r="J2719" t="str">
        <f t="shared" si="42"/>
        <v>13F-HR-.32.C6</v>
      </c>
      <c r="K2719" s="5" t="s">
        <v>8625</v>
      </c>
      <c r="L2719" t="s">
        <v>229</v>
      </c>
      <c r="M2719" t="s">
        <v>8626</v>
      </c>
      <c r="N2719" t="s">
        <v>8627</v>
      </c>
      <c r="Q2719" s="28" t="s">
        <v>8628</v>
      </c>
    </row>
    <row r="2720" spans="1:17" x14ac:dyDescent="0.35">
      <c r="A2720" t="s">
        <v>8520</v>
      </c>
      <c r="B2720" s="3" t="s">
        <v>102</v>
      </c>
      <c r="G2720" t="s">
        <v>8607</v>
      </c>
      <c r="H2720">
        <v>33</v>
      </c>
      <c r="I2720" t="s">
        <v>9302</v>
      </c>
      <c r="J2720" t="str">
        <f t="shared" si="42"/>
        <v>13F-HR-.33.C7</v>
      </c>
      <c r="K2720" s="5" t="s">
        <v>8629</v>
      </c>
      <c r="L2720" t="s">
        <v>229</v>
      </c>
      <c r="M2720" t="s">
        <v>8630</v>
      </c>
      <c r="N2720" t="s">
        <v>8631</v>
      </c>
      <c r="Q2720" s="28" t="s">
        <v>8685</v>
      </c>
    </row>
    <row r="2721" spans="1:17" x14ac:dyDescent="0.35">
      <c r="A2721" t="s">
        <v>8520</v>
      </c>
      <c r="B2721" s="3" t="s">
        <v>102</v>
      </c>
      <c r="G2721" t="s">
        <v>8607</v>
      </c>
      <c r="H2721">
        <v>34</v>
      </c>
      <c r="I2721" t="s">
        <v>9303</v>
      </c>
      <c r="J2721" t="str">
        <f t="shared" si="42"/>
        <v>13F-HR-.34.C8</v>
      </c>
      <c r="K2721" s="5" t="s">
        <v>8633</v>
      </c>
      <c r="L2721" t="s">
        <v>4735</v>
      </c>
      <c r="M2721" t="s">
        <v>8634</v>
      </c>
      <c r="N2721" t="s">
        <v>8635</v>
      </c>
      <c r="Q2721" s="28" t="s">
        <v>8632</v>
      </c>
    </row>
    <row r="2722" spans="1:17" x14ac:dyDescent="0.35">
      <c r="A2722" t="s">
        <v>8651</v>
      </c>
      <c r="B2722" s="3" t="s">
        <v>102</v>
      </c>
      <c r="G2722" t="s">
        <v>8607</v>
      </c>
      <c r="H2722">
        <v>35</v>
      </c>
      <c r="I2722" t="s">
        <v>9304</v>
      </c>
      <c r="J2722" t="str">
        <f t="shared" si="42"/>
        <v>135-HR-.35.C9</v>
      </c>
      <c r="K2722" s="5" t="s">
        <v>8637</v>
      </c>
      <c r="L2722" t="s">
        <v>229</v>
      </c>
      <c r="M2722" t="s">
        <v>8638</v>
      </c>
      <c r="N2722" t="s">
        <v>8639</v>
      </c>
      <c r="Q2722" s="28" t="s">
        <v>8636</v>
      </c>
    </row>
    <row r="2723" spans="1:17" x14ac:dyDescent="0.35">
      <c r="A2723" t="s">
        <v>8520</v>
      </c>
      <c r="B2723" s="3" t="s">
        <v>102</v>
      </c>
      <c r="G2723" t="s">
        <v>8607</v>
      </c>
      <c r="H2723">
        <v>36</v>
      </c>
      <c r="I2723" t="s">
        <v>9305</v>
      </c>
      <c r="J2723" t="str">
        <f t="shared" si="42"/>
        <v>13F-HR-.36.C10</v>
      </c>
      <c r="K2723" s="5" t="s">
        <v>8640</v>
      </c>
      <c r="L2723" t="s">
        <v>241</v>
      </c>
      <c r="M2723" t="s">
        <v>8641</v>
      </c>
      <c r="N2723" t="s">
        <v>8642</v>
      </c>
      <c r="Q2723" s="28">
        <v>0</v>
      </c>
    </row>
    <row r="2724" spans="1:17" x14ac:dyDescent="0.35">
      <c r="A2724" t="s">
        <v>8520</v>
      </c>
      <c r="B2724" s="3" t="s">
        <v>102</v>
      </c>
      <c r="G2724" t="s">
        <v>8607</v>
      </c>
      <c r="H2724">
        <v>37</v>
      </c>
      <c r="I2724" t="s">
        <v>9306</v>
      </c>
      <c r="J2724" t="str">
        <f t="shared" si="42"/>
        <v>13F-HR-.37.C11</v>
      </c>
      <c r="K2724" s="5" t="s">
        <v>8643</v>
      </c>
      <c r="L2724" t="s">
        <v>241</v>
      </c>
      <c r="M2724" t="s">
        <v>8644</v>
      </c>
      <c r="N2724" t="s">
        <v>8645</v>
      </c>
      <c r="Q2724" s="28">
        <v>0</v>
      </c>
    </row>
    <row r="2725" spans="1:17" x14ac:dyDescent="0.35">
      <c r="A2725" t="s">
        <v>8520</v>
      </c>
      <c r="B2725" s="3" t="s">
        <v>102</v>
      </c>
      <c r="G2725" t="s">
        <v>8607</v>
      </c>
      <c r="H2725">
        <v>38</v>
      </c>
      <c r="I2725" t="s">
        <v>9307</v>
      </c>
      <c r="J2725" t="str">
        <f t="shared" si="42"/>
        <v>13F-HR-.38.C12</v>
      </c>
      <c r="K2725" s="5" t="s">
        <v>8646</v>
      </c>
      <c r="L2725" t="s">
        <v>241</v>
      </c>
      <c r="M2725" t="s">
        <v>8647</v>
      </c>
      <c r="N2725" t="s">
        <v>8648</v>
      </c>
      <c r="Q2725" s="28">
        <v>70344</v>
      </c>
    </row>
    <row r="2726" spans="1:17" x14ac:dyDescent="0.35">
      <c r="A2726" t="s">
        <v>8520</v>
      </c>
      <c r="B2726" s="3" t="s">
        <v>102</v>
      </c>
      <c r="F2726">
        <v>5</v>
      </c>
      <c r="G2726" t="s">
        <v>8607</v>
      </c>
      <c r="H2726">
        <v>27</v>
      </c>
      <c r="I2726" t="s">
        <v>9296</v>
      </c>
      <c r="J2726" t="str">
        <f t="shared" si="42"/>
        <v>13F-HR-5.27.C1</v>
      </c>
      <c r="K2726" s="5" t="s">
        <v>8608</v>
      </c>
      <c r="L2726" t="s">
        <v>229</v>
      </c>
      <c r="M2726" t="s">
        <v>8609</v>
      </c>
      <c r="N2726" t="s">
        <v>8610</v>
      </c>
      <c r="Q2726" s="28" t="s">
        <v>8999</v>
      </c>
    </row>
    <row r="2727" spans="1:17" x14ac:dyDescent="0.35">
      <c r="A2727" t="s">
        <v>8520</v>
      </c>
      <c r="B2727" s="3" t="s">
        <v>102</v>
      </c>
      <c r="F2727">
        <v>5</v>
      </c>
      <c r="G2727" t="s">
        <v>8607</v>
      </c>
      <c r="H2727">
        <v>28</v>
      </c>
      <c r="I2727" t="s">
        <v>9297</v>
      </c>
      <c r="J2727" t="str">
        <f t="shared" si="42"/>
        <v>13F-HR-5.28.C2</v>
      </c>
      <c r="K2727" s="5" t="s">
        <v>8612</v>
      </c>
      <c r="L2727" t="s">
        <v>229</v>
      </c>
      <c r="M2727" t="s">
        <v>8613</v>
      </c>
      <c r="N2727" t="s">
        <v>8614</v>
      </c>
      <c r="Q2727" s="28" t="s">
        <v>8615</v>
      </c>
    </row>
    <row r="2728" spans="1:17" x14ac:dyDescent="0.35">
      <c r="A2728" t="s">
        <v>8520</v>
      </c>
      <c r="B2728" s="3" t="s">
        <v>102</v>
      </c>
      <c r="F2728">
        <v>5</v>
      </c>
      <c r="G2728" t="s">
        <v>8607</v>
      </c>
      <c r="H2728">
        <v>29</v>
      </c>
      <c r="I2728" t="s">
        <v>9298</v>
      </c>
      <c r="J2728" t="str">
        <f t="shared" si="42"/>
        <v>13F-HR-5.29.C3</v>
      </c>
      <c r="K2728" s="5" t="s">
        <v>8616</v>
      </c>
      <c r="L2728" t="s">
        <v>229</v>
      </c>
      <c r="M2728" t="s">
        <v>7927</v>
      </c>
      <c r="N2728" t="s">
        <v>8617</v>
      </c>
      <c r="Q2728" s="28">
        <v>803607100</v>
      </c>
    </row>
    <row r="2729" spans="1:17" x14ac:dyDescent="0.35">
      <c r="A2729" t="s">
        <v>8520</v>
      </c>
      <c r="B2729" s="3" t="s">
        <v>102</v>
      </c>
      <c r="F2729">
        <v>5</v>
      </c>
      <c r="G2729" t="s">
        <v>8607</v>
      </c>
      <c r="H2729">
        <v>30</v>
      </c>
      <c r="I2729" t="s">
        <v>9299</v>
      </c>
      <c r="J2729" t="str">
        <f t="shared" si="42"/>
        <v>13F-HR-5.30.C4</v>
      </c>
      <c r="K2729" s="5" t="s">
        <v>8618</v>
      </c>
      <c r="L2729" t="s">
        <v>8619</v>
      </c>
      <c r="M2729" t="s">
        <v>8620</v>
      </c>
      <c r="N2729" t="s">
        <v>8621</v>
      </c>
      <c r="Q2729" s="28">
        <v>1754412</v>
      </c>
    </row>
    <row r="2730" spans="1:17" x14ac:dyDescent="0.35">
      <c r="A2730" t="s">
        <v>8520</v>
      </c>
      <c r="B2730" s="3" t="s">
        <v>102</v>
      </c>
      <c r="F2730">
        <v>5</v>
      </c>
      <c r="G2730" t="s">
        <v>8607</v>
      </c>
      <c r="H2730">
        <v>31</v>
      </c>
      <c r="I2730" t="s">
        <v>9300</v>
      </c>
      <c r="J2730" t="str">
        <f t="shared" si="42"/>
        <v>13F-HR-5.31.C5</v>
      </c>
      <c r="K2730" s="5" t="s">
        <v>8622</v>
      </c>
      <c r="L2730" t="s">
        <v>241</v>
      </c>
      <c r="M2730" t="s">
        <v>8623</v>
      </c>
      <c r="N2730" t="s">
        <v>8624</v>
      </c>
      <c r="Q2730" s="28">
        <v>27490</v>
      </c>
    </row>
    <row r="2731" spans="1:17" x14ac:dyDescent="0.35">
      <c r="A2731" t="s">
        <v>8520</v>
      </c>
      <c r="B2731" s="3" t="s">
        <v>102</v>
      </c>
      <c r="F2731">
        <v>5</v>
      </c>
      <c r="G2731" t="s">
        <v>8607</v>
      </c>
      <c r="H2731">
        <v>32</v>
      </c>
      <c r="I2731" t="s">
        <v>9301</v>
      </c>
      <c r="J2731" t="str">
        <f t="shared" si="42"/>
        <v>13F-HR-5.32.C6</v>
      </c>
      <c r="K2731" s="5" t="s">
        <v>8625</v>
      </c>
      <c r="L2731" t="s">
        <v>229</v>
      </c>
      <c r="M2731" t="s">
        <v>8626</v>
      </c>
      <c r="N2731" t="s">
        <v>8627</v>
      </c>
      <c r="Q2731" s="28" t="s">
        <v>8628</v>
      </c>
    </row>
    <row r="2732" spans="1:17" x14ac:dyDescent="0.35">
      <c r="A2732" t="s">
        <v>8520</v>
      </c>
      <c r="B2732" s="3" t="s">
        <v>102</v>
      </c>
      <c r="F2732">
        <v>5</v>
      </c>
      <c r="G2732" t="s">
        <v>8607</v>
      </c>
      <c r="H2732">
        <v>33</v>
      </c>
      <c r="I2732" t="s">
        <v>9302</v>
      </c>
      <c r="J2732" t="str">
        <f t="shared" si="42"/>
        <v>13F-HR-5.33.C7</v>
      </c>
      <c r="K2732" s="5" t="s">
        <v>8629</v>
      </c>
      <c r="L2732" t="s">
        <v>229</v>
      </c>
      <c r="M2732" t="s">
        <v>8630</v>
      </c>
      <c r="N2732" t="s">
        <v>8631</v>
      </c>
      <c r="Q2732" s="28" t="s">
        <v>8685</v>
      </c>
    </row>
    <row r="2733" spans="1:17" x14ac:dyDescent="0.35">
      <c r="A2733" t="s">
        <v>8520</v>
      </c>
      <c r="B2733" s="3" t="s">
        <v>102</v>
      </c>
      <c r="F2733">
        <v>5</v>
      </c>
      <c r="G2733" t="s">
        <v>8607</v>
      </c>
      <c r="H2733">
        <v>34</v>
      </c>
      <c r="I2733" t="s">
        <v>9303</v>
      </c>
      <c r="J2733" t="str">
        <f t="shared" si="42"/>
        <v>13F-HR-5.34.C8</v>
      </c>
      <c r="K2733" s="5" t="s">
        <v>8633</v>
      </c>
      <c r="L2733" t="s">
        <v>4735</v>
      </c>
      <c r="M2733" t="s">
        <v>8634</v>
      </c>
      <c r="N2733" t="s">
        <v>8635</v>
      </c>
      <c r="Q2733" s="28" t="s">
        <v>8632</v>
      </c>
    </row>
    <row r="2734" spans="1:17" x14ac:dyDescent="0.35">
      <c r="A2734" t="s">
        <v>8520</v>
      </c>
      <c r="B2734" s="3" t="s">
        <v>102</v>
      </c>
      <c r="F2734">
        <v>5</v>
      </c>
      <c r="G2734" t="s">
        <v>8607</v>
      </c>
      <c r="H2734">
        <v>35</v>
      </c>
      <c r="I2734" t="s">
        <v>9304</v>
      </c>
      <c r="J2734" t="str">
        <f t="shared" si="42"/>
        <v>13F-HR-5.35.C9</v>
      </c>
      <c r="K2734" s="5" t="s">
        <v>8637</v>
      </c>
      <c r="L2734" t="s">
        <v>229</v>
      </c>
      <c r="M2734" t="s">
        <v>8638</v>
      </c>
      <c r="N2734" t="s">
        <v>8639</v>
      </c>
      <c r="Q2734" s="28" t="s">
        <v>8636</v>
      </c>
    </row>
    <row r="2735" spans="1:17" x14ac:dyDescent="0.35">
      <c r="A2735" t="s">
        <v>8520</v>
      </c>
      <c r="B2735" s="3" t="s">
        <v>102</v>
      </c>
      <c r="F2735">
        <v>5</v>
      </c>
      <c r="G2735" t="s">
        <v>8607</v>
      </c>
      <c r="H2735">
        <v>36</v>
      </c>
      <c r="I2735" t="s">
        <v>9305</v>
      </c>
      <c r="J2735" t="str">
        <f t="shared" si="42"/>
        <v>13F-HR-5.36.C10</v>
      </c>
      <c r="K2735" s="5" t="s">
        <v>8640</v>
      </c>
      <c r="L2735" t="s">
        <v>241</v>
      </c>
      <c r="M2735" t="s">
        <v>8641</v>
      </c>
      <c r="N2735" t="s">
        <v>8642</v>
      </c>
      <c r="Q2735" s="28">
        <v>27072</v>
      </c>
    </row>
    <row r="2736" spans="1:17" x14ac:dyDescent="0.35">
      <c r="A2736" t="s">
        <v>8520</v>
      </c>
      <c r="B2736" s="3" t="s">
        <v>102</v>
      </c>
      <c r="F2736">
        <v>5</v>
      </c>
      <c r="G2736" t="s">
        <v>8607</v>
      </c>
      <c r="H2736">
        <v>37</v>
      </c>
      <c r="I2736" t="s">
        <v>9306</v>
      </c>
      <c r="J2736" t="str">
        <f t="shared" si="42"/>
        <v>13F-HR-5.37.C11</v>
      </c>
      <c r="K2736" s="5" t="s">
        <v>8643</v>
      </c>
      <c r="L2736" t="s">
        <v>241</v>
      </c>
      <c r="M2736" t="s">
        <v>8644</v>
      </c>
      <c r="N2736" t="s">
        <v>8645</v>
      </c>
      <c r="Q2736" s="28">
        <v>0</v>
      </c>
    </row>
    <row r="2737" spans="1:17" x14ac:dyDescent="0.35">
      <c r="A2737" t="s">
        <v>8520</v>
      </c>
      <c r="B2737" s="3" t="s">
        <v>102</v>
      </c>
      <c r="F2737">
        <v>5</v>
      </c>
      <c r="G2737" t="s">
        <v>8607</v>
      </c>
      <c r="H2737">
        <v>38</v>
      </c>
      <c r="I2737" t="s">
        <v>9307</v>
      </c>
      <c r="J2737" t="str">
        <f t="shared" si="42"/>
        <v>13F-HR-5.38.C12</v>
      </c>
      <c r="K2737" s="5" t="s">
        <v>8646</v>
      </c>
      <c r="L2737" t="s">
        <v>241</v>
      </c>
      <c r="M2737" t="s">
        <v>8647</v>
      </c>
      <c r="N2737" t="s">
        <v>8648</v>
      </c>
      <c r="Q2737" s="28">
        <v>418</v>
      </c>
    </row>
    <row r="2738" spans="1:17" x14ac:dyDescent="0.35">
      <c r="A2738" t="s">
        <v>8520</v>
      </c>
      <c r="B2738" s="3" t="s">
        <v>102</v>
      </c>
      <c r="F2738">
        <v>5</v>
      </c>
      <c r="G2738" t="s">
        <v>8607</v>
      </c>
      <c r="H2738">
        <v>27</v>
      </c>
      <c r="I2738" t="s">
        <v>9296</v>
      </c>
      <c r="J2738" t="str">
        <f t="shared" si="42"/>
        <v>13F-HR-5.27.C1</v>
      </c>
      <c r="K2738" s="5" t="s">
        <v>8608</v>
      </c>
      <c r="L2738" t="s">
        <v>229</v>
      </c>
      <c r="M2738" t="s">
        <v>8609</v>
      </c>
      <c r="N2738" t="s">
        <v>8610</v>
      </c>
      <c r="Q2738" s="28" t="s">
        <v>9000</v>
      </c>
    </row>
    <row r="2739" spans="1:17" x14ac:dyDescent="0.35">
      <c r="A2739" t="s">
        <v>8520</v>
      </c>
      <c r="B2739" s="3" t="s">
        <v>102</v>
      </c>
      <c r="F2739">
        <v>5</v>
      </c>
      <c r="G2739" t="s">
        <v>8607</v>
      </c>
      <c r="H2739">
        <v>28</v>
      </c>
      <c r="I2739" t="s">
        <v>9297</v>
      </c>
      <c r="J2739" t="str">
        <f t="shared" si="42"/>
        <v>13F-HR-5.28.C2</v>
      </c>
      <c r="K2739" s="5" t="s">
        <v>8612</v>
      </c>
      <c r="L2739" t="s">
        <v>229</v>
      </c>
      <c r="M2739" t="s">
        <v>8613</v>
      </c>
      <c r="N2739" t="s">
        <v>8614</v>
      </c>
      <c r="Q2739" s="28" t="s">
        <v>9001</v>
      </c>
    </row>
    <row r="2740" spans="1:17" x14ac:dyDescent="0.35">
      <c r="A2740" t="s">
        <v>8520</v>
      </c>
      <c r="B2740" s="3" t="s">
        <v>102</v>
      </c>
      <c r="F2740">
        <v>5</v>
      </c>
      <c r="G2740" t="s">
        <v>8607</v>
      </c>
      <c r="H2740">
        <v>29</v>
      </c>
      <c r="I2740" t="s">
        <v>9298</v>
      </c>
      <c r="J2740" t="str">
        <f t="shared" si="42"/>
        <v>13F-HR-5.29.C3</v>
      </c>
      <c r="K2740" s="5" t="s">
        <v>8616</v>
      </c>
      <c r="L2740" t="s">
        <v>229</v>
      </c>
      <c r="M2740" t="s">
        <v>7927</v>
      </c>
      <c r="N2740" t="s">
        <v>8617</v>
      </c>
      <c r="Q2740" s="28">
        <v>806857108</v>
      </c>
    </row>
    <row r="2741" spans="1:17" x14ac:dyDescent="0.35">
      <c r="A2741" t="s">
        <v>8520</v>
      </c>
      <c r="B2741" s="3" t="s">
        <v>102</v>
      </c>
      <c r="F2741">
        <v>5</v>
      </c>
      <c r="G2741" t="s">
        <v>8607</v>
      </c>
      <c r="H2741">
        <v>30</v>
      </c>
      <c r="I2741" t="s">
        <v>9299</v>
      </c>
      <c r="J2741" t="str">
        <f t="shared" si="42"/>
        <v>13F-HR-5.30.C4</v>
      </c>
      <c r="K2741" s="5" t="s">
        <v>8618</v>
      </c>
      <c r="L2741" t="s">
        <v>8619</v>
      </c>
      <c r="M2741" t="s">
        <v>8620</v>
      </c>
      <c r="N2741" t="s">
        <v>8621</v>
      </c>
      <c r="Q2741" s="28">
        <v>9604010</v>
      </c>
    </row>
    <row r="2742" spans="1:17" x14ac:dyDescent="0.35">
      <c r="A2742" t="s">
        <v>8520</v>
      </c>
      <c r="B2742" s="3" t="s">
        <v>102</v>
      </c>
      <c r="F2742">
        <v>5</v>
      </c>
      <c r="G2742" t="s">
        <v>8607</v>
      </c>
      <c r="H2742">
        <v>31</v>
      </c>
      <c r="I2742" t="s">
        <v>9300</v>
      </c>
      <c r="J2742" t="str">
        <f t="shared" si="42"/>
        <v>13F-HR-5.31.C5</v>
      </c>
      <c r="K2742" s="5" t="s">
        <v>8622</v>
      </c>
      <c r="L2742" t="s">
        <v>241</v>
      </c>
      <c r="M2742" t="s">
        <v>8623</v>
      </c>
      <c r="N2742" t="s">
        <v>8624</v>
      </c>
      <c r="Q2742" s="28">
        <v>229761</v>
      </c>
    </row>
    <row r="2743" spans="1:17" x14ac:dyDescent="0.35">
      <c r="A2743" t="s">
        <v>8520</v>
      </c>
      <c r="B2743" s="3" t="s">
        <v>102</v>
      </c>
      <c r="F2743">
        <v>5</v>
      </c>
      <c r="G2743" t="s">
        <v>8607</v>
      </c>
      <c r="H2743">
        <v>32</v>
      </c>
      <c r="I2743" t="s">
        <v>9301</v>
      </c>
      <c r="J2743" t="str">
        <f t="shared" si="42"/>
        <v>13F-HR-5.32.C6</v>
      </c>
      <c r="K2743" s="5" t="s">
        <v>8625</v>
      </c>
      <c r="L2743" t="s">
        <v>229</v>
      </c>
      <c r="M2743" t="s">
        <v>8626</v>
      </c>
      <c r="N2743" t="s">
        <v>8627</v>
      </c>
      <c r="Q2743" s="28" t="s">
        <v>8628</v>
      </c>
    </row>
    <row r="2744" spans="1:17" x14ac:dyDescent="0.35">
      <c r="A2744" t="s">
        <v>8520</v>
      </c>
      <c r="B2744" s="3" t="s">
        <v>102</v>
      </c>
      <c r="F2744">
        <v>5</v>
      </c>
      <c r="G2744" t="s">
        <v>8607</v>
      </c>
      <c r="H2744">
        <v>33</v>
      </c>
      <c r="I2744" t="s">
        <v>9302</v>
      </c>
      <c r="J2744" t="str">
        <f t="shared" si="42"/>
        <v>13F-HR-5.33.C7</v>
      </c>
      <c r="K2744" s="5" t="s">
        <v>8629</v>
      </c>
      <c r="L2744" t="s">
        <v>229</v>
      </c>
      <c r="M2744" t="s">
        <v>8630</v>
      </c>
      <c r="N2744" t="s">
        <v>8631</v>
      </c>
      <c r="Q2744" s="28" t="s">
        <v>8685</v>
      </c>
    </row>
    <row r="2745" spans="1:17" x14ac:dyDescent="0.35">
      <c r="A2745" t="s">
        <v>8520</v>
      </c>
      <c r="B2745" s="3" t="s">
        <v>102</v>
      </c>
      <c r="F2745">
        <v>5</v>
      </c>
      <c r="G2745" t="s">
        <v>8607</v>
      </c>
      <c r="H2745">
        <v>34</v>
      </c>
      <c r="I2745" t="s">
        <v>9303</v>
      </c>
      <c r="J2745" t="str">
        <f t="shared" si="42"/>
        <v>13F-HR-5.34.C8</v>
      </c>
      <c r="K2745" s="5" t="s">
        <v>8633</v>
      </c>
      <c r="L2745" t="s">
        <v>4735</v>
      </c>
      <c r="M2745" t="s">
        <v>8634</v>
      </c>
      <c r="N2745" t="s">
        <v>8635</v>
      </c>
      <c r="Q2745" s="28" t="s">
        <v>8632</v>
      </c>
    </row>
    <row r="2746" spans="1:17" x14ac:dyDescent="0.35">
      <c r="A2746" t="s">
        <v>8520</v>
      </c>
      <c r="B2746" s="3" t="s">
        <v>102</v>
      </c>
      <c r="F2746">
        <v>5</v>
      </c>
      <c r="G2746" t="s">
        <v>8607</v>
      </c>
      <c r="H2746">
        <v>35</v>
      </c>
      <c r="I2746" t="s">
        <v>9304</v>
      </c>
      <c r="J2746" t="str">
        <f t="shared" si="42"/>
        <v>13F-HR-5.35.C9</v>
      </c>
      <c r="K2746" s="5" t="s">
        <v>8637</v>
      </c>
      <c r="L2746" t="s">
        <v>229</v>
      </c>
      <c r="M2746" t="s">
        <v>8638</v>
      </c>
      <c r="N2746" t="s">
        <v>8639</v>
      </c>
      <c r="Q2746" s="28" t="s">
        <v>8636</v>
      </c>
    </row>
    <row r="2747" spans="1:17" x14ac:dyDescent="0.35">
      <c r="A2747" t="s">
        <v>8520</v>
      </c>
      <c r="B2747" s="3" t="s">
        <v>102</v>
      </c>
      <c r="F2747">
        <v>5</v>
      </c>
      <c r="G2747" t="s">
        <v>8607</v>
      </c>
      <c r="H2747">
        <v>36</v>
      </c>
      <c r="I2747" t="s">
        <v>9305</v>
      </c>
      <c r="J2747" t="str">
        <f t="shared" si="42"/>
        <v>13F-HR-5.36.C10</v>
      </c>
      <c r="K2747" s="5" t="s">
        <v>8640</v>
      </c>
      <c r="L2747" t="s">
        <v>241</v>
      </c>
      <c r="M2747" t="s">
        <v>8641</v>
      </c>
      <c r="N2747" t="s">
        <v>8642</v>
      </c>
      <c r="Q2747" s="28">
        <v>171232</v>
      </c>
    </row>
    <row r="2748" spans="1:17" x14ac:dyDescent="0.35">
      <c r="A2748" t="s">
        <v>8520</v>
      </c>
      <c r="B2748" s="3" t="s">
        <v>102</v>
      </c>
      <c r="F2748">
        <v>5</v>
      </c>
      <c r="G2748" t="s">
        <v>8607</v>
      </c>
      <c r="H2748">
        <v>37</v>
      </c>
      <c r="I2748" t="s">
        <v>9306</v>
      </c>
      <c r="J2748" t="str">
        <f t="shared" si="42"/>
        <v>13F-HR-5.37.C11</v>
      </c>
      <c r="K2748" s="5" t="s">
        <v>8643</v>
      </c>
      <c r="L2748" t="s">
        <v>241</v>
      </c>
      <c r="M2748" t="s">
        <v>8644</v>
      </c>
      <c r="N2748" t="s">
        <v>8645</v>
      </c>
      <c r="Q2748" s="28">
        <v>0</v>
      </c>
    </row>
    <row r="2749" spans="1:17" x14ac:dyDescent="0.35">
      <c r="A2749" t="s">
        <v>8520</v>
      </c>
      <c r="B2749" s="3" t="s">
        <v>102</v>
      </c>
      <c r="F2749">
        <v>5</v>
      </c>
      <c r="G2749" t="s">
        <v>8607</v>
      </c>
      <c r="H2749">
        <v>38</v>
      </c>
      <c r="I2749" t="s">
        <v>9307</v>
      </c>
      <c r="J2749" t="str">
        <f t="shared" si="42"/>
        <v>13F-HR-5.38.C12</v>
      </c>
      <c r="K2749" s="5" t="s">
        <v>8646</v>
      </c>
      <c r="L2749" t="s">
        <v>241</v>
      </c>
      <c r="M2749" t="s">
        <v>8647</v>
      </c>
      <c r="N2749" t="s">
        <v>8648</v>
      </c>
      <c r="Q2749" s="28">
        <v>58529</v>
      </c>
    </row>
    <row r="2750" spans="1:17" x14ac:dyDescent="0.35">
      <c r="A2750" t="s">
        <v>8520</v>
      </c>
      <c r="B2750" s="3" t="s">
        <v>102</v>
      </c>
      <c r="F2750">
        <v>5</v>
      </c>
      <c r="G2750" t="s">
        <v>8607</v>
      </c>
      <c r="H2750">
        <v>27</v>
      </c>
      <c r="I2750" t="s">
        <v>9296</v>
      </c>
      <c r="J2750" t="str">
        <f t="shared" si="42"/>
        <v>13F-HR-5.27.C1</v>
      </c>
      <c r="K2750" s="5" t="s">
        <v>8608</v>
      </c>
      <c r="L2750" t="s">
        <v>229</v>
      </c>
      <c r="M2750" t="s">
        <v>8609</v>
      </c>
      <c r="N2750" t="s">
        <v>8610</v>
      </c>
      <c r="Q2750" s="28" t="s">
        <v>9002</v>
      </c>
    </row>
    <row r="2751" spans="1:17" x14ac:dyDescent="0.35">
      <c r="A2751" t="s">
        <v>8520</v>
      </c>
      <c r="B2751" s="3" t="s">
        <v>102</v>
      </c>
      <c r="F2751">
        <v>5</v>
      </c>
      <c r="G2751" t="s">
        <v>8607</v>
      </c>
      <c r="H2751">
        <v>28</v>
      </c>
      <c r="I2751" t="s">
        <v>9297</v>
      </c>
      <c r="J2751" t="str">
        <f t="shared" si="42"/>
        <v>13F-HR-5.28.C2</v>
      </c>
      <c r="K2751" s="5" t="s">
        <v>8612</v>
      </c>
      <c r="L2751" t="s">
        <v>229</v>
      </c>
      <c r="M2751" t="s">
        <v>8613</v>
      </c>
      <c r="N2751" t="s">
        <v>8614</v>
      </c>
      <c r="Q2751" s="28" t="s">
        <v>8615</v>
      </c>
    </row>
    <row r="2752" spans="1:17" x14ac:dyDescent="0.35">
      <c r="A2752" t="s">
        <v>8520</v>
      </c>
      <c r="B2752" s="3" t="s">
        <v>102</v>
      </c>
      <c r="F2752">
        <v>5</v>
      </c>
      <c r="G2752" t="s">
        <v>8607</v>
      </c>
      <c r="H2752">
        <v>29</v>
      </c>
      <c r="I2752" t="s">
        <v>9298</v>
      </c>
      <c r="J2752" t="str">
        <f t="shared" si="42"/>
        <v>13F-HR-5.29.C3</v>
      </c>
      <c r="K2752" s="5" t="s">
        <v>8616</v>
      </c>
      <c r="L2752" t="s">
        <v>229</v>
      </c>
      <c r="M2752" t="s">
        <v>7927</v>
      </c>
      <c r="N2752" t="s">
        <v>8617</v>
      </c>
      <c r="Q2752" s="28">
        <v>816851109</v>
      </c>
    </row>
    <row r="2753" spans="1:17" x14ac:dyDescent="0.35">
      <c r="A2753" t="s">
        <v>8520</v>
      </c>
      <c r="B2753" s="3" t="s">
        <v>102</v>
      </c>
      <c r="F2753">
        <v>5</v>
      </c>
      <c r="G2753" t="s">
        <v>8607</v>
      </c>
      <c r="H2753">
        <v>30</v>
      </c>
      <c r="I2753" t="s">
        <v>9299</v>
      </c>
      <c r="J2753" t="str">
        <f t="shared" si="42"/>
        <v>13F-HR-5.30.C4</v>
      </c>
      <c r="K2753" s="5" t="s">
        <v>8618</v>
      </c>
      <c r="L2753" t="s">
        <v>8619</v>
      </c>
      <c r="M2753" t="s">
        <v>8620</v>
      </c>
      <c r="N2753" t="s">
        <v>8621</v>
      </c>
      <c r="Q2753" s="28">
        <v>35908281</v>
      </c>
    </row>
    <row r="2754" spans="1:17" x14ac:dyDescent="0.35">
      <c r="A2754" t="s">
        <v>8520</v>
      </c>
      <c r="B2754" s="3" t="s">
        <v>102</v>
      </c>
      <c r="F2754">
        <v>5</v>
      </c>
      <c r="G2754" t="s">
        <v>8607</v>
      </c>
      <c r="H2754">
        <v>31</v>
      </c>
      <c r="I2754" t="s">
        <v>9300</v>
      </c>
      <c r="J2754" t="str">
        <f t="shared" si="42"/>
        <v>13F-HR-5.31.C5</v>
      </c>
      <c r="K2754" s="5" t="s">
        <v>8622</v>
      </c>
      <c r="L2754" t="s">
        <v>241</v>
      </c>
      <c r="M2754" t="s">
        <v>8623</v>
      </c>
      <c r="N2754" t="s">
        <v>8624</v>
      </c>
      <c r="Q2754" s="28">
        <v>503199</v>
      </c>
    </row>
    <row r="2755" spans="1:17" x14ac:dyDescent="0.35">
      <c r="A2755" t="s">
        <v>8520</v>
      </c>
      <c r="B2755" s="3" t="s">
        <v>102</v>
      </c>
      <c r="F2755">
        <v>5</v>
      </c>
      <c r="G2755" t="s">
        <v>8607</v>
      </c>
      <c r="H2755">
        <v>32</v>
      </c>
      <c r="I2755" t="s">
        <v>9301</v>
      </c>
      <c r="J2755" t="str">
        <f t="shared" ref="J2755:J2818" si="43">_xlfn.CONCAT(A2755,"-",F2755,".",H2755,".",I2755)</f>
        <v>13F-HR-5.32.C6</v>
      </c>
      <c r="K2755" s="5" t="s">
        <v>8625</v>
      </c>
      <c r="L2755" t="s">
        <v>229</v>
      </c>
      <c r="M2755" t="s">
        <v>8626</v>
      </c>
      <c r="N2755" t="s">
        <v>8627</v>
      </c>
      <c r="Q2755" s="28" t="s">
        <v>8628</v>
      </c>
    </row>
    <row r="2756" spans="1:17" x14ac:dyDescent="0.35">
      <c r="A2756" t="s">
        <v>8520</v>
      </c>
      <c r="B2756" s="3" t="s">
        <v>102</v>
      </c>
      <c r="F2756">
        <v>5</v>
      </c>
      <c r="G2756" t="s">
        <v>8607</v>
      </c>
      <c r="H2756">
        <v>33</v>
      </c>
      <c r="I2756" t="s">
        <v>9302</v>
      </c>
      <c r="J2756" t="str">
        <f t="shared" si="43"/>
        <v>13F-HR-5.33.C7</v>
      </c>
      <c r="K2756" s="5" t="s">
        <v>8629</v>
      </c>
      <c r="L2756" t="s">
        <v>229</v>
      </c>
      <c r="M2756" t="s">
        <v>8630</v>
      </c>
      <c r="N2756" t="s">
        <v>8631</v>
      </c>
      <c r="Q2756" s="28" t="s">
        <v>8685</v>
      </c>
    </row>
    <row r="2757" spans="1:17" x14ac:dyDescent="0.35">
      <c r="A2757" t="s">
        <v>8520</v>
      </c>
      <c r="B2757" s="3" t="s">
        <v>102</v>
      </c>
      <c r="F2757">
        <v>5</v>
      </c>
      <c r="G2757" t="s">
        <v>8607</v>
      </c>
      <c r="H2757">
        <v>34</v>
      </c>
      <c r="I2757" t="s">
        <v>9303</v>
      </c>
      <c r="J2757" t="str">
        <f t="shared" si="43"/>
        <v>13F-HR-5.34.C8</v>
      </c>
      <c r="K2757" s="5" t="s">
        <v>8633</v>
      </c>
      <c r="L2757" t="s">
        <v>4735</v>
      </c>
      <c r="M2757" t="s">
        <v>8634</v>
      </c>
      <c r="N2757" t="s">
        <v>8635</v>
      </c>
      <c r="Q2757" s="28" t="s">
        <v>8632</v>
      </c>
    </row>
    <row r="2758" spans="1:17" x14ac:dyDescent="0.35">
      <c r="A2758" t="s">
        <v>8520</v>
      </c>
      <c r="B2758" s="3" t="s">
        <v>102</v>
      </c>
      <c r="F2758">
        <v>5</v>
      </c>
      <c r="G2758" t="s">
        <v>8607</v>
      </c>
      <c r="H2758">
        <v>35</v>
      </c>
      <c r="I2758" t="s">
        <v>9304</v>
      </c>
      <c r="J2758" t="str">
        <f t="shared" si="43"/>
        <v>13F-HR-5.35.C9</v>
      </c>
      <c r="K2758" s="5" t="s">
        <v>8637</v>
      </c>
      <c r="L2758" t="s">
        <v>229</v>
      </c>
      <c r="M2758" t="s">
        <v>8638</v>
      </c>
      <c r="N2758" t="s">
        <v>8639</v>
      </c>
      <c r="Q2758" s="28" t="s">
        <v>8636</v>
      </c>
    </row>
    <row r="2759" spans="1:17" x14ac:dyDescent="0.35">
      <c r="A2759" t="s">
        <v>8520</v>
      </c>
      <c r="B2759" s="3" t="s">
        <v>102</v>
      </c>
      <c r="F2759">
        <v>5</v>
      </c>
      <c r="G2759" t="s">
        <v>8607</v>
      </c>
      <c r="H2759">
        <v>36</v>
      </c>
      <c r="I2759" t="s">
        <v>9305</v>
      </c>
      <c r="J2759" t="str">
        <f t="shared" si="43"/>
        <v>13F-HR-5.36.C10</v>
      </c>
      <c r="K2759" s="5" t="s">
        <v>8640</v>
      </c>
      <c r="L2759" t="s">
        <v>241</v>
      </c>
      <c r="M2759" t="s">
        <v>8641</v>
      </c>
      <c r="N2759" t="s">
        <v>8642</v>
      </c>
      <c r="Q2759" s="28">
        <v>229125</v>
      </c>
    </row>
    <row r="2760" spans="1:17" x14ac:dyDescent="0.35">
      <c r="A2760" t="s">
        <v>8520</v>
      </c>
      <c r="B2760" s="3" t="s">
        <v>102</v>
      </c>
      <c r="F2760">
        <v>5</v>
      </c>
      <c r="G2760" t="s">
        <v>8607</v>
      </c>
      <c r="H2760">
        <v>37</v>
      </c>
      <c r="I2760" t="s">
        <v>9306</v>
      </c>
      <c r="J2760" t="str">
        <f t="shared" si="43"/>
        <v>13F-HR-5.37.C11</v>
      </c>
      <c r="K2760" s="5" t="s">
        <v>8643</v>
      </c>
      <c r="L2760" t="s">
        <v>241</v>
      </c>
      <c r="M2760" t="s">
        <v>8644</v>
      </c>
      <c r="N2760" t="s">
        <v>8645</v>
      </c>
      <c r="Q2760" s="28">
        <v>0</v>
      </c>
    </row>
    <row r="2761" spans="1:17" x14ac:dyDescent="0.35">
      <c r="A2761" t="s">
        <v>8520</v>
      </c>
      <c r="B2761" s="3" t="s">
        <v>102</v>
      </c>
      <c r="F2761">
        <v>5</v>
      </c>
      <c r="G2761" t="s">
        <v>8607</v>
      </c>
      <c r="H2761">
        <v>38</v>
      </c>
      <c r="I2761" t="s">
        <v>9307</v>
      </c>
      <c r="J2761" t="str">
        <f t="shared" si="43"/>
        <v>13F-HR-5.38.C12</v>
      </c>
      <c r="K2761" s="5" t="s">
        <v>8646</v>
      </c>
      <c r="L2761" t="s">
        <v>241</v>
      </c>
      <c r="M2761" t="s">
        <v>8647</v>
      </c>
      <c r="N2761" t="s">
        <v>8648</v>
      </c>
      <c r="Q2761" s="28">
        <v>274074</v>
      </c>
    </row>
    <row r="2762" spans="1:17" x14ac:dyDescent="0.35">
      <c r="A2762" t="s">
        <v>8520</v>
      </c>
      <c r="B2762" s="3" t="s">
        <v>102</v>
      </c>
      <c r="F2762">
        <v>5</v>
      </c>
      <c r="G2762" t="s">
        <v>8607</v>
      </c>
      <c r="H2762">
        <v>27</v>
      </c>
      <c r="I2762" t="s">
        <v>9296</v>
      </c>
      <c r="J2762" t="str">
        <f t="shared" si="43"/>
        <v>13F-HR-5.27.C1</v>
      </c>
      <c r="K2762" s="5" t="s">
        <v>8608</v>
      </c>
      <c r="L2762" t="s">
        <v>229</v>
      </c>
      <c r="M2762" t="s">
        <v>8609</v>
      </c>
      <c r="N2762" t="s">
        <v>8610</v>
      </c>
      <c r="Q2762" s="28" t="s">
        <v>9003</v>
      </c>
    </row>
    <row r="2763" spans="1:17" x14ac:dyDescent="0.35">
      <c r="A2763" t="s">
        <v>8520</v>
      </c>
      <c r="B2763" s="3" t="s">
        <v>102</v>
      </c>
      <c r="F2763">
        <v>5</v>
      </c>
      <c r="G2763" t="s">
        <v>8607</v>
      </c>
      <c r="H2763">
        <v>28</v>
      </c>
      <c r="I2763" t="s">
        <v>9297</v>
      </c>
      <c r="J2763" t="str">
        <f t="shared" si="43"/>
        <v>13F-HR-5.28.C2</v>
      </c>
      <c r="K2763" s="5" t="s">
        <v>8612</v>
      </c>
      <c r="L2763" t="s">
        <v>229</v>
      </c>
      <c r="M2763" t="s">
        <v>8613</v>
      </c>
      <c r="N2763" t="s">
        <v>8614</v>
      </c>
      <c r="Q2763" s="28" t="s">
        <v>8615</v>
      </c>
    </row>
    <row r="2764" spans="1:17" x14ac:dyDescent="0.35">
      <c r="A2764" t="s">
        <v>8520</v>
      </c>
      <c r="B2764" s="3" t="s">
        <v>102</v>
      </c>
      <c r="F2764">
        <v>5</v>
      </c>
      <c r="G2764" t="s">
        <v>8607</v>
      </c>
      <c r="H2764">
        <v>29</v>
      </c>
      <c r="I2764" t="s">
        <v>9298</v>
      </c>
      <c r="J2764" t="str">
        <f t="shared" si="43"/>
        <v>13F-HR-5.29.C3</v>
      </c>
      <c r="K2764" s="5" t="s">
        <v>8616</v>
      </c>
      <c r="L2764" t="s">
        <v>229</v>
      </c>
      <c r="M2764" t="s">
        <v>7927</v>
      </c>
      <c r="N2764" t="s">
        <v>8617</v>
      </c>
      <c r="Q2764" s="28">
        <v>817565104</v>
      </c>
    </row>
    <row r="2765" spans="1:17" x14ac:dyDescent="0.35">
      <c r="A2765" t="s">
        <v>8520</v>
      </c>
      <c r="B2765" s="3" t="s">
        <v>102</v>
      </c>
      <c r="F2765">
        <v>5</v>
      </c>
      <c r="G2765" t="s">
        <v>8607</v>
      </c>
      <c r="H2765">
        <v>30</v>
      </c>
      <c r="I2765" t="s">
        <v>9299</v>
      </c>
      <c r="J2765" t="str">
        <f t="shared" si="43"/>
        <v>13F-HR-5.30.C4</v>
      </c>
      <c r="K2765" s="5" t="s">
        <v>8618</v>
      </c>
      <c r="L2765" t="s">
        <v>8619</v>
      </c>
      <c r="M2765" t="s">
        <v>8620</v>
      </c>
      <c r="N2765" t="s">
        <v>8621</v>
      </c>
      <c r="Q2765" s="28">
        <v>1888790</v>
      </c>
    </row>
    <row r="2766" spans="1:17" x14ac:dyDescent="0.35">
      <c r="A2766" t="s">
        <v>8520</v>
      </c>
      <c r="B2766" s="3" t="s">
        <v>102</v>
      </c>
      <c r="F2766">
        <v>5</v>
      </c>
      <c r="G2766" t="s">
        <v>8607</v>
      </c>
      <c r="H2766">
        <v>31</v>
      </c>
      <c r="I2766" t="s">
        <v>9300</v>
      </c>
      <c r="J2766" t="str">
        <f t="shared" si="43"/>
        <v>13F-HR-5.31.C5</v>
      </c>
      <c r="K2766" s="5" t="s">
        <v>8622</v>
      </c>
      <c r="L2766" t="s">
        <v>241</v>
      </c>
      <c r="M2766" t="s">
        <v>8623</v>
      </c>
      <c r="N2766" t="s">
        <v>8624</v>
      </c>
      <c r="Q2766" s="28">
        <v>23551</v>
      </c>
    </row>
    <row r="2767" spans="1:17" x14ac:dyDescent="0.35">
      <c r="A2767" t="s">
        <v>8520</v>
      </c>
      <c r="B2767" s="3" t="s">
        <v>102</v>
      </c>
      <c r="F2767">
        <v>5</v>
      </c>
      <c r="G2767" t="s">
        <v>8607</v>
      </c>
      <c r="H2767">
        <v>32</v>
      </c>
      <c r="I2767" t="s">
        <v>9301</v>
      </c>
      <c r="J2767" t="str">
        <f t="shared" si="43"/>
        <v>13F-HR-5.32.C6</v>
      </c>
      <c r="K2767" s="5" t="s">
        <v>8625</v>
      </c>
      <c r="L2767" t="s">
        <v>229</v>
      </c>
      <c r="M2767" t="s">
        <v>8626</v>
      </c>
      <c r="N2767" t="s">
        <v>8627</v>
      </c>
      <c r="Q2767" s="28" t="s">
        <v>8628</v>
      </c>
    </row>
    <row r="2768" spans="1:17" x14ac:dyDescent="0.35">
      <c r="A2768" t="s">
        <v>8520</v>
      </c>
      <c r="B2768" s="3" t="s">
        <v>102</v>
      </c>
      <c r="F2768">
        <v>5</v>
      </c>
      <c r="G2768" t="s">
        <v>8607</v>
      </c>
      <c r="H2768">
        <v>33</v>
      </c>
      <c r="I2768" t="s">
        <v>9302</v>
      </c>
      <c r="J2768" t="str">
        <f t="shared" si="43"/>
        <v>13F-HR-5.33.C7</v>
      </c>
      <c r="K2768" s="5" t="s">
        <v>8629</v>
      </c>
      <c r="L2768" t="s">
        <v>229</v>
      </c>
      <c r="M2768" t="s">
        <v>8630</v>
      </c>
      <c r="N2768" t="s">
        <v>8631</v>
      </c>
      <c r="Q2768" s="28" t="s">
        <v>8685</v>
      </c>
    </row>
    <row r="2769" spans="1:17" x14ac:dyDescent="0.35">
      <c r="A2769" t="s">
        <v>8520</v>
      </c>
      <c r="B2769" s="3" t="s">
        <v>102</v>
      </c>
      <c r="F2769">
        <v>5</v>
      </c>
      <c r="G2769" t="s">
        <v>8607</v>
      </c>
      <c r="H2769">
        <v>34</v>
      </c>
      <c r="I2769" t="s">
        <v>9303</v>
      </c>
      <c r="J2769" t="str">
        <f t="shared" si="43"/>
        <v>13F-HR-5.34.C8</v>
      </c>
      <c r="K2769" s="5" t="s">
        <v>8633</v>
      </c>
      <c r="L2769" t="s">
        <v>4735</v>
      </c>
      <c r="M2769" t="s">
        <v>8634</v>
      </c>
      <c r="N2769" t="s">
        <v>8635</v>
      </c>
      <c r="Q2769" s="28" t="s">
        <v>8632</v>
      </c>
    </row>
    <row r="2770" spans="1:17" x14ac:dyDescent="0.35">
      <c r="A2770" t="s">
        <v>8520</v>
      </c>
      <c r="B2770" s="3" t="s">
        <v>102</v>
      </c>
      <c r="F2770">
        <v>5</v>
      </c>
      <c r="G2770" t="s">
        <v>8607</v>
      </c>
      <c r="H2770">
        <v>35</v>
      </c>
      <c r="I2770" t="s">
        <v>9304</v>
      </c>
      <c r="J2770" t="str">
        <f t="shared" si="43"/>
        <v>13F-HR-5.35.C9</v>
      </c>
      <c r="K2770" s="5" t="s">
        <v>8637</v>
      </c>
      <c r="L2770" t="s">
        <v>229</v>
      </c>
      <c r="M2770" t="s">
        <v>8638</v>
      </c>
      <c r="N2770" t="s">
        <v>8639</v>
      </c>
      <c r="Q2770" s="28" t="s">
        <v>8636</v>
      </c>
    </row>
    <row r="2771" spans="1:17" x14ac:dyDescent="0.35">
      <c r="A2771" t="s">
        <v>8520</v>
      </c>
      <c r="B2771" s="3" t="s">
        <v>102</v>
      </c>
      <c r="F2771">
        <v>5</v>
      </c>
      <c r="G2771" t="s">
        <v>8607</v>
      </c>
      <c r="H2771">
        <v>36</v>
      </c>
      <c r="I2771" t="s">
        <v>9305</v>
      </c>
      <c r="J2771" t="str">
        <f t="shared" si="43"/>
        <v>13F-HR-5.36.C10</v>
      </c>
      <c r="K2771" s="5" t="s">
        <v>8640</v>
      </c>
      <c r="L2771" t="s">
        <v>241</v>
      </c>
      <c r="M2771" t="s">
        <v>8641</v>
      </c>
      <c r="N2771" t="s">
        <v>8642</v>
      </c>
      <c r="Q2771" s="28">
        <v>23551</v>
      </c>
    </row>
    <row r="2772" spans="1:17" x14ac:dyDescent="0.35">
      <c r="A2772" t="s">
        <v>8520</v>
      </c>
      <c r="B2772" s="3" t="s">
        <v>102</v>
      </c>
      <c r="F2772">
        <v>5</v>
      </c>
      <c r="G2772" t="s">
        <v>8607</v>
      </c>
      <c r="H2772">
        <v>37</v>
      </c>
      <c r="I2772" t="s">
        <v>9306</v>
      </c>
      <c r="J2772" t="str">
        <f t="shared" si="43"/>
        <v>13F-HR-5.37.C11</v>
      </c>
      <c r="K2772" s="5" t="s">
        <v>8643</v>
      </c>
      <c r="L2772" t="s">
        <v>241</v>
      </c>
      <c r="M2772" t="s">
        <v>8644</v>
      </c>
      <c r="N2772" t="s">
        <v>8645</v>
      </c>
      <c r="Q2772" s="28">
        <v>0</v>
      </c>
    </row>
    <row r="2773" spans="1:17" x14ac:dyDescent="0.35">
      <c r="A2773" t="s">
        <v>8520</v>
      </c>
      <c r="B2773" s="3" t="s">
        <v>102</v>
      </c>
      <c r="F2773">
        <v>5</v>
      </c>
      <c r="G2773" t="s">
        <v>8607</v>
      </c>
      <c r="H2773">
        <v>38</v>
      </c>
      <c r="I2773" t="s">
        <v>9307</v>
      </c>
      <c r="J2773" t="str">
        <f t="shared" si="43"/>
        <v>13F-HR-5.38.C12</v>
      </c>
      <c r="K2773" s="5" t="s">
        <v>8646</v>
      </c>
      <c r="L2773" t="s">
        <v>241</v>
      </c>
      <c r="M2773" t="s">
        <v>8647</v>
      </c>
      <c r="N2773" t="s">
        <v>8648</v>
      </c>
      <c r="Q2773" s="28">
        <v>0</v>
      </c>
    </row>
    <row r="2774" spans="1:17" x14ac:dyDescent="0.35">
      <c r="A2774" t="s">
        <v>8520</v>
      </c>
      <c r="B2774" s="3" t="s">
        <v>102</v>
      </c>
      <c r="F2774">
        <v>5</v>
      </c>
      <c r="G2774" t="s">
        <v>8607</v>
      </c>
      <c r="H2774">
        <v>27</v>
      </c>
      <c r="I2774" t="s">
        <v>9296</v>
      </c>
      <c r="J2774" t="str">
        <f t="shared" si="43"/>
        <v>13F-HR-5.27.C1</v>
      </c>
      <c r="K2774" s="5" t="s">
        <v>8608</v>
      </c>
      <c r="L2774" t="s">
        <v>229</v>
      </c>
      <c r="M2774" t="s">
        <v>8609</v>
      </c>
      <c r="N2774" t="s">
        <v>8610</v>
      </c>
      <c r="Q2774" s="28" t="s">
        <v>9004</v>
      </c>
    </row>
    <row r="2775" spans="1:17" x14ac:dyDescent="0.35">
      <c r="A2775" t="s">
        <v>8520</v>
      </c>
      <c r="B2775" s="3" t="s">
        <v>102</v>
      </c>
      <c r="F2775">
        <v>5</v>
      </c>
      <c r="G2775" t="s">
        <v>8607</v>
      </c>
      <c r="H2775">
        <v>28</v>
      </c>
      <c r="I2775" t="s">
        <v>9297</v>
      </c>
      <c r="J2775" t="str">
        <f t="shared" si="43"/>
        <v>13F-HR-5.28.C2</v>
      </c>
      <c r="K2775" s="5" t="s">
        <v>8612</v>
      </c>
      <c r="L2775" t="s">
        <v>229</v>
      </c>
      <c r="M2775" t="s">
        <v>8613</v>
      </c>
      <c r="N2775" t="s">
        <v>8614</v>
      </c>
      <c r="Q2775" s="28" t="s">
        <v>8615</v>
      </c>
    </row>
    <row r="2776" spans="1:17" x14ac:dyDescent="0.35">
      <c r="A2776" t="s">
        <v>8520</v>
      </c>
      <c r="B2776" s="3" t="s">
        <v>102</v>
      </c>
      <c r="F2776">
        <v>5</v>
      </c>
      <c r="G2776" t="s">
        <v>8607</v>
      </c>
      <c r="H2776">
        <v>29</v>
      </c>
      <c r="I2776" t="s">
        <v>9298</v>
      </c>
      <c r="J2776" t="str">
        <f t="shared" si="43"/>
        <v>13F-HR-5.29.C3</v>
      </c>
      <c r="K2776" s="5" t="s">
        <v>8616</v>
      </c>
      <c r="L2776" t="s">
        <v>229</v>
      </c>
      <c r="M2776" t="s">
        <v>7927</v>
      </c>
      <c r="N2776" t="s">
        <v>8617</v>
      </c>
      <c r="Q2776" s="28" t="s">
        <v>9005</v>
      </c>
    </row>
    <row r="2777" spans="1:17" x14ac:dyDescent="0.35">
      <c r="A2777" t="s">
        <v>8520</v>
      </c>
      <c r="B2777" s="3" t="s">
        <v>102</v>
      </c>
      <c r="F2777">
        <v>5</v>
      </c>
      <c r="G2777" t="s">
        <v>8607</v>
      </c>
      <c r="H2777">
        <v>30</v>
      </c>
      <c r="I2777" t="s">
        <v>9299</v>
      </c>
      <c r="J2777" t="str">
        <f t="shared" si="43"/>
        <v>13F-HR-5.30.C4</v>
      </c>
      <c r="K2777" s="5" t="s">
        <v>8618</v>
      </c>
      <c r="L2777" t="s">
        <v>8619</v>
      </c>
      <c r="M2777" t="s">
        <v>8620</v>
      </c>
      <c r="N2777" t="s">
        <v>8621</v>
      </c>
      <c r="Q2777" s="28">
        <v>39969413</v>
      </c>
    </row>
    <row r="2778" spans="1:17" x14ac:dyDescent="0.35">
      <c r="A2778" t="s">
        <v>8520</v>
      </c>
      <c r="B2778" s="3" t="s">
        <v>102</v>
      </c>
      <c r="F2778">
        <v>5</v>
      </c>
      <c r="G2778" t="s">
        <v>8607</v>
      </c>
      <c r="H2778">
        <v>31</v>
      </c>
      <c r="I2778" t="s">
        <v>9300</v>
      </c>
      <c r="J2778" t="str">
        <f t="shared" si="43"/>
        <v>13F-HR-5.31.C5</v>
      </c>
      <c r="K2778" s="5" t="s">
        <v>8622</v>
      </c>
      <c r="L2778" t="s">
        <v>241</v>
      </c>
      <c r="M2778" t="s">
        <v>8623</v>
      </c>
      <c r="N2778" t="s">
        <v>8624</v>
      </c>
      <c r="Q2778" s="28">
        <v>50204</v>
      </c>
    </row>
    <row r="2779" spans="1:17" x14ac:dyDescent="0.35">
      <c r="A2779" t="s">
        <v>8520</v>
      </c>
      <c r="B2779" s="3" t="s">
        <v>102</v>
      </c>
      <c r="F2779">
        <v>5</v>
      </c>
      <c r="G2779" t="s">
        <v>8607</v>
      </c>
      <c r="H2779">
        <v>32</v>
      </c>
      <c r="I2779" t="s">
        <v>9301</v>
      </c>
      <c r="J2779" t="str">
        <f t="shared" si="43"/>
        <v>13F-HR-5.32.C6</v>
      </c>
      <c r="K2779" s="5" t="s">
        <v>8625</v>
      </c>
      <c r="L2779" t="s">
        <v>229</v>
      </c>
      <c r="M2779" t="s">
        <v>8626</v>
      </c>
      <c r="N2779" t="s">
        <v>8627</v>
      </c>
      <c r="Q2779" s="28" t="s">
        <v>8628</v>
      </c>
    </row>
    <row r="2780" spans="1:17" x14ac:dyDescent="0.35">
      <c r="A2780" t="s">
        <v>8520</v>
      </c>
      <c r="B2780" s="3" t="s">
        <v>102</v>
      </c>
      <c r="F2780">
        <v>5</v>
      </c>
      <c r="G2780" t="s">
        <v>8607</v>
      </c>
      <c r="H2780">
        <v>33</v>
      </c>
      <c r="I2780" t="s">
        <v>9302</v>
      </c>
      <c r="J2780" t="str">
        <f t="shared" si="43"/>
        <v>13F-HR-5.33.C7</v>
      </c>
      <c r="K2780" s="5" t="s">
        <v>8629</v>
      </c>
      <c r="L2780" t="s">
        <v>229</v>
      </c>
      <c r="M2780" t="s">
        <v>8630</v>
      </c>
      <c r="N2780" t="s">
        <v>8631</v>
      </c>
      <c r="Q2780" s="28" t="s">
        <v>8685</v>
      </c>
    </row>
    <row r="2781" spans="1:17" x14ac:dyDescent="0.35">
      <c r="A2781" t="s">
        <v>8520</v>
      </c>
      <c r="B2781" s="3" t="s">
        <v>102</v>
      </c>
      <c r="F2781">
        <v>5</v>
      </c>
      <c r="G2781" t="s">
        <v>8607</v>
      </c>
      <c r="H2781">
        <v>34</v>
      </c>
      <c r="I2781" t="s">
        <v>9303</v>
      </c>
      <c r="J2781" t="str">
        <f t="shared" si="43"/>
        <v>13F-HR-5.34.C8</v>
      </c>
      <c r="K2781" s="5" t="s">
        <v>8633</v>
      </c>
      <c r="L2781" t="s">
        <v>4735</v>
      </c>
      <c r="M2781" t="s">
        <v>8634</v>
      </c>
      <c r="N2781" t="s">
        <v>8635</v>
      </c>
      <c r="Q2781" s="28" t="s">
        <v>8632</v>
      </c>
    </row>
    <row r="2782" spans="1:17" x14ac:dyDescent="0.35">
      <c r="A2782" t="s">
        <v>8520</v>
      </c>
      <c r="B2782" s="3" t="s">
        <v>102</v>
      </c>
      <c r="F2782">
        <v>5</v>
      </c>
      <c r="G2782" t="s">
        <v>8607</v>
      </c>
      <c r="H2782">
        <v>35</v>
      </c>
      <c r="I2782" t="s">
        <v>9304</v>
      </c>
      <c r="J2782" t="str">
        <f t="shared" si="43"/>
        <v>13F-HR-5.35.C9</v>
      </c>
      <c r="K2782" s="5" t="s">
        <v>8637</v>
      </c>
      <c r="L2782" t="s">
        <v>229</v>
      </c>
      <c r="M2782" t="s">
        <v>8638</v>
      </c>
      <c r="N2782" t="s">
        <v>8639</v>
      </c>
      <c r="Q2782" s="28" t="s">
        <v>8636</v>
      </c>
    </row>
    <row r="2783" spans="1:17" x14ac:dyDescent="0.35">
      <c r="A2783" t="s">
        <v>8520</v>
      </c>
      <c r="B2783" s="3" t="s">
        <v>102</v>
      </c>
      <c r="F2783">
        <v>5</v>
      </c>
      <c r="G2783" t="s">
        <v>8607</v>
      </c>
      <c r="H2783">
        <v>36</v>
      </c>
      <c r="I2783" t="s">
        <v>9305</v>
      </c>
      <c r="J2783" t="str">
        <f t="shared" si="43"/>
        <v>13F-HR-5.36.C10</v>
      </c>
      <c r="K2783" s="5" t="s">
        <v>8640</v>
      </c>
      <c r="L2783" t="s">
        <v>241</v>
      </c>
      <c r="M2783" t="s">
        <v>8641</v>
      </c>
      <c r="N2783" t="s">
        <v>8642</v>
      </c>
      <c r="Q2783" s="28">
        <v>49679</v>
      </c>
    </row>
    <row r="2784" spans="1:17" x14ac:dyDescent="0.35">
      <c r="A2784" t="s">
        <v>8520</v>
      </c>
      <c r="B2784" s="3" t="s">
        <v>102</v>
      </c>
      <c r="F2784">
        <v>5</v>
      </c>
      <c r="G2784" t="s">
        <v>8607</v>
      </c>
      <c r="H2784">
        <v>37</v>
      </c>
      <c r="I2784" t="s">
        <v>9306</v>
      </c>
      <c r="J2784" t="str">
        <f t="shared" si="43"/>
        <v>13F-HR-5.37.C11</v>
      </c>
      <c r="K2784" s="5" t="s">
        <v>8643</v>
      </c>
      <c r="L2784" t="s">
        <v>241</v>
      </c>
      <c r="M2784" t="s">
        <v>8644</v>
      </c>
      <c r="N2784" t="s">
        <v>8645</v>
      </c>
      <c r="Q2784" s="28">
        <v>0</v>
      </c>
    </row>
    <row r="2785" spans="1:17" x14ac:dyDescent="0.35">
      <c r="A2785" t="s">
        <v>8520</v>
      </c>
      <c r="B2785" s="3" t="s">
        <v>102</v>
      </c>
      <c r="F2785">
        <v>5</v>
      </c>
      <c r="G2785" t="s">
        <v>8607</v>
      </c>
      <c r="H2785">
        <v>38</v>
      </c>
      <c r="I2785" t="s">
        <v>9307</v>
      </c>
      <c r="J2785" t="str">
        <f t="shared" si="43"/>
        <v>13F-HR-5.38.C12</v>
      </c>
      <c r="K2785" s="5" t="s">
        <v>8646</v>
      </c>
      <c r="L2785" t="s">
        <v>241</v>
      </c>
      <c r="M2785" t="s">
        <v>8647</v>
      </c>
      <c r="N2785" t="s">
        <v>8648</v>
      </c>
      <c r="Q2785" s="28">
        <v>525</v>
      </c>
    </row>
    <row r="2786" spans="1:17" x14ac:dyDescent="0.35">
      <c r="A2786" t="s">
        <v>8520</v>
      </c>
      <c r="B2786" s="3" t="s">
        <v>102</v>
      </c>
      <c r="F2786">
        <v>5</v>
      </c>
      <c r="G2786" t="s">
        <v>8607</v>
      </c>
      <c r="H2786">
        <v>27</v>
      </c>
      <c r="I2786" t="s">
        <v>9296</v>
      </c>
      <c r="J2786" t="str">
        <f t="shared" si="43"/>
        <v>13F-HR-5.27.C1</v>
      </c>
      <c r="K2786" s="5" t="s">
        <v>8608</v>
      </c>
      <c r="L2786" t="s">
        <v>229</v>
      </c>
      <c r="M2786" t="s">
        <v>8609</v>
      </c>
      <c r="N2786" t="s">
        <v>8610</v>
      </c>
      <c r="Q2786" s="28" t="s">
        <v>9006</v>
      </c>
    </row>
    <row r="2787" spans="1:17" x14ac:dyDescent="0.35">
      <c r="A2787" t="s">
        <v>8520</v>
      </c>
      <c r="B2787" s="3" t="s">
        <v>102</v>
      </c>
      <c r="F2787">
        <v>5</v>
      </c>
      <c r="G2787" t="s">
        <v>8607</v>
      </c>
      <c r="H2787">
        <v>28</v>
      </c>
      <c r="I2787" t="s">
        <v>9297</v>
      </c>
      <c r="J2787" t="str">
        <f t="shared" si="43"/>
        <v>13F-HR-5.28.C2</v>
      </c>
      <c r="K2787" s="5" t="s">
        <v>8612</v>
      </c>
      <c r="L2787" t="s">
        <v>229</v>
      </c>
      <c r="M2787" t="s">
        <v>8613</v>
      </c>
      <c r="N2787" t="s">
        <v>8614</v>
      </c>
      <c r="Q2787" s="28" t="s">
        <v>8615</v>
      </c>
    </row>
    <row r="2788" spans="1:17" x14ac:dyDescent="0.35">
      <c r="A2788" t="s">
        <v>8520</v>
      </c>
      <c r="B2788" s="3" t="s">
        <v>102</v>
      </c>
      <c r="F2788">
        <v>5</v>
      </c>
      <c r="G2788" t="s">
        <v>8607</v>
      </c>
      <c r="H2788">
        <v>29</v>
      </c>
      <c r="I2788" t="s">
        <v>9298</v>
      </c>
      <c r="J2788" t="str">
        <f t="shared" si="43"/>
        <v>13F-HR-5.29.C3</v>
      </c>
      <c r="K2788" s="5" t="s">
        <v>8616</v>
      </c>
      <c r="L2788" t="s">
        <v>229</v>
      </c>
      <c r="M2788" t="s">
        <v>7927</v>
      </c>
      <c r="N2788" t="s">
        <v>8617</v>
      </c>
      <c r="Q2788" s="28">
        <v>824348106</v>
      </c>
    </row>
    <row r="2789" spans="1:17" x14ac:dyDescent="0.35">
      <c r="A2789" t="s">
        <v>8520</v>
      </c>
      <c r="B2789" s="3" t="s">
        <v>102</v>
      </c>
      <c r="F2789">
        <v>5</v>
      </c>
      <c r="G2789" t="s">
        <v>8607</v>
      </c>
      <c r="H2789">
        <v>30</v>
      </c>
      <c r="I2789" t="s">
        <v>9299</v>
      </c>
      <c r="J2789" t="str">
        <f t="shared" si="43"/>
        <v>13F-HR-5.30.C4</v>
      </c>
      <c r="K2789" s="5" t="s">
        <v>8618</v>
      </c>
      <c r="L2789" t="s">
        <v>8619</v>
      </c>
      <c r="M2789" t="s">
        <v>8620</v>
      </c>
      <c r="N2789" t="s">
        <v>8621</v>
      </c>
      <c r="Q2789" s="28">
        <v>16092421</v>
      </c>
    </row>
    <row r="2790" spans="1:17" x14ac:dyDescent="0.35">
      <c r="A2790" t="s">
        <v>8520</v>
      </c>
      <c r="B2790" s="3" t="s">
        <v>102</v>
      </c>
      <c r="F2790">
        <v>5</v>
      </c>
      <c r="G2790" t="s">
        <v>8607</v>
      </c>
      <c r="H2790">
        <v>31</v>
      </c>
      <c r="I2790" t="s">
        <v>9300</v>
      </c>
      <c r="J2790" t="str">
        <f t="shared" si="43"/>
        <v>13F-HR-5.31.C5</v>
      </c>
      <c r="K2790" s="5" t="s">
        <v>8622</v>
      </c>
      <c r="L2790" t="s">
        <v>241</v>
      </c>
      <c r="M2790" t="s">
        <v>8623</v>
      </c>
      <c r="N2790" t="s">
        <v>8624</v>
      </c>
      <c r="Q2790" s="28">
        <v>46085</v>
      </c>
    </row>
    <row r="2791" spans="1:17" x14ac:dyDescent="0.35">
      <c r="A2791" t="s">
        <v>8520</v>
      </c>
      <c r="B2791" s="3" t="s">
        <v>102</v>
      </c>
      <c r="F2791">
        <v>5</v>
      </c>
      <c r="G2791" t="s">
        <v>8607</v>
      </c>
      <c r="H2791">
        <v>32</v>
      </c>
      <c r="I2791" t="s">
        <v>9301</v>
      </c>
      <c r="J2791" t="str">
        <f t="shared" si="43"/>
        <v>13F-HR-5.32.C6</v>
      </c>
      <c r="K2791" s="5" t="s">
        <v>8625</v>
      </c>
      <c r="L2791" t="s">
        <v>229</v>
      </c>
      <c r="M2791" t="s">
        <v>8626</v>
      </c>
      <c r="N2791" t="s">
        <v>8627</v>
      </c>
      <c r="Q2791" s="28" t="s">
        <v>8628</v>
      </c>
    </row>
    <row r="2792" spans="1:17" x14ac:dyDescent="0.35">
      <c r="A2792" t="s">
        <v>8520</v>
      </c>
      <c r="B2792" s="3" t="s">
        <v>102</v>
      </c>
      <c r="F2792">
        <v>5</v>
      </c>
      <c r="G2792" t="s">
        <v>8607</v>
      </c>
      <c r="H2792">
        <v>33</v>
      </c>
      <c r="I2792" t="s">
        <v>9302</v>
      </c>
      <c r="J2792" t="str">
        <f t="shared" si="43"/>
        <v>13F-HR-5.33.C7</v>
      </c>
      <c r="K2792" s="5" t="s">
        <v>8629</v>
      </c>
      <c r="L2792" t="s">
        <v>229</v>
      </c>
      <c r="M2792" t="s">
        <v>8630</v>
      </c>
      <c r="N2792" t="s">
        <v>8631</v>
      </c>
      <c r="Q2792" s="28" t="s">
        <v>8685</v>
      </c>
    </row>
    <row r="2793" spans="1:17" x14ac:dyDescent="0.35">
      <c r="A2793" t="s">
        <v>8520</v>
      </c>
      <c r="B2793" s="3" t="s">
        <v>102</v>
      </c>
      <c r="F2793">
        <v>5</v>
      </c>
      <c r="G2793" t="s">
        <v>8607</v>
      </c>
      <c r="H2793">
        <v>34</v>
      </c>
      <c r="I2793" t="s">
        <v>9303</v>
      </c>
      <c r="J2793" t="str">
        <f t="shared" si="43"/>
        <v>13F-HR-5.34.C8</v>
      </c>
      <c r="K2793" s="5" t="s">
        <v>8633</v>
      </c>
      <c r="L2793" t="s">
        <v>4735</v>
      </c>
      <c r="M2793" t="s">
        <v>8634</v>
      </c>
      <c r="N2793" t="s">
        <v>8635</v>
      </c>
      <c r="Q2793" s="28" t="s">
        <v>8632</v>
      </c>
    </row>
    <row r="2794" spans="1:17" x14ac:dyDescent="0.35">
      <c r="A2794" t="s">
        <v>8520</v>
      </c>
      <c r="B2794" s="3" t="s">
        <v>102</v>
      </c>
      <c r="F2794">
        <v>5</v>
      </c>
      <c r="G2794" t="s">
        <v>8607</v>
      </c>
      <c r="H2794">
        <v>35</v>
      </c>
      <c r="I2794" t="s">
        <v>9304</v>
      </c>
      <c r="J2794" t="str">
        <f t="shared" si="43"/>
        <v>13F-HR-5.35.C9</v>
      </c>
      <c r="K2794" s="5" t="s">
        <v>8637</v>
      </c>
      <c r="L2794" t="s">
        <v>229</v>
      </c>
      <c r="M2794" t="s">
        <v>8638</v>
      </c>
      <c r="N2794" t="s">
        <v>8639</v>
      </c>
      <c r="Q2794" s="28" t="s">
        <v>8636</v>
      </c>
    </row>
    <row r="2795" spans="1:17" x14ac:dyDescent="0.35">
      <c r="A2795" t="s">
        <v>8520</v>
      </c>
      <c r="B2795" s="3" t="s">
        <v>102</v>
      </c>
      <c r="F2795">
        <v>5</v>
      </c>
      <c r="G2795" t="s">
        <v>8607</v>
      </c>
      <c r="H2795">
        <v>36</v>
      </c>
      <c r="I2795" t="s">
        <v>9305</v>
      </c>
      <c r="J2795" t="str">
        <f t="shared" si="43"/>
        <v>13F-HR-5.36.C10</v>
      </c>
      <c r="K2795" s="5" t="s">
        <v>8640</v>
      </c>
      <c r="L2795" t="s">
        <v>241</v>
      </c>
      <c r="M2795" t="s">
        <v>8641</v>
      </c>
      <c r="N2795" t="s">
        <v>8642</v>
      </c>
      <c r="Q2795" s="28">
        <v>44902</v>
      </c>
    </row>
    <row r="2796" spans="1:17" x14ac:dyDescent="0.35">
      <c r="A2796" t="s">
        <v>8520</v>
      </c>
      <c r="B2796" s="3" t="s">
        <v>102</v>
      </c>
      <c r="F2796">
        <v>5</v>
      </c>
      <c r="G2796" t="s">
        <v>8607</v>
      </c>
      <c r="H2796">
        <v>37</v>
      </c>
      <c r="I2796" t="s">
        <v>9306</v>
      </c>
      <c r="J2796" t="str">
        <f t="shared" si="43"/>
        <v>13F-HR-5.37.C11</v>
      </c>
      <c r="K2796" s="5" t="s">
        <v>8643</v>
      </c>
      <c r="L2796" t="s">
        <v>241</v>
      </c>
      <c r="M2796" t="s">
        <v>8644</v>
      </c>
      <c r="N2796" t="s">
        <v>8645</v>
      </c>
      <c r="Q2796" s="28">
        <v>0</v>
      </c>
    </row>
    <row r="2797" spans="1:17" x14ac:dyDescent="0.35">
      <c r="A2797" t="s">
        <v>8520</v>
      </c>
      <c r="B2797" s="3" t="s">
        <v>102</v>
      </c>
      <c r="F2797">
        <v>5</v>
      </c>
      <c r="G2797" t="s">
        <v>8607</v>
      </c>
      <c r="H2797">
        <v>38</v>
      </c>
      <c r="I2797" t="s">
        <v>9307</v>
      </c>
      <c r="J2797" t="str">
        <f t="shared" si="43"/>
        <v>13F-HR-5.38.C12</v>
      </c>
      <c r="K2797" s="5" t="s">
        <v>8646</v>
      </c>
      <c r="L2797" t="s">
        <v>241</v>
      </c>
      <c r="M2797" t="s">
        <v>8647</v>
      </c>
      <c r="N2797" t="s">
        <v>8648</v>
      </c>
      <c r="Q2797" s="28">
        <v>1183</v>
      </c>
    </row>
    <row r="2798" spans="1:17" x14ac:dyDescent="0.35">
      <c r="A2798" t="s">
        <v>8520</v>
      </c>
      <c r="B2798" s="3" t="s">
        <v>102</v>
      </c>
      <c r="F2798">
        <v>5</v>
      </c>
      <c r="G2798" t="s">
        <v>8607</v>
      </c>
      <c r="H2798">
        <v>27</v>
      </c>
      <c r="I2798" t="s">
        <v>9296</v>
      </c>
      <c r="J2798" t="str">
        <f t="shared" si="43"/>
        <v>13F-HR-5.27.C1</v>
      </c>
      <c r="K2798" s="5" t="s">
        <v>8608</v>
      </c>
      <c r="L2798" t="s">
        <v>229</v>
      </c>
      <c r="M2798" t="s">
        <v>8609</v>
      </c>
      <c r="N2798" t="s">
        <v>8610</v>
      </c>
      <c r="Q2798" s="28" t="s">
        <v>9007</v>
      </c>
    </row>
    <row r="2799" spans="1:17" x14ac:dyDescent="0.35">
      <c r="A2799" t="s">
        <v>8520</v>
      </c>
      <c r="B2799" s="3" t="s">
        <v>102</v>
      </c>
      <c r="F2799">
        <v>5</v>
      </c>
      <c r="G2799" t="s">
        <v>8607</v>
      </c>
      <c r="H2799">
        <v>28</v>
      </c>
      <c r="I2799" t="s">
        <v>9297</v>
      </c>
      <c r="J2799" t="str">
        <f t="shared" si="43"/>
        <v>13F-HR-5.28.C2</v>
      </c>
      <c r="K2799" s="5" t="s">
        <v>8612</v>
      </c>
      <c r="L2799" t="s">
        <v>229</v>
      </c>
      <c r="M2799" t="s">
        <v>8613</v>
      </c>
      <c r="N2799" t="s">
        <v>8614</v>
      </c>
      <c r="Q2799" s="28" t="s">
        <v>8706</v>
      </c>
    </row>
    <row r="2800" spans="1:17" x14ac:dyDescent="0.35">
      <c r="A2800" t="s">
        <v>8520</v>
      </c>
      <c r="B2800" s="3" t="s">
        <v>102</v>
      </c>
      <c r="F2800">
        <v>5</v>
      </c>
      <c r="G2800" t="s">
        <v>8607</v>
      </c>
      <c r="H2800">
        <v>29</v>
      </c>
      <c r="I2800" t="s">
        <v>9298</v>
      </c>
      <c r="J2800" t="str">
        <f t="shared" si="43"/>
        <v>13F-HR-5.29.C3</v>
      </c>
      <c r="K2800" s="5" t="s">
        <v>8616</v>
      </c>
      <c r="L2800" t="s">
        <v>229</v>
      </c>
      <c r="M2800" t="s">
        <v>7927</v>
      </c>
      <c r="N2800" t="s">
        <v>8617</v>
      </c>
      <c r="Q2800" s="28" t="s">
        <v>9008</v>
      </c>
    </row>
    <row r="2801" spans="1:17" x14ac:dyDescent="0.35">
      <c r="A2801" t="s">
        <v>8520</v>
      </c>
      <c r="B2801" s="3" t="s">
        <v>102</v>
      </c>
      <c r="F2801">
        <v>5</v>
      </c>
      <c r="G2801" t="s">
        <v>8607</v>
      </c>
      <c r="H2801">
        <v>30</v>
      </c>
      <c r="I2801" t="s">
        <v>9299</v>
      </c>
      <c r="J2801" t="str">
        <f t="shared" si="43"/>
        <v>13F-HR-5.30.C4</v>
      </c>
      <c r="K2801" s="5" t="s">
        <v>8618</v>
      </c>
      <c r="L2801" t="s">
        <v>8619</v>
      </c>
      <c r="M2801" t="s">
        <v>8620</v>
      </c>
      <c r="N2801" t="s">
        <v>8621</v>
      </c>
      <c r="Q2801" s="28">
        <v>60500234</v>
      </c>
    </row>
    <row r="2802" spans="1:17" x14ac:dyDescent="0.35">
      <c r="A2802" t="s">
        <v>8520</v>
      </c>
      <c r="B2802" s="3" t="s">
        <v>102</v>
      </c>
      <c r="F2802">
        <v>5</v>
      </c>
      <c r="G2802" t="s">
        <v>8607</v>
      </c>
      <c r="H2802">
        <v>31</v>
      </c>
      <c r="I2802" t="s">
        <v>9300</v>
      </c>
      <c r="J2802" t="str">
        <f t="shared" si="43"/>
        <v>13F-HR-5.31.C5</v>
      </c>
      <c r="K2802" s="5" t="s">
        <v>8622</v>
      </c>
      <c r="L2802" t="s">
        <v>241</v>
      </c>
      <c r="M2802" t="s">
        <v>8623</v>
      </c>
      <c r="N2802" t="s">
        <v>8624</v>
      </c>
      <c r="Q2802" s="28">
        <v>633643</v>
      </c>
    </row>
    <row r="2803" spans="1:17" x14ac:dyDescent="0.35">
      <c r="A2803" t="s">
        <v>8520</v>
      </c>
      <c r="B2803" s="3" t="s">
        <v>102</v>
      </c>
      <c r="F2803">
        <v>5</v>
      </c>
      <c r="G2803" t="s">
        <v>8607</v>
      </c>
      <c r="H2803">
        <v>32</v>
      </c>
      <c r="I2803" t="s">
        <v>9301</v>
      </c>
      <c r="J2803" t="str">
        <f t="shared" si="43"/>
        <v>13F-HR-5.32.C6</v>
      </c>
      <c r="K2803" s="5" t="s">
        <v>8625</v>
      </c>
      <c r="L2803" t="s">
        <v>229</v>
      </c>
      <c r="M2803" t="s">
        <v>8626</v>
      </c>
      <c r="N2803" t="s">
        <v>8627</v>
      </c>
      <c r="Q2803" s="28" t="s">
        <v>8628</v>
      </c>
    </row>
    <row r="2804" spans="1:17" x14ac:dyDescent="0.35">
      <c r="A2804" t="s">
        <v>8520</v>
      </c>
      <c r="B2804" s="3" t="s">
        <v>102</v>
      </c>
      <c r="F2804">
        <v>5</v>
      </c>
      <c r="G2804" t="s">
        <v>8607</v>
      </c>
      <c r="H2804">
        <v>33</v>
      </c>
      <c r="I2804" t="s">
        <v>9302</v>
      </c>
      <c r="J2804" t="str">
        <f t="shared" si="43"/>
        <v>13F-HR-5.33.C7</v>
      </c>
      <c r="K2804" s="5" t="s">
        <v>8629</v>
      </c>
      <c r="L2804" t="s">
        <v>229</v>
      </c>
      <c r="M2804" t="s">
        <v>8630</v>
      </c>
      <c r="N2804" t="s">
        <v>8631</v>
      </c>
      <c r="Q2804" s="28" t="s">
        <v>8685</v>
      </c>
    </row>
    <row r="2805" spans="1:17" x14ac:dyDescent="0.35">
      <c r="A2805" t="s">
        <v>8520</v>
      </c>
      <c r="B2805" s="3" t="s">
        <v>102</v>
      </c>
      <c r="F2805">
        <v>5</v>
      </c>
      <c r="G2805" t="s">
        <v>8607</v>
      </c>
      <c r="H2805">
        <v>34</v>
      </c>
      <c r="I2805" t="s">
        <v>9303</v>
      </c>
      <c r="J2805" t="str">
        <f t="shared" si="43"/>
        <v>13F-HR-5.34.C8</v>
      </c>
      <c r="K2805" s="5" t="s">
        <v>8633</v>
      </c>
      <c r="L2805" t="s">
        <v>4735</v>
      </c>
      <c r="M2805" t="s">
        <v>8634</v>
      </c>
      <c r="N2805" t="s">
        <v>8635</v>
      </c>
      <c r="Q2805" s="28" t="s">
        <v>8632</v>
      </c>
    </row>
    <row r="2806" spans="1:17" x14ac:dyDescent="0.35">
      <c r="A2806" t="s">
        <v>8520</v>
      </c>
      <c r="B2806" s="3" t="s">
        <v>102</v>
      </c>
      <c r="F2806">
        <v>5</v>
      </c>
      <c r="G2806" t="s">
        <v>8607</v>
      </c>
      <c r="H2806">
        <v>35</v>
      </c>
      <c r="I2806" t="s">
        <v>9304</v>
      </c>
      <c r="J2806" t="str">
        <f t="shared" si="43"/>
        <v>13F-HR-5.35.C9</v>
      </c>
      <c r="K2806" s="5" t="s">
        <v>8637</v>
      </c>
      <c r="L2806" t="s">
        <v>229</v>
      </c>
      <c r="M2806" t="s">
        <v>8638</v>
      </c>
      <c r="N2806" t="s">
        <v>8639</v>
      </c>
      <c r="Q2806" s="28" t="s">
        <v>8636</v>
      </c>
    </row>
    <row r="2807" spans="1:17" x14ac:dyDescent="0.35">
      <c r="A2807" t="s">
        <v>8520</v>
      </c>
      <c r="B2807" s="3" t="s">
        <v>102</v>
      </c>
      <c r="F2807">
        <v>5</v>
      </c>
      <c r="G2807" t="s">
        <v>8607</v>
      </c>
      <c r="H2807">
        <v>36</v>
      </c>
      <c r="I2807" t="s">
        <v>9305</v>
      </c>
      <c r="J2807" t="str">
        <f t="shared" si="43"/>
        <v>13F-HR-5.36.C10</v>
      </c>
      <c r="K2807" s="5" t="s">
        <v>8640</v>
      </c>
      <c r="L2807" t="s">
        <v>241</v>
      </c>
      <c r="M2807" t="s">
        <v>8641</v>
      </c>
      <c r="N2807" t="s">
        <v>8642</v>
      </c>
      <c r="Q2807" s="28">
        <v>549719</v>
      </c>
    </row>
    <row r="2808" spans="1:17" x14ac:dyDescent="0.35">
      <c r="A2808" t="s">
        <v>8520</v>
      </c>
      <c r="B2808" s="3" t="s">
        <v>102</v>
      </c>
      <c r="F2808">
        <v>5</v>
      </c>
      <c r="G2808" t="s">
        <v>8607</v>
      </c>
      <c r="H2808">
        <v>37</v>
      </c>
      <c r="I2808" t="s">
        <v>9306</v>
      </c>
      <c r="J2808" t="str">
        <f t="shared" si="43"/>
        <v>13F-HR-5.37.C11</v>
      </c>
      <c r="K2808" s="5" t="s">
        <v>8643</v>
      </c>
      <c r="L2808" t="s">
        <v>241</v>
      </c>
      <c r="M2808" t="s">
        <v>8644</v>
      </c>
      <c r="N2808" t="s">
        <v>8645</v>
      </c>
      <c r="Q2808" s="28">
        <v>0</v>
      </c>
    </row>
    <row r="2809" spans="1:17" x14ac:dyDescent="0.35">
      <c r="A2809" t="s">
        <v>8520</v>
      </c>
      <c r="B2809" s="3" t="s">
        <v>102</v>
      </c>
      <c r="F2809">
        <v>5</v>
      </c>
      <c r="G2809" t="s">
        <v>8607</v>
      </c>
      <c r="H2809">
        <v>38</v>
      </c>
      <c r="I2809" t="s">
        <v>9307</v>
      </c>
      <c r="J2809" t="str">
        <f t="shared" si="43"/>
        <v>13F-HR-5.38.C12</v>
      </c>
      <c r="K2809" s="5" t="s">
        <v>8646</v>
      </c>
      <c r="L2809" t="s">
        <v>241</v>
      </c>
      <c r="M2809" t="s">
        <v>8647</v>
      </c>
      <c r="N2809" t="s">
        <v>8648</v>
      </c>
      <c r="Q2809" s="28">
        <v>83924</v>
      </c>
    </row>
    <row r="2810" spans="1:17" x14ac:dyDescent="0.35">
      <c r="A2810" t="s">
        <v>8520</v>
      </c>
      <c r="B2810" s="3" t="s">
        <v>102</v>
      </c>
      <c r="F2810">
        <v>5</v>
      </c>
      <c r="G2810" t="s">
        <v>8607</v>
      </c>
      <c r="H2810">
        <v>27</v>
      </c>
      <c r="I2810" t="s">
        <v>9296</v>
      </c>
      <c r="J2810" t="str">
        <f t="shared" si="43"/>
        <v>13F-HR-5.27.C1</v>
      </c>
      <c r="K2810" s="5" t="s">
        <v>8608</v>
      </c>
      <c r="L2810" t="s">
        <v>229</v>
      </c>
      <c r="M2810" t="s">
        <v>8609</v>
      </c>
      <c r="N2810" t="s">
        <v>8610</v>
      </c>
      <c r="Q2810" s="28" t="s">
        <v>9009</v>
      </c>
    </row>
    <row r="2811" spans="1:17" x14ac:dyDescent="0.35">
      <c r="A2811" t="s">
        <v>8520</v>
      </c>
      <c r="B2811" s="3" t="s">
        <v>102</v>
      </c>
      <c r="F2811">
        <v>5</v>
      </c>
      <c r="G2811" t="s">
        <v>8607</v>
      </c>
      <c r="H2811">
        <v>28</v>
      </c>
      <c r="I2811" t="s">
        <v>9297</v>
      </c>
      <c r="J2811" t="str">
        <f t="shared" si="43"/>
        <v>13F-HR-5.28.C2</v>
      </c>
      <c r="K2811" s="5" t="s">
        <v>8612</v>
      </c>
      <c r="L2811" t="s">
        <v>229</v>
      </c>
      <c r="M2811" t="s">
        <v>8613</v>
      </c>
      <c r="N2811" t="s">
        <v>8614</v>
      </c>
      <c r="Q2811" s="28" t="s">
        <v>8615</v>
      </c>
    </row>
    <row r="2812" spans="1:17" x14ac:dyDescent="0.35">
      <c r="A2812" t="s">
        <v>8520</v>
      </c>
      <c r="B2812" s="3" t="s">
        <v>102</v>
      </c>
      <c r="F2812">
        <v>5</v>
      </c>
      <c r="G2812" t="s">
        <v>8607</v>
      </c>
      <c r="H2812">
        <v>29</v>
      </c>
      <c r="I2812" t="s">
        <v>9298</v>
      </c>
      <c r="J2812" t="str">
        <f t="shared" si="43"/>
        <v>13F-HR-5.29.C3</v>
      </c>
      <c r="K2812" s="5" t="s">
        <v>8616</v>
      </c>
      <c r="L2812" t="s">
        <v>229</v>
      </c>
      <c r="M2812" t="s">
        <v>7927</v>
      </c>
      <c r="N2812" t="s">
        <v>8617</v>
      </c>
      <c r="Q2812" s="28">
        <v>828806109</v>
      </c>
    </row>
    <row r="2813" spans="1:17" x14ac:dyDescent="0.35">
      <c r="A2813" t="s">
        <v>8520</v>
      </c>
      <c r="B2813" s="3" t="s">
        <v>102</v>
      </c>
      <c r="F2813">
        <v>5</v>
      </c>
      <c r="G2813" t="s">
        <v>8607</v>
      </c>
      <c r="H2813">
        <v>30</v>
      </c>
      <c r="I2813" t="s">
        <v>9299</v>
      </c>
      <c r="J2813" t="str">
        <f t="shared" si="43"/>
        <v>13F-HR-5.30.C4</v>
      </c>
      <c r="K2813" s="5" t="s">
        <v>8618</v>
      </c>
      <c r="L2813" t="s">
        <v>8619</v>
      </c>
      <c r="M2813" t="s">
        <v>8620</v>
      </c>
      <c r="N2813" t="s">
        <v>8621</v>
      </c>
      <c r="Q2813" s="28">
        <v>3614731</v>
      </c>
    </row>
    <row r="2814" spans="1:17" x14ac:dyDescent="0.35">
      <c r="A2814" t="s">
        <v>8520</v>
      </c>
      <c r="B2814" s="3" t="s">
        <v>102</v>
      </c>
      <c r="F2814">
        <v>5</v>
      </c>
      <c r="G2814" t="s">
        <v>8607</v>
      </c>
      <c r="H2814">
        <v>31</v>
      </c>
      <c r="I2814" t="s">
        <v>9300</v>
      </c>
      <c r="J2814" t="str">
        <f t="shared" si="43"/>
        <v>13F-HR-5.31.C5</v>
      </c>
      <c r="K2814" s="5" t="s">
        <v>8622</v>
      </c>
      <c r="L2814" t="s">
        <v>241</v>
      </c>
      <c r="M2814" t="s">
        <v>8623</v>
      </c>
      <c r="N2814" t="s">
        <v>8624</v>
      </c>
      <c r="Q2814" s="28">
        <v>21765</v>
      </c>
    </row>
    <row r="2815" spans="1:17" x14ac:dyDescent="0.35">
      <c r="A2815" t="s">
        <v>8520</v>
      </c>
      <c r="B2815" s="3" t="s">
        <v>102</v>
      </c>
      <c r="F2815">
        <v>5</v>
      </c>
      <c r="G2815" t="s">
        <v>8607</v>
      </c>
      <c r="H2815">
        <v>32</v>
      </c>
      <c r="I2815" t="s">
        <v>9301</v>
      </c>
      <c r="J2815" t="str">
        <f t="shared" si="43"/>
        <v>13F-HR-5.32.C6</v>
      </c>
      <c r="K2815" s="5" t="s">
        <v>8625</v>
      </c>
      <c r="L2815" t="s">
        <v>229</v>
      </c>
      <c r="M2815" t="s">
        <v>8626</v>
      </c>
      <c r="N2815" t="s">
        <v>8627</v>
      </c>
      <c r="Q2815" s="28" t="s">
        <v>8628</v>
      </c>
    </row>
    <row r="2816" spans="1:17" x14ac:dyDescent="0.35">
      <c r="A2816" t="s">
        <v>8520</v>
      </c>
      <c r="B2816" s="3" t="s">
        <v>102</v>
      </c>
      <c r="F2816">
        <v>5</v>
      </c>
      <c r="G2816" t="s">
        <v>8607</v>
      </c>
      <c r="H2816">
        <v>33</v>
      </c>
      <c r="I2816" t="s">
        <v>9302</v>
      </c>
      <c r="J2816" t="str">
        <f t="shared" si="43"/>
        <v>13F-HR-5.33.C7</v>
      </c>
      <c r="K2816" s="5" t="s">
        <v>8629</v>
      </c>
      <c r="L2816" t="s">
        <v>229</v>
      </c>
      <c r="M2816" t="s">
        <v>8630</v>
      </c>
      <c r="N2816" t="s">
        <v>8631</v>
      </c>
      <c r="Q2816" s="28" t="s">
        <v>8685</v>
      </c>
    </row>
    <row r="2817" spans="1:17" x14ac:dyDescent="0.35">
      <c r="A2817" t="s">
        <v>8520</v>
      </c>
      <c r="B2817" s="3" t="s">
        <v>102</v>
      </c>
      <c r="F2817">
        <v>5</v>
      </c>
      <c r="G2817" t="s">
        <v>8607</v>
      </c>
      <c r="H2817">
        <v>34</v>
      </c>
      <c r="I2817" t="s">
        <v>9303</v>
      </c>
      <c r="J2817" t="str">
        <f t="shared" si="43"/>
        <v>13F-HR-5.34.C8</v>
      </c>
      <c r="K2817" s="5" t="s">
        <v>8633</v>
      </c>
      <c r="L2817" t="s">
        <v>4735</v>
      </c>
      <c r="M2817" t="s">
        <v>8634</v>
      </c>
      <c r="N2817" t="s">
        <v>8635</v>
      </c>
      <c r="Q2817" s="28" t="s">
        <v>8632</v>
      </c>
    </row>
    <row r="2818" spans="1:17" x14ac:dyDescent="0.35">
      <c r="A2818" t="s">
        <v>8520</v>
      </c>
      <c r="B2818" s="3" t="s">
        <v>102</v>
      </c>
      <c r="F2818">
        <v>5</v>
      </c>
      <c r="G2818" t="s">
        <v>8607</v>
      </c>
      <c r="H2818">
        <v>35</v>
      </c>
      <c r="I2818" t="s">
        <v>9304</v>
      </c>
      <c r="J2818" t="str">
        <f t="shared" si="43"/>
        <v>13F-HR-5.35.C9</v>
      </c>
      <c r="K2818" s="5" t="s">
        <v>8637</v>
      </c>
      <c r="L2818" t="s">
        <v>229</v>
      </c>
      <c r="M2818" t="s">
        <v>8638</v>
      </c>
      <c r="N2818" t="s">
        <v>8639</v>
      </c>
      <c r="Q2818" s="28" t="s">
        <v>8636</v>
      </c>
    </row>
    <row r="2819" spans="1:17" x14ac:dyDescent="0.35">
      <c r="A2819" t="s">
        <v>8520</v>
      </c>
      <c r="B2819" s="3" t="s">
        <v>102</v>
      </c>
      <c r="F2819">
        <v>5</v>
      </c>
      <c r="G2819" t="s">
        <v>8607</v>
      </c>
      <c r="H2819">
        <v>36</v>
      </c>
      <c r="I2819" t="s">
        <v>9305</v>
      </c>
      <c r="J2819" t="str">
        <f t="shared" ref="J2819:J2882" si="44">_xlfn.CONCAT(A2819,"-",F2819,".",H2819,".",I2819)</f>
        <v>13F-HR-5.36.C10</v>
      </c>
      <c r="K2819" s="5" t="s">
        <v>8640</v>
      </c>
      <c r="L2819" t="s">
        <v>241</v>
      </c>
      <c r="M2819" t="s">
        <v>8641</v>
      </c>
      <c r="N2819" t="s">
        <v>8642</v>
      </c>
      <c r="Q2819" s="28">
        <v>0</v>
      </c>
    </row>
    <row r="2820" spans="1:17" x14ac:dyDescent="0.35">
      <c r="A2820" t="s">
        <v>8520</v>
      </c>
      <c r="B2820" s="3" t="s">
        <v>102</v>
      </c>
      <c r="F2820">
        <v>5</v>
      </c>
      <c r="G2820" t="s">
        <v>8607</v>
      </c>
      <c r="H2820">
        <v>37</v>
      </c>
      <c r="I2820" t="s">
        <v>9306</v>
      </c>
      <c r="J2820" t="str">
        <f t="shared" si="44"/>
        <v>13F-HR-5.37.C11</v>
      </c>
      <c r="K2820" s="5" t="s">
        <v>8643</v>
      </c>
      <c r="L2820" t="s">
        <v>241</v>
      </c>
      <c r="M2820" t="s">
        <v>8644</v>
      </c>
      <c r="N2820" t="s">
        <v>8645</v>
      </c>
      <c r="Q2820" s="28">
        <v>0</v>
      </c>
    </row>
    <row r="2821" spans="1:17" x14ac:dyDescent="0.35">
      <c r="A2821" t="s">
        <v>8520</v>
      </c>
      <c r="B2821" s="3" t="s">
        <v>102</v>
      </c>
      <c r="F2821">
        <v>5</v>
      </c>
      <c r="G2821" t="s">
        <v>8607</v>
      </c>
      <c r="H2821">
        <v>38</v>
      </c>
      <c r="I2821" t="s">
        <v>9307</v>
      </c>
      <c r="J2821" t="str">
        <f t="shared" si="44"/>
        <v>13F-HR-5.38.C12</v>
      </c>
      <c r="K2821" s="5" t="s">
        <v>8646</v>
      </c>
      <c r="L2821" t="s">
        <v>241</v>
      </c>
      <c r="M2821" t="s">
        <v>8647</v>
      </c>
      <c r="N2821" t="s">
        <v>8648</v>
      </c>
      <c r="Q2821" s="28">
        <v>21765</v>
      </c>
    </row>
    <row r="2822" spans="1:17" x14ac:dyDescent="0.35">
      <c r="A2822" t="s">
        <v>8520</v>
      </c>
      <c r="B2822" s="3" t="s">
        <v>102</v>
      </c>
      <c r="F2822">
        <v>5</v>
      </c>
      <c r="G2822" t="s">
        <v>8607</v>
      </c>
      <c r="H2822">
        <v>27</v>
      </c>
      <c r="I2822" t="s">
        <v>9296</v>
      </c>
      <c r="J2822" t="str">
        <f t="shared" si="44"/>
        <v>13F-HR-5.27.C1</v>
      </c>
      <c r="K2822" s="5" t="s">
        <v>8608</v>
      </c>
      <c r="L2822" t="s">
        <v>229</v>
      </c>
      <c r="M2822" t="s">
        <v>8609</v>
      </c>
      <c r="N2822" t="s">
        <v>8610</v>
      </c>
      <c r="Q2822" s="28" t="s">
        <v>9010</v>
      </c>
    </row>
    <row r="2823" spans="1:17" x14ac:dyDescent="0.35">
      <c r="A2823" t="s">
        <v>8520</v>
      </c>
      <c r="B2823" s="3" t="s">
        <v>102</v>
      </c>
      <c r="F2823">
        <v>5</v>
      </c>
      <c r="G2823" t="s">
        <v>8607</v>
      </c>
      <c r="H2823">
        <v>28</v>
      </c>
      <c r="I2823" t="s">
        <v>9297</v>
      </c>
      <c r="J2823" t="str">
        <f t="shared" si="44"/>
        <v>13F-HR-5.28.C2</v>
      </c>
      <c r="K2823" s="5" t="s">
        <v>8612</v>
      </c>
      <c r="L2823" t="s">
        <v>229</v>
      </c>
      <c r="M2823" t="s">
        <v>8613</v>
      </c>
      <c r="N2823" t="s">
        <v>8614</v>
      </c>
      <c r="Q2823" s="28" t="s">
        <v>8702</v>
      </c>
    </row>
    <row r="2824" spans="1:17" x14ac:dyDescent="0.35">
      <c r="A2824" t="s">
        <v>8520</v>
      </c>
      <c r="B2824" s="3" t="s">
        <v>102</v>
      </c>
      <c r="F2824">
        <v>5</v>
      </c>
      <c r="G2824" t="s">
        <v>8607</v>
      </c>
      <c r="H2824">
        <v>29</v>
      </c>
      <c r="I2824" t="s">
        <v>9298</v>
      </c>
      <c r="J2824" t="str">
        <f t="shared" si="44"/>
        <v>13F-HR-5.29.C3</v>
      </c>
      <c r="K2824" s="5" t="s">
        <v>8616</v>
      </c>
      <c r="L2824" t="s">
        <v>229</v>
      </c>
      <c r="M2824" t="s">
        <v>7927</v>
      </c>
      <c r="N2824" t="s">
        <v>8617</v>
      </c>
      <c r="Q2824" s="28">
        <v>835699307</v>
      </c>
    </row>
    <row r="2825" spans="1:17" x14ac:dyDescent="0.35">
      <c r="A2825" t="s">
        <v>8520</v>
      </c>
      <c r="B2825" s="3" t="s">
        <v>102</v>
      </c>
      <c r="F2825">
        <v>5</v>
      </c>
      <c r="G2825" t="s">
        <v>8607</v>
      </c>
      <c r="H2825">
        <v>30</v>
      </c>
      <c r="I2825" t="s">
        <v>9299</v>
      </c>
      <c r="J2825" t="str">
        <f t="shared" si="44"/>
        <v>13F-HR-5.30.C4</v>
      </c>
      <c r="K2825" s="5" t="s">
        <v>8618</v>
      </c>
      <c r="L2825" t="s">
        <v>8619</v>
      </c>
      <c r="M2825" t="s">
        <v>8620</v>
      </c>
      <c r="N2825" t="s">
        <v>8621</v>
      </c>
      <c r="Q2825" s="28">
        <v>1553386</v>
      </c>
    </row>
    <row r="2826" spans="1:17" x14ac:dyDescent="0.35">
      <c r="A2826" t="s">
        <v>8520</v>
      </c>
      <c r="B2826" s="3" t="s">
        <v>102</v>
      </c>
      <c r="F2826">
        <v>5</v>
      </c>
      <c r="G2826" t="s">
        <v>8607</v>
      </c>
      <c r="H2826">
        <v>31</v>
      </c>
      <c r="I2826" t="s">
        <v>9300</v>
      </c>
      <c r="J2826" t="str">
        <f t="shared" si="44"/>
        <v>13F-HR-5.31.C5</v>
      </c>
      <c r="K2826" s="5" t="s">
        <v>8622</v>
      </c>
      <c r="L2826" t="s">
        <v>241</v>
      </c>
      <c r="M2826" t="s">
        <v>8623</v>
      </c>
      <c r="N2826" t="s">
        <v>8624</v>
      </c>
      <c r="Q2826" s="28">
        <v>61181</v>
      </c>
    </row>
    <row r="2827" spans="1:17" x14ac:dyDescent="0.35">
      <c r="A2827" t="s">
        <v>8520</v>
      </c>
      <c r="B2827" s="3" t="s">
        <v>102</v>
      </c>
      <c r="F2827">
        <v>5</v>
      </c>
      <c r="G2827" t="s">
        <v>8607</v>
      </c>
      <c r="H2827">
        <v>32</v>
      </c>
      <c r="I2827" t="s">
        <v>9301</v>
      </c>
      <c r="J2827" t="str">
        <f t="shared" si="44"/>
        <v>13F-HR-5.32.C6</v>
      </c>
      <c r="K2827" s="5" t="s">
        <v>8625</v>
      </c>
      <c r="L2827" t="s">
        <v>229</v>
      </c>
      <c r="M2827" t="s">
        <v>8626</v>
      </c>
      <c r="N2827" t="s">
        <v>8627</v>
      </c>
      <c r="Q2827" s="28" t="s">
        <v>8628</v>
      </c>
    </row>
    <row r="2828" spans="1:17" x14ac:dyDescent="0.35">
      <c r="A2828" t="s">
        <v>8520</v>
      </c>
      <c r="B2828" s="3" t="s">
        <v>102</v>
      </c>
      <c r="F2828">
        <v>5</v>
      </c>
      <c r="G2828" t="s">
        <v>8607</v>
      </c>
      <c r="H2828">
        <v>33</v>
      </c>
      <c r="I2828" t="s">
        <v>9302</v>
      </c>
      <c r="J2828" t="str">
        <f t="shared" si="44"/>
        <v>13F-HR-5.33.C7</v>
      </c>
      <c r="K2828" s="5" t="s">
        <v>8629</v>
      </c>
      <c r="L2828" t="s">
        <v>229</v>
      </c>
      <c r="M2828" t="s">
        <v>8630</v>
      </c>
      <c r="N2828" t="s">
        <v>8631</v>
      </c>
      <c r="Q2828" s="28" t="s">
        <v>8685</v>
      </c>
    </row>
    <row r="2829" spans="1:17" x14ac:dyDescent="0.35">
      <c r="A2829" t="s">
        <v>8520</v>
      </c>
      <c r="B2829" s="3" t="s">
        <v>102</v>
      </c>
      <c r="F2829">
        <v>5</v>
      </c>
      <c r="G2829" t="s">
        <v>8607</v>
      </c>
      <c r="H2829">
        <v>34</v>
      </c>
      <c r="I2829" t="s">
        <v>9303</v>
      </c>
      <c r="J2829" t="str">
        <f t="shared" si="44"/>
        <v>13F-HR-5.34.C8</v>
      </c>
      <c r="K2829" s="5" t="s">
        <v>8633</v>
      </c>
      <c r="L2829" t="s">
        <v>4735</v>
      </c>
      <c r="M2829" t="s">
        <v>8634</v>
      </c>
      <c r="N2829" t="s">
        <v>8635</v>
      </c>
      <c r="Q2829" s="28" t="s">
        <v>8632</v>
      </c>
    </row>
    <row r="2830" spans="1:17" x14ac:dyDescent="0.35">
      <c r="A2830" t="s">
        <v>8520</v>
      </c>
      <c r="B2830" s="3" t="s">
        <v>102</v>
      </c>
      <c r="F2830">
        <v>5</v>
      </c>
      <c r="G2830" t="s">
        <v>8607</v>
      </c>
      <c r="H2830">
        <v>35</v>
      </c>
      <c r="I2830" t="s">
        <v>9304</v>
      </c>
      <c r="J2830" t="str">
        <f t="shared" si="44"/>
        <v>13F-HR-5.35.C9</v>
      </c>
      <c r="K2830" s="5" t="s">
        <v>8637</v>
      </c>
      <c r="L2830" t="s">
        <v>229</v>
      </c>
      <c r="M2830" t="s">
        <v>8638</v>
      </c>
      <c r="N2830" t="s">
        <v>8639</v>
      </c>
      <c r="Q2830" s="28" t="s">
        <v>8636</v>
      </c>
    </row>
    <row r="2831" spans="1:17" x14ac:dyDescent="0.35">
      <c r="A2831" t="s">
        <v>8520</v>
      </c>
      <c r="B2831" s="3" t="s">
        <v>102</v>
      </c>
      <c r="F2831">
        <v>5</v>
      </c>
      <c r="G2831" t="s">
        <v>8607</v>
      </c>
      <c r="H2831">
        <v>36</v>
      </c>
      <c r="I2831" t="s">
        <v>9305</v>
      </c>
      <c r="J2831" t="str">
        <f t="shared" si="44"/>
        <v>13F-HR-5.36.C10</v>
      </c>
      <c r="K2831" s="5" t="s">
        <v>8640</v>
      </c>
      <c r="L2831" t="s">
        <v>241</v>
      </c>
      <c r="M2831" t="s">
        <v>8641</v>
      </c>
      <c r="N2831" t="s">
        <v>8642</v>
      </c>
      <c r="Q2831" s="28">
        <v>0</v>
      </c>
    </row>
    <row r="2832" spans="1:17" x14ac:dyDescent="0.35">
      <c r="A2832" t="s">
        <v>8520</v>
      </c>
      <c r="B2832" s="3" t="s">
        <v>102</v>
      </c>
      <c r="F2832">
        <v>5</v>
      </c>
      <c r="G2832" t="s">
        <v>8607</v>
      </c>
      <c r="H2832">
        <v>37</v>
      </c>
      <c r="I2832" t="s">
        <v>9306</v>
      </c>
      <c r="J2832" t="str">
        <f t="shared" si="44"/>
        <v>13F-HR-5.37.C11</v>
      </c>
      <c r="K2832" s="5" t="s">
        <v>8643</v>
      </c>
      <c r="L2832" t="s">
        <v>241</v>
      </c>
      <c r="M2832" t="s">
        <v>8644</v>
      </c>
      <c r="N2832" t="s">
        <v>8645</v>
      </c>
      <c r="Q2832" s="28">
        <v>0</v>
      </c>
    </row>
    <row r="2833" spans="1:17" x14ac:dyDescent="0.35">
      <c r="A2833" t="s">
        <v>8520</v>
      </c>
      <c r="B2833" s="3" t="s">
        <v>102</v>
      </c>
      <c r="F2833">
        <v>5</v>
      </c>
      <c r="G2833" t="s">
        <v>8607</v>
      </c>
      <c r="H2833">
        <v>38</v>
      </c>
      <c r="I2833" t="s">
        <v>9307</v>
      </c>
      <c r="J2833" t="str">
        <f t="shared" si="44"/>
        <v>13F-HR-5.38.C12</v>
      </c>
      <c r="K2833" s="5" t="s">
        <v>8646</v>
      </c>
      <c r="L2833" t="s">
        <v>241</v>
      </c>
      <c r="M2833" t="s">
        <v>8647</v>
      </c>
      <c r="N2833" t="s">
        <v>8648</v>
      </c>
      <c r="Q2833" s="28">
        <v>61181</v>
      </c>
    </row>
    <row r="2834" spans="1:17" x14ac:dyDescent="0.35">
      <c r="A2834" t="s">
        <v>8520</v>
      </c>
      <c r="B2834" s="3" t="s">
        <v>102</v>
      </c>
      <c r="F2834">
        <v>5</v>
      </c>
      <c r="G2834" t="s">
        <v>8607</v>
      </c>
      <c r="H2834">
        <v>27</v>
      </c>
      <c r="I2834" t="s">
        <v>9296</v>
      </c>
      <c r="J2834" t="str">
        <f t="shared" si="44"/>
        <v>13F-HR-5.27.C1</v>
      </c>
      <c r="K2834" s="5" t="s">
        <v>8608</v>
      </c>
      <c r="L2834" t="s">
        <v>229</v>
      </c>
      <c r="M2834" t="s">
        <v>8609</v>
      </c>
      <c r="N2834" t="s">
        <v>8610</v>
      </c>
      <c r="Q2834" s="28" t="s">
        <v>9011</v>
      </c>
    </row>
    <row r="2835" spans="1:17" x14ac:dyDescent="0.35">
      <c r="A2835" t="s">
        <v>8520</v>
      </c>
      <c r="B2835" s="3" t="s">
        <v>102</v>
      </c>
      <c r="F2835">
        <v>5</v>
      </c>
      <c r="G2835" t="s">
        <v>8607</v>
      </c>
      <c r="H2835">
        <v>28</v>
      </c>
      <c r="I2835" t="s">
        <v>9297</v>
      </c>
      <c r="J2835" t="str">
        <f t="shared" si="44"/>
        <v>13F-HR-5.28.C2</v>
      </c>
      <c r="K2835" s="5" t="s">
        <v>8612</v>
      </c>
      <c r="L2835" t="s">
        <v>229</v>
      </c>
      <c r="M2835" t="s">
        <v>8613</v>
      </c>
      <c r="N2835" t="s">
        <v>8614</v>
      </c>
      <c r="Q2835" s="28" t="s">
        <v>8615</v>
      </c>
    </row>
    <row r="2836" spans="1:17" x14ac:dyDescent="0.35">
      <c r="A2836" t="s">
        <v>8520</v>
      </c>
      <c r="B2836" s="3" t="s">
        <v>102</v>
      </c>
      <c r="F2836">
        <v>5</v>
      </c>
      <c r="G2836" t="s">
        <v>8607</v>
      </c>
      <c r="H2836">
        <v>29</v>
      </c>
      <c r="I2836" t="s">
        <v>9298</v>
      </c>
      <c r="J2836" t="str">
        <f t="shared" si="44"/>
        <v>13F-HR-5.29.C3</v>
      </c>
      <c r="K2836" s="5" t="s">
        <v>8616</v>
      </c>
      <c r="L2836" t="s">
        <v>229</v>
      </c>
      <c r="M2836" t="s">
        <v>7927</v>
      </c>
      <c r="N2836" t="s">
        <v>8617</v>
      </c>
      <c r="Q2836" s="28" t="s">
        <v>9012</v>
      </c>
    </row>
    <row r="2837" spans="1:17" x14ac:dyDescent="0.35">
      <c r="A2837" t="s">
        <v>8520</v>
      </c>
      <c r="B2837" s="3" t="s">
        <v>102</v>
      </c>
      <c r="F2837">
        <v>5</v>
      </c>
      <c r="G2837" t="s">
        <v>8607</v>
      </c>
      <c r="H2837">
        <v>30</v>
      </c>
      <c r="I2837" t="s">
        <v>9299</v>
      </c>
      <c r="J2837" t="str">
        <f t="shared" si="44"/>
        <v>13F-HR-5.30.C4</v>
      </c>
      <c r="K2837" s="5" t="s">
        <v>8618</v>
      </c>
      <c r="L2837" t="s">
        <v>8619</v>
      </c>
      <c r="M2837" t="s">
        <v>8620</v>
      </c>
      <c r="N2837" t="s">
        <v>8621</v>
      </c>
      <c r="Q2837" s="28">
        <v>1145866</v>
      </c>
    </row>
    <row r="2838" spans="1:17" x14ac:dyDescent="0.35">
      <c r="A2838" t="s">
        <v>8520</v>
      </c>
      <c r="B2838" s="3" t="s">
        <v>102</v>
      </c>
      <c r="F2838">
        <v>5</v>
      </c>
      <c r="G2838" t="s">
        <v>8607</v>
      </c>
      <c r="H2838">
        <v>31</v>
      </c>
      <c r="I2838" t="s">
        <v>9300</v>
      </c>
      <c r="J2838" t="str">
        <f t="shared" si="44"/>
        <v>13F-HR-5.31.C5</v>
      </c>
      <c r="K2838" s="5" t="s">
        <v>8622</v>
      </c>
      <c r="L2838" t="s">
        <v>241</v>
      </c>
      <c r="M2838" t="s">
        <v>8623</v>
      </c>
      <c r="N2838" t="s">
        <v>8624</v>
      </c>
      <c r="Q2838" s="28">
        <v>44868</v>
      </c>
    </row>
    <row r="2839" spans="1:17" x14ac:dyDescent="0.35">
      <c r="A2839" t="s">
        <v>8520</v>
      </c>
      <c r="B2839" s="3" t="s">
        <v>102</v>
      </c>
      <c r="F2839">
        <v>5</v>
      </c>
      <c r="G2839" t="s">
        <v>8607</v>
      </c>
      <c r="H2839">
        <v>32</v>
      </c>
      <c r="I2839" t="s">
        <v>9301</v>
      </c>
      <c r="J2839" t="str">
        <f t="shared" si="44"/>
        <v>13F-HR-5.32.C6</v>
      </c>
      <c r="K2839" s="5" t="s">
        <v>8625</v>
      </c>
      <c r="L2839" t="s">
        <v>229</v>
      </c>
      <c r="M2839" t="s">
        <v>8626</v>
      </c>
      <c r="N2839" t="s">
        <v>8627</v>
      </c>
      <c r="Q2839" s="28" t="s">
        <v>8628</v>
      </c>
    </row>
    <row r="2840" spans="1:17" x14ac:dyDescent="0.35">
      <c r="A2840" t="s">
        <v>8520</v>
      </c>
      <c r="B2840" s="3" t="s">
        <v>102</v>
      </c>
      <c r="F2840">
        <v>5</v>
      </c>
      <c r="G2840" t="s">
        <v>8607</v>
      </c>
      <c r="H2840">
        <v>33</v>
      </c>
      <c r="I2840" t="s">
        <v>9302</v>
      </c>
      <c r="J2840" t="str">
        <f t="shared" si="44"/>
        <v>13F-HR-5.33.C7</v>
      </c>
      <c r="K2840" s="5" t="s">
        <v>8629</v>
      </c>
      <c r="L2840" t="s">
        <v>229</v>
      </c>
      <c r="M2840" t="s">
        <v>8630</v>
      </c>
      <c r="N2840" t="s">
        <v>8631</v>
      </c>
      <c r="Q2840" s="28" t="s">
        <v>8685</v>
      </c>
    </row>
    <row r="2841" spans="1:17" x14ac:dyDescent="0.35">
      <c r="A2841" t="s">
        <v>8520</v>
      </c>
      <c r="B2841" s="3" t="s">
        <v>102</v>
      </c>
      <c r="F2841">
        <v>5</v>
      </c>
      <c r="G2841" t="s">
        <v>8607</v>
      </c>
      <c r="H2841">
        <v>34</v>
      </c>
      <c r="I2841" t="s">
        <v>9303</v>
      </c>
      <c r="J2841" t="str">
        <f t="shared" si="44"/>
        <v>13F-HR-5.34.C8</v>
      </c>
      <c r="K2841" s="5" t="s">
        <v>8633</v>
      </c>
      <c r="L2841" t="s">
        <v>4735</v>
      </c>
      <c r="M2841" t="s">
        <v>8634</v>
      </c>
      <c r="N2841" t="s">
        <v>8635</v>
      </c>
      <c r="Q2841" s="28" t="s">
        <v>8632</v>
      </c>
    </row>
    <row r="2842" spans="1:17" x14ac:dyDescent="0.35">
      <c r="A2842" t="s">
        <v>8520</v>
      </c>
      <c r="B2842" s="3" t="s">
        <v>102</v>
      </c>
      <c r="F2842">
        <v>5</v>
      </c>
      <c r="G2842" t="s">
        <v>8607</v>
      </c>
      <c r="H2842">
        <v>35</v>
      </c>
      <c r="I2842" t="s">
        <v>9304</v>
      </c>
      <c r="J2842" t="str">
        <f t="shared" si="44"/>
        <v>13F-HR-5.35.C9</v>
      </c>
      <c r="K2842" s="5" t="s">
        <v>8637</v>
      </c>
      <c r="L2842" t="s">
        <v>229</v>
      </c>
      <c r="M2842" t="s">
        <v>8638</v>
      </c>
      <c r="N2842" t="s">
        <v>8639</v>
      </c>
      <c r="Q2842" s="28" t="s">
        <v>8636</v>
      </c>
    </row>
    <row r="2843" spans="1:17" x14ac:dyDescent="0.35">
      <c r="A2843" t="s">
        <v>8520</v>
      </c>
      <c r="B2843" s="3" t="s">
        <v>102</v>
      </c>
      <c r="F2843">
        <v>5</v>
      </c>
      <c r="G2843" t="s">
        <v>8607</v>
      </c>
      <c r="H2843">
        <v>36</v>
      </c>
      <c r="I2843" t="s">
        <v>9305</v>
      </c>
      <c r="J2843" t="str">
        <f t="shared" si="44"/>
        <v>13F-HR-5.36.C10</v>
      </c>
      <c r="K2843" s="5" t="s">
        <v>8640</v>
      </c>
      <c r="L2843" t="s">
        <v>241</v>
      </c>
      <c r="M2843" t="s">
        <v>8641</v>
      </c>
      <c r="N2843" t="s">
        <v>8642</v>
      </c>
      <c r="Q2843" s="28">
        <v>32597</v>
      </c>
    </row>
    <row r="2844" spans="1:17" x14ac:dyDescent="0.35">
      <c r="A2844" t="s">
        <v>8520</v>
      </c>
      <c r="B2844" s="3" t="s">
        <v>102</v>
      </c>
      <c r="F2844">
        <v>5</v>
      </c>
      <c r="G2844" t="s">
        <v>8607</v>
      </c>
      <c r="H2844">
        <v>37</v>
      </c>
      <c r="I2844" t="s">
        <v>9306</v>
      </c>
      <c r="J2844" t="str">
        <f t="shared" si="44"/>
        <v>13F-HR-5.37.C11</v>
      </c>
      <c r="K2844" s="5" t="s">
        <v>8643</v>
      </c>
      <c r="L2844" t="s">
        <v>241</v>
      </c>
      <c r="M2844" t="s">
        <v>8644</v>
      </c>
      <c r="N2844" t="s">
        <v>8645</v>
      </c>
      <c r="Q2844" s="28">
        <v>0</v>
      </c>
    </row>
    <row r="2845" spans="1:17" x14ac:dyDescent="0.35">
      <c r="A2845" t="s">
        <v>8520</v>
      </c>
      <c r="B2845" s="3" t="s">
        <v>102</v>
      </c>
      <c r="F2845">
        <v>5</v>
      </c>
      <c r="G2845" t="s">
        <v>8607</v>
      </c>
      <c r="H2845">
        <v>38</v>
      </c>
      <c r="I2845" t="s">
        <v>9307</v>
      </c>
      <c r="J2845" t="str">
        <f t="shared" si="44"/>
        <v>13F-HR-5.38.C12</v>
      </c>
      <c r="K2845" s="5" t="s">
        <v>8646</v>
      </c>
      <c r="L2845" t="s">
        <v>241</v>
      </c>
      <c r="M2845" t="s">
        <v>8647</v>
      </c>
      <c r="N2845" t="s">
        <v>8648</v>
      </c>
      <c r="Q2845" s="28">
        <v>12271</v>
      </c>
    </row>
    <row r="2846" spans="1:17" x14ac:dyDescent="0.35">
      <c r="A2846" t="s">
        <v>8520</v>
      </c>
      <c r="B2846" s="3" t="s">
        <v>102</v>
      </c>
      <c r="F2846">
        <v>5</v>
      </c>
      <c r="G2846" t="s">
        <v>8607</v>
      </c>
      <c r="H2846">
        <v>27</v>
      </c>
      <c r="I2846" t="s">
        <v>9296</v>
      </c>
      <c r="J2846" t="str">
        <f t="shared" si="44"/>
        <v>13F-HR-5.27.C1</v>
      </c>
      <c r="K2846" s="5" t="s">
        <v>8608</v>
      </c>
      <c r="L2846" t="s">
        <v>229</v>
      </c>
      <c r="M2846" t="s">
        <v>8609</v>
      </c>
      <c r="N2846" t="s">
        <v>8610</v>
      </c>
      <c r="Q2846" s="28" t="s">
        <v>9013</v>
      </c>
    </row>
    <row r="2847" spans="1:17" x14ac:dyDescent="0.35">
      <c r="A2847" t="s">
        <v>8520</v>
      </c>
      <c r="B2847" s="3" t="s">
        <v>102</v>
      </c>
      <c r="F2847">
        <v>5</v>
      </c>
      <c r="G2847" t="s">
        <v>8607</v>
      </c>
      <c r="H2847">
        <v>28</v>
      </c>
      <c r="I2847" t="s">
        <v>9297</v>
      </c>
      <c r="J2847" t="str">
        <f t="shared" si="44"/>
        <v>13F-HR-5.28.C2</v>
      </c>
      <c r="K2847" s="5" t="s">
        <v>8612</v>
      </c>
      <c r="L2847" t="s">
        <v>229</v>
      </c>
      <c r="M2847" t="s">
        <v>8613</v>
      </c>
      <c r="N2847" t="s">
        <v>8614</v>
      </c>
      <c r="Q2847" s="28" t="s">
        <v>8615</v>
      </c>
    </row>
    <row r="2848" spans="1:17" x14ac:dyDescent="0.35">
      <c r="A2848" t="s">
        <v>8520</v>
      </c>
      <c r="B2848" s="3" t="s">
        <v>102</v>
      </c>
      <c r="F2848">
        <v>5</v>
      </c>
      <c r="G2848" t="s">
        <v>8607</v>
      </c>
      <c r="H2848">
        <v>29</v>
      </c>
      <c r="I2848" t="s">
        <v>9298</v>
      </c>
      <c r="J2848" t="str">
        <f t="shared" si="44"/>
        <v>13F-HR-5.29.C3</v>
      </c>
      <c r="K2848" s="5" t="s">
        <v>8616</v>
      </c>
      <c r="L2848" t="s">
        <v>229</v>
      </c>
      <c r="M2848" t="s">
        <v>7927</v>
      </c>
      <c r="N2848" t="s">
        <v>8617</v>
      </c>
      <c r="Q2848" s="28">
        <v>842587107</v>
      </c>
    </row>
    <row r="2849" spans="1:17" x14ac:dyDescent="0.35">
      <c r="A2849" t="s">
        <v>8520</v>
      </c>
      <c r="B2849" s="3" t="s">
        <v>102</v>
      </c>
      <c r="F2849">
        <v>5</v>
      </c>
      <c r="G2849" t="s">
        <v>8607</v>
      </c>
      <c r="H2849">
        <v>30</v>
      </c>
      <c r="I2849" t="s">
        <v>9299</v>
      </c>
      <c r="J2849" t="str">
        <f t="shared" si="44"/>
        <v>13F-HR-5.30.C4</v>
      </c>
      <c r="K2849" s="5" t="s">
        <v>8618</v>
      </c>
      <c r="L2849" t="s">
        <v>8619</v>
      </c>
      <c r="M2849" t="s">
        <v>8620</v>
      </c>
      <c r="N2849" t="s">
        <v>8621</v>
      </c>
      <c r="Q2849" s="28">
        <v>17577990</v>
      </c>
    </row>
    <row r="2850" spans="1:17" x14ac:dyDescent="0.35">
      <c r="A2850" t="s">
        <v>8520</v>
      </c>
      <c r="B2850" s="3" t="s">
        <v>102</v>
      </c>
      <c r="F2850">
        <v>5</v>
      </c>
      <c r="G2850" t="s">
        <v>8607</v>
      </c>
      <c r="H2850">
        <v>31</v>
      </c>
      <c r="I2850" t="s">
        <v>9300</v>
      </c>
      <c r="J2850" t="str">
        <f t="shared" si="44"/>
        <v>13F-HR-5.31.C5</v>
      </c>
      <c r="K2850" s="5" t="s">
        <v>8622</v>
      </c>
      <c r="L2850" t="s">
        <v>241</v>
      </c>
      <c r="M2850" t="s">
        <v>8623</v>
      </c>
      <c r="N2850" t="s">
        <v>8624</v>
      </c>
      <c r="Q2850" s="28">
        <v>191169</v>
      </c>
    </row>
    <row r="2851" spans="1:17" x14ac:dyDescent="0.35">
      <c r="A2851" t="s">
        <v>8520</v>
      </c>
      <c r="B2851" s="3" t="s">
        <v>102</v>
      </c>
      <c r="F2851">
        <v>5</v>
      </c>
      <c r="G2851" t="s">
        <v>8607</v>
      </c>
      <c r="H2851">
        <v>32</v>
      </c>
      <c r="I2851" t="s">
        <v>9301</v>
      </c>
      <c r="J2851" t="str">
        <f t="shared" si="44"/>
        <v>13F-HR-5.32.C6</v>
      </c>
      <c r="K2851" s="5" t="s">
        <v>8625</v>
      </c>
      <c r="L2851" t="s">
        <v>229</v>
      </c>
      <c r="M2851" t="s">
        <v>8626</v>
      </c>
      <c r="N2851" t="s">
        <v>8627</v>
      </c>
      <c r="Q2851" s="28" t="s">
        <v>8628</v>
      </c>
    </row>
    <row r="2852" spans="1:17" x14ac:dyDescent="0.35">
      <c r="A2852" t="s">
        <v>8520</v>
      </c>
      <c r="B2852" s="3" t="s">
        <v>102</v>
      </c>
      <c r="F2852">
        <v>5</v>
      </c>
      <c r="G2852" t="s">
        <v>8607</v>
      </c>
      <c r="H2852">
        <v>33</v>
      </c>
      <c r="I2852" t="s">
        <v>9302</v>
      </c>
      <c r="J2852" t="str">
        <f t="shared" si="44"/>
        <v>13F-HR-5.33.C7</v>
      </c>
      <c r="K2852" s="5" t="s">
        <v>8629</v>
      </c>
      <c r="L2852" t="s">
        <v>229</v>
      </c>
      <c r="M2852" t="s">
        <v>8630</v>
      </c>
      <c r="N2852" t="s">
        <v>8631</v>
      </c>
      <c r="Q2852" s="28" t="s">
        <v>8685</v>
      </c>
    </row>
    <row r="2853" spans="1:17" x14ac:dyDescent="0.35">
      <c r="A2853" t="s">
        <v>8520</v>
      </c>
      <c r="B2853" s="3" t="s">
        <v>102</v>
      </c>
      <c r="F2853">
        <v>5</v>
      </c>
      <c r="G2853" t="s">
        <v>8607</v>
      </c>
      <c r="H2853">
        <v>34</v>
      </c>
      <c r="I2853" t="s">
        <v>9303</v>
      </c>
      <c r="J2853" t="str">
        <f t="shared" si="44"/>
        <v>13F-HR-5.34.C8</v>
      </c>
      <c r="K2853" s="5" t="s">
        <v>8633</v>
      </c>
      <c r="L2853" t="s">
        <v>4735</v>
      </c>
      <c r="M2853" t="s">
        <v>8634</v>
      </c>
      <c r="N2853" t="s">
        <v>8635</v>
      </c>
      <c r="Q2853" s="28" t="s">
        <v>8632</v>
      </c>
    </row>
    <row r="2854" spans="1:17" x14ac:dyDescent="0.35">
      <c r="A2854" t="s">
        <v>8520</v>
      </c>
      <c r="B2854" s="3" t="s">
        <v>102</v>
      </c>
      <c r="F2854">
        <v>5</v>
      </c>
      <c r="G2854" t="s">
        <v>8607</v>
      </c>
      <c r="H2854">
        <v>35</v>
      </c>
      <c r="I2854" t="s">
        <v>9304</v>
      </c>
      <c r="J2854" t="str">
        <f t="shared" si="44"/>
        <v>13F-HR-5.35.C9</v>
      </c>
      <c r="K2854" s="5" t="s">
        <v>8637</v>
      </c>
      <c r="L2854" t="s">
        <v>229</v>
      </c>
      <c r="M2854" t="s">
        <v>8638</v>
      </c>
      <c r="N2854" t="s">
        <v>8639</v>
      </c>
      <c r="Q2854" s="28" t="s">
        <v>8636</v>
      </c>
    </row>
    <row r="2855" spans="1:17" x14ac:dyDescent="0.35">
      <c r="A2855" t="s">
        <v>8520</v>
      </c>
      <c r="B2855" s="3" t="s">
        <v>102</v>
      </c>
      <c r="F2855">
        <v>5</v>
      </c>
      <c r="G2855" t="s">
        <v>8607</v>
      </c>
      <c r="H2855">
        <v>36</v>
      </c>
      <c r="I2855" t="s">
        <v>9305</v>
      </c>
      <c r="J2855" t="str">
        <f t="shared" si="44"/>
        <v>13F-HR-5.36.C10</v>
      </c>
      <c r="K2855" s="5" t="s">
        <v>8640</v>
      </c>
      <c r="L2855" t="s">
        <v>241</v>
      </c>
      <c r="M2855" t="s">
        <v>8641</v>
      </c>
      <c r="N2855" t="s">
        <v>8642</v>
      </c>
      <c r="Q2855" s="28">
        <v>15663</v>
      </c>
    </row>
    <row r="2856" spans="1:17" x14ac:dyDescent="0.35">
      <c r="A2856" t="s">
        <v>8520</v>
      </c>
      <c r="B2856" s="3" t="s">
        <v>102</v>
      </c>
      <c r="F2856">
        <v>5</v>
      </c>
      <c r="G2856" t="s">
        <v>8607</v>
      </c>
      <c r="H2856">
        <v>37</v>
      </c>
      <c r="I2856" t="s">
        <v>9306</v>
      </c>
      <c r="J2856" t="str">
        <f t="shared" si="44"/>
        <v>13F-HR-5.37.C11</v>
      </c>
      <c r="K2856" s="5" t="s">
        <v>8643</v>
      </c>
      <c r="L2856" t="s">
        <v>241</v>
      </c>
      <c r="M2856" t="s">
        <v>8644</v>
      </c>
      <c r="N2856" t="s">
        <v>8645</v>
      </c>
      <c r="Q2856" s="28">
        <v>0</v>
      </c>
    </row>
    <row r="2857" spans="1:17" x14ac:dyDescent="0.35">
      <c r="A2857" t="s">
        <v>8520</v>
      </c>
      <c r="B2857" s="3" t="s">
        <v>102</v>
      </c>
      <c r="F2857">
        <v>5</v>
      </c>
      <c r="G2857" t="s">
        <v>8607</v>
      </c>
      <c r="H2857">
        <v>38</v>
      </c>
      <c r="I2857" t="s">
        <v>9307</v>
      </c>
      <c r="J2857" t="str">
        <f t="shared" si="44"/>
        <v>13F-HR-5.38.C12</v>
      </c>
      <c r="K2857" s="5" t="s">
        <v>8646</v>
      </c>
      <c r="L2857" t="s">
        <v>241</v>
      </c>
      <c r="M2857" t="s">
        <v>8647</v>
      </c>
      <c r="N2857" t="s">
        <v>8648</v>
      </c>
      <c r="Q2857" s="28">
        <v>175506</v>
      </c>
    </row>
    <row r="2858" spans="1:17" x14ac:dyDescent="0.35">
      <c r="A2858" t="s">
        <v>8520</v>
      </c>
      <c r="B2858" s="3" t="s">
        <v>102</v>
      </c>
      <c r="F2858">
        <v>5</v>
      </c>
      <c r="G2858" t="s">
        <v>8607</v>
      </c>
      <c r="H2858">
        <v>27</v>
      </c>
      <c r="I2858" t="s">
        <v>9296</v>
      </c>
      <c r="J2858" t="str">
        <f t="shared" si="44"/>
        <v>13F-HR-5.27.C1</v>
      </c>
      <c r="K2858" s="5" t="s">
        <v>8608</v>
      </c>
      <c r="L2858" t="s">
        <v>229</v>
      </c>
      <c r="M2858" t="s">
        <v>8609</v>
      </c>
      <c r="N2858" t="s">
        <v>8610</v>
      </c>
      <c r="Q2858" s="28" t="s">
        <v>9014</v>
      </c>
    </row>
    <row r="2859" spans="1:17" x14ac:dyDescent="0.35">
      <c r="A2859" t="s">
        <v>8520</v>
      </c>
      <c r="B2859" s="3" t="s">
        <v>102</v>
      </c>
      <c r="F2859">
        <v>5</v>
      </c>
      <c r="G2859" t="s">
        <v>8607</v>
      </c>
      <c r="H2859">
        <v>28</v>
      </c>
      <c r="I2859" t="s">
        <v>9297</v>
      </c>
      <c r="J2859" t="str">
        <f t="shared" si="44"/>
        <v>13F-HR-5.28.C2</v>
      </c>
      <c r="K2859" s="5" t="s">
        <v>8612</v>
      </c>
      <c r="L2859" t="s">
        <v>229</v>
      </c>
      <c r="M2859" t="s">
        <v>8613</v>
      </c>
      <c r="N2859" t="s">
        <v>8614</v>
      </c>
      <c r="Q2859" s="28" t="s">
        <v>8615</v>
      </c>
    </row>
    <row r="2860" spans="1:17" x14ac:dyDescent="0.35">
      <c r="A2860" t="s">
        <v>8520</v>
      </c>
      <c r="B2860" s="3" t="s">
        <v>102</v>
      </c>
      <c r="F2860">
        <v>5</v>
      </c>
      <c r="G2860" t="s">
        <v>8607</v>
      </c>
      <c r="H2860">
        <v>29</v>
      </c>
      <c r="I2860" t="s">
        <v>9298</v>
      </c>
      <c r="J2860" t="str">
        <f t="shared" si="44"/>
        <v>13F-HR-5.29.C3</v>
      </c>
      <c r="K2860" s="5" t="s">
        <v>8616</v>
      </c>
      <c r="L2860" t="s">
        <v>229</v>
      </c>
      <c r="M2860" t="s">
        <v>7927</v>
      </c>
      <c r="N2860" t="s">
        <v>8617</v>
      </c>
      <c r="Q2860" s="28">
        <v>855244109</v>
      </c>
    </row>
    <row r="2861" spans="1:17" x14ac:dyDescent="0.35">
      <c r="A2861" t="s">
        <v>8520</v>
      </c>
      <c r="B2861" s="3" t="s">
        <v>102</v>
      </c>
      <c r="F2861">
        <v>5</v>
      </c>
      <c r="G2861" t="s">
        <v>8607</v>
      </c>
      <c r="H2861">
        <v>30</v>
      </c>
      <c r="I2861" t="s">
        <v>9299</v>
      </c>
      <c r="J2861" t="str">
        <f t="shared" si="44"/>
        <v>13F-HR-5.30.C4</v>
      </c>
      <c r="K2861" s="5" t="s">
        <v>8618</v>
      </c>
      <c r="L2861" t="s">
        <v>8619</v>
      </c>
      <c r="M2861" t="s">
        <v>8620</v>
      </c>
      <c r="N2861" t="s">
        <v>8621</v>
      </c>
      <c r="Q2861" s="28">
        <v>42056676</v>
      </c>
    </row>
    <row r="2862" spans="1:17" x14ac:dyDescent="0.35">
      <c r="A2862" t="s">
        <v>8520</v>
      </c>
      <c r="B2862" s="3" t="s">
        <v>102</v>
      </c>
      <c r="F2862">
        <v>5</v>
      </c>
      <c r="G2862" t="s">
        <v>8607</v>
      </c>
      <c r="H2862">
        <v>31</v>
      </c>
      <c r="I2862" t="s">
        <v>9300</v>
      </c>
      <c r="J2862" t="str">
        <f t="shared" si="44"/>
        <v>13F-HR-5.31.C5</v>
      </c>
      <c r="K2862" s="5" t="s">
        <v>8622</v>
      </c>
      <c r="L2862" t="s">
        <v>241</v>
      </c>
      <c r="M2862" t="s">
        <v>8623</v>
      </c>
      <c r="N2862" t="s">
        <v>8624</v>
      </c>
      <c r="Q2862" s="28">
        <v>428756</v>
      </c>
    </row>
    <row r="2863" spans="1:17" x14ac:dyDescent="0.35">
      <c r="A2863" t="s">
        <v>8520</v>
      </c>
      <c r="B2863" s="3" t="s">
        <v>102</v>
      </c>
      <c r="F2863">
        <v>5</v>
      </c>
      <c r="G2863" t="s">
        <v>8607</v>
      </c>
      <c r="H2863">
        <v>32</v>
      </c>
      <c r="I2863" t="s">
        <v>9301</v>
      </c>
      <c r="J2863" t="str">
        <f t="shared" si="44"/>
        <v>13F-HR-5.32.C6</v>
      </c>
      <c r="K2863" s="5" t="s">
        <v>8625</v>
      </c>
      <c r="L2863" t="s">
        <v>229</v>
      </c>
      <c r="M2863" t="s">
        <v>8626</v>
      </c>
      <c r="N2863" t="s">
        <v>8627</v>
      </c>
      <c r="Q2863" s="28" t="s">
        <v>8628</v>
      </c>
    </row>
    <row r="2864" spans="1:17" x14ac:dyDescent="0.35">
      <c r="A2864" t="s">
        <v>8520</v>
      </c>
      <c r="B2864" s="3" t="s">
        <v>102</v>
      </c>
      <c r="F2864">
        <v>5</v>
      </c>
      <c r="G2864" t="s">
        <v>8607</v>
      </c>
      <c r="H2864">
        <v>33</v>
      </c>
      <c r="I2864" t="s">
        <v>9302</v>
      </c>
      <c r="J2864" t="str">
        <f t="shared" si="44"/>
        <v>13F-HR-5.33.C7</v>
      </c>
      <c r="K2864" s="5" t="s">
        <v>8629</v>
      </c>
      <c r="L2864" t="s">
        <v>229</v>
      </c>
      <c r="M2864" t="s">
        <v>8630</v>
      </c>
      <c r="N2864" t="s">
        <v>8631</v>
      </c>
      <c r="Q2864" s="28" t="s">
        <v>8685</v>
      </c>
    </row>
    <row r="2865" spans="1:17" x14ac:dyDescent="0.35">
      <c r="A2865" t="s">
        <v>8520</v>
      </c>
      <c r="B2865" s="3" t="s">
        <v>102</v>
      </c>
      <c r="F2865">
        <v>5</v>
      </c>
      <c r="G2865" t="s">
        <v>8607</v>
      </c>
      <c r="H2865">
        <v>34</v>
      </c>
      <c r="I2865" t="s">
        <v>9303</v>
      </c>
      <c r="J2865" t="str">
        <f t="shared" si="44"/>
        <v>13F-HR-5.34.C8</v>
      </c>
      <c r="K2865" s="5" t="s">
        <v>8633</v>
      </c>
      <c r="L2865" t="s">
        <v>4735</v>
      </c>
      <c r="M2865" t="s">
        <v>8634</v>
      </c>
      <c r="N2865" t="s">
        <v>8635</v>
      </c>
      <c r="Q2865" s="28" t="s">
        <v>8632</v>
      </c>
    </row>
    <row r="2866" spans="1:17" x14ac:dyDescent="0.35">
      <c r="A2866" t="s">
        <v>8520</v>
      </c>
      <c r="B2866" s="3" t="s">
        <v>102</v>
      </c>
      <c r="F2866">
        <v>5</v>
      </c>
      <c r="G2866" t="s">
        <v>8607</v>
      </c>
      <c r="H2866">
        <v>35</v>
      </c>
      <c r="I2866" t="s">
        <v>9304</v>
      </c>
      <c r="J2866" t="str">
        <f t="shared" si="44"/>
        <v>13F-HR-5.35.C9</v>
      </c>
      <c r="K2866" s="5" t="s">
        <v>8637</v>
      </c>
      <c r="L2866" t="s">
        <v>229</v>
      </c>
      <c r="M2866" t="s">
        <v>8638</v>
      </c>
      <c r="N2866" t="s">
        <v>8639</v>
      </c>
      <c r="Q2866" s="28" t="s">
        <v>8636</v>
      </c>
    </row>
    <row r="2867" spans="1:17" x14ac:dyDescent="0.35">
      <c r="A2867" t="s">
        <v>8520</v>
      </c>
      <c r="B2867" s="3" t="s">
        <v>102</v>
      </c>
      <c r="F2867">
        <v>5</v>
      </c>
      <c r="G2867" t="s">
        <v>8607</v>
      </c>
      <c r="H2867">
        <v>36</v>
      </c>
      <c r="I2867" t="s">
        <v>9305</v>
      </c>
      <c r="J2867" t="str">
        <f t="shared" si="44"/>
        <v>13F-HR-5.36.C10</v>
      </c>
      <c r="K2867" s="5" t="s">
        <v>8640</v>
      </c>
      <c r="L2867" t="s">
        <v>241</v>
      </c>
      <c r="M2867" t="s">
        <v>8641</v>
      </c>
      <c r="N2867" t="s">
        <v>8642</v>
      </c>
      <c r="Q2867" s="28">
        <v>213538</v>
      </c>
    </row>
    <row r="2868" spans="1:17" x14ac:dyDescent="0.35">
      <c r="A2868" t="s">
        <v>8520</v>
      </c>
      <c r="B2868" s="3" t="s">
        <v>102</v>
      </c>
      <c r="F2868">
        <v>5</v>
      </c>
      <c r="G2868" t="s">
        <v>8607</v>
      </c>
      <c r="H2868">
        <v>37</v>
      </c>
      <c r="I2868" t="s">
        <v>9306</v>
      </c>
      <c r="J2868" t="str">
        <f t="shared" si="44"/>
        <v>13F-HR-5.37.C11</v>
      </c>
      <c r="K2868" s="5" t="s">
        <v>8643</v>
      </c>
      <c r="L2868" t="s">
        <v>241</v>
      </c>
      <c r="M2868" t="s">
        <v>8644</v>
      </c>
      <c r="N2868" t="s">
        <v>8645</v>
      </c>
      <c r="Q2868" s="28">
        <v>0</v>
      </c>
    </row>
    <row r="2869" spans="1:17" x14ac:dyDescent="0.35">
      <c r="A2869" t="s">
        <v>8520</v>
      </c>
      <c r="B2869" s="3" t="s">
        <v>102</v>
      </c>
      <c r="F2869">
        <v>5</v>
      </c>
      <c r="G2869" t="s">
        <v>8607</v>
      </c>
      <c r="H2869">
        <v>38</v>
      </c>
      <c r="I2869" t="s">
        <v>9307</v>
      </c>
      <c r="J2869" t="str">
        <f t="shared" si="44"/>
        <v>13F-HR-5.38.C12</v>
      </c>
      <c r="K2869" s="5" t="s">
        <v>8646</v>
      </c>
      <c r="L2869" t="s">
        <v>241</v>
      </c>
      <c r="M2869" t="s">
        <v>8647</v>
      </c>
      <c r="N2869" t="s">
        <v>8648</v>
      </c>
      <c r="Q2869" s="28">
        <v>215218</v>
      </c>
    </row>
    <row r="2870" spans="1:17" x14ac:dyDescent="0.35">
      <c r="A2870" t="s">
        <v>8520</v>
      </c>
      <c r="B2870" s="3" t="s">
        <v>102</v>
      </c>
      <c r="F2870">
        <v>5</v>
      </c>
      <c r="G2870" t="s">
        <v>8607</v>
      </c>
      <c r="H2870">
        <v>27</v>
      </c>
      <c r="I2870" t="s">
        <v>9296</v>
      </c>
      <c r="J2870" t="str">
        <f t="shared" si="44"/>
        <v>13F-HR-5.27.C1</v>
      </c>
      <c r="K2870" s="5" t="s">
        <v>8608</v>
      </c>
      <c r="L2870" t="s">
        <v>229</v>
      </c>
      <c r="M2870" t="s">
        <v>8609</v>
      </c>
      <c r="N2870" t="s">
        <v>8610</v>
      </c>
      <c r="Q2870" s="28" t="s">
        <v>9015</v>
      </c>
    </row>
    <row r="2871" spans="1:17" x14ac:dyDescent="0.35">
      <c r="A2871" t="s">
        <v>8520</v>
      </c>
      <c r="B2871" s="3" t="s">
        <v>102</v>
      </c>
      <c r="F2871">
        <v>5</v>
      </c>
      <c r="G2871" t="s">
        <v>8607</v>
      </c>
      <c r="H2871">
        <v>28</v>
      </c>
      <c r="I2871" t="s">
        <v>9297</v>
      </c>
      <c r="J2871" t="str">
        <f t="shared" si="44"/>
        <v>13F-HR-5.28.C2</v>
      </c>
      <c r="K2871" s="5" t="s">
        <v>8612</v>
      </c>
      <c r="L2871" t="s">
        <v>229</v>
      </c>
      <c r="M2871" t="s">
        <v>8613</v>
      </c>
      <c r="N2871" t="s">
        <v>8614</v>
      </c>
      <c r="Q2871" s="28" t="s">
        <v>8615</v>
      </c>
    </row>
    <row r="2872" spans="1:17" x14ac:dyDescent="0.35">
      <c r="A2872" t="s">
        <v>8520</v>
      </c>
      <c r="B2872" s="3" t="s">
        <v>102</v>
      </c>
      <c r="F2872">
        <v>5</v>
      </c>
      <c r="G2872" t="s">
        <v>8607</v>
      </c>
      <c r="H2872">
        <v>29</v>
      </c>
      <c r="I2872" t="s">
        <v>9298</v>
      </c>
      <c r="J2872" t="str">
        <f t="shared" si="44"/>
        <v>13F-HR-5.29.C3</v>
      </c>
      <c r="K2872" s="5" t="s">
        <v>8616</v>
      </c>
      <c r="L2872" t="s">
        <v>229</v>
      </c>
      <c r="M2872" t="s">
        <v>7927</v>
      </c>
      <c r="N2872" t="s">
        <v>8617</v>
      </c>
      <c r="Q2872" s="28">
        <v>866674104</v>
      </c>
    </row>
    <row r="2873" spans="1:17" x14ac:dyDescent="0.35">
      <c r="A2873" t="s">
        <v>8520</v>
      </c>
      <c r="B2873" s="3" t="s">
        <v>102</v>
      </c>
      <c r="F2873">
        <v>5</v>
      </c>
      <c r="G2873" t="s">
        <v>8607</v>
      </c>
      <c r="H2873">
        <v>30</v>
      </c>
      <c r="I2873" t="s">
        <v>9299</v>
      </c>
      <c r="J2873" t="str">
        <f t="shared" si="44"/>
        <v>13F-HR-5.30.C4</v>
      </c>
      <c r="K2873" s="5" t="s">
        <v>8618</v>
      </c>
      <c r="L2873" t="s">
        <v>8619</v>
      </c>
      <c r="M2873" t="s">
        <v>8620</v>
      </c>
      <c r="N2873" t="s">
        <v>8621</v>
      </c>
      <c r="Q2873" s="28">
        <v>446381</v>
      </c>
    </row>
    <row r="2874" spans="1:17" x14ac:dyDescent="0.35">
      <c r="A2874" t="s">
        <v>8520</v>
      </c>
      <c r="B2874" s="3" t="s">
        <v>102</v>
      </c>
      <c r="F2874">
        <v>5</v>
      </c>
      <c r="G2874" t="s">
        <v>8607</v>
      </c>
      <c r="H2874">
        <v>31</v>
      </c>
      <c r="I2874" t="s">
        <v>9300</v>
      </c>
      <c r="J2874" t="str">
        <f t="shared" si="44"/>
        <v>13F-HR-5.31.C5</v>
      </c>
      <c r="K2874" s="5" t="s">
        <v>8622</v>
      </c>
      <c r="L2874" t="s">
        <v>241</v>
      </c>
      <c r="M2874" t="s">
        <v>8623</v>
      </c>
      <c r="N2874" t="s">
        <v>8624</v>
      </c>
      <c r="Q2874" s="28">
        <v>3470</v>
      </c>
    </row>
    <row r="2875" spans="1:17" x14ac:dyDescent="0.35">
      <c r="A2875" t="s">
        <v>8520</v>
      </c>
      <c r="B2875" s="3" t="s">
        <v>102</v>
      </c>
      <c r="F2875">
        <v>5</v>
      </c>
      <c r="G2875" t="s">
        <v>8607</v>
      </c>
      <c r="H2875">
        <v>32</v>
      </c>
      <c r="I2875" t="s">
        <v>9301</v>
      </c>
      <c r="J2875" t="str">
        <f t="shared" si="44"/>
        <v>13F-HR-5.32.C6</v>
      </c>
      <c r="K2875" s="5" t="s">
        <v>8625</v>
      </c>
      <c r="L2875" t="s">
        <v>229</v>
      </c>
      <c r="M2875" t="s">
        <v>8626</v>
      </c>
      <c r="N2875" t="s">
        <v>8627</v>
      </c>
      <c r="Q2875" s="28" t="s">
        <v>8628</v>
      </c>
    </row>
    <row r="2876" spans="1:17" x14ac:dyDescent="0.35">
      <c r="A2876" t="s">
        <v>8520</v>
      </c>
      <c r="B2876" s="3" t="s">
        <v>102</v>
      </c>
      <c r="F2876">
        <v>5</v>
      </c>
      <c r="G2876" t="s">
        <v>8607</v>
      </c>
      <c r="H2876">
        <v>33</v>
      </c>
      <c r="I2876" t="s">
        <v>9302</v>
      </c>
      <c r="J2876" t="str">
        <f t="shared" si="44"/>
        <v>13F-HR-5.33.C7</v>
      </c>
      <c r="K2876" s="5" t="s">
        <v>8629</v>
      </c>
      <c r="L2876" t="s">
        <v>229</v>
      </c>
      <c r="M2876" t="s">
        <v>8630</v>
      </c>
      <c r="N2876" t="s">
        <v>8631</v>
      </c>
      <c r="Q2876" s="28" t="s">
        <v>8685</v>
      </c>
    </row>
    <row r="2877" spans="1:17" x14ac:dyDescent="0.35">
      <c r="A2877" t="s">
        <v>8520</v>
      </c>
      <c r="B2877" s="3" t="s">
        <v>102</v>
      </c>
      <c r="F2877">
        <v>5</v>
      </c>
      <c r="G2877" t="s">
        <v>8607</v>
      </c>
      <c r="H2877">
        <v>34</v>
      </c>
      <c r="I2877" t="s">
        <v>9303</v>
      </c>
      <c r="J2877" t="str">
        <f t="shared" si="44"/>
        <v>13F-HR-5.34.C8</v>
      </c>
      <c r="K2877" s="5" t="s">
        <v>8633</v>
      </c>
      <c r="L2877" t="s">
        <v>4735</v>
      </c>
      <c r="M2877" t="s">
        <v>8634</v>
      </c>
      <c r="N2877" t="s">
        <v>8635</v>
      </c>
      <c r="Q2877" s="28" t="s">
        <v>8632</v>
      </c>
    </row>
    <row r="2878" spans="1:17" x14ac:dyDescent="0.35">
      <c r="A2878" t="s">
        <v>8520</v>
      </c>
      <c r="B2878" s="3" t="s">
        <v>102</v>
      </c>
      <c r="F2878">
        <v>5</v>
      </c>
      <c r="G2878" t="s">
        <v>8607</v>
      </c>
      <c r="H2878">
        <v>35</v>
      </c>
      <c r="I2878" t="s">
        <v>9304</v>
      </c>
      <c r="J2878" t="str">
        <f t="shared" si="44"/>
        <v>13F-HR-5.35.C9</v>
      </c>
      <c r="K2878" s="5" t="s">
        <v>8637</v>
      </c>
      <c r="L2878" t="s">
        <v>229</v>
      </c>
      <c r="M2878" t="s">
        <v>8638</v>
      </c>
      <c r="N2878" t="s">
        <v>8639</v>
      </c>
      <c r="Q2878" s="28" t="s">
        <v>8636</v>
      </c>
    </row>
    <row r="2879" spans="1:17" x14ac:dyDescent="0.35">
      <c r="A2879" t="s">
        <v>8520</v>
      </c>
      <c r="B2879" s="3" t="s">
        <v>102</v>
      </c>
      <c r="F2879">
        <v>5</v>
      </c>
      <c r="G2879" t="s">
        <v>8607</v>
      </c>
      <c r="H2879">
        <v>36</v>
      </c>
      <c r="I2879" t="s">
        <v>9305</v>
      </c>
      <c r="J2879" t="str">
        <f t="shared" si="44"/>
        <v>13F-HR-5.36.C10</v>
      </c>
      <c r="K2879" s="5" t="s">
        <v>8640</v>
      </c>
      <c r="L2879" t="s">
        <v>241</v>
      </c>
      <c r="M2879" t="s">
        <v>8641</v>
      </c>
      <c r="N2879" t="s">
        <v>8642</v>
      </c>
      <c r="Q2879" s="28">
        <v>3470</v>
      </c>
    </row>
    <row r="2880" spans="1:17" x14ac:dyDescent="0.35">
      <c r="A2880" t="s">
        <v>8520</v>
      </c>
      <c r="B2880" s="3" t="s">
        <v>102</v>
      </c>
      <c r="F2880">
        <v>5</v>
      </c>
      <c r="G2880" t="s">
        <v>8607</v>
      </c>
      <c r="H2880">
        <v>37</v>
      </c>
      <c r="I2880" t="s">
        <v>9306</v>
      </c>
      <c r="J2880" t="str">
        <f t="shared" si="44"/>
        <v>13F-HR-5.37.C11</v>
      </c>
      <c r="K2880" s="5" t="s">
        <v>8643</v>
      </c>
      <c r="L2880" t="s">
        <v>241</v>
      </c>
      <c r="M2880" t="s">
        <v>8644</v>
      </c>
      <c r="N2880" t="s">
        <v>8645</v>
      </c>
      <c r="Q2880" s="28">
        <v>0</v>
      </c>
    </row>
    <row r="2881" spans="1:17" x14ac:dyDescent="0.35">
      <c r="A2881" t="s">
        <v>8520</v>
      </c>
      <c r="B2881" s="3" t="s">
        <v>102</v>
      </c>
      <c r="F2881">
        <v>5</v>
      </c>
      <c r="G2881" t="s">
        <v>8607</v>
      </c>
      <c r="H2881">
        <v>38</v>
      </c>
      <c r="I2881" t="s">
        <v>9307</v>
      </c>
      <c r="J2881" t="str">
        <f t="shared" si="44"/>
        <v>13F-HR-5.38.C12</v>
      </c>
      <c r="K2881" s="5" t="s">
        <v>8646</v>
      </c>
      <c r="L2881" t="s">
        <v>241</v>
      </c>
      <c r="M2881" t="s">
        <v>8647</v>
      </c>
      <c r="N2881" t="s">
        <v>8648</v>
      </c>
      <c r="Q2881" s="28">
        <v>0</v>
      </c>
    </row>
    <row r="2882" spans="1:17" x14ac:dyDescent="0.35">
      <c r="A2882" t="s">
        <v>8520</v>
      </c>
      <c r="B2882" s="3" t="s">
        <v>102</v>
      </c>
      <c r="F2882">
        <v>5</v>
      </c>
      <c r="G2882" t="s">
        <v>8607</v>
      </c>
      <c r="H2882">
        <v>27</v>
      </c>
      <c r="I2882" t="s">
        <v>9296</v>
      </c>
      <c r="J2882" t="str">
        <f t="shared" si="44"/>
        <v>13F-HR-5.27.C1</v>
      </c>
      <c r="K2882" s="5" t="s">
        <v>8608</v>
      </c>
      <c r="L2882" t="s">
        <v>229</v>
      </c>
      <c r="M2882" t="s">
        <v>8609</v>
      </c>
      <c r="N2882" t="s">
        <v>8610</v>
      </c>
      <c r="Q2882" s="28" t="s">
        <v>9016</v>
      </c>
    </row>
    <row r="2883" spans="1:17" x14ac:dyDescent="0.35">
      <c r="A2883" t="s">
        <v>8520</v>
      </c>
      <c r="B2883" s="3" t="s">
        <v>102</v>
      </c>
      <c r="F2883">
        <v>5</v>
      </c>
      <c r="G2883" t="s">
        <v>8607</v>
      </c>
      <c r="H2883">
        <v>28</v>
      </c>
      <c r="I2883" t="s">
        <v>9297</v>
      </c>
      <c r="J2883" t="str">
        <f t="shared" ref="J2883:J2946" si="45">_xlfn.CONCAT(A2883,"-",F2883,".",H2883,".",I2883)</f>
        <v>13F-HR-5.28.C2</v>
      </c>
      <c r="K2883" s="5" t="s">
        <v>8612</v>
      </c>
      <c r="L2883" t="s">
        <v>229</v>
      </c>
      <c r="M2883" t="s">
        <v>8613</v>
      </c>
      <c r="N2883" t="s">
        <v>8614</v>
      </c>
      <c r="Q2883" s="28" t="s">
        <v>8615</v>
      </c>
    </row>
    <row r="2884" spans="1:17" x14ac:dyDescent="0.35">
      <c r="A2884" t="s">
        <v>8520</v>
      </c>
      <c r="B2884" s="3" t="s">
        <v>102</v>
      </c>
      <c r="F2884">
        <v>5</v>
      </c>
      <c r="G2884" t="s">
        <v>8607</v>
      </c>
      <c r="H2884">
        <v>29</v>
      </c>
      <c r="I2884" t="s">
        <v>9298</v>
      </c>
      <c r="J2884" t="str">
        <f t="shared" si="45"/>
        <v>13F-HR-5.29.C3</v>
      </c>
      <c r="K2884" s="5" t="s">
        <v>8616</v>
      </c>
      <c r="L2884" t="s">
        <v>229</v>
      </c>
      <c r="M2884" t="s">
        <v>7927</v>
      </c>
      <c r="N2884" t="s">
        <v>8617</v>
      </c>
      <c r="Q2884" s="28">
        <v>871607107</v>
      </c>
    </row>
    <row r="2885" spans="1:17" x14ac:dyDescent="0.35">
      <c r="A2885" t="s">
        <v>8520</v>
      </c>
      <c r="B2885" s="3" t="s">
        <v>102</v>
      </c>
      <c r="F2885">
        <v>5</v>
      </c>
      <c r="G2885" t="s">
        <v>8607</v>
      </c>
      <c r="H2885">
        <v>30</v>
      </c>
      <c r="I2885" t="s">
        <v>9299</v>
      </c>
      <c r="J2885" t="str">
        <f t="shared" si="45"/>
        <v>13F-HR-5.30.C4</v>
      </c>
      <c r="K2885" s="5" t="s">
        <v>8618</v>
      </c>
      <c r="L2885" t="s">
        <v>8619</v>
      </c>
      <c r="M2885" t="s">
        <v>8620</v>
      </c>
      <c r="N2885" t="s">
        <v>8621</v>
      </c>
      <c r="Q2885" s="28">
        <v>23327296</v>
      </c>
    </row>
    <row r="2886" spans="1:17" x14ac:dyDescent="0.35">
      <c r="A2886" t="s">
        <v>8520</v>
      </c>
      <c r="B2886" s="3" t="s">
        <v>102</v>
      </c>
      <c r="F2886">
        <v>5</v>
      </c>
      <c r="G2886" t="s">
        <v>8607</v>
      </c>
      <c r="H2886">
        <v>31</v>
      </c>
      <c r="I2886" t="s">
        <v>9300</v>
      </c>
      <c r="J2886" t="str">
        <f t="shared" si="45"/>
        <v>13F-HR-5.31.C5</v>
      </c>
      <c r="K2886" s="5" t="s">
        <v>8622</v>
      </c>
      <c r="L2886" t="s">
        <v>241</v>
      </c>
      <c r="M2886" t="s">
        <v>8623</v>
      </c>
      <c r="N2886" t="s">
        <v>8624</v>
      </c>
      <c r="Q2886" s="28">
        <v>54395</v>
      </c>
    </row>
    <row r="2887" spans="1:17" x14ac:dyDescent="0.35">
      <c r="A2887" t="s">
        <v>8520</v>
      </c>
      <c r="B2887" s="3" t="s">
        <v>102</v>
      </c>
      <c r="F2887">
        <v>5</v>
      </c>
      <c r="G2887" t="s">
        <v>8607</v>
      </c>
      <c r="H2887">
        <v>32</v>
      </c>
      <c r="I2887" t="s">
        <v>9301</v>
      </c>
      <c r="J2887" t="str">
        <f t="shared" si="45"/>
        <v>13F-HR-5.32.C6</v>
      </c>
      <c r="K2887" s="5" t="s">
        <v>8625</v>
      </c>
      <c r="L2887" t="s">
        <v>229</v>
      </c>
      <c r="M2887" t="s">
        <v>8626</v>
      </c>
      <c r="N2887" t="s">
        <v>8627</v>
      </c>
      <c r="Q2887" s="28" t="s">
        <v>8628</v>
      </c>
    </row>
    <row r="2888" spans="1:17" x14ac:dyDescent="0.35">
      <c r="A2888" t="s">
        <v>8520</v>
      </c>
      <c r="B2888" s="3" t="s">
        <v>102</v>
      </c>
      <c r="F2888">
        <v>5</v>
      </c>
      <c r="G2888" t="s">
        <v>8607</v>
      </c>
      <c r="H2888">
        <v>33</v>
      </c>
      <c r="I2888" t="s">
        <v>9302</v>
      </c>
      <c r="J2888" t="str">
        <f t="shared" si="45"/>
        <v>13F-HR-5.33.C7</v>
      </c>
      <c r="K2888" s="5" t="s">
        <v>8629</v>
      </c>
      <c r="L2888" t="s">
        <v>229</v>
      </c>
      <c r="M2888" t="s">
        <v>8630</v>
      </c>
      <c r="N2888" t="s">
        <v>8631</v>
      </c>
      <c r="Q2888" s="28" t="s">
        <v>8685</v>
      </c>
    </row>
    <row r="2889" spans="1:17" x14ac:dyDescent="0.35">
      <c r="A2889" t="s">
        <v>8520</v>
      </c>
      <c r="B2889" s="3" t="s">
        <v>102</v>
      </c>
      <c r="F2889">
        <v>5</v>
      </c>
      <c r="G2889" t="s">
        <v>8607</v>
      </c>
      <c r="H2889">
        <v>34</v>
      </c>
      <c r="I2889" t="s">
        <v>9303</v>
      </c>
      <c r="J2889" t="str">
        <f t="shared" si="45"/>
        <v>13F-HR-5.34.C8</v>
      </c>
      <c r="K2889" s="5" t="s">
        <v>8633</v>
      </c>
      <c r="L2889" t="s">
        <v>4735</v>
      </c>
      <c r="M2889" t="s">
        <v>8634</v>
      </c>
      <c r="N2889" t="s">
        <v>8635</v>
      </c>
      <c r="Q2889" s="28" t="s">
        <v>8632</v>
      </c>
    </row>
    <row r="2890" spans="1:17" x14ac:dyDescent="0.35">
      <c r="A2890" t="s">
        <v>8520</v>
      </c>
      <c r="B2890" s="3" t="s">
        <v>102</v>
      </c>
      <c r="F2890">
        <v>5</v>
      </c>
      <c r="G2890" t="s">
        <v>8607</v>
      </c>
      <c r="H2890">
        <v>35</v>
      </c>
      <c r="I2890" t="s">
        <v>9304</v>
      </c>
      <c r="J2890" t="str">
        <f t="shared" si="45"/>
        <v>13F-HR-5.35.C9</v>
      </c>
      <c r="K2890" s="5" t="s">
        <v>8637</v>
      </c>
      <c r="L2890" t="s">
        <v>229</v>
      </c>
      <c r="M2890" t="s">
        <v>8638</v>
      </c>
      <c r="N2890" t="s">
        <v>8639</v>
      </c>
      <c r="Q2890" s="28" t="s">
        <v>8636</v>
      </c>
    </row>
    <row r="2891" spans="1:17" x14ac:dyDescent="0.35">
      <c r="A2891" t="s">
        <v>8520</v>
      </c>
      <c r="B2891" s="3" t="s">
        <v>102</v>
      </c>
      <c r="F2891">
        <v>5</v>
      </c>
      <c r="G2891" t="s">
        <v>8607</v>
      </c>
      <c r="H2891">
        <v>36</v>
      </c>
      <c r="I2891" t="s">
        <v>9305</v>
      </c>
      <c r="J2891" t="str">
        <f t="shared" si="45"/>
        <v>13F-HR-5.36.C10</v>
      </c>
      <c r="K2891" s="5" t="s">
        <v>8640</v>
      </c>
      <c r="L2891" t="s">
        <v>241</v>
      </c>
      <c r="M2891" t="s">
        <v>8641</v>
      </c>
      <c r="N2891" t="s">
        <v>8642</v>
      </c>
      <c r="Q2891" s="28">
        <v>45368</v>
      </c>
    </row>
    <row r="2892" spans="1:17" x14ac:dyDescent="0.35">
      <c r="A2892" t="s">
        <v>8520</v>
      </c>
      <c r="B2892" s="3" t="s">
        <v>102</v>
      </c>
      <c r="F2892">
        <v>5</v>
      </c>
      <c r="G2892" t="s">
        <v>8607</v>
      </c>
      <c r="H2892">
        <v>37</v>
      </c>
      <c r="I2892" t="s">
        <v>9306</v>
      </c>
      <c r="J2892" t="str">
        <f t="shared" si="45"/>
        <v>13F-HR-5.37.C11</v>
      </c>
      <c r="K2892" s="5" t="s">
        <v>8643</v>
      </c>
      <c r="L2892" t="s">
        <v>241</v>
      </c>
      <c r="M2892" t="s">
        <v>8644</v>
      </c>
      <c r="N2892" t="s">
        <v>8645</v>
      </c>
      <c r="Q2892" s="28">
        <v>0</v>
      </c>
    </row>
    <row r="2893" spans="1:17" x14ac:dyDescent="0.35">
      <c r="A2893" t="s">
        <v>8520</v>
      </c>
      <c r="B2893" s="3" t="s">
        <v>102</v>
      </c>
      <c r="F2893">
        <v>5</v>
      </c>
      <c r="G2893" t="s">
        <v>8607</v>
      </c>
      <c r="H2893">
        <v>38</v>
      </c>
      <c r="I2893" t="s">
        <v>9307</v>
      </c>
      <c r="J2893" t="str">
        <f t="shared" si="45"/>
        <v>13F-HR-5.38.C12</v>
      </c>
      <c r="K2893" s="5" t="s">
        <v>8646</v>
      </c>
      <c r="L2893" t="s">
        <v>241</v>
      </c>
      <c r="M2893" t="s">
        <v>8647</v>
      </c>
      <c r="N2893" t="s">
        <v>8648</v>
      </c>
      <c r="Q2893" s="28">
        <v>9027</v>
      </c>
    </row>
    <row r="2894" spans="1:17" x14ac:dyDescent="0.35">
      <c r="A2894" t="s">
        <v>8520</v>
      </c>
      <c r="B2894" s="3" t="s">
        <v>102</v>
      </c>
      <c r="F2894">
        <v>5</v>
      </c>
      <c r="G2894" t="s">
        <v>8607</v>
      </c>
      <c r="H2894">
        <v>27</v>
      </c>
      <c r="I2894" t="s">
        <v>9296</v>
      </c>
      <c r="J2894" t="str">
        <f t="shared" si="45"/>
        <v>13F-HR-5.27.C1</v>
      </c>
      <c r="K2894" s="5" t="s">
        <v>8608</v>
      </c>
      <c r="L2894" t="s">
        <v>229</v>
      </c>
      <c r="M2894" t="s">
        <v>8609</v>
      </c>
      <c r="N2894" t="s">
        <v>8610</v>
      </c>
      <c r="Q2894" s="28" t="s">
        <v>9017</v>
      </c>
    </row>
    <row r="2895" spans="1:17" x14ac:dyDescent="0.35">
      <c r="A2895" t="s">
        <v>8520</v>
      </c>
      <c r="B2895" s="3" t="s">
        <v>102</v>
      </c>
      <c r="F2895">
        <v>5</v>
      </c>
      <c r="G2895" t="s">
        <v>8607</v>
      </c>
      <c r="H2895">
        <v>28</v>
      </c>
      <c r="I2895" t="s">
        <v>9297</v>
      </c>
      <c r="J2895" t="str">
        <f t="shared" si="45"/>
        <v>13F-HR-5.28.C2</v>
      </c>
      <c r="K2895" s="5" t="s">
        <v>8612</v>
      </c>
      <c r="L2895" t="s">
        <v>229</v>
      </c>
      <c r="M2895" t="s">
        <v>8613</v>
      </c>
      <c r="N2895" t="s">
        <v>8614</v>
      </c>
      <c r="Q2895" s="28" t="s">
        <v>8615</v>
      </c>
    </row>
    <row r="2896" spans="1:17" x14ac:dyDescent="0.35">
      <c r="A2896" t="s">
        <v>8520</v>
      </c>
      <c r="B2896" s="3" t="s">
        <v>102</v>
      </c>
      <c r="F2896">
        <v>5</v>
      </c>
      <c r="G2896" t="s">
        <v>8607</v>
      </c>
      <c r="H2896">
        <v>29</v>
      </c>
      <c r="I2896" t="s">
        <v>9298</v>
      </c>
      <c r="J2896" t="str">
        <f t="shared" si="45"/>
        <v>13F-HR-5.29.C3</v>
      </c>
      <c r="K2896" s="5" t="s">
        <v>8616</v>
      </c>
      <c r="L2896" t="s">
        <v>229</v>
      </c>
      <c r="M2896" t="s">
        <v>7927</v>
      </c>
      <c r="N2896" t="s">
        <v>8617</v>
      </c>
      <c r="Q2896" s="28" t="s">
        <v>9018</v>
      </c>
    </row>
    <row r="2897" spans="1:17" x14ac:dyDescent="0.35">
      <c r="A2897" t="s">
        <v>8520</v>
      </c>
      <c r="B2897" s="3" t="s">
        <v>102</v>
      </c>
      <c r="F2897">
        <v>5</v>
      </c>
      <c r="G2897" t="s">
        <v>8607</v>
      </c>
      <c r="H2897">
        <v>30</v>
      </c>
      <c r="I2897" t="s">
        <v>9299</v>
      </c>
      <c r="J2897" t="str">
        <f t="shared" si="45"/>
        <v>13F-HR-5.30.C4</v>
      </c>
      <c r="K2897" s="5" t="s">
        <v>8618</v>
      </c>
      <c r="L2897" t="s">
        <v>8619</v>
      </c>
      <c r="M2897" t="s">
        <v>8620</v>
      </c>
      <c r="N2897" t="s">
        <v>8621</v>
      </c>
      <c r="Q2897" s="28">
        <v>40512499</v>
      </c>
    </row>
    <row r="2898" spans="1:17" x14ac:dyDescent="0.35">
      <c r="A2898" t="s">
        <v>8520</v>
      </c>
      <c r="B2898" s="3" t="s">
        <v>102</v>
      </c>
      <c r="F2898">
        <v>5</v>
      </c>
      <c r="G2898" t="s">
        <v>8607</v>
      </c>
      <c r="H2898">
        <v>31</v>
      </c>
      <c r="I2898" t="s">
        <v>9300</v>
      </c>
      <c r="J2898" t="str">
        <f t="shared" si="45"/>
        <v>13F-HR-5.31.C5</v>
      </c>
      <c r="K2898" s="5" t="s">
        <v>8622</v>
      </c>
      <c r="L2898" t="s">
        <v>241</v>
      </c>
      <c r="M2898" t="s">
        <v>8623</v>
      </c>
      <c r="N2898" t="s">
        <v>8624</v>
      </c>
      <c r="Q2898" s="28">
        <v>523241</v>
      </c>
    </row>
    <row r="2899" spans="1:17" x14ac:dyDescent="0.35">
      <c r="A2899" t="s">
        <v>8520</v>
      </c>
      <c r="B2899" s="3" t="s">
        <v>102</v>
      </c>
      <c r="F2899">
        <v>5</v>
      </c>
      <c r="G2899" t="s">
        <v>8607</v>
      </c>
      <c r="H2899">
        <v>32</v>
      </c>
      <c r="I2899" t="s">
        <v>9301</v>
      </c>
      <c r="J2899" t="str">
        <f t="shared" si="45"/>
        <v>13F-HR-5.32.C6</v>
      </c>
      <c r="K2899" s="5" t="s">
        <v>8625</v>
      </c>
      <c r="L2899" t="s">
        <v>229</v>
      </c>
      <c r="M2899" t="s">
        <v>8626</v>
      </c>
      <c r="N2899" t="s">
        <v>8627</v>
      </c>
      <c r="Q2899" s="28" t="s">
        <v>8628</v>
      </c>
    </row>
    <row r="2900" spans="1:17" x14ac:dyDescent="0.35">
      <c r="A2900" t="s">
        <v>8520</v>
      </c>
      <c r="B2900" s="3" t="s">
        <v>102</v>
      </c>
      <c r="F2900">
        <v>5</v>
      </c>
      <c r="G2900" t="s">
        <v>8607</v>
      </c>
      <c r="H2900">
        <v>33</v>
      </c>
      <c r="I2900" t="s">
        <v>9302</v>
      </c>
      <c r="J2900" t="str">
        <f t="shared" si="45"/>
        <v>13F-HR-5.33.C7</v>
      </c>
      <c r="K2900" s="5" t="s">
        <v>8629</v>
      </c>
      <c r="L2900" t="s">
        <v>229</v>
      </c>
      <c r="M2900" t="s">
        <v>8630</v>
      </c>
      <c r="N2900" t="s">
        <v>8631</v>
      </c>
      <c r="Q2900" s="28" t="s">
        <v>8685</v>
      </c>
    </row>
    <row r="2901" spans="1:17" x14ac:dyDescent="0.35">
      <c r="A2901" t="s">
        <v>8520</v>
      </c>
      <c r="B2901" s="3" t="s">
        <v>102</v>
      </c>
      <c r="F2901">
        <v>5</v>
      </c>
      <c r="G2901" t="s">
        <v>8607</v>
      </c>
      <c r="H2901">
        <v>34</v>
      </c>
      <c r="I2901" t="s">
        <v>9303</v>
      </c>
      <c r="J2901" t="str">
        <f t="shared" si="45"/>
        <v>13F-HR-5.34.C8</v>
      </c>
      <c r="K2901" s="5" t="s">
        <v>8633</v>
      </c>
      <c r="L2901" t="s">
        <v>4735</v>
      </c>
      <c r="M2901" t="s">
        <v>8634</v>
      </c>
      <c r="N2901" t="s">
        <v>8635</v>
      </c>
      <c r="Q2901" s="28" t="s">
        <v>8632</v>
      </c>
    </row>
    <row r="2902" spans="1:17" x14ac:dyDescent="0.35">
      <c r="A2902" t="s">
        <v>8520</v>
      </c>
      <c r="B2902" s="3" t="s">
        <v>102</v>
      </c>
      <c r="F2902">
        <v>5</v>
      </c>
      <c r="G2902" t="s">
        <v>8607</v>
      </c>
      <c r="H2902">
        <v>35</v>
      </c>
      <c r="I2902" t="s">
        <v>9304</v>
      </c>
      <c r="J2902" t="str">
        <f t="shared" si="45"/>
        <v>13F-HR-5.35.C9</v>
      </c>
      <c r="K2902" s="5" t="s">
        <v>8637</v>
      </c>
      <c r="L2902" t="s">
        <v>229</v>
      </c>
      <c r="M2902" t="s">
        <v>8638</v>
      </c>
      <c r="N2902" t="s">
        <v>8639</v>
      </c>
      <c r="Q2902" s="28" t="s">
        <v>8636</v>
      </c>
    </row>
    <row r="2903" spans="1:17" x14ac:dyDescent="0.35">
      <c r="A2903" t="s">
        <v>8520</v>
      </c>
      <c r="B2903" s="3" t="s">
        <v>102</v>
      </c>
      <c r="F2903">
        <v>5</v>
      </c>
      <c r="G2903" t="s">
        <v>8607</v>
      </c>
      <c r="H2903">
        <v>36</v>
      </c>
      <c r="I2903" t="s">
        <v>9305</v>
      </c>
      <c r="J2903" t="str">
        <f t="shared" si="45"/>
        <v>13F-HR-5.36.C10</v>
      </c>
      <c r="K2903" s="5" t="s">
        <v>8640</v>
      </c>
      <c r="L2903" t="s">
        <v>241</v>
      </c>
      <c r="M2903" t="s">
        <v>8641</v>
      </c>
      <c r="N2903" t="s">
        <v>8642</v>
      </c>
      <c r="Q2903" s="28">
        <v>422823</v>
      </c>
    </row>
    <row r="2904" spans="1:17" x14ac:dyDescent="0.35">
      <c r="A2904" t="s">
        <v>8520</v>
      </c>
      <c r="B2904" s="3" t="s">
        <v>102</v>
      </c>
      <c r="F2904">
        <v>5</v>
      </c>
      <c r="G2904" t="s">
        <v>8607</v>
      </c>
      <c r="H2904">
        <v>37</v>
      </c>
      <c r="I2904" t="s">
        <v>9306</v>
      </c>
      <c r="J2904" t="str">
        <f t="shared" si="45"/>
        <v>13F-HR-5.37.C11</v>
      </c>
      <c r="K2904" s="5" t="s">
        <v>8643</v>
      </c>
      <c r="L2904" t="s">
        <v>241</v>
      </c>
      <c r="M2904" t="s">
        <v>8644</v>
      </c>
      <c r="N2904" t="s">
        <v>8645</v>
      </c>
      <c r="Q2904" s="28">
        <v>0</v>
      </c>
    </row>
    <row r="2905" spans="1:17" x14ac:dyDescent="0.35">
      <c r="A2905" t="s">
        <v>8520</v>
      </c>
      <c r="B2905" s="3" t="s">
        <v>102</v>
      </c>
      <c r="F2905">
        <v>5</v>
      </c>
      <c r="G2905" t="s">
        <v>8607</v>
      </c>
      <c r="H2905">
        <v>38</v>
      </c>
      <c r="I2905" t="s">
        <v>9307</v>
      </c>
      <c r="J2905" t="str">
        <f t="shared" si="45"/>
        <v>13F-HR-5.38.C12</v>
      </c>
      <c r="K2905" s="5" t="s">
        <v>8646</v>
      </c>
      <c r="L2905" t="s">
        <v>241</v>
      </c>
      <c r="M2905" t="s">
        <v>8647</v>
      </c>
      <c r="N2905" t="s">
        <v>8648</v>
      </c>
      <c r="Q2905" s="28">
        <v>100418</v>
      </c>
    </row>
    <row r="2906" spans="1:17" x14ac:dyDescent="0.35">
      <c r="A2906" t="s">
        <v>8520</v>
      </c>
      <c r="B2906" s="3" t="s">
        <v>102</v>
      </c>
      <c r="F2906">
        <v>5</v>
      </c>
      <c r="G2906" t="s">
        <v>8607</v>
      </c>
      <c r="H2906">
        <v>27</v>
      </c>
      <c r="I2906" t="s">
        <v>9296</v>
      </c>
      <c r="J2906" t="str">
        <f t="shared" si="45"/>
        <v>13F-HR-5.27.C1</v>
      </c>
      <c r="K2906" s="5" t="s">
        <v>8608</v>
      </c>
      <c r="L2906" t="s">
        <v>229</v>
      </c>
      <c r="M2906" t="s">
        <v>8609</v>
      </c>
      <c r="N2906" t="s">
        <v>8610</v>
      </c>
      <c r="Q2906" s="28" t="s">
        <v>9019</v>
      </c>
    </row>
    <row r="2907" spans="1:17" x14ac:dyDescent="0.35">
      <c r="A2907" t="s">
        <v>8520</v>
      </c>
      <c r="B2907" s="3" t="s">
        <v>102</v>
      </c>
      <c r="F2907">
        <v>5</v>
      </c>
      <c r="G2907" t="s">
        <v>8607</v>
      </c>
      <c r="H2907">
        <v>28</v>
      </c>
      <c r="I2907" t="s">
        <v>9297</v>
      </c>
      <c r="J2907" t="str">
        <f t="shared" si="45"/>
        <v>13F-HR-5.28.C2</v>
      </c>
      <c r="K2907" s="5" t="s">
        <v>8612</v>
      </c>
      <c r="L2907" t="s">
        <v>229</v>
      </c>
      <c r="M2907" t="s">
        <v>8613</v>
      </c>
      <c r="N2907" t="s">
        <v>8614</v>
      </c>
      <c r="Q2907" s="28" t="s">
        <v>8615</v>
      </c>
    </row>
    <row r="2908" spans="1:17" x14ac:dyDescent="0.35">
      <c r="A2908" t="s">
        <v>8520</v>
      </c>
      <c r="B2908" s="3" t="s">
        <v>102</v>
      </c>
      <c r="F2908">
        <v>5</v>
      </c>
      <c r="G2908" t="s">
        <v>8607</v>
      </c>
      <c r="H2908">
        <v>29</v>
      </c>
      <c r="I2908" t="s">
        <v>9298</v>
      </c>
      <c r="J2908" t="str">
        <f t="shared" si="45"/>
        <v>13F-HR-5.29.C3</v>
      </c>
      <c r="K2908" s="5" t="s">
        <v>8616</v>
      </c>
      <c r="L2908" t="s">
        <v>229</v>
      </c>
      <c r="M2908" t="s">
        <v>7927</v>
      </c>
      <c r="N2908" t="s">
        <v>8617</v>
      </c>
      <c r="Q2908" s="28">
        <v>872540109</v>
      </c>
    </row>
    <row r="2909" spans="1:17" x14ac:dyDescent="0.35">
      <c r="A2909" t="s">
        <v>8520</v>
      </c>
      <c r="B2909" s="3" t="s">
        <v>102</v>
      </c>
      <c r="F2909">
        <v>5</v>
      </c>
      <c r="G2909" t="s">
        <v>8607</v>
      </c>
      <c r="H2909">
        <v>30</v>
      </c>
      <c r="I2909" t="s">
        <v>9299</v>
      </c>
      <c r="J2909" t="str">
        <f t="shared" si="45"/>
        <v>13F-HR-5.30.C4</v>
      </c>
      <c r="K2909" s="5" t="s">
        <v>8618</v>
      </c>
      <c r="L2909" t="s">
        <v>8619</v>
      </c>
      <c r="M2909" t="s">
        <v>8620</v>
      </c>
      <c r="N2909" t="s">
        <v>8621</v>
      </c>
      <c r="Q2909" s="28">
        <v>9850819</v>
      </c>
    </row>
    <row r="2910" spans="1:17" x14ac:dyDescent="0.35">
      <c r="A2910" t="s">
        <v>8520</v>
      </c>
      <c r="B2910" s="3" t="s">
        <v>102</v>
      </c>
      <c r="F2910">
        <v>5</v>
      </c>
      <c r="G2910" t="s">
        <v>8607</v>
      </c>
      <c r="H2910">
        <v>31</v>
      </c>
      <c r="I2910" t="s">
        <v>9300</v>
      </c>
      <c r="J2910" t="str">
        <f t="shared" si="45"/>
        <v>13F-HR-5.31.C5</v>
      </c>
      <c r="K2910" s="5" t="s">
        <v>8622</v>
      </c>
      <c r="L2910" t="s">
        <v>241</v>
      </c>
      <c r="M2910" t="s">
        <v>8623</v>
      </c>
      <c r="N2910" t="s">
        <v>8624</v>
      </c>
      <c r="Q2910" s="28">
        <v>80877</v>
      </c>
    </row>
    <row r="2911" spans="1:17" x14ac:dyDescent="0.35">
      <c r="A2911" t="s">
        <v>8520</v>
      </c>
      <c r="B2911" s="3" t="s">
        <v>102</v>
      </c>
      <c r="F2911">
        <v>5</v>
      </c>
      <c r="G2911" t="s">
        <v>8607</v>
      </c>
      <c r="H2911">
        <v>32</v>
      </c>
      <c r="I2911" t="s">
        <v>9301</v>
      </c>
      <c r="J2911" t="str">
        <f t="shared" si="45"/>
        <v>13F-HR-5.32.C6</v>
      </c>
      <c r="K2911" s="5" t="s">
        <v>8625</v>
      </c>
      <c r="L2911" t="s">
        <v>229</v>
      </c>
      <c r="M2911" t="s">
        <v>8626</v>
      </c>
      <c r="N2911" t="s">
        <v>8627</v>
      </c>
      <c r="Q2911" s="28" t="s">
        <v>8628</v>
      </c>
    </row>
    <row r="2912" spans="1:17" x14ac:dyDescent="0.35">
      <c r="A2912" t="s">
        <v>8520</v>
      </c>
      <c r="B2912" s="3" t="s">
        <v>102</v>
      </c>
      <c r="F2912">
        <v>5</v>
      </c>
      <c r="G2912" t="s">
        <v>8607</v>
      </c>
      <c r="H2912">
        <v>33</v>
      </c>
      <c r="I2912" t="s">
        <v>9302</v>
      </c>
      <c r="J2912" t="str">
        <f t="shared" si="45"/>
        <v>13F-HR-5.33.C7</v>
      </c>
      <c r="K2912" s="5" t="s">
        <v>8629</v>
      </c>
      <c r="L2912" t="s">
        <v>229</v>
      </c>
      <c r="M2912" t="s">
        <v>8630</v>
      </c>
      <c r="N2912" t="s">
        <v>8631</v>
      </c>
      <c r="Q2912" s="28" t="s">
        <v>8685</v>
      </c>
    </row>
    <row r="2913" spans="1:17" x14ac:dyDescent="0.35">
      <c r="A2913" t="s">
        <v>8520</v>
      </c>
      <c r="B2913" s="3" t="s">
        <v>102</v>
      </c>
      <c r="F2913">
        <v>5</v>
      </c>
      <c r="G2913" t="s">
        <v>8607</v>
      </c>
      <c r="H2913">
        <v>34</v>
      </c>
      <c r="I2913" t="s">
        <v>9303</v>
      </c>
      <c r="J2913" t="str">
        <f t="shared" si="45"/>
        <v>13F-HR-5.34.C8</v>
      </c>
      <c r="K2913" s="5" t="s">
        <v>8633</v>
      </c>
      <c r="L2913" t="s">
        <v>4735</v>
      </c>
      <c r="M2913" t="s">
        <v>8634</v>
      </c>
      <c r="N2913" t="s">
        <v>8635</v>
      </c>
      <c r="Q2913" s="28" t="s">
        <v>8632</v>
      </c>
    </row>
    <row r="2914" spans="1:17" x14ac:dyDescent="0.35">
      <c r="A2914" t="s">
        <v>8520</v>
      </c>
      <c r="B2914" s="3" t="s">
        <v>102</v>
      </c>
      <c r="F2914">
        <v>5</v>
      </c>
      <c r="G2914" t="s">
        <v>8607</v>
      </c>
      <c r="H2914">
        <v>35</v>
      </c>
      <c r="I2914" t="s">
        <v>9304</v>
      </c>
      <c r="J2914" t="str">
        <f t="shared" si="45"/>
        <v>13F-HR-5.35.C9</v>
      </c>
      <c r="K2914" s="5" t="s">
        <v>8637</v>
      </c>
      <c r="L2914" t="s">
        <v>229</v>
      </c>
      <c r="M2914" t="s">
        <v>8638</v>
      </c>
      <c r="N2914" t="s">
        <v>8639</v>
      </c>
      <c r="Q2914" s="28" t="s">
        <v>8636</v>
      </c>
    </row>
    <row r="2915" spans="1:17" x14ac:dyDescent="0.35">
      <c r="A2915" t="s">
        <v>8520</v>
      </c>
      <c r="B2915" s="3" t="s">
        <v>102</v>
      </c>
      <c r="F2915">
        <v>5</v>
      </c>
      <c r="G2915" t="s">
        <v>8607</v>
      </c>
      <c r="H2915">
        <v>36</v>
      </c>
      <c r="I2915" t="s">
        <v>9305</v>
      </c>
      <c r="J2915" t="str">
        <f t="shared" si="45"/>
        <v>13F-HR-5.36.C10</v>
      </c>
      <c r="K2915" s="5" t="s">
        <v>8640</v>
      </c>
      <c r="L2915" t="s">
        <v>241</v>
      </c>
      <c r="M2915" t="s">
        <v>8641</v>
      </c>
      <c r="N2915" t="s">
        <v>8642</v>
      </c>
      <c r="Q2915" s="28">
        <v>728</v>
      </c>
    </row>
    <row r="2916" spans="1:17" x14ac:dyDescent="0.35">
      <c r="A2916" t="s">
        <v>8520</v>
      </c>
      <c r="B2916" s="3" t="s">
        <v>102</v>
      </c>
      <c r="F2916">
        <v>5</v>
      </c>
      <c r="G2916" t="s">
        <v>8607</v>
      </c>
      <c r="H2916">
        <v>37</v>
      </c>
      <c r="I2916" t="s">
        <v>9306</v>
      </c>
      <c r="J2916" t="str">
        <f t="shared" si="45"/>
        <v>13F-HR-5.37.C11</v>
      </c>
      <c r="K2916" s="5" t="s">
        <v>8643</v>
      </c>
      <c r="L2916" t="s">
        <v>241</v>
      </c>
      <c r="M2916" t="s">
        <v>8644</v>
      </c>
      <c r="N2916" t="s">
        <v>8645</v>
      </c>
      <c r="Q2916" s="28">
        <v>0</v>
      </c>
    </row>
    <row r="2917" spans="1:17" x14ac:dyDescent="0.35">
      <c r="A2917" t="s">
        <v>8520</v>
      </c>
      <c r="B2917" s="3" t="s">
        <v>102</v>
      </c>
      <c r="F2917">
        <v>5</v>
      </c>
      <c r="G2917" t="s">
        <v>8607</v>
      </c>
      <c r="H2917">
        <v>38</v>
      </c>
      <c r="I2917" t="s">
        <v>9307</v>
      </c>
      <c r="J2917" t="str">
        <f t="shared" si="45"/>
        <v>13F-HR-5.38.C12</v>
      </c>
      <c r="K2917" s="5" t="s">
        <v>8646</v>
      </c>
      <c r="L2917" t="s">
        <v>241</v>
      </c>
      <c r="M2917" t="s">
        <v>8647</v>
      </c>
      <c r="N2917" t="s">
        <v>8648</v>
      </c>
      <c r="Q2917" s="28">
        <v>80149</v>
      </c>
    </row>
    <row r="2918" spans="1:17" x14ac:dyDescent="0.35">
      <c r="A2918" t="s">
        <v>8520</v>
      </c>
      <c r="B2918" s="3" t="s">
        <v>102</v>
      </c>
      <c r="F2918">
        <v>5</v>
      </c>
      <c r="G2918" t="s">
        <v>8607</v>
      </c>
      <c r="H2918">
        <v>27</v>
      </c>
      <c r="I2918" t="s">
        <v>9296</v>
      </c>
      <c r="J2918" t="str">
        <f t="shared" si="45"/>
        <v>13F-HR-5.27.C1</v>
      </c>
      <c r="K2918" s="5" t="s">
        <v>8608</v>
      </c>
      <c r="L2918" t="s">
        <v>229</v>
      </c>
      <c r="M2918" t="s">
        <v>8609</v>
      </c>
      <c r="N2918" t="s">
        <v>8610</v>
      </c>
      <c r="Q2918" s="28" t="s">
        <v>9020</v>
      </c>
    </row>
    <row r="2919" spans="1:17" x14ac:dyDescent="0.35">
      <c r="A2919" t="s">
        <v>8520</v>
      </c>
      <c r="B2919" s="3" t="s">
        <v>102</v>
      </c>
      <c r="F2919">
        <v>5</v>
      </c>
      <c r="G2919" t="s">
        <v>8607</v>
      </c>
      <c r="H2919">
        <v>28</v>
      </c>
      <c r="I2919" t="s">
        <v>9297</v>
      </c>
      <c r="J2919" t="str">
        <f t="shared" si="45"/>
        <v>13F-HR-5.28.C2</v>
      </c>
      <c r="K2919" s="5" t="s">
        <v>8612</v>
      </c>
      <c r="L2919" t="s">
        <v>229</v>
      </c>
      <c r="M2919" t="s">
        <v>8613</v>
      </c>
      <c r="N2919" t="s">
        <v>8614</v>
      </c>
      <c r="Q2919" s="28" t="s">
        <v>8615</v>
      </c>
    </row>
    <row r="2920" spans="1:17" x14ac:dyDescent="0.35">
      <c r="A2920" t="s">
        <v>8520</v>
      </c>
      <c r="B2920" s="3" t="s">
        <v>102</v>
      </c>
      <c r="F2920">
        <v>5</v>
      </c>
      <c r="G2920" t="s">
        <v>8607</v>
      </c>
      <c r="H2920">
        <v>29</v>
      </c>
      <c r="I2920" t="s">
        <v>9298</v>
      </c>
      <c r="J2920" t="str">
        <f t="shared" si="45"/>
        <v>13F-HR-5.29.C3</v>
      </c>
      <c r="K2920" s="5" t="s">
        <v>8616</v>
      </c>
      <c r="L2920" t="s">
        <v>229</v>
      </c>
      <c r="M2920" t="s">
        <v>7927</v>
      </c>
      <c r="N2920" t="s">
        <v>8617</v>
      </c>
      <c r="Q2920" s="28">
        <v>872590104</v>
      </c>
    </row>
    <row r="2921" spans="1:17" x14ac:dyDescent="0.35">
      <c r="A2921" t="s">
        <v>8520</v>
      </c>
      <c r="B2921" s="3" t="s">
        <v>102</v>
      </c>
      <c r="F2921">
        <v>5</v>
      </c>
      <c r="G2921" t="s">
        <v>8607</v>
      </c>
      <c r="H2921">
        <v>30</v>
      </c>
      <c r="I2921" t="s">
        <v>9299</v>
      </c>
      <c r="J2921" t="str">
        <f t="shared" si="45"/>
        <v>13F-HR-5.30.C4</v>
      </c>
      <c r="K2921" s="5" t="s">
        <v>8618</v>
      </c>
      <c r="L2921" t="s">
        <v>8619</v>
      </c>
      <c r="M2921" t="s">
        <v>8620</v>
      </c>
      <c r="N2921" t="s">
        <v>8621</v>
      </c>
      <c r="Q2921" s="28">
        <v>3420556</v>
      </c>
    </row>
    <row r="2922" spans="1:17" x14ac:dyDescent="0.35">
      <c r="A2922" t="s">
        <v>8520</v>
      </c>
      <c r="B2922" s="3" t="s">
        <v>102</v>
      </c>
      <c r="F2922">
        <v>5</v>
      </c>
      <c r="G2922" t="s">
        <v>8607</v>
      </c>
      <c r="H2922">
        <v>31</v>
      </c>
      <c r="I2922" t="s">
        <v>9300</v>
      </c>
      <c r="J2922" t="str">
        <f t="shared" si="45"/>
        <v>13F-HR-5.31.C5</v>
      </c>
      <c r="K2922" s="5" t="s">
        <v>8622</v>
      </c>
      <c r="L2922" t="s">
        <v>241</v>
      </c>
      <c r="M2922" t="s">
        <v>8623</v>
      </c>
      <c r="N2922" t="s">
        <v>8624</v>
      </c>
      <c r="Q2922" s="28">
        <v>12825</v>
      </c>
    </row>
    <row r="2923" spans="1:17" x14ac:dyDescent="0.35">
      <c r="A2923" t="s">
        <v>8520</v>
      </c>
      <c r="B2923" s="3" t="s">
        <v>102</v>
      </c>
      <c r="F2923">
        <v>5</v>
      </c>
      <c r="G2923" t="s">
        <v>8607</v>
      </c>
      <c r="H2923">
        <v>32</v>
      </c>
      <c r="I2923" t="s">
        <v>9301</v>
      </c>
      <c r="J2923" t="str">
        <f t="shared" si="45"/>
        <v>13F-HR-5.32.C6</v>
      </c>
      <c r="K2923" s="5" t="s">
        <v>8625</v>
      </c>
      <c r="L2923" t="s">
        <v>229</v>
      </c>
      <c r="M2923" t="s">
        <v>8626</v>
      </c>
      <c r="N2923" t="s">
        <v>8627</v>
      </c>
      <c r="Q2923" s="28" t="s">
        <v>8628</v>
      </c>
    </row>
    <row r="2924" spans="1:17" x14ac:dyDescent="0.35">
      <c r="A2924" t="s">
        <v>8520</v>
      </c>
      <c r="B2924" s="3" t="s">
        <v>102</v>
      </c>
      <c r="F2924">
        <v>5</v>
      </c>
      <c r="G2924" t="s">
        <v>8607</v>
      </c>
      <c r="H2924">
        <v>33</v>
      </c>
      <c r="I2924" t="s">
        <v>9302</v>
      </c>
      <c r="J2924" t="str">
        <f t="shared" si="45"/>
        <v>13F-HR-5.33.C7</v>
      </c>
      <c r="K2924" s="5" t="s">
        <v>8629</v>
      </c>
      <c r="L2924" t="s">
        <v>229</v>
      </c>
      <c r="M2924" t="s">
        <v>8630</v>
      </c>
      <c r="N2924" t="s">
        <v>8631</v>
      </c>
      <c r="Q2924" s="28" t="s">
        <v>8685</v>
      </c>
    </row>
    <row r="2925" spans="1:17" x14ac:dyDescent="0.35">
      <c r="A2925" t="s">
        <v>8520</v>
      </c>
      <c r="B2925" s="3" t="s">
        <v>102</v>
      </c>
      <c r="F2925">
        <v>5</v>
      </c>
      <c r="G2925" t="s">
        <v>8607</v>
      </c>
      <c r="H2925">
        <v>34</v>
      </c>
      <c r="I2925" t="s">
        <v>9303</v>
      </c>
      <c r="J2925" t="str">
        <f t="shared" si="45"/>
        <v>13F-HR-5.34.C8</v>
      </c>
      <c r="K2925" s="5" t="s">
        <v>8633</v>
      </c>
      <c r="L2925" t="s">
        <v>4735</v>
      </c>
      <c r="M2925" t="s">
        <v>8634</v>
      </c>
      <c r="N2925" t="s">
        <v>8635</v>
      </c>
      <c r="Q2925" s="28" t="s">
        <v>8632</v>
      </c>
    </row>
    <row r="2926" spans="1:17" x14ac:dyDescent="0.35">
      <c r="A2926" t="s">
        <v>8520</v>
      </c>
      <c r="B2926" s="3" t="s">
        <v>102</v>
      </c>
      <c r="F2926">
        <v>5</v>
      </c>
      <c r="G2926" t="s">
        <v>8607</v>
      </c>
      <c r="H2926">
        <v>35</v>
      </c>
      <c r="I2926" t="s">
        <v>9304</v>
      </c>
      <c r="J2926" t="str">
        <f t="shared" si="45"/>
        <v>13F-HR-5.35.C9</v>
      </c>
      <c r="K2926" s="5" t="s">
        <v>8637</v>
      </c>
      <c r="L2926" t="s">
        <v>229</v>
      </c>
      <c r="M2926" t="s">
        <v>8638</v>
      </c>
      <c r="N2926" t="s">
        <v>8639</v>
      </c>
      <c r="Q2926" s="28" t="s">
        <v>8636</v>
      </c>
    </row>
    <row r="2927" spans="1:17" x14ac:dyDescent="0.35">
      <c r="A2927" t="s">
        <v>8520</v>
      </c>
      <c r="B2927" s="3" t="s">
        <v>102</v>
      </c>
      <c r="F2927">
        <v>5</v>
      </c>
      <c r="G2927" t="s">
        <v>8607</v>
      </c>
      <c r="H2927">
        <v>36</v>
      </c>
      <c r="I2927" t="s">
        <v>9305</v>
      </c>
      <c r="J2927" t="str">
        <f t="shared" si="45"/>
        <v>13F-HR-5.36.C10</v>
      </c>
      <c r="K2927" s="5" t="s">
        <v>8640</v>
      </c>
      <c r="L2927" t="s">
        <v>241</v>
      </c>
      <c r="M2927" t="s">
        <v>8641</v>
      </c>
      <c r="N2927" t="s">
        <v>8642</v>
      </c>
      <c r="Q2927" s="28">
        <v>12825</v>
      </c>
    </row>
    <row r="2928" spans="1:17" x14ac:dyDescent="0.35">
      <c r="A2928" t="s">
        <v>8520</v>
      </c>
      <c r="B2928" s="3" t="s">
        <v>102</v>
      </c>
      <c r="F2928">
        <v>5</v>
      </c>
      <c r="G2928" t="s">
        <v>8607</v>
      </c>
      <c r="H2928">
        <v>37</v>
      </c>
      <c r="I2928" t="s">
        <v>9306</v>
      </c>
      <c r="J2928" t="str">
        <f t="shared" si="45"/>
        <v>13F-HR-5.37.C11</v>
      </c>
      <c r="K2928" s="5" t="s">
        <v>8643</v>
      </c>
      <c r="L2928" t="s">
        <v>241</v>
      </c>
      <c r="M2928" t="s">
        <v>8644</v>
      </c>
      <c r="N2928" t="s">
        <v>8645</v>
      </c>
      <c r="Q2928" s="28">
        <v>0</v>
      </c>
    </row>
    <row r="2929" spans="1:17" x14ac:dyDescent="0.35">
      <c r="A2929" t="s">
        <v>8520</v>
      </c>
      <c r="B2929" s="3" t="s">
        <v>102</v>
      </c>
      <c r="F2929">
        <v>5</v>
      </c>
      <c r="G2929" t="s">
        <v>8607</v>
      </c>
      <c r="H2929">
        <v>38</v>
      </c>
      <c r="I2929" t="s">
        <v>9307</v>
      </c>
      <c r="J2929" t="str">
        <f t="shared" si="45"/>
        <v>13F-HR-5.38.C12</v>
      </c>
      <c r="K2929" s="5" t="s">
        <v>8646</v>
      </c>
      <c r="L2929" t="s">
        <v>241</v>
      </c>
      <c r="M2929" t="s">
        <v>8647</v>
      </c>
      <c r="N2929" t="s">
        <v>8648</v>
      </c>
      <c r="Q2929" s="28">
        <v>0</v>
      </c>
    </row>
    <row r="2930" spans="1:17" x14ac:dyDescent="0.35">
      <c r="A2930" t="s">
        <v>8520</v>
      </c>
      <c r="B2930" s="3" t="s">
        <v>102</v>
      </c>
      <c r="F2930">
        <v>5</v>
      </c>
      <c r="G2930" t="s">
        <v>8607</v>
      </c>
      <c r="H2930">
        <v>27</v>
      </c>
      <c r="I2930" t="s">
        <v>9296</v>
      </c>
      <c r="J2930" t="str">
        <f t="shared" si="45"/>
        <v>13F-HR-5.27.C1</v>
      </c>
      <c r="K2930" s="5" t="s">
        <v>8608</v>
      </c>
      <c r="L2930" t="s">
        <v>229</v>
      </c>
      <c r="M2930" t="s">
        <v>8609</v>
      </c>
      <c r="N2930" t="s">
        <v>8610</v>
      </c>
      <c r="Q2930" s="28" t="s">
        <v>9021</v>
      </c>
    </row>
    <row r="2931" spans="1:17" x14ac:dyDescent="0.35">
      <c r="A2931" t="s">
        <v>8520</v>
      </c>
      <c r="B2931" s="3" t="s">
        <v>102</v>
      </c>
      <c r="F2931">
        <v>5</v>
      </c>
      <c r="G2931" t="s">
        <v>8607</v>
      </c>
      <c r="H2931">
        <v>28</v>
      </c>
      <c r="I2931" t="s">
        <v>9297</v>
      </c>
      <c r="J2931" t="str">
        <f t="shared" si="45"/>
        <v>13F-HR-5.28.C2</v>
      </c>
      <c r="K2931" s="5" t="s">
        <v>8612</v>
      </c>
      <c r="L2931" t="s">
        <v>229</v>
      </c>
      <c r="M2931" t="s">
        <v>8613</v>
      </c>
      <c r="N2931" t="s">
        <v>8614</v>
      </c>
      <c r="Q2931" s="28" t="s">
        <v>8661</v>
      </c>
    </row>
    <row r="2932" spans="1:17" x14ac:dyDescent="0.35">
      <c r="A2932" t="s">
        <v>8520</v>
      </c>
      <c r="B2932" s="3" t="s">
        <v>102</v>
      </c>
      <c r="F2932">
        <v>5</v>
      </c>
      <c r="G2932" t="s">
        <v>8607</v>
      </c>
      <c r="H2932">
        <v>29</v>
      </c>
      <c r="I2932" t="s">
        <v>9298</v>
      </c>
      <c r="J2932" t="str">
        <f t="shared" si="45"/>
        <v>13F-HR-5.29.C3</v>
      </c>
      <c r="K2932" s="5" t="s">
        <v>8616</v>
      </c>
      <c r="L2932" t="s">
        <v>229</v>
      </c>
      <c r="M2932" t="s">
        <v>7927</v>
      </c>
      <c r="N2932" t="s">
        <v>8617</v>
      </c>
      <c r="Q2932" s="28">
        <v>872657101</v>
      </c>
    </row>
    <row r="2933" spans="1:17" x14ac:dyDescent="0.35">
      <c r="A2933" t="s">
        <v>8520</v>
      </c>
      <c r="B2933" s="3" t="s">
        <v>102</v>
      </c>
      <c r="F2933">
        <v>5</v>
      </c>
      <c r="G2933" t="s">
        <v>8607</v>
      </c>
      <c r="H2933">
        <v>30</v>
      </c>
      <c r="I2933" t="s">
        <v>9299</v>
      </c>
      <c r="J2933" t="str">
        <f t="shared" si="45"/>
        <v>13F-HR-5.30.C4</v>
      </c>
      <c r="K2933" s="5" t="s">
        <v>8618</v>
      </c>
      <c r="L2933" t="s">
        <v>8619</v>
      </c>
      <c r="M2933" t="s">
        <v>8620</v>
      </c>
      <c r="N2933" t="s">
        <v>8621</v>
      </c>
      <c r="Q2933" s="28">
        <v>460356</v>
      </c>
    </row>
    <row r="2934" spans="1:17" x14ac:dyDescent="0.35">
      <c r="A2934" t="s">
        <v>8520</v>
      </c>
      <c r="B2934" s="3" t="s">
        <v>102</v>
      </c>
      <c r="F2934">
        <v>5</v>
      </c>
      <c r="G2934" t="s">
        <v>8607</v>
      </c>
      <c r="H2934">
        <v>31</v>
      </c>
      <c r="I2934" t="s">
        <v>9300</v>
      </c>
      <c r="J2934" t="str">
        <f t="shared" si="45"/>
        <v>13F-HR-5.31.C5</v>
      </c>
      <c r="K2934" s="5" t="s">
        <v>8622</v>
      </c>
      <c r="L2934" t="s">
        <v>241</v>
      </c>
      <c r="M2934" t="s">
        <v>8623</v>
      </c>
      <c r="N2934" t="s">
        <v>8624</v>
      </c>
      <c r="Q2934" s="28">
        <v>9706</v>
      </c>
    </row>
    <row r="2935" spans="1:17" x14ac:dyDescent="0.35">
      <c r="A2935" t="s">
        <v>8520</v>
      </c>
      <c r="B2935" s="3" t="s">
        <v>102</v>
      </c>
      <c r="F2935">
        <v>5</v>
      </c>
      <c r="G2935" t="s">
        <v>8607</v>
      </c>
      <c r="H2935">
        <v>32</v>
      </c>
      <c r="I2935" t="s">
        <v>9301</v>
      </c>
      <c r="J2935" t="str">
        <f t="shared" si="45"/>
        <v>13F-HR-5.32.C6</v>
      </c>
      <c r="K2935" s="5" t="s">
        <v>8625</v>
      </c>
      <c r="L2935" t="s">
        <v>229</v>
      </c>
      <c r="M2935" t="s">
        <v>8626</v>
      </c>
      <c r="N2935" t="s">
        <v>8627</v>
      </c>
      <c r="Q2935" s="28" t="s">
        <v>8628</v>
      </c>
    </row>
    <row r="2936" spans="1:17" x14ac:dyDescent="0.35">
      <c r="A2936" t="s">
        <v>8520</v>
      </c>
      <c r="B2936" s="3" t="s">
        <v>102</v>
      </c>
      <c r="F2936">
        <v>5</v>
      </c>
      <c r="G2936" t="s">
        <v>8607</v>
      </c>
      <c r="H2936">
        <v>33</v>
      </c>
      <c r="I2936" t="s">
        <v>9302</v>
      </c>
      <c r="J2936" t="str">
        <f t="shared" si="45"/>
        <v>13F-HR-5.33.C7</v>
      </c>
      <c r="K2936" s="5" t="s">
        <v>8629</v>
      </c>
      <c r="L2936" t="s">
        <v>229</v>
      </c>
      <c r="M2936" t="s">
        <v>8630</v>
      </c>
      <c r="N2936" t="s">
        <v>8631</v>
      </c>
      <c r="Q2936" s="28" t="s">
        <v>8685</v>
      </c>
    </row>
    <row r="2937" spans="1:17" x14ac:dyDescent="0.35">
      <c r="A2937" t="s">
        <v>8520</v>
      </c>
      <c r="B2937" s="3" t="s">
        <v>102</v>
      </c>
      <c r="F2937">
        <v>5</v>
      </c>
      <c r="G2937" t="s">
        <v>8607</v>
      </c>
      <c r="H2937">
        <v>34</v>
      </c>
      <c r="I2937" t="s">
        <v>9303</v>
      </c>
      <c r="J2937" t="str">
        <f t="shared" si="45"/>
        <v>13F-HR-5.34.C8</v>
      </c>
      <c r="K2937" s="5" t="s">
        <v>8633</v>
      </c>
      <c r="L2937" t="s">
        <v>4735</v>
      </c>
      <c r="M2937" t="s">
        <v>8634</v>
      </c>
      <c r="N2937" t="s">
        <v>8635</v>
      </c>
      <c r="Q2937" s="28" t="s">
        <v>8632</v>
      </c>
    </row>
    <row r="2938" spans="1:17" x14ac:dyDescent="0.35">
      <c r="A2938" t="s">
        <v>8520</v>
      </c>
      <c r="B2938" s="3" t="s">
        <v>102</v>
      </c>
      <c r="F2938">
        <v>5</v>
      </c>
      <c r="G2938" t="s">
        <v>8607</v>
      </c>
      <c r="H2938">
        <v>35</v>
      </c>
      <c r="I2938" t="s">
        <v>9304</v>
      </c>
      <c r="J2938" t="str">
        <f t="shared" si="45"/>
        <v>13F-HR-5.35.C9</v>
      </c>
      <c r="K2938" s="5" t="s">
        <v>8637</v>
      </c>
      <c r="L2938" t="s">
        <v>229</v>
      </c>
      <c r="M2938" t="s">
        <v>8638</v>
      </c>
      <c r="N2938" t="s">
        <v>8639</v>
      </c>
      <c r="Q2938" s="28" t="s">
        <v>8636</v>
      </c>
    </row>
    <row r="2939" spans="1:17" x14ac:dyDescent="0.35">
      <c r="A2939" t="s">
        <v>8520</v>
      </c>
      <c r="B2939" s="3" t="s">
        <v>102</v>
      </c>
      <c r="F2939">
        <v>5</v>
      </c>
      <c r="G2939" t="s">
        <v>8607</v>
      </c>
      <c r="H2939">
        <v>36</v>
      </c>
      <c r="I2939" t="s">
        <v>9305</v>
      </c>
      <c r="J2939" t="str">
        <f t="shared" si="45"/>
        <v>13F-HR-5.36.C10</v>
      </c>
      <c r="K2939" s="5" t="s">
        <v>8640</v>
      </c>
      <c r="L2939" t="s">
        <v>241</v>
      </c>
      <c r="M2939" t="s">
        <v>8641</v>
      </c>
      <c r="N2939" t="s">
        <v>8642</v>
      </c>
      <c r="Q2939" s="28">
        <v>9706</v>
      </c>
    </row>
    <row r="2940" spans="1:17" x14ac:dyDescent="0.35">
      <c r="A2940" t="s">
        <v>8520</v>
      </c>
      <c r="B2940" s="3" t="s">
        <v>102</v>
      </c>
      <c r="F2940">
        <v>5</v>
      </c>
      <c r="G2940" t="s">
        <v>8607</v>
      </c>
      <c r="H2940">
        <v>37</v>
      </c>
      <c r="I2940" t="s">
        <v>9306</v>
      </c>
      <c r="J2940" t="str">
        <f t="shared" si="45"/>
        <v>13F-HR-5.37.C11</v>
      </c>
      <c r="K2940" s="5" t="s">
        <v>8643</v>
      </c>
      <c r="L2940" t="s">
        <v>241</v>
      </c>
      <c r="M2940" t="s">
        <v>8644</v>
      </c>
      <c r="N2940" t="s">
        <v>8645</v>
      </c>
      <c r="Q2940" s="28">
        <v>0</v>
      </c>
    </row>
    <row r="2941" spans="1:17" x14ac:dyDescent="0.35">
      <c r="A2941" t="s">
        <v>8520</v>
      </c>
      <c r="B2941" s="3" t="s">
        <v>102</v>
      </c>
      <c r="F2941">
        <v>5</v>
      </c>
      <c r="G2941" t="s">
        <v>8607</v>
      </c>
      <c r="H2941">
        <v>38</v>
      </c>
      <c r="I2941" t="s">
        <v>9307</v>
      </c>
      <c r="J2941" t="str">
        <f t="shared" si="45"/>
        <v>13F-HR-5.38.C12</v>
      </c>
      <c r="K2941" s="5" t="s">
        <v>8646</v>
      </c>
      <c r="L2941" t="s">
        <v>241</v>
      </c>
      <c r="M2941" t="s">
        <v>8647</v>
      </c>
      <c r="N2941" t="s">
        <v>8648</v>
      </c>
      <c r="Q2941" s="28">
        <v>0</v>
      </c>
    </row>
    <row r="2942" spans="1:17" x14ac:dyDescent="0.35">
      <c r="A2942" t="s">
        <v>8520</v>
      </c>
      <c r="B2942" s="3" t="s">
        <v>102</v>
      </c>
      <c r="F2942">
        <v>5</v>
      </c>
      <c r="G2942" t="s">
        <v>8607</v>
      </c>
      <c r="H2942">
        <v>27</v>
      </c>
      <c r="I2942" t="s">
        <v>9296</v>
      </c>
      <c r="J2942" t="str">
        <f t="shared" si="45"/>
        <v>13F-HR-5.27.C1</v>
      </c>
      <c r="K2942" s="5" t="s">
        <v>8608</v>
      </c>
      <c r="L2942" t="s">
        <v>229</v>
      </c>
      <c r="M2942" t="s">
        <v>8609</v>
      </c>
      <c r="N2942" t="s">
        <v>8610</v>
      </c>
      <c r="Q2942" s="28" t="s">
        <v>9022</v>
      </c>
    </row>
    <row r="2943" spans="1:17" x14ac:dyDescent="0.35">
      <c r="A2943" t="s">
        <v>8520</v>
      </c>
      <c r="B2943" s="3" t="s">
        <v>102</v>
      </c>
      <c r="F2943">
        <v>5</v>
      </c>
      <c r="G2943" t="s">
        <v>8607</v>
      </c>
      <c r="H2943">
        <v>28</v>
      </c>
      <c r="I2943" t="s">
        <v>9297</v>
      </c>
      <c r="J2943" t="str">
        <f t="shared" si="45"/>
        <v>13F-HR-5.28.C2</v>
      </c>
      <c r="K2943" s="5" t="s">
        <v>8612</v>
      </c>
      <c r="L2943" t="s">
        <v>229</v>
      </c>
      <c r="M2943" t="s">
        <v>8613</v>
      </c>
      <c r="N2943" t="s">
        <v>8614</v>
      </c>
      <c r="Q2943" s="28" t="s">
        <v>8698</v>
      </c>
    </row>
    <row r="2944" spans="1:17" x14ac:dyDescent="0.35">
      <c r="A2944" t="s">
        <v>8520</v>
      </c>
      <c r="B2944" s="3" t="s">
        <v>102</v>
      </c>
      <c r="F2944">
        <v>5</v>
      </c>
      <c r="G2944" t="s">
        <v>8607</v>
      </c>
      <c r="H2944">
        <v>29</v>
      </c>
      <c r="I2944" t="s">
        <v>9298</v>
      </c>
      <c r="J2944" t="str">
        <f t="shared" si="45"/>
        <v>13F-HR-5.29.C3</v>
      </c>
      <c r="K2944" s="5" t="s">
        <v>8616</v>
      </c>
      <c r="L2944" t="s">
        <v>229</v>
      </c>
      <c r="M2944" t="s">
        <v>7927</v>
      </c>
      <c r="N2944" t="s">
        <v>8617</v>
      </c>
      <c r="Q2944" s="28">
        <v>874039100</v>
      </c>
    </row>
    <row r="2945" spans="1:17" x14ac:dyDescent="0.35">
      <c r="A2945" t="s">
        <v>8520</v>
      </c>
      <c r="B2945" s="3" t="s">
        <v>102</v>
      </c>
      <c r="F2945">
        <v>5</v>
      </c>
      <c r="G2945" t="s">
        <v>8607</v>
      </c>
      <c r="H2945">
        <v>30</v>
      </c>
      <c r="I2945" t="s">
        <v>9299</v>
      </c>
      <c r="J2945" t="str">
        <f t="shared" si="45"/>
        <v>13F-HR-5.30.C4</v>
      </c>
      <c r="K2945" s="5" t="s">
        <v>8618</v>
      </c>
      <c r="L2945" t="s">
        <v>8619</v>
      </c>
      <c r="M2945" t="s">
        <v>8620</v>
      </c>
      <c r="N2945" t="s">
        <v>8621</v>
      </c>
      <c r="Q2945" s="28">
        <v>84025548</v>
      </c>
    </row>
    <row r="2946" spans="1:17" x14ac:dyDescent="0.35">
      <c r="A2946" t="s">
        <v>8520</v>
      </c>
      <c r="B2946" s="3" t="s">
        <v>102</v>
      </c>
      <c r="F2946">
        <v>5</v>
      </c>
      <c r="G2946" t="s">
        <v>8607</v>
      </c>
      <c r="H2946">
        <v>31</v>
      </c>
      <c r="I2946" t="s">
        <v>9300</v>
      </c>
      <c r="J2946" t="str">
        <f t="shared" si="45"/>
        <v>13F-HR-5.31.C5</v>
      </c>
      <c r="K2946" s="5" t="s">
        <v>8622</v>
      </c>
      <c r="L2946" t="s">
        <v>241</v>
      </c>
      <c r="M2946" t="s">
        <v>8623</v>
      </c>
      <c r="N2946" t="s">
        <v>8624</v>
      </c>
      <c r="Q2946" s="28">
        <v>506178</v>
      </c>
    </row>
    <row r="2947" spans="1:17" x14ac:dyDescent="0.35">
      <c r="A2947" t="s">
        <v>8520</v>
      </c>
      <c r="B2947" s="3" t="s">
        <v>102</v>
      </c>
      <c r="F2947">
        <v>5</v>
      </c>
      <c r="G2947" t="s">
        <v>8607</v>
      </c>
      <c r="H2947">
        <v>32</v>
      </c>
      <c r="I2947" t="s">
        <v>9301</v>
      </c>
      <c r="J2947" t="str">
        <f t="shared" ref="J2947:J3010" si="46">_xlfn.CONCAT(A2947,"-",F2947,".",H2947,".",I2947)</f>
        <v>13F-HR-5.32.C6</v>
      </c>
      <c r="K2947" s="5" t="s">
        <v>8625</v>
      </c>
      <c r="L2947" t="s">
        <v>229</v>
      </c>
      <c r="M2947" t="s">
        <v>8626</v>
      </c>
      <c r="N2947" t="s">
        <v>8627</v>
      </c>
      <c r="Q2947" s="28" t="s">
        <v>8628</v>
      </c>
    </row>
    <row r="2948" spans="1:17" x14ac:dyDescent="0.35">
      <c r="A2948" t="s">
        <v>8520</v>
      </c>
      <c r="B2948" s="3" t="s">
        <v>102</v>
      </c>
      <c r="F2948">
        <v>5</v>
      </c>
      <c r="G2948" t="s">
        <v>8607</v>
      </c>
      <c r="H2948">
        <v>33</v>
      </c>
      <c r="I2948" t="s">
        <v>9302</v>
      </c>
      <c r="J2948" t="str">
        <f t="shared" si="46"/>
        <v>13F-HR-5.33.C7</v>
      </c>
      <c r="K2948" s="5" t="s">
        <v>8629</v>
      </c>
      <c r="L2948" t="s">
        <v>229</v>
      </c>
      <c r="M2948" t="s">
        <v>8630</v>
      </c>
      <c r="N2948" t="s">
        <v>8631</v>
      </c>
      <c r="Q2948" s="28" t="s">
        <v>8685</v>
      </c>
    </row>
    <row r="2949" spans="1:17" x14ac:dyDescent="0.35">
      <c r="A2949" t="s">
        <v>8520</v>
      </c>
      <c r="B2949" s="3" t="s">
        <v>102</v>
      </c>
      <c r="F2949">
        <v>5</v>
      </c>
      <c r="G2949" t="s">
        <v>8607</v>
      </c>
      <c r="H2949">
        <v>34</v>
      </c>
      <c r="I2949" t="s">
        <v>9303</v>
      </c>
      <c r="J2949" t="str">
        <f t="shared" si="46"/>
        <v>13F-HR-5.34.C8</v>
      </c>
      <c r="K2949" s="5" t="s">
        <v>8633</v>
      </c>
      <c r="L2949" t="s">
        <v>4735</v>
      </c>
      <c r="M2949" t="s">
        <v>8634</v>
      </c>
      <c r="N2949" t="s">
        <v>8635</v>
      </c>
      <c r="Q2949" s="28" t="s">
        <v>8632</v>
      </c>
    </row>
    <row r="2950" spans="1:17" x14ac:dyDescent="0.35">
      <c r="A2950" t="s">
        <v>8520</v>
      </c>
      <c r="B2950" s="3" t="s">
        <v>102</v>
      </c>
      <c r="F2950">
        <v>5</v>
      </c>
      <c r="G2950" t="s">
        <v>8607</v>
      </c>
      <c r="H2950">
        <v>35</v>
      </c>
      <c r="I2950" t="s">
        <v>9304</v>
      </c>
      <c r="J2950" t="str">
        <f t="shared" si="46"/>
        <v>13F-HR-5.35.C9</v>
      </c>
      <c r="K2950" s="5" t="s">
        <v>8637</v>
      </c>
      <c r="L2950" t="s">
        <v>229</v>
      </c>
      <c r="M2950" t="s">
        <v>8638</v>
      </c>
      <c r="N2950" t="s">
        <v>8639</v>
      </c>
      <c r="Q2950" s="28" t="s">
        <v>8636</v>
      </c>
    </row>
    <row r="2951" spans="1:17" x14ac:dyDescent="0.35">
      <c r="A2951" t="s">
        <v>8520</v>
      </c>
      <c r="B2951" s="3" t="s">
        <v>102</v>
      </c>
      <c r="F2951">
        <v>5</v>
      </c>
      <c r="G2951" t="s">
        <v>8607</v>
      </c>
      <c r="H2951">
        <v>36</v>
      </c>
      <c r="I2951" t="s">
        <v>9305</v>
      </c>
      <c r="J2951" t="str">
        <f t="shared" si="46"/>
        <v>13F-HR-5.36.C10</v>
      </c>
      <c r="K2951" s="5" t="s">
        <v>8640</v>
      </c>
      <c r="L2951" t="s">
        <v>241</v>
      </c>
      <c r="M2951" t="s">
        <v>8641</v>
      </c>
      <c r="N2951" t="s">
        <v>8642</v>
      </c>
      <c r="Q2951" s="28">
        <v>373018</v>
      </c>
    </row>
    <row r="2952" spans="1:17" x14ac:dyDescent="0.35">
      <c r="A2952" t="s">
        <v>8520</v>
      </c>
      <c r="B2952" s="3" t="s">
        <v>102</v>
      </c>
      <c r="F2952">
        <v>5</v>
      </c>
      <c r="G2952" t="s">
        <v>8607</v>
      </c>
      <c r="H2952">
        <v>37</v>
      </c>
      <c r="I2952" t="s">
        <v>9306</v>
      </c>
      <c r="J2952" t="str">
        <f t="shared" si="46"/>
        <v>13F-HR-5.37.C11</v>
      </c>
      <c r="K2952" s="5" t="s">
        <v>8643</v>
      </c>
      <c r="L2952" t="s">
        <v>241</v>
      </c>
      <c r="M2952" t="s">
        <v>8644</v>
      </c>
      <c r="N2952" t="s">
        <v>8645</v>
      </c>
      <c r="Q2952" s="28">
        <v>0</v>
      </c>
    </row>
    <row r="2953" spans="1:17" x14ac:dyDescent="0.35">
      <c r="A2953" t="s">
        <v>8520</v>
      </c>
      <c r="B2953" s="3" t="s">
        <v>102</v>
      </c>
      <c r="F2953">
        <v>5</v>
      </c>
      <c r="G2953" t="s">
        <v>8607</v>
      </c>
      <c r="H2953">
        <v>38</v>
      </c>
      <c r="I2953" t="s">
        <v>9307</v>
      </c>
      <c r="J2953" t="str">
        <f t="shared" si="46"/>
        <v>13F-HR-5.38.C12</v>
      </c>
      <c r="K2953" s="5" t="s">
        <v>8646</v>
      </c>
      <c r="L2953" t="s">
        <v>241</v>
      </c>
      <c r="M2953" t="s">
        <v>8647</v>
      </c>
      <c r="N2953" t="s">
        <v>8648</v>
      </c>
      <c r="Q2953" s="28">
        <v>133160</v>
      </c>
    </row>
    <row r="2954" spans="1:17" x14ac:dyDescent="0.35">
      <c r="A2954" t="s">
        <v>8520</v>
      </c>
      <c r="B2954" s="3" t="s">
        <v>102</v>
      </c>
      <c r="F2954">
        <v>5</v>
      </c>
      <c r="G2954" t="s">
        <v>8607</v>
      </c>
      <c r="H2954">
        <v>27</v>
      </c>
      <c r="I2954" t="s">
        <v>9296</v>
      </c>
      <c r="J2954" t="str">
        <f t="shared" si="46"/>
        <v>13F-HR-5.27.C1</v>
      </c>
      <c r="K2954" s="5" t="s">
        <v>8608</v>
      </c>
      <c r="L2954" t="s">
        <v>229</v>
      </c>
      <c r="M2954" t="s">
        <v>8609</v>
      </c>
      <c r="N2954" t="s">
        <v>8610</v>
      </c>
      <c r="Q2954" s="28" t="s">
        <v>9023</v>
      </c>
    </row>
    <row r="2955" spans="1:17" x14ac:dyDescent="0.35">
      <c r="A2955" t="s">
        <v>8520</v>
      </c>
      <c r="B2955" s="3" t="s">
        <v>102</v>
      </c>
      <c r="F2955">
        <v>5</v>
      </c>
      <c r="G2955" t="s">
        <v>8607</v>
      </c>
      <c r="H2955">
        <v>28</v>
      </c>
      <c r="I2955" t="s">
        <v>9297</v>
      </c>
      <c r="J2955" t="str">
        <f t="shared" si="46"/>
        <v>13F-HR-5.28.C2</v>
      </c>
      <c r="K2955" s="5" t="s">
        <v>8612</v>
      </c>
      <c r="L2955" t="s">
        <v>229</v>
      </c>
      <c r="M2955" t="s">
        <v>8613</v>
      </c>
      <c r="N2955" t="s">
        <v>8614</v>
      </c>
      <c r="Q2955" s="28" t="s">
        <v>8615</v>
      </c>
    </row>
    <row r="2956" spans="1:17" x14ac:dyDescent="0.35">
      <c r="A2956" t="s">
        <v>8520</v>
      </c>
      <c r="B2956" s="3" t="s">
        <v>102</v>
      </c>
      <c r="F2956">
        <v>5</v>
      </c>
      <c r="G2956" t="s">
        <v>8607</v>
      </c>
      <c r="H2956">
        <v>29</v>
      </c>
      <c r="I2956" t="s">
        <v>9298</v>
      </c>
      <c r="J2956" t="str">
        <f t="shared" si="46"/>
        <v>13F-HR-5.29.C3</v>
      </c>
      <c r="K2956" s="5" t="s">
        <v>8616</v>
      </c>
      <c r="L2956" t="s">
        <v>229</v>
      </c>
      <c r="M2956" t="s">
        <v>7927</v>
      </c>
      <c r="N2956" t="s">
        <v>8617</v>
      </c>
      <c r="Q2956" s="28">
        <v>874054109</v>
      </c>
    </row>
    <row r="2957" spans="1:17" x14ac:dyDescent="0.35">
      <c r="A2957" t="s">
        <v>8520</v>
      </c>
      <c r="B2957" s="3" t="s">
        <v>102</v>
      </c>
      <c r="F2957">
        <v>5</v>
      </c>
      <c r="G2957" t="s">
        <v>8607</v>
      </c>
      <c r="H2957">
        <v>30</v>
      </c>
      <c r="I2957" t="s">
        <v>9299</v>
      </c>
      <c r="J2957" t="str">
        <f t="shared" si="46"/>
        <v>13F-HR-5.30.C4</v>
      </c>
      <c r="K2957" s="5" t="s">
        <v>8618</v>
      </c>
      <c r="L2957" t="s">
        <v>8619</v>
      </c>
      <c r="M2957" t="s">
        <v>8620</v>
      </c>
      <c r="N2957" t="s">
        <v>8621</v>
      </c>
      <c r="Q2957" s="28">
        <v>907548</v>
      </c>
    </row>
    <row r="2958" spans="1:17" x14ac:dyDescent="0.35">
      <c r="A2958" t="s">
        <v>8520</v>
      </c>
      <c r="B2958" s="3" t="s">
        <v>102</v>
      </c>
      <c r="F2958">
        <v>5</v>
      </c>
      <c r="G2958" t="s">
        <v>8607</v>
      </c>
      <c r="H2958">
        <v>31</v>
      </c>
      <c r="I2958" t="s">
        <v>9300</v>
      </c>
      <c r="J2958" t="str">
        <f t="shared" si="46"/>
        <v>13F-HR-5.31.C5</v>
      </c>
      <c r="K2958" s="5" t="s">
        <v>8622</v>
      </c>
      <c r="L2958" t="s">
        <v>241</v>
      </c>
      <c r="M2958" t="s">
        <v>8623</v>
      </c>
      <c r="N2958" t="s">
        <v>8624</v>
      </c>
      <c r="Q2958" s="28">
        <v>4379</v>
      </c>
    </row>
    <row r="2959" spans="1:17" x14ac:dyDescent="0.35">
      <c r="A2959" t="s">
        <v>8520</v>
      </c>
      <c r="B2959" s="3" t="s">
        <v>102</v>
      </c>
      <c r="F2959">
        <v>5</v>
      </c>
      <c r="G2959" t="s">
        <v>8607</v>
      </c>
      <c r="H2959">
        <v>32</v>
      </c>
      <c r="I2959" t="s">
        <v>9301</v>
      </c>
      <c r="J2959" t="str">
        <f t="shared" si="46"/>
        <v>13F-HR-5.32.C6</v>
      </c>
      <c r="K2959" s="5" t="s">
        <v>8625</v>
      </c>
      <c r="L2959" t="s">
        <v>229</v>
      </c>
      <c r="M2959" t="s">
        <v>8626</v>
      </c>
      <c r="N2959" t="s">
        <v>8627</v>
      </c>
      <c r="Q2959" s="28" t="s">
        <v>8628</v>
      </c>
    </row>
    <row r="2960" spans="1:17" x14ac:dyDescent="0.35">
      <c r="A2960" t="s">
        <v>8520</v>
      </c>
      <c r="B2960" s="3" t="s">
        <v>102</v>
      </c>
      <c r="F2960">
        <v>5</v>
      </c>
      <c r="G2960" t="s">
        <v>8607</v>
      </c>
      <c r="H2960">
        <v>33</v>
      </c>
      <c r="I2960" t="s">
        <v>9302</v>
      </c>
      <c r="J2960" t="str">
        <f t="shared" si="46"/>
        <v>13F-HR-5.33.C7</v>
      </c>
      <c r="K2960" s="5" t="s">
        <v>8629</v>
      </c>
      <c r="L2960" t="s">
        <v>229</v>
      </c>
      <c r="M2960" t="s">
        <v>8630</v>
      </c>
      <c r="N2960" t="s">
        <v>8631</v>
      </c>
      <c r="Q2960" s="28" t="s">
        <v>8685</v>
      </c>
    </row>
    <row r="2961" spans="1:17" x14ac:dyDescent="0.35">
      <c r="A2961" t="s">
        <v>8520</v>
      </c>
      <c r="B2961" s="3" t="s">
        <v>102</v>
      </c>
      <c r="F2961">
        <v>5</v>
      </c>
      <c r="G2961" t="s">
        <v>8607</v>
      </c>
      <c r="H2961">
        <v>34</v>
      </c>
      <c r="I2961" t="s">
        <v>9303</v>
      </c>
      <c r="J2961" t="str">
        <f t="shared" si="46"/>
        <v>13F-HR-5.34.C8</v>
      </c>
      <c r="K2961" s="5" t="s">
        <v>8633</v>
      </c>
      <c r="L2961" t="s">
        <v>4735</v>
      </c>
      <c r="M2961" t="s">
        <v>8634</v>
      </c>
      <c r="N2961" t="s">
        <v>8635</v>
      </c>
      <c r="Q2961" s="28" t="s">
        <v>8632</v>
      </c>
    </row>
    <row r="2962" spans="1:17" x14ac:dyDescent="0.35">
      <c r="A2962" t="s">
        <v>8520</v>
      </c>
      <c r="B2962" s="3" t="s">
        <v>102</v>
      </c>
      <c r="F2962">
        <v>5</v>
      </c>
      <c r="G2962" t="s">
        <v>8607</v>
      </c>
      <c r="H2962">
        <v>35</v>
      </c>
      <c r="I2962" t="s">
        <v>9304</v>
      </c>
      <c r="J2962" t="str">
        <f t="shared" si="46"/>
        <v>13F-HR-5.35.C9</v>
      </c>
      <c r="K2962" s="5" t="s">
        <v>8637</v>
      </c>
      <c r="L2962" t="s">
        <v>229</v>
      </c>
      <c r="M2962" t="s">
        <v>8638</v>
      </c>
      <c r="N2962" t="s">
        <v>8639</v>
      </c>
      <c r="Q2962" s="28" t="s">
        <v>8636</v>
      </c>
    </row>
    <row r="2963" spans="1:17" x14ac:dyDescent="0.35">
      <c r="A2963" t="s">
        <v>8520</v>
      </c>
      <c r="B2963" s="3" t="s">
        <v>102</v>
      </c>
      <c r="F2963">
        <v>5</v>
      </c>
      <c r="G2963" t="s">
        <v>8607</v>
      </c>
      <c r="H2963">
        <v>36</v>
      </c>
      <c r="I2963" t="s">
        <v>9305</v>
      </c>
      <c r="J2963" t="str">
        <f t="shared" si="46"/>
        <v>13F-HR-5.36.C10</v>
      </c>
      <c r="K2963" s="5" t="s">
        <v>8640</v>
      </c>
      <c r="L2963" t="s">
        <v>241</v>
      </c>
      <c r="M2963" t="s">
        <v>8641</v>
      </c>
      <c r="N2963" t="s">
        <v>8642</v>
      </c>
      <c r="Q2963" s="28">
        <v>4165</v>
      </c>
    </row>
    <row r="2964" spans="1:17" x14ac:dyDescent="0.35">
      <c r="A2964" t="s">
        <v>8520</v>
      </c>
      <c r="B2964" s="3" t="s">
        <v>102</v>
      </c>
      <c r="F2964">
        <v>5</v>
      </c>
      <c r="G2964" t="s">
        <v>8607</v>
      </c>
      <c r="H2964">
        <v>37</v>
      </c>
      <c r="I2964" t="s">
        <v>9306</v>
      </c>
      <c r="J2964" t="str">
        <f t="shared" si="46"/>
        <v>13F-HR-5.37.C11</v>
      </c>
      <c r="K2964" s="5" t="s">
        <v>8643</v>
      </c>
      <c r="L2964" t="s">
        <v>241</v>
      </c>
      <c r="M2964" t="s">
        <v>8644</v>
      </c>
      <c r="N2964" t="s">
        <v>8645</v>
      </c>
      <c r="Q2964" s="28">
        <v>0</v>
      </c>
    </row>
    <row r="2965" spans="1:17" x14ac:dyDescent="0.35">
      <c r="A2965" t="s">
        <v>8520</v>
      </c>
      <c r="B2965" s="3" t="s">
        <v>102</v>
      </c>
      <c r="F2965">
        <v>5</v>
      </c>
      <c r="G2965" t="s">
        <v>8607</v>
      </c>
      <c r="H2965">
        <v>38</v>
      </c>
      <c r="I2965" t="s">
        <v>9307</v>
      </c>
      <c r="J2965" t="str">
        <f t="shared" si="46"/>
        <v>13F-HR-5.38.C12</v>
      </c>
      <c r="K2965" s="5" t="s">
        <v>8646</v>
      </c>
      <c r="L2965" t="s">
        <v>241</v>
      </c>
      <c r="M2965" t="s">
        <v>8647</v>
      </c>
      <c r="N2965" t="s">
        <v>8648</v>
      </c>
      <c r="Q2965" s="28">
        <v>214</v>
      </c>
    </row>
    <row r="2966" spans="1:17" x14ac:dyDescent="0.35">
      <c r="A2966" t="s">
        <v>8520</v>
      </c>
      <c r="B2966" s="3" t="s">
        <v>102</v>
      </c>
      <c r="F2966">
        <v>5</v>
      </c>
      <c r="G2966" t="s">
        <v>8607</v>
      </c>
      <c r="H2966">
        <v>27</v>
      </c>
      <c r="I2966" t="s">
        <v>9296</v>
      </c>
      <c r="J2966" t="str">
        <f t="shared" si="46"/>
        <v>13F-HR-5.27.C1</v>
      </c>
      <c r="K2966" s="5" t="s">
        <v>8608</v>
      </c>
      <c r="L2966" t="s">
        <v>229</v>
      </c>
      <c r="M2966" t="s">
        <v>8609</v>
      </c>
      <c r="N2966" t="s">
        <v>8610</v>
      </c>
      <c r="Q2966" s="28" t="s">
        <v>9024</v>
      </c>
    </row>
    <row r="2967" spans="1:17" x14ac:dyDescent="0.35">
      <c r="A2967" t="s">
        <v>8520</v>
      </c>
      <c r="B2967" s="3" t="s">
        <v>102</v>
      </c>
      <c r="F2967">
        <v>5</v>
      </c>
      <c r="G2967" t="s">
        <v>8607</v>
      </c>
      <c r="H2967">
        <v>28</v>
      </c>
      <c r="I2967" t="s">
        <v>9297</v>
      </c>
      <c r="J2967" t="str">
        <f t="shared" si="46"/>
        <v>13F-HR-5.28.C2</v>
      </c>
      <c r="K2967" s="5" t="s">
        <v>8612</v>
      </c>
      <c r="L2967" t="s">
        <v>229</v>
      </c>
      <c r="M2967" t="s">
        <v>8613</v>
      </c>
      <c r="N2967" t="s">
        <v>8614</v>
      </c>
      <c r="Q2967" s="28" t="s">
        <v>8615</v>
      </c>
    </row>
    <row r="2968" spans="1:17" x14ac:dyDescent="0.35">
      <c r="A2968" t="s">
        <v>8520</v>
      </c>
      <c r="B2968" s="3" t="s">
        <v>102</v>
      </c>
      <c r="F2968">
        <v>5</v>
      </c>
      <c r="G2968" t="s">
        <v>8607</v>
      </c>
      <c r="H2968">
        <v>29</v>
      </c>
      <c r="I2968" t="s">
        <v>9298</v>
      </c>
      <c r="J2968" t="str">
        <f t="shared" si="46"/>
        <v>13F-HR-5.29.C3</v>
      </c>
      <c r="K2968" s="5" t="s">
        <v>8616</v>
      </c>
      <c r="L2968" t="s">
        <v>229</v>
      </c>
      <c r="M2968" t="s">
        <v>7927</v>
      </c>
      <c r="N2968" t="s">
        <v>8617</v>
      </c>
      <c r="Q2968" s="28">
        <v>8.7611999999999999E+110</v>
      </c>
    </row>
    <row r="2969" spans="1:17" x14ac:dyDescent="0.35">
      <c r="A2969" t="s">
        <v>8520</v>
      </c>
      <c r="B2969" s="3" t="s">
        <v>102</v>
      </c>
      <c r="F2969">
        <v>5</v>
      </c>
      <c r="G2969" t="s">
        <v>8607</v>
      </c>
      <c r="H2969">
        <v>30</v>
      </c>
      <c r="I2969" t="s">
        <v>9299</v>
      </c>
      <c r="J2969" t="str">
        <f t="shared" si="46"/>
        <v>13F-HR-5.30.C4</v>
      </c>
      <c r="K2969" s="5" t="s">
        <v>8618</v>
      </c>
      <c r="L2969" t="s">
        <v>8619</v>
      </c>
      <c r="M2969" t="s">
        <v>8620</v>
      </c>
      <c r="N2969" t="s">
        <v>8621</v>
      </c>
      <c r="Q2969" s="28">
        <v>2496396</v>
      </c>
    </row>
    <row r="2970" spans="1:17" x14ac:dyDescent="0.35">
      <c r="A2970" t="s">
        <v>8520</v>
      </c>
      <c r="B2970" s="3" t="s">
        <v>102</v>
      </c>
      <c r="F2970">
        <v>5</v>
      </c>
      <c r="G2970" t="s">
        <v>8607</v>
      </c>
      <c r="H2970">
        <v>31</v>
      </c>
      <c r="I2970" t="s">
        <v>9300</v>
      </c>
      <c r="J2970" t="str">
        <f t="shared" si="46"/>
        <v>13F-HR-5.31.C5</v>
      </c>
      <c r="K2970" s="5" t="s">
        <v>8622</v>
      </c>
      <c r="L2970" t="s">
        <v>241</v>
      </c>
      <c r="M2970" t="s">
        <v>8623</v>
      </c>
      <c r="N2970" t="s">
        <v>8624</v>
      </c>
      <c r="Q2970" s="28">
        <v>23921</v>
      </c>
    </row>
    <row r="2971" spans="1:17" x14ac:dyDescent="0.35">
      <c r="A2971" t="s">
        <v>8520</v>
      </c>
      <c r="B2971" s="3" t="s">
        <v>102</v>
      </c>
      <c r="F2971">
        <v>5</v>
      </c>
      <c r="G2971" t="s">
        <v>8607</v>
      </c>
      <c r="H2971">
        <v>32</v>
      </c>
      <c r="I2971" t="s">
        <v>9301</v>
      </c>
      <c r="J2971" t="str">
        <f t="shared" si="46"/>
        <v>13F-HR-5.32.C6</v>
      </c>
      <c r="K2971" s="5" t="s">
        <v>8625</v>
      </c>
      <c r="L2971" t="s">
        <v>229</v>
      </c>
      <c r="M2971" t="s">
        <v>8626</v>
      </c>
      <c r="N2971" t="s">
        <v>8627</v>
      </c>
      <c r="Q2971" s="28" t="s">
        <v>8628</v>
      </c>
    </row>
    <row r="2972" spans="1:17" x14ac:dyDescent="0.35">
      <c r="A2972" t="s">
        <v>8520</v>
      </c>
      <c r="B2972" s="3" t="s">
        <v>102</v>
      </c>
      <c r="F2972">
        <v>5</v>
      </c>
      <c r="G2972" t="s">
        <v>8607</v>
      </c>
      <c r="H2972">
        <v>33</v>
      </c>
      <c r="I2972" t="s">
        <v>9302</v>
      </c>
      <c r="J2972" t="str">
        <f t="shared" si="46"/>
        <v>13F-HR-5.33.C7</v>
      </c>
      <c r="K2972" s="5" t="s">
        <v>8629</v>
      </c>
      <c r="L2972" t="s">
        <v>229</v>
      </c>
      <c r="M2972" t="s">
        <v>8630</v>
      </c>
      <c r="N2972" t="s">
        <v>8631</v>
      </c>
      <c r="Q2972" s="28" t="s">
        <v>8685</v>
      </c>
    </row>
    <row r="2973" spans="1:17" x14ac:dyDescent="0.35">
      <c r="A2973" t="s">
        <v>8520</v>
      </c>
      <c r="B2973" s="3" t="s">
        <v>102</v>
      </c>
      <c r="F2973">
        <v>5</v>
      </c>
      <c r="G2973" t="s">
        <v>8607</v>
      </c>
      <c r="H2973">
        <v>34</v>
      </c>
      <c r="I2973" t="s">
        <v>9303</v>
      </c>
      <c r="J2973" t="str">
        <f t="shared" si="46"/>
        <v>13F-HR-5.34.C8</v>
      </c>
      <c r="K2973" s="5" t="s">
        <v>8633</v>
      </c>
      <c r="L2973" t="s">
        <v>4735</v>
      </c>
      <c r="M2973" t="s">
        <v>8634</v>
      </c>
      <c r="N2973" t="s">
        <v>8635</v>
      </c>
      <c r="Q2973" s="28" t="s">
        <v>8632</v>
      </c>
    </row>
    <row r="2974" spans="1:17" x14ac:dyDescent="0.35">
      <c r="A2974" t="s">
        <v>8520</v>
      </c>
      <c r="B2974" s="3" t="s">
        <v>102</v>
      </c>
      <c r="F2974">
        <v>5</v>
      </c>
      <c r="G2974" t="s">
        <v>8607</v>
      </c>
      <c r="H2974">
        <v>35</v>
      </c>
      <c r="I2974" t="s">
        <v>9304</v>
      </c>
      <c r="J2974" t="str">
        <f t="shared" si="46"/>
        <v>13F-HR-5.35.C9</v>
      </c>
      <c r="K2974" s="5" t="s">
        <v>8637</v>
      </c>
      <c r="L2974" t="s">
        <v>229</v>
      </c>
      <c r="M2974" t="s">
        <v>8638</v>
      </c>
      <c r="N2974" t="s">
        <v>8639</v>
      </c>
      <c r="Q2974" s="28" t="s">
        <v>8636</v>
      </c>
    </row>
    <row r="2975" spans="1:17" x14ac:dyDescent="0.35">
      <c r="A2975" t="s">
        <v>8520</v>
      </c>
      <c r="B2975" s="3" t="s">
        <v>102</v>
      </c>
      <c r="F2975">
        <v>5</v>
      </c>
      <c r="G2975" t="s">
        <v>8607</v>
      </c>
      <c r="H2975">
        <v>36</v>
      </c>
      <c r="I2975" t="s">
        <v>9305</v>
      </c>
      <c r="J2975" t="str">
        <f t="shared" si="46"/>
        <v>13F-HR-5.36.C10</v>
      </c>
      <c r="K2975" s="5" t="s">
        <v>8640</v>
      </c>
      <c r="L2975" t="s">
        <v>241</v>
      </c>
      <c r="M2975" t="s">
        <v>8641</v>
      </c>
      <c r="N2975" t="s">
        <v>8642</v>
      </c>
      <c r="Q2975" s="28">
        <v>0</v>
      </c>
    </row>
    <row r="2976" spans="1:17" x14ac:dyDescent="0.35">
      <c r="A2976" t="s">
        <v>8520</v>
      </c>
      <c r="B2976" s="3" t="s">
        <v>102</v>
      </c>
      <c r="F2976">
        <v>5</v>
      </c>
      <c r="G2976" t="s">
        <v>8607</v>
      </c>
      <c r="H2976">
        <v>37</v>
      </c>
      <c r="I2976" t="s">
        <v>9306</v>
      </c>
      <c r="J2976" t="str">
        <f t="shared" si="46"/>
        <v>13F-HR-5.37.C11</v>
      </c>
      <c r="K2976" s="5" t="s">
        <v>8643</v>
      </c>
      <c r="L2976" t="s">
        <v>241</v>
      </c>
      <c r="M2976" t="s">
        <v>8644</v>
      </c>
      <c r="N2976" t="s">
        <v>8645</v>
      </c>
      <c r="Q2976" s="28">
        <v>0</v>
      </c>
    </row>
    <row r="2977" spans="1:17" x14ac:dyDescent="0.35">
      <c r="A2977" t="s">
        <v>8520</v>
      </c>
      <c r="B2977" s="3" t="s">
        <v>102</v>
      </c>
      <c r="F2977">
        <v>5</v>
      </c>
      <c r="G2977" t="s">
        <v>8607</v>
      </c>
      <c r="H2977">
        <v>38</v>
      </c>
      <c r="I2977" t="s">
        <v>9307</v>
      </c>
      <c r="J2977" t="str">
        <f t="shared" si="46"/>
        <v>13F-HR-5.38.C12</v>
      </c>
      <c r="K2977" s="5" t="s">
        <v>8646</v>
      </c>
      <c r="L2977" t="s">
        <v>241</v>
      </c>
      <c r="M2977" t="s">
        <v>8647</v>
      </c>
      <c r="N2977" t="s">
        <v>8648</v>
      </c>
      <c r="Q2977" s="28">
        <v>23921</v>
      </c>
    </row>
    <row r="2978" spans="1:17" x14ac:dyDescent="0.35">
      <c r="A2978" t="s">
        <v>8520</v>
      </c>
      <c r="B2978" s="3" t="s">
        <v>102</v>
      </c>
      <c r="F2978">
        <v>5</v>
      </c>
      <c r="G2978" t="s">
        <v>8607</v>
      </c>
      <c r="H2978">
        <v>27</v>
      </c>
      <c r="I2978" t="s">
        <v>9296</v>
      </c>
      <c r="J2978" t="str">
        <f t="shared" si="46"/>
        <v>13F-HR-5.27.C1</v>
      </c>
      <c r="K2978" s="5" t="s">
        <v>8608</v>
      </c>
      <c r="L2978" t="s">
        <v>229</v>
      </c>
      <c r="M2978" t="s">
        <v>8609</v>
      </c>
      <c r="N2978" t="s">
        <v>8610</v>
      </c>
      <c r="Q2978" s="28" t="s">
        <v>9025</v>
      </c>
    </row>
    <row r="2979" spans="1:17" x14ac:dyDescent="0.35">
      <c r="A2979" t="s">
        <v>8520</v>
      </c>
      <c r="B2979" s="3" t="s">
        <v>102</v>
      </c>
      <c r="F2979">
        <v>5</v>
      </c>
      <c r="G2979" t="s">
        <v>8607</v>
      </c>
      <c r="H2979">
        <v>28</v>
      </c>
      <c r="I2979" t="s">
        <v>9297</v>
      </c>
      <c r="J2979" t="str">
        <f t="shared" si="46"/>
        <v>13F-HR-5.28.C2</v>
      </c>
      <c r="K2979" s="5" t="s">
        <v>8612</v>
      </c>
      <c r="L2979" t="s">
        <v>229</v>
      </c>
      <c r="M2979" t="s">
        <v>8613</v>
      </c>
      <c r="N2979" t="s">
        <v>8614</v>
      </c>
      <c r="Q2979" s="28" t="s">
        <v>8615</v>
      </c>
    </row>
    <row r="2980" spans="1:17" x14ac:dyDescent="0.35">
      <c r="A2980" t="s">
        <v>8520</v>
      </c>
      <c r="B2980" s="3" t="s">
        <v>102</v>
      </c>
      <c r="F2980">
        <v>5</v>
      </c>
      <c r="G2980" t="s">
        <v>8607</v>
      </c>
      <c r="H2980">
        <v>29</v>
      </c>
      <c r="I2980" t="s">
        <v>9298</v>
      </c>
      <c r="J2980" t="str">
        <f t="shared" si="46"/>
        <v>13F-HR-5.29.C3</v>
      </c>
      <c r="K2980" s="5" t="s">
        <v>8616</v>
      </c>
      <c r="L2980" t="s">
        <v>229</v>
      </c>
      <c r="M2980" t="s">
        <v>7927</v>
      </c>
      <c r="N2980" t="s">
        <v>8617</v>
      </c>
      <c r="Q2980" s="28" t="s">
        <v>9026</v>
      </c>
    </row>
    <row r="2981" spans="1:17" x14ac:dyDescent="0.35">
      <c r="A2981" t="s">
        <v>8520</v>
      </c>
      <c r="B2981" s="3" t="s">
        <v>102</v>
      </c>
      <c r="F2981">
        <v>5</v>
      </c>
      <c r="G2981" t="s">
        <v>8607</v>
      </c>
      <c r="H2981">
        <v>30</v>
      </c>
      <c r="I2981" t="s">
        <v>9299</v>
      </c>
      <c r="J2981" t="str">
        <f t="shared" si="46"/>
        <v>13F-HR-5.30.C4</v>
      </c>
      <c r="K2981" s="5" t="s">
        <v>8618</v>
      </c>
      <c r="L2981" t="s">
        <v>8619</v>
      </c>
      <c r="M2981" t="s">
        <v>8620</v>
      </c>
      <c r="N2981" t="s">
        <v>8621</v>
      </c>
      <c r="Q2981" s="28">
        <v>19441227</v>
      </c>
    </row>
    <row r="2982" spans="1:17" x14ac:dyDescent="0.35">
      <c r="A2982" t="s">
        <v>8520</v>
      </c>
      <c r="B2982" s="3" t="s">
        <v>102</v>
      </c>
      <c r="F2982">
        <v>5</v>
      </c>
      <c r="G2982" t="s">
        <v>8607</v>
      </c>
      <c r="H2982">
        <v>31</v>
      </c>
      <c r="I2982" t="s">
        <v>9300</v>
      </c>
      <c r="J2982" t="str">
        <f t="shared" si="46"/>
        <v>13F-HR-5.31.C5</v>
      </c>
      <c r="K2982" s="5" t="s">
        <v>8622</v>
      </c>
      <c r="L2982" t="s">
        <v>241</v>
      </c>
      <c r="M2982" t="s">
        <v>8623</v>
      </c>
      <c r="N2982" t="s">
        <v>8624</v>
      </c>
      <c r="Q2982" s="28">
        <v>411710</v>
      </c>
    </row>
    <row r="2983" spans="1:17" x14ac:dyDescent="0.35">
      <c r="A2983" t="s">
        <v>8520</v>
      </c>
      <c r="B2983" s="3" t="s">
        <v>102</v>
      </c>
      <c r="F2983">
        <v>5</v>
      </c>
      <c r="G2983" t="s">
        <v>8607</v>
      </c>
      <c r="H2983">
        <v>32</v>
      </c>
      <c r="I2983" t="s">
        <v>9301</v>
      </c>
      <c r="J2983" t="str">
        <f t="shared" si="46"/>
        <v>13F-HR-5.32.C6</v>
      </c>
      <c r="K2983" s="5" t="s">
        <v>8625</v>
      </c>
      <c r="L2983" t="s">
        <v>229</v>
      </c>
      <c r="M2983" t="s">
        <v>8626</v>
      </c>
      <c r="N2983" t="s">
        <v>8627</v>
      </c>
      <c r="Q2983" s="28" t="s">
        <v>8628</v>
      </c>
    </row>
    <row r="2984" spans="1:17" x14ac:dyDescent="0.35">
      <c r="A2984" t="s">
        <v>8520</v>
      </c>
      <c r="B2984" s="3" t="s">
        <v>102</v>
      </c>
      <c r="F2984">
        <v>5</v>
      </c>
      <c r="G2984" t="s">
        <v>8607</v>
      </c>
      <c r="H2984">
        <v>33</v>
      </c>
      <c r="I2984" t="s">
        <v>9302</v>
      </c>
      <c r="J2984" t="str">
        <f t="shared" si="46"/>
        <v>13F-HR-5.33.C7</v>
      </c>
      <c r="K2984" s="5" t="s">
        <v>8629</v>
      </c>
      <c r="L2984" t="s">
        <v>229</v>
      </c>
      <c r="M2984" t="s">
        <v>8630</v>
      </c>
      <c r="N2984" t="s">
        <v>8631</v>
      </c>
      <c r="Q2984" s="28" t="s">
        <v>8685</v>
      </c>
    </row>
    <row r="2985" spans="1:17" x14ac:dyDescent="0.35">
      <c r="A2985" t="s">
        <v>8520</v>
      </c>
      <c r="B2985" s="3" t="s">
        <v>102</v>
      </c>
      <c r="F2985">
        <v>5</v>
      </c>
      <c r="G2985" t="s">
        <v>8607</v>
      </c>
      <c r="H2985">
        <v>34</v>
      </c>
      <c r="I2985" t="s">
        <v>9303</v>
      </c>
      <c r="J2985" t="str">
        <f t="shared" si="46"/>
        <v>13F-HR-5.34.C8</v>
      </c>
      <c r="K2985" s="5" t="s">
        <v>8633</v>
      </c>
      <c r="L2985" t="s">
        <v>4735</v>
      </c>
      <c r="M2985" t="s">
        <v>8634</v>
      </c>
      <c r="N2985" t="s">
        <v>8635</v>
      </c>
      <c r="Q2985" s="28" t="s">
        <v>8632</v>
      </c>
    </row>
    <row r="2986" spans="1:17" x14ac:dyDescent="0.35">
      <c r="A2986" t="s">
        <v>8520</v>
      </c>
      <c r="B2986" s="3" t="s">
        <v>102</v>
      </c>
      <c r="F2986">
        <v>5</v>
      </c>
      <c r="G2986" t="s">
        <v>8607</v>
      </c>
      <c r="H2986">
        <v>35</v>
      </c>
      <c r="I2986" t="s">
        <v>9304</v>
      </c>
      <c r="J2986" t="str">
        <f t="shared" si="46"/>
        <v>13F-HR-5.35.C9</v>
      </c>
      <c r="K2986" s="5" t="s">
        <v>8637</v>
      </c>
      <c r="L2986" t="s">
        <v>229</v>
      </c>
      <c r="M2986" t="s">
        <v>8638</v>
      </c>
      <c r="N2986" t="s">
        <v>8639</v>
      </c>
      <c r="Q2986" s="28" t="s">
        <v>8636</v>
      </c>
    </row>
    <row r="2987" spans="1:17" x14ac:dyDescent="0.35">
      <c r="A2987" t="s">
        <v>8520</v>
      </c>
      <c r="B2987" s="3" t="s">
        <v>102</v>
      </c>
      <c r="F2987">
        <v>5</v>
      </c>
      <c r="G2987" t="s">
        <v>8607</v>
      </c>
      <c r="H2987">
        <v>36</v>
      </c>
      <c r="I2987" t="s">
        <v>9305</v>
      </c>
      <c r="J2987" t="str">
        <f t="shared" si="46"/>
        <v>13F-HR-5.36.C10</v>
      </c>
      <c r="K2987" s="5" t="s">
        <v>8640</v>
      </c>
      <c r="L2987" t="s">
        <v>241</v>
      </c>
      <c r="M2987" t="s">
        <v>8641</v>
      </c>
      <c r="N2987" t="s">
        <v>8642</v>
      </c>
      <c r="Q2987" s="28">
        <v>303501</v>
      </c>
    </row>
    <row r="2988" spans="1:17" x14ac:dyDescent="0.35">
      <c r="A2988" t="s">
        <v>8520</v>
      </c>
      <c r="B2988" s="3" t="s">
        <v>102</v>
      </c>
      <c r="F2988">
        <v>5</v>
      </c>
      <c r="G2988" t="s">
        <v>8607</v>
      </c>
      <c r="H2988">
        <v>37</v>
      </c>
      <c r="I2988" t="s">
        <v>9306</v>
      </c>
      <c r="J2988" t="str">
        <f t="shared" si="46"/>
        <v>13F-HR-5.37.C11</v>
      </c>
      <c r="K2988" s="5" t="s">
        <v>8643</v>
      </c>
      <c r="L2988" t="s">
        <v>241</v>
      </c>
      <c r="M2988" t="s">
        <v>8644</v>
      </c>
      <c r="N2988" t="s">
        <v>8645</v>
      </c>
      <c r="Q2988" s="28">
        <v>0</v>
      </c>
    </row>
    <row r="2989" spans="1:17" x14ac:dyDescent="0.35">
      <c r="A2989" t="s">
        <v>8520</v>
      </c>
      <c r="B2989" s="3" t="s">
        <v>102</v>
      </c>
      <c r="F2989">
        <v>5</v>
      </c>
      <c r="G2989" t="s">
        <v>8607</v>
      </c>
      <c r="H2989">
        <v>38</v>
      </c>
      <c r="I2989" t="s">
        <v>9307</v>
      </c>
      <c r="J2989" t="str">
        <f t="shared" si="46"/>
        <v>13F-HR-5.38.C12</v>
      </c>
      <c r="K2989" s="5" t="s">
        <v>8646</v>
      </c>
      <c r="L2989" t="s">
        <v>241</v>
      </c>
      <c r="M2989" t="s">
        <v>8647</v>
      </c>
      <c r="N2989" t="s">
        <v>8648</v>
      </c>
      <c r="Q2989" s="28">
        <v>108209</v>
      </c>
    </row>
    <row r="2990" spans="1:17" x14ac:dyDescent="0.35">
      <c r="A2990" t="s">
        <v>8520</v>
      </c>
      <c r="B2990" s="3" t="s">
        <v>102</v>
      </c>
      <c r="F2990">
        <v>5</v>
      </c>
      <c r="G2990" t="s">
        <v>8607</v>
      </c>
      <c r="H2990">
        <v>27</v>
      </c>
      <c r="I2990" t="s">
        <v>9296</v>
      </c>
      <c r="J2990" t="str">
        <f t="shared" si="46"/>
        <v>13F-HR-5.27.C1</v>
      </c>
      <c r="K2990" s="5" t="s">
        <v>8608</v>
      </c>
      <c r="L2990" t="s">
        <v>229</v>
      </c>
      <c r="M2990" t="s">
        <v>8609</v>
      </c>
      <c r="N2990" t="s">
        <v>8610</v>
      </c>
      <c r="Q2990" s="28" t="s">
        <v>9027</v>
      </c>
    </row>
    <row r="2991" spans="1:17" x14ac:dyDescent="0.35">
      <c r="A2991" t="s">
        <v>8520</v>
      </c>
      <c r="B2991" s="3" t="s">
        <v>102</v>
      </c>
      <c r="F2991">
        <v>5</v>
      </c>
      <c r="G2991" t="s">
        <v>8607</v>
      </c>
      <c r="H2991">
        <v>28</v>
      </c>
      <c r="I2991" t="s">
        <v>9297</v>
      </c>
      <c r="J2991" t="str">
        <f t="shared" si="46"/>
        <v>13F-HR-5.28.C2</v>
      </c>
      <c r="K2991" s="5" t="s">
        <v>8612</v>
      </c>
      <c r="L2991" t="s">
        <v>229</v>
      </c>
      <c r="M2991" t="s">
        <v>8613</v>
      </c>
      <c r="N2991" t="s">
        <v>8614</v>
      </c>
      <c r="Q2991" s="28" t="s">
        <v>8615</v>
      </c>
    </row>
    <row r="2992" spans="1:17" x14ac:dyDescent="0.35">
      <c r="A2992" t="s">
        <v>8520</v>
      </c>
      <c r="B2992" s="3" t="s">
        <v>102</v>
      </c>
      <c r="F2992">
        <v>5</v>
      </c>
      <c r="G2992" t="s">
        <v>8607</v>
      </c>
      <c r="H2992">
        <v>29</v>
      </c>
      <c r="I2992" t="s">
        <v>9298</v>
      </c>
      <c r="J2992" t="str">
        <f t="shared" si="46"/>
        <v>13F-HR-5.29.C3</v>
      </c>
      <c r="K2992" s="5" t="s">
        <v>8616</v>
      </c>
      <c r="L2992" t="s">
        <v>229</v>
      </c>
      <c r="M2992" t="s">
        <v>7927</v>
      </c>
      <c r="N2992" t="s">
        <v>8617</v>
      </c>
      <c r="Q2992" s="28" t="s">
        <v>9028</v>
      </c>
    </row>
    <row r="2993" spans="1:17" x14ac:dyDescent="0.35">
      <c r="A2993" t="s">
        <v>8520</v>
      </c>
      <c r="B2993" s="3" t="s">
        <v>102</v>
      </c>
      <c r="F2993">
        <v>5</v>
      </c>
      <c r="G2993" t="s">
        <v>8607</v>
      </c>
      <c r="H2993">
        <v>30</v>
      </c>
      <c r="I2993" t="s">
        <v>9299</v>
      </c>
      <c r="J2993" t="str">
        <f t="shared" si="46"/>
        <v>13F-HR-5.30.C4</v>
      </c>
      <c r="K2993" s="5" t="s">
        <v>8618</v>
      </c>
      <c r="L2993" t="s">
        <v>8619</v>
      </c>
      <c r="M2993" t="s">
        <v>8620</v>
      </c>
      <c r="N2993" t="s">
        <v>8621</v>
      </c>
      <c r="Q2993" s="28">
        <v>61673342</v>
      </c>
    </row>
    <row r="2994" spans="1:17" x14ac:dyDescent="0.35">
      <c r="A2994" t="s">
        <v>8520</v>
      </c>
      <c r="B2994" s="3" t="s">
        <v>102</v>
      </c>
      <c r="F2994">
        <v>5</v>
      </c>
      <c r="G2994" t="s">
        <v>8607</v>
      </c>
      <c r="H2994">
        <v>31</v>
      </c>
      <c r="I2994" t="s">
        <v>9300</v>
      </c>
      <c r="J2994" t="str">
        <f t="shared" si="46"/>
        <v>13F-HR-5.31.C5</v>
      </c>
      <c r="K2994" s="5" t="s">
        <v>8622</v>
      </c>
      <c r="L2994" t="s">
        <v>241</v>
      </c>
      <c r="M2994" t="s">
        <v>8623</v>
      </c>
      <c r="N2994" t="s">
        <v>8624</v>
      </c>
      <c r="Q2994" s="28">
        <v>237974</v>
      </c>
    </row>
    <row r="2995" spans="1:17" x14ac:dyDescent="0.35">
      <c r="A2995" t="s">
        <v>8520</v>
      </c>
      <c r="B2995" s="3" t="s">
        <v>102</v>
      </c>
      <c r="F2995">
        <v>5</v>
      </c>
      <c r="G2995" t="s">
        <v>8607</v>
      </c>
      <c r="H2995">
        <v>32</v>
      </c>
      <c r="I2995" t="s">
        <v>9301</v>
      </c>
      <c r="J2995" t="str">
        <f t="shared" si="46"/>
        <v>13F-HR-5.32.C6</v>
      </c>
      <c r="K2995" s="5" t="s">
        <v>8625</v>
      </c>
      <c r="L2995" t="s">
        <v>229</v>
      </c>
      <c r="M2995" t="s">
        <v>8626</v>
      </c>
      <c r="N2995" t="s">
        <v>8627</v>
      </c>
      <c r="Q2995" s="28" t="s">
        <v>8628</v>
      </c>
    </row>
    <row r="2996" spans="1:17" x14ac:dyDescent="0.35">
      <c r="A2996" t="s">
        <v>8520</v>
      </c>
      <c r="B2996" s="3" t="s">
        <v>102</v>
      </c>
      <c r="F2996">
        <v>5</v>
      </c>
      <c r="G2996" t="s">
        <v>8607</v>
      </c>
      <c r="H2996">
        <v>33</v>
      </c>
      <c r="I2996" t="s">
        <v>9302</v>
      </c>
      <c r="J2996" t="str">
        <f t="shared" si="46"/>
        <v>13F-HR-5.33.C7</v>
      </c>
      <c r="K2996" s="5" t="s">
        <v>8629</v>
      </c>
      <c r="L2996" t="s">
        <v>229</v>
      </c>
      <c r="M2996" t="s">
        <v>8630</v>
      </c>
      <c r="N2996" t="s">
        <v>8631</v>
      </c>
      <c r="Q2996" s="28" t="s">
        <v>8685</v>
      </c>
    </row>
    <row r="2997" spans="1:17" x14ac:dyDescent="0.35">
      <c r="A2997" t="s">
        <v>8520</v>
      </c>
      <c r="B2997" s="3" t="s">
        <v>102</v>
      </c>
      <c r="F2997">
        <v>5</v>
      </c>
      <c r="G2997" t="s">
        <v>8607</v>
      </c>
      <c r="H2997">
        <v>34</v>
      </c>
      <c r="I2997" t="s">
        <v>9303</v>
      </c>
      <c r="J2997" t="str">
        <f t="shared" si="46"/>
        <v>13F-HR-5.34.C8</v>
      </c>
      <c r="K2997" s="5" t="s">
        <v>8633</v>
      </c>
      <c r="L2997" t="s">
        <v>4735</v>
      </c>
      <c r="M2997" t="s">
        <v>8634</v>
      </c>
      <c r="N2997" t="s">
        <v>8635</v>
      </c>
      <c r="Q2997" s="28" t="s">
        <v>8632</v>
      </c>
    </row>
    <row r="2998" spans="1:17" x14ac:dyDescent="0.35">
      <c r="A2998" t="s">
        <v>8651</v>
      </c>
      <c r="B2998" s="3" t="s">
        <v>102</v>
      </c>
      <c r="F2998">
        <v>5</v>
      </c>
      <c r="G2998" t="s">
        <v>8607</v>
      </c>
      <c r="H2998">
        <v>35</v>
      </c>
      <c r="I2998" t="s">
        <v>9304</v>
      </c>
      <c r="J2998" t="str">
        <f t="shared" si="46"/>
        <v>135-HR-5.35.C9</v>
      </c>
      <c r="K2998" s="5" t="s">
        <v>8637</v>
      </c>
      <c r="L2998" t="s">
        <v>229</v>
      </c>
      <c r="M2998" t="s">
        <v>8638</v>
      </c>
      <c r="N2998" t="s">
        <v>8639</v>
      </c>
      <c r="Q2998" s="28" t="s">
        <v>8636</v>
      </c>
    </row>
    <row r="2999" spans="1:17" x14ac:dyDescent="0.35">
      <c r="A2999" t="s">
        <v>8520</v>
      </c>
      <c r="B2999" s="3" t="s">
        <v>102</v>
      </c>
      <c r="F2999">
        <v>5</v>
      </c>
      <c r="G2999" t="s">
        <v>8607</v>
      </c>
      <c r="H2999">
        <v>36</v>
      </c>
      <c r="I2999" t="s">
        <v>9305</v>
      </c>
      <c r="J2999" t="str">
        <f t="shared" si="46"/>
        <v>13F-HR-5.36.C10</v>
      </c>
      <c r="K2999" s="5" t="s">
        <v>8640</v>
      </c>
      <c r="L2999" t="s">
        <v>241</v>
      </c>
      <c r="M2999" t="s">
        <v>8641</v>
      </c>
      <c r="N2999" t="s">
        <v>8642</v>
      </c>
      <c r="Q2999" s="28">
        <v>231070</v>
      </c>
    </row>
    <row r="3000" spans="1:17" x14ac:dyDescent="0.35">
      <c r="A3000" t="s">
        <v>8520</v>
      </c>
      <c r="B3000" s="3" t="s">
        <v>102</v>
      </c>
      <c r="F3000">
        <v>5</v>
      </c>
      <c r="G3000" t="s">
        <v>8607</v>
      </c>
      <c r="H3000">
        <v>37</v>
      </c>
      <c r="I3000" t="s">
        <v>9306</v>
      </c>
      <c r="J3000" t="str">
        <f t="shared" si="46"/>
        <v>13F-HR-5.37.C11</v>
      </c>
      <c r="K3000" s="5" t="s">
        <v>8643</v>
      </c>
      <c r="L3000" t="s">
        <v>241</v>
      </c>
      <c r="M3000" t="s">
        <v>8644</v>
      </c>
      <c r="N3000" t="s">
        <v>8645</v>
      </c>
      <c r="Q3000" s="28">
        <v>0</v>
      </c>
    </row>
    <row r="3001" spans="1:17" x14ac:dyDescent="0.35">
      <c r="A3001" t="s">
        <v>8520</v>
      </c>
      <c r="B3001" s="3" t="s">
        <v>102</v>
      </c>
      <c r="F3001">
        <v>5</v>
      </c>
      <c r="G3001" t="s">
        <v>8607</v>
      </c>
      <c r="H3001">
        <v>38</v>
      </c>
      <c r="I3001" t="s">
        <v>9307</v>
      </c>
      <c r="J3001" t="str">
        <f t="shared" si="46"/>
        <v>13F-HR-5.38.C12</v>
      </c>
      <c r="K3001" s="5" t="s">
        <v>8646</v>
      </c>
      <c r="L3001" t="s">
        <v>241</v>
      </c>
      <c r="M3001" t="s">
        <v>8647</v>
      </c>
      <c r="N3001" t="s">
        <v>8648</v>
      </c>
      <c r="Q3001" s="28">
        <v>6904</v>
      </c>
    </row>
    <row r="3002" spans="1:17" x14ac:dyDescent="0.35">
      <c r="A3002" t="s">
        <v>8520</v>
      </c>
      <c r="B3002" s="3" t="s">
        <v>102</v>
      </c>
      <c r="F3002">
        <v>5</v>
      </c>
      <c r="G3002" t="s">
        <v>8607</v>
      </c>
      <c r="H3002">
        <v>27</v>
      </c>
      <c r="I3002" t="s">
        <v>9296</v>
      </c>
      <c r="J3002" t="str">
        <f t="shared" si="46"/>
        <v>13F-HR-5.27.C1</v>
      </c>
      <c r="K3002" s="5" t="s">
        <v>8608</v>
      </c>
      <c r="L3002" t="s">
        <v>229</v>
      </c>
      <c r="M3002" t="s">
        <v>8609</v>
      </c>
      <c r="N3002" t="s">
        <v>8610</v>
      </c>
      <c r="Q3002" s="28" t="s">
        <v>9029</v>
      </c>
    </row>
    <row r="3003" spans="1:17" x14ac:dyDescent="0.35">
      <c r="A3003" t="s">
        <v>8520</v>
      </c>
      <c r="B3003" s="3" t="s">
        <v>102</v>
      </c>
      <c r="F3003">
        <v>5</v>
      </c>
      <c r="G3003" t="s">
        <v>8607</v>
      </c>
      <c r="H3003">
        <v>28</v>
      </c>
      <c r="I3003" t="s">
        <v>9297</v>
      </c>
      <c r="J3003" t="str">
        <f t="shared" si="46"/>
        <v>13F-HR-5.28.C2</v>
      </c>
      <c r="K3003" s="5" t="s">
        <v>8612</v>
      </c>
      <c r="L3003" t="s">
        <v>229</v>
      </c>
      <c r="M3003" t="s">
        <v>8613</v>
      </c>
      <c r="N3003" t="s">
        <v>8614</v>
      </c>
      <c r="Q3003" s="28" t="s">
        <v>8615</v>
      </c>
    </row>
    <row r="3004" spans="1:17" x14ac:dyDescent="0.35">
      <c r="A3004" t="s">
        <v>8520</v>
      </c>
      <c r="B3004" s="3" t="s">
        <v>102</v>
      </c>
      <c r="F3004">
        <v>5</v>
      </c>
      <c r="G3004" t="s">
        <v>8607</v>
      </c>
      <c r="H3004">
        <v>29</v>
      </c>
      <c r="I3004" t="s">
        <v>9298</v>
      </c>
      <c r="J3004" t="str">
        <f t="shared" si="46"/>
        <v>13F-HR-5.29.C3</v>
      </c>
      <c r="K3004" s="5" t="s">
        <v>8616</v>
      </c>
      <c r="L3004" t="s">
        <v>229</v>
      </c>
      <c r="M3004" t="s">
        <v>7927</v>
      </c>
      <c r="N3004" t="s">
        <v>8617</v>
      </c>
      <c r="Q3004" s="28">
        <v>882508104</v>
      </c>
    </row>
    <row r="3005" spans="1:17" x14ac:dyDescent="0.35">
      <c r="A3005" t="s">
        <v>8520</v>
      </c>
      <c r="B3005" s="3" t="s">
        <v>102</v>
      </c>
      <c r="F3005">
        <v>5</v>
      </c>
      <c r="G3005" t="s">
        <v>8607</v>
      </c>
      <c r="H3005">
        <v>30</v>
      </c>
      <c r="I3005" t="s">
        <v>9299</v>
      </c>
      <c r="J3005" t="str">
        <f t="shared" si="46"/>
        <v>13F-HR-5.30.C4</v>
      </c>
      <c r="K3005" s="5" t="s">
        <v>8618</v>
      </c>
      <c r="L3005" t="s">
        <v>8619</v>
      </c>
      <c r="M3005" t="s">
        <v>8620</v>
      </c>
      <c r="N3005" t="s">
        <v>8621</v>
      </c>
      <c r="Q3005" s="28">
        <v>18312149</v>
      </c>
    </row>
    <row r="3006" spans="1:17" x14ac:dyDescent="0.35">
      <c r="A3006" t="s">
        <v>8520</v>
      </c>
      <c r="B3006" s="3" t="s">
        <v>102</v>
      </c>
      <c r="F3006">
        <v>5</v>
      </c>
      <c r="G3006" t="s">
        <v>8607</v>
      </c>
      <c r="H3006">
        <v>31</v>
      </c>
      <c r="I3006" t="s">
        <v>9300</v>
      </c>
      <c r="J3006" t="str">
        <f t="shared" si="46"/>
        <v>13F-HR-5.31.C5</v>
      </c>
      <c r="K3006" s="5" t="s">
        <v>8622</v>
      </c>
      <c r="L3006" t="s">
        <v>241</v>
      </c>
      <c r="M3006" t="s">
        <v>8623</v>
      </c>
      <c r="N3006" t="s">
        <v>8624</v>
      </c>
      <c r="Q3006" s="28">
        <v>101904</v>
      </c>
    </row>
    <row r="3007" spans="1:17" x14ac:dyDescent="0.35">
      <c r="A3007" t="s">
        <v>8520</v>
      </c>
      <c r="B3007" s="3" t="s">
        <v>102</v>
      </c>
      <c r="F3007">
        <v>5</v>
      </c>
      <c r="G3007" t="s">
        <v>8607</v>
      </c>
      <c r="H3007">
        <v>32</v>
      </c>
      <c r="I3007" t="s">
        <v>9301</v>
      </c>
      <c r="J3007" t="str">
        <f t="shared" si="46"/>
        <v>13F-HR-5.32.C6</v>
      </c>
      <c r="K3007" s="5" t="s">
        <v>8625</v>
      </c>
      <c r="L3007" t="s">
        <v>229</v>
      </c>
      <c r="M3007" t="s">
        <v>8626</v>
      </c>
      <c r="N3007" t="s">
        <v>8627</v>
      </c>
      <c r="Q3007" s="28" t="s">
        <v>8628</v>
      </c>
    </row>
    <row r="3008" spans="1:17" x14ac:dyDescent="0.35">
      <c r="A3008" t="s">
        <v>8520</v>
      </c>
      <c r="B3008" s="3" t="s">
        <v>102</v>
      </c>
      <c r="F3008">
        <v>5</v>
      </c>
      <c r="G3008" t="s">
        <v>8607</v>
      </c>
      <c r="H3008">
        <v>33</v>
      </c>
      <c r="I3008" t="s">
        <v>9302</v>
      </c>
      <c r="J3008" t="str">
        <f t="shared" si="46"/>
        <v>13F-HR-5.33.C7</v>
      </c>
      <c r="K3008" s="5" t="s">
        <v>8629</v>
      </c>
      <c r="L3008" t="s">
        <v>229</v>
      </c>
      <c r="M3008" t="s">
        <v>8630</v>
      </c>
      <c r="N3008" t="s">
        <v>8631</v>
      </c>
      <c r="Q3008" s="28" t="s">
        <v>8685</v>
      </c>
    </row>
    <row r="3009" spans="1:17" x14ac:dyDescent="0.35">
      <c r="A3009" t="s">
        <v>8520</v>
      </c>
      <c r="B3009" s="3" t="s">
        <v>102</v>
      </c>
      <c r="F3009">
        <v>5</v>
      </c>
      <c r="G3009" t="s">
        <v>8607</v>
      </c>
      <c r="H3009">
        <v>34</v>
      </c>
      <c r="I3009" t="s">
        <v>9303</v>
      </c>
      <c r="J3009" t="str">
        <f t="shared" si="46"/>
        <v>13F-HR-5.34.C8</v>
      </c>
      <c r="K3009" s="5" t="s">
        <v>8633</v>
      </c>
      <c r="L3009" t="s">
        <v>4735</v>
      </c>
      <c r="M3009" t="s">
        <v>8634</v>
      </c>
      <c r="N3009" t="s">
        <v>8635</v>
      </c>
      <c r="Q3009" s="28" t="s">
        <v>8632</v>
      </c>
    </row>
    <row r="3010" spans="1:17" x14ac:dyDescent="0.35">
      <c r="A3010" t="s">
        <v>8651</v>
      </c>
      <c r="B3010" s="3" t="s">
        <v>102</v>
      </c>
      <c r="F3010">
        <v>5</v>
      </c>
      <c r="G3010" t="s">
        <v>8607</v>
      </c>
      <c r="H3010">
        <v>35</v>
      </c>
      <c r="I3010" t="s">
        <v>9304</v>
      </c>
      <c r="J3010" t="str">
        <f t="shared" si="46"/>
        <v>135-HR-5.35.C9</v>
      </c>
      <c r="K3010" s="5" t="s">
        <v>8637</v>
      </c>
      <c r="L3010" t="s">
        <v>229</v>
      </c>
      <c r="M3010" t="s">
        <v>8638</v>
      </c>
      <c r="N3010" t="s">
        <v>8639</v>
      </c>
      <c r="Q3010" s="28" t="s">
        <v>8636</v>
      </c>
    </row>
    <row r="3011" spans="1:17" x14ac:dyDescent="0.35">
      <c r="A3011" t="s">
        <v>8520</v>
      </c>
      <c r="B3011" s="3" t="s">
        <v>102</v>
      </c>
      <c r="F3011">
        <v>5</v>
      </c>
      <c r="G3011" t="s">
        <v>8607</v>
      </c>
      <c r="H3011">
        <v>36</v>
      </c>
      <c r="I3011" t="s">
        <v>9305</v>
      </c>
      <c r="J3011" t="str">
        <f t="shared" ref="J3011:J3074" si="47">_xlfn.CONCAT(A3011,"-",F3011,".",H3011,".",I3011)</f>
        <v>13F-HR-5.36.C10</v>
      </c>
      <c r="K3011" s="5" t="s">
        <v>8640</v>
      </c>
      <c r="L3011" t="s">
        <v>241</v>
      </c>
      <c r="M3011" t="s">
        <v>8641</v>
      </c>
      <c r="N3011" t="s">
        <v>8642</v>
      </c>
      <c r="Q3011" s="28">
        <v>45896</v>
      </c>
    </row>
    <row r="3012" spans="1:17" x14ac:dyDescent="0.35">
      <c r="A3012" t="s">
        <v>8520</v>
      </c>
      <c r="B3012" s="3" t="s">
        <v>102</v>
      </c>
      <c r="F3012">
        <v>5</v>
      </c>
      <c r="G3012" t="s">
        <v>8607</v>
      </c>
      <c r="H3012">
        <v>37</v>
      </c>
      <c r="I3012" t="s">
        <v>9306</v>
      </c>
      <c r="J3012" t="str">
        <f t="shared" si="47"/>
        <v>13F-HR-5.37.C11</v>
      </c>
      <c r="K3012" s="5" t="s">
        <v>8643</v>
      </c>
      <c r="L3012" t="s">
        <v>241</v>
      </c>
      <c r="M3012" t="s">
        <v>8644</v>
      </c>
      <c r="N3012" t="s">
        <v>8645</v>
      </c>
      <c r="Q3012" s="28">
        <v>0</v>
      </c>
    </row>
    <row r="3013" spans="1:17" x14ac:dyDescent="0.35">
      <c r="A3013" t="s">
        <v>8520</v>
      </c>
      <c r="B3013" s="3" t="s">
        <v>102</v>
      </c>
      <c r="F3013">
        <v>5</v>
      </c>
      <c r="G3013" t="s">
        <v>8607</v>
      </c>
      <c r="H3013">
        <v>38</v>
      </c>
      <c r="I3013" t="s">
        <v>9307</v>
      </c>
      <c r="J3013" t="str">
        <f t="shared" si="47"/>
        <v>13F-HR-5.38.C12</v>
      </c>
      <c r="K3013" s="5" t="s">
        <v>8646</v>
      </c>
      <c r="L3013" t="s">
        <v>241</v>
      </c>
      <c r="M3013" t="s">
        <v>8647</v>
      </c>
      <c r="N3013" t="s">
        <v>8648</v>
      </c>
      <c r="Q3013" s="28">
        <v>56008</v>
      </c>
    </row>
    <row r="3014" spans="1:17" x14ac:dyDescent="0.35">
      <c r="A3014" t="s">
        <v>8520</v>
      </c>
      <c r="B3014" s="3" t="s">
        <v>102</v>
      </c>
      <c r="F3014">
        <v>5</v>
      </c>
      <c r="G3014" t="s">
        <v>8607</v>
      </c>
      <c r="H3014">
        <v>27</v>
      </c>
      <c r="I3014" t="s">
        <v>9296</v>
      </c>
      <c r="J3014" t="str">
        <f t="shared" si="47"/>
        <v>13F-HR-5.27.C1</v>
      </c>
      <c r="K3014" s="5" t="s">
        <v>8608</v>
      </c>
      <c r="L3014" t="s">
        <v>229</v>
      </c>
      <c r="M3014" t="s">
        <v>8609</v>
      </c>
      <c r="N3014" t="s">
        <v>8610</v>
      </c>
      <c r="Q3014" s="28" t="s">
        <v>9030</v>
      </c>
    </row>
    <row r="3015" spans="1:17" x14ac:dyDescent="0.35">
      <c r="A3015" t="s">
        <v>8520</v>
      </c>
      <c r="B3015" s="3" t="s">
        <v>102</v>
      </c>
      <c r="F3015">
        <v>5</v>
      </c>
      <c r="G3015" t="s">
        <v>8607</v>
      </c>
      <c r="H3015">
        <v>28</v>
      </c>
      <c r="I3015" t="s">
        <v>9297</v>
      </c>
      <c r="J3015" t="str">
        <f t="shared" si="47"/>
        <v>13F-HR-5.28.C2</v>
      </c>
      <c r="K3015" s="5" t="s">
        <v>8612</v>
      </c>
      <c r="L3015" t="s">
        <v>229</v>
      </c>
      <c r="M3015" t="s">
        <v>8613</v>
      </c>
      <c r="N3015" t="s">
        <v>8614</v>
      </c>
      <c r="Q3015" s="28" t="s">
        <v>8615</v>
      </c>
    </row>
    <row r="3016" spans="1:17" x14ac:dyDescent="0.35">
      <c r="A3016" t="s">
        <v>8520</v>
      </c>
      <c r="B3016" s="3" t="s">
        <v>102</v>
      </c>
      <c r="F3016">
        <v>5</v>
      </c>
      <c r="G3016" t="s">
        <v>8607</v>
      </c>
      <c r="H3016">
        <v>29</v>
      </c>
      <c r="I3016" t="s">
        <v>9298</v>
      </c>
      <c r="J3016" t="str">
        <f t="shared" si="47"/>
        <v>13F-HR-5.29.C3</v>
      </c>
      <c r="K3016" s="5" t="s">
        <v>8616</v>
      </c>
      <c r="L3016" t="s">
        <v>229</v>
      </c>
      <c r="M3016" t="s">
        <v>7927</v>
      </c>
      <c r="N3016" t="s">
        <v>8617</v>
      </c>
      <c r="Q3016" s="28">
        <v>883556102</v>
      </c>
    </row>
    <row r="3017" spans="1:17" x14ac:dyDescent="0.35">
      <c r="A3017" t="s">
        <v>8520</v>
      </c>
      <c r="B3017" s="3" t="s">
        <v>102</v>
      </c>
      <c r="F3017">
        <v>5</v>
      </c>
      <c r="G3017" t="s">
        <v>8607</v>
      </c>
      <c r="H3017">
        <v>30</v>
      </c>
      <c r="I3017" t="s">
        <v>9299</v>
      </c>
      <c r="J3017" t="str">
        <f t="shared" si="47"/>
        <v>13F-HR-5.30.C4</v>
      </c>
      <c r="K3017" s="5" t="s">
        <v>8618</v>
      </c>
      <c r="L3017" t="s">
        <v>8619</v>
      </c>
      <c r="M3017" t="s">
        <v>8620</v>
      </c>
      <c r="N3017" t="s">
        <v>8621</v>
      </c>
      <c r="Q3017" s="28">
        <v>29969453</v>
      </c>
    </row>
    <row r="3018" spans="1:17" x14ac:dyDescent="0.35">
      <c r="A3018" t="s">
        <v>8520</v>
      </c>
      <c r="B3018" s="3" t="s">
        <v>102</v>
      </c>
      <c r="F3018">
        <v>5</v>
      </c>
      <c r="G3018" t="s">
        <v>8607</v>
      </c>
      <c r="H3018">
        <v>31</v>
      </c>
      <c r="I3018" t="s">
        <v>9300</v>
      </c>
      <c r="J3018" t="str">
        <f t="shared" si="47"/>
        <v>13F-HR-5.31.C5</v>
      </c>
      <c r="K3018" s="5" t="s">
        <v>8622</v>
      </c>
      <c r="L3018" t="s">
        <v>241</v>
      </c>
      <c r="M3018" t="s">
        <v>8623</v>
      </c>
      <c r="N3018" t="s">
        <v>8624</v>
      </c>
      <c r="Q3018" s="28">
        <v>60228</v>
      </c>
    </row>
    <row r="3019" spans="1:17" x14ac:dyDescent="0.35">
      <c r="A3019" t="s">
        <v>8520</v>
      </c>
      <c r="B3019" s="3" t="s">
        <v>102</v>
      </c>
      <c r="F3019">
        <v>5</v>
      </c>
      <c r="G3019" t="s">
        <v>8607</v>
      </c>
      <c r="H3019">
        <v>32</v>
      </c>
      <c r="I3019" t="s">
        <v>9301</v>
      </c>
      <c r="J3019" t="str">
        <f t="shared" si="47"/>
        <v>13F-HR-5.32.C6</v>
      </c>
      <c r="K3019" s="5" t="s">
        <v>8625</v>
      </c>
      <c r="L3019" t="s">
        <v>229</v>
      </c>
      <c r="M3019" t="s">
        <v>8626</v>
      </c>
      <c r="N3019" t="s">
        <v>8627</v>
      </c>
      <c r="Q3019" s="28" t="s">
        <v>8628</v>
      </c>
    </row>
    <row r="3020" spans="1:17" x14ac:dyDescent="0.35">
      <c r="A3020" t="s">
        <v>8520</v>
      </c>
      <c r="B3020" s="3" t="s">
        <v>102</v>
      </c>
      <c r="F3020">
        <v>5</v>
      </c>
      <c r="G3020" t="s">
        <v>8607</v>
      </c>
      <c r="H3020">
        <v>33</v>
      </c>
      <c r="I3020" t="s">
        <v>9302</v>
      </c>
      <c r="J3020" t="str">
        <f t="shared" si="47"/>
        <v>13F-HR-5.33.C7</v>
      </c>
      <c r="K3020" s="5" t="s">
        <v>8629</v>
      </c>
      <c r="L3020" t="s">
        <v>229</v>
      </c>
      <c r="M3020" t="s">
        <v>8630</v>
      </c>
      <c r="N3020" t="s">
        <v>8631</v>
      </c>
      <c r="Q3020" s="28" t="s">
        <v>8685</v>
      </c>
    </row>
    <row r="3021" spans="1:17" x14ac:dyDescent="0.35">
      <c r="A3021" t="s">
        <v>8520</v>
      </c>
      <c r="B3021" s="3" t="s">
        <v>102</v>
      </c>
      <c r="F3021">
        <v>5</v>
      </c>
      <c r="G3021" t="s">
        <v>8607</v>
      </c>
      <c r="H3021">
        <v>34</v>
      </c>
      <c r="I3021" t="s">
        <v>9303</v>
      </c>
      <c r="J3021" t="str">
        <f t="shared" si="47"/>
        <v>13F-HR-5.34.C8</v>
      </c>
      <c r="K3021" s="5" t="s">
        <v>8633</v>
      </c>
      <c r="L3021" t="s">
        <v>4735</v>
      </c>
      <c r="M3021" t="s">
        <v>8634</v>
      </c>
      <c r="N3021" t="s">
        <v>8635</v>
      </c>
      <c r="Q3021" s="28" t="s">
        <v>8632</v>
      </c>
    </row>
    <row r="3022" spans="1:17" x14ac:dyDescent="0.35">
      <c r="A3022" t="s">
        <v>8651</v>
      </c>
      <c r="B3022" s="3" t="s">
        <v>102</v>
      </c>
      <c r="F3022">
        <v>5</v>
      </c>
      <c r="G3022" t="s">
        <v>8607</v>
      </c>
      <c r="H3022">
        <v>35</v>
      </c>
      <c r="I3022" t="s">
        <v>9304</v>
      </c>
      <c r="J3022" t="str">
        <f t="shared" si="47"/>
        <v>135-HR-5.35.C9</v>
      </c>
      <c r="K3022" s="5" t="s">
        <v>8637</v>
      </c>
      <c r="L3022" t="s">
        <v>229</v>
      </c>
      <c r="M3022" t="s">
        <v>8638</v>
      </c>
      <c r="N3022" t="s">
        <v>8639</v>
      </c>
      <c r="Q3022" s="28" t="s">
        <v>8636</v>
      </c>
    </row>
    <row r="3023" spans="1:17" x14ac:dyDescent="0.35">
      <c r="A3023" t="s">
        <v>8520</v>
      </c>
      <c r="B3023" s="3" t="s">
        <v>102</v>
      </c>
      <c r="F3023">
        <v>5</v>
      </c>
      <c r="G3023" t="s">
        <v>8607</v>
      </c>
      <c r="H3023">
        <v>36</v>
      </c>
      <c r="I3023" t="s">
        <v>9305</v>
      </c>
      <c r="J3023" t="str">
        <f t="shared" si="47"/>
        <v>13F-HR-5.36.C10</v>
      </c>
      <c r="K3023" s="5" t="s">
        <v>8640</v>
      </c>
      <c r="L3023" t="s">
        <v>241</v>
      </c>
      <c r="M3023" t="s">
        <v>8641</v>
      </c>
      <c r="N3023" t="s">
        <v>8642</v>
      </c>
      <c r="Q3023" s="28">
        <v>51712</v>
      </c>
    </row>
    <row r="3024" spans="1:17" x14ac:dyDescent="0.35">
      <c r="A3024" t="s">
        <v>8520</v>
      </c>
      <c r="B3024" s="3" t="s">
        <v>102</v>
      </c>
      <c r="F3024">
        <v>5</v>
      </c>
      <c r="G3024" t="s">
        <v>8607</v>
      </c>
      <c r="H3024">
        <v>37</v>
      </c>
      <c r="I3024" t="s">
        <v>9306</v>
      </c>
      <c r="J3024" t="str">
        <f t="shared" si="47"/>
        <v>13F-HR-5.37.C11</v>
      </c>
      <c r="K3024" s="5" t="s">
        <v>8643</v>
      </c>
      <c r="L3024" t="s">
        <v>241</v>
      </c>
      <c r="M3024" t="s">
        <v>8644</v>
      </c>
      <c r="N3024" t="s">
        <v>8645</v>
      </c>
      <c r="Q3024" s="28">
        <v>0</v>
      </c>
    </row>
    <row r="3025" spans="1:17" x14ac:dyDescent="0.35">
      <c r="A3025" t="s">
        <v>8520</v>
      </c>
      <c r="B3025" s="3" t="s">
        <v>102</v>
      </c>
      <c r="F3025">
        <v>5</v>
      </c>
      <c r="G3025" t="s">
        <v>8607</v>
      </c>
      <c r="H3025">
        <v>38</v>
      </c>
      <c r="I3025" t="s">
        <v>9307</v>
      </c>
      <c r="J3025" t="str">
        <f t="shared" si="47"/>
        <v>13F-HR-5.38.C12</v>
      </c>
      <c r="K3025" s="5" t="s">
        <v>8646</v>
      </c>
      <c r="L3025" t="s">
        <v>241</v>
      </c>
      <c r="M3025" t="s">
        <v>8647</v>
      </c>
      <c r="N3025" t="s">
        <v>8648</v>
      </c>
      <c r="Q3025" s="28">
        <v>8516</v>
      </c>
    </row>
    <row r="3026" spans="1:17" x14ac:dyDescent="0.35">
      <c r="A3026" t="s">
        <v>8520</v>
      </c>
      <c r="B3026" s="3" t="s">
        <v>102</v>
      </c>
      <c r="F3026">
        <v>5</v>
      </c>
      <c r="G3026" t="s">
        <v>8607</v>
      </c>
      <c r="H3026">
        <v>27</v>
      </c>
      <c r="I3026" t="s">
        <v>9296</v>
      </c>
      <c r="J3026" t="str">
        <f t="shared" si="47"/>
        <v>13F-HR-5.27.C1</v>
      </c>
      <c r="K3026" s="5" t="s">
        <v>8608</v>
      </c>
      <c r="L3026" t="s">
        <v>229</v>
      </c>
      <c r="M3026" t="s">
        <v>8609</v>
      </c>
      <c r="N3026" t="s">
        <v>8610</v>
      </c>
      <c r="Q3026" s="28" t="s">
        <v>9031</v>
      </c>
    </row>
    <row r="3027" spans="1:17" x14ac:dyDescent="0.35">
      <c r="A3027" t="s">
        <v>8520</v>
      </c>
      <c r="B3027" s="3" t="s">
        <v>102</v>
      </c>
      <c r="F3027">
        <v>5</v>
      </c>
      <c r="G3027" t="s">
        <v>8607</v>
      </c>
      <c r="H3027">
        <v>28</v>
      </c>
      <c r="I3027" t="s">
        <v>9297</v>
      </c>
      <c r="J3027" t="str">
        <f t="shared" si="47"/>
        <v>13F-HR-5.28.C2</v>
      </c>
      <c r="K3027" s="5" t="s">
        <v>8612</v>
      </c>
      <c r="L3027" t="s">
        <v>229</v>
      </c>
      <c r="M3027" t="s">
        <v>8613</v>
      </c>
      <c r="N3027" t="s">
        <v>8614</v>
      </c>
      <c r="Q3027" s="28" t="s">
        <v>8615</v>
      </c>
    </row>
    <row r="3028" spans="1:17" x14ac:dyDescent="0.35">
      <c r="A3028" t="s">
        <v>8520</v>
      </c>
      <c r="B3028" s="3" t="s">
        <v>102</v>
      </c>
      <c r="F3028">
        <v>5</v>
      </c>
      <c r="G3028" t="s">
        <v>8607</v>
      </c>
      <c r="H3028">
        <v>29</v>
      </c>
      <c r="I3028" t="s">
        <v>9298</v>
      </c>
      <c r="J3028" t="str">
        <f t="shared" si="47"/>
        <v>13F-HR-5.29.C3</v>
      </c>
      <c r="K3028" s="5" t="s">
        <v>8616</v>
      </c>
      <c r="L3028" t="s">
        <v>229</v>
      </c>
      <c r="M3028" t="s">
        <v>7927</v>
      </c>
      <c r="N3028" t="s">
        <v>8617</v>
      </c>
      <c r="Q3028" s="28" t="s">
        <v>9032</v>
      </c>
    </row>
    <row r="3029" spans="1:17" x14ac:dyDescent="0.35">
      <c r="A3029" t="s">
        <v>8520</v>
      </c>
      <c r="B3029" s="3" t="s">
        <v>102</v>
      </c>
      <c r="F3029">
        <v>5</v>
      </c>
      <c r="G3029" t="s">
        <v>8607</v>
      </c>
      <c r="H3029">
        <v>30</v>
      </c>
      <c r="I3029" t="s">
        <v>9299</v>
      </c>
      <c r="J3029" t="str">
        <f t="shared" si="47"/>
        <v>13F-HR-5.30.C4</v>
      </c>
      <c r="K3029" s="5" t="s">
        <v>8618</v>
      </c>
      <c r="L3029" t="s">
        <v>8619</v>
      </c>
      <c r="M3029" t="s">
        <v>8620</v>
      </c>
      <c r="N3029" t="s">
        <v>8621</v>
      </c>
      <c r="Q3029" s="28">
        <v>16884347</v>
      </c>
    </row>
    <row r="3030" spans="1:17" x14ac:dyDescent="0.35">
      <c r="A3030" t="s">
        <v>8520</v>
      </c>
      <c r="B3030" s="3" t="s">
        <v>102</v>
      </c>
      <c r="F3030">
        <v>5</v>
      </c>
      <c r="G3030" t="s">
        <v>8607</v>
      </c>
      <c r="H3030">
        <v>31</v>
      </c>
      <c r="I3030" t="s">
        <v>9300</v>
      </c>
      <c r="J3030" t="str">
        <f t="shared" si="47"/>
        <v>13F-HR-5.31.C5</v>
      </c>
      <c r="K3030" s="5" t="s">
        <v>8622</v>
      </c>
      <c r="L3030" t="s">
        <v>241</v>
      </c>
      <c r="M3030" t="s">
        <v>8623</v>
      </c>
      <c r="N3030" t="s">
        <v>8624</v>
      </c>
      <c r="Q3030" s="28">
        <v>114969</v>
      </c>
    </row>
    <row r="3031" spans="1:17" x14ac:dyDescent="0.35">
      <c r="A3031" t="s">
        <v>8520</v>
      </c>
      <c r="B3031" s="3" t="s">
        <v>102</v>
      </c>
      <c r="F3031">
        <v>5</v>
      </c>
      <c r="G3031" t="s">
        <v>8607</v>
      </c>
      <c r="H3031">
        <v>32</v>
      </c>
      <c r="I3031" t="s">
        <v>9301</v>
      </c>
      <c r="J3031" t="str">
        <f t="shared" si="47"/>
        <v>13F-HR-5.32.C6</v>
      </c>
      <c r="K3031" s="5" t="s">
        <v>8625</v>
      </c>
      <c r="L3031" t="s">
        <v>229</v>
      </c>
      <c r="M3031" t="s">
        <v>8626</v>
      </c>
      <c r="N3031" t="s">
        <v>8627</v>
      </c>
      <c r="Q3031" s="28" t="s">
        <v>8628</v>
      </c>
    </row>
    <row r="3032" spans="1:17" x14ac:dyDescent="0.35">
      <c r="A3032" t="s">
        <v>8520</v>
      </c>
      <c r="B3032" s="3" t="s">
        <v>102</v>
      </c>
      <c r="F3032">
        <v>5</v>
      </c>
      <c r="G3032" t="s">
        <v>8607</v>
      </c>
      <c r="H3032">
        <v>33</v>
      </c>
      <c r="I3032" t="s">
        <v>9302</v>
      </c>
      <c r="J3032" t="str">
        <f t="shared" si="47"/>
        <v>13F-HR-5.33.C7</v>
      </c>
      <c r="K3032" s="5" t="s">
        <v>8629</v>
      </c>
      <c r="L3032" t="s">
        <v>229</v>
      </c>
      <c r="M3032" t="s">
        <v>8630</v>
      </c>
      <c r="N3032" t="s">
        <v>8631</v>
      </c>
      <c r="Q3032" s="28" t="s">
        <v>8685</v>
      </c>
    </row>
    <row r="3033" spans="1:17" x14ac:dyDescent="0.35">
      <c r="A3033" t="s">
        <v>8520</v>
      </c>
      <c r="B3033" s="3" t="s">
        <v>102</v>
      </c>
      <c r="F3033">
        <v>5</v>
      </c>
      <c r="G3033" t="s">
        <v>8607</v>
      </c>
      <c r="H3033">
        <v>34</v>
      </c>
      <c r="I3033" t="s">
        <v>9303</v>
      </c>
      <c r="J3033" t="str">
        <f t="shared" si="47"/>
        <v>13F-HR-5.34.C8</v>
      </c>
      <c r="K3033" s="5" t="s">
        <v>8633</v>
      </c>
      <c r="L3033" t="s">
        <v>4735</v>
      </c>
      <c r="M3033" t="s">
        <v>8634</v>
      </c>
      <c r="N3033" t="s">
        <v>8635</v>
      </c>
      <c r="Q3033" s="28" t="s">
        <v>8632</v>
      </c>
    </row>
    <row r="3034" spans="1:17" x14ac:dyDescent="0.35">
      <c r="A3034" t="s">
        <v>8651</v>
      </c>
      <c r="B3034" s="3" t="s">
        <v>102</v>
      </c>
      <c r="F3034">
        <v>5</v>
      </c>
      <c r="G3034" t="s">
        <v>8607</v>
      </c>
      <c r="H3034">
        <v>35</v>
      </c>
      <c r="I3034" t="s">
        <v>9304</v>
      </c>
      <c r="J3034" t="str">
        <f t="shared" si="47"/>
        <v>135-HR-5.35.C9</v>
      </c>
      <c r="K3034" s="5" t="s">
        <v>8637</v>
      </c>
      <c r="L3034" t="s">
        <v>229</v>
      </c>
      <c r="M3034" t="s">
        <v>8638</v>
      </c>
      <c r="N3034" t="s">
        <v>8639</v>
      </c>
      <c r="Q3034" s="28" t="s">
        <v>8636</v>
      </c>
    </row>
    <row r="3035" spans="1:17" x14ac:dyDescent="0.35">
      <c r="A3035" t="s">
        <v>8520</v>
      </c>
      <c r="B3035" s="3" t="s">
        <v>102</v>
      </c>
      <c r="F3035">
        <v>5</v>
      </c>
      <c r="G3035" t="s">
        <v>8607</v>
      </c>
      <c r="H3035">
        <v>36</v>
      </c>
      <c r="I3035" t="s">
        <v>9305</v>
      </c>
      <c r="J3035" t="str">
        <f t="shared" si="47"/>
        <v>13F-HR-5.36.C10</v>
      </c>
      <c r="K3035" s="5" t="s">
        <v>8640</v>
      </c>
      <c r="L3035" t="s">
        <v>241</v>
      </c>
      <c r="M3035" t="s">
        <v>8641</v>
      </c>
      <c r="N3035" t="s">
        <v>8642</v>
      </c>
      <c r="Q3035" s="28">
        <v>6455</v>
      </c>
    </row>
    <row r="3036" spans="1:17" x14ac:dyDescent="0.35">
      <c r="A3036" t="s">
        <v>8520</v>
      </c>
      <c r="B3036" s="3" t="s">
        <v>102</v>
      </c>
      <c r="F3036">
        <v>5</v>
      </c>
      <c r="G3036" t="s">
        <v>8607</v>
      </c>
      <c r="H3036">
        <v>37</v>
      </c>
      <c r="I3036" t="s">
        <v>9306</v>
      </c>
      <c r="J3036" t="str">
        <f t="shared" si="47"/>
        <v>13F-HR-5.37.C11</v>
      </c>
      <c r="K3036" s="5" t="s">
        <v>8643</v>
      </c>
      <c r="L3036" t="s">
        <v>241</v>
      </c>
      <c r="M3036" t="s">
        <v>8644</v>
      </c>
      <c r="N3036" t="s">
        <v>8645</v>
      </c>
      <c r="Q3036" s="28">
        <v>0</v>
      </c>
    </row>
    <row r="3037" spans="1:17" x14ac:dyDescent="0.35">
      <c r="A3037" t="s">
        <v>8520</v>
      </c>
      <c r="B3037" s="3" t="s">
        <v>102</v>
      </c>
      <c r="F3037">
        <v>5</v>
      </c>
      <c r="G3037" t="s">
        <v>8607</v>
      </c>
      <c r="H3037">
        <v>38</v>
      </c>
      <c r="I3037" t="s">
        <v>9307</v>
      </c>
      <c r="J3037" t="str">
        <f t="shared" si="47"/>
        <v>13F-HR-5.38.C12</v>
      </c>
      <c r="K3037" s="5" t="s">
        <v>8646</v>
      </c>
      <c r="L3037" t="s">
        <v>241</v>
      </c>
      <c r="M3037" t="s">
        <v>8647</v>
      </c>
      <c r="N3037" t="s">
        <v>8648</v>
      </c>
      <c r="Q3037" s="28">
        <v>108514</v>
      </c>
    </row>
    <row r="3038" spans="1:17" x14ac:dyDescent="0.35">
      <c r="A3038" t="s">
        <v>8520</v>
      </c>
      <c r="B3038" s="3" t="s">
        <v>102</v>
      </c>
      <c r="F3038">
        <v>5</v>
      </c>
      <c r="G3038" t="s">
        <v>8607</v>
      </c>
      <c r="H3038">
        <v>27</v>
      </c>
      <c r="I3038" t="s">
        <v>9296</v>
      </c>
      <c r="J3038" t="str">
        <f t="shared" si="47"/>
        <v>13F-HR-5.27.C1</v>
      </c>
      <c r="K3038" s="5" t="s">
        <v>8608</v>
      </c>
      <c r="L3038" t="s">
        <v>229</v>
      </c>
      <c r="M3038" t="s">
        <v>8609</v>
      </c>
      <c r="N3038" t="s">
        <v>8610</v>
      </c>
      <c r="Q3038" s="28" t="s">
        <v>9033</v>
      </c>
    </row>
    <row r="3039" spans="1:17" x14ac:dyDescent="0.35">
      <c r="A3039" t="s">
        <v>8520</v>
      </c>
      <c r="B3039" s="3" t="s">
        <v>102</v>
      </c>
      <c r="F3039">
        <v>5</v>
      </c>
      <c r="G3039" t="s">
        <v>8607</v>
      </c>
      <c r="H3039">
        <v>28</v>
      </c>
      <c r="I3039" t="s">
        <v>9297</v>
      </c>
      <c r="J3039" t="str">
        <f t="shared" si="47"/>
        <v>13F-HR-5.28.C2</v>
      </c>
      <c r="K3039" s="5" t="s">
        <v>8612</v>
      </c>
      <c r="L3039" t="s">
        <v>229</v>
      </c>
      <c r="M3039" t="s">
        <v>8613</v>
      </c>
      <c r="N3039" t="s">
        <v>8614</v>
      </c>
      <c r="Q3039" s="28" t="s">
        <v>8706</v>
      </c>
    </row>
    <row r="3040" spans="1:17" x14ac:dyDescent="0.35">
      <c r="A3040" t="s">
        <v>8520</v>
      </c>
      <c r="B3040" s="3" t="s">
        <v>102</v>
      </c>
      <c r="F3040">
        <v>5</v>
      </c>
      <c r="G3040" t="s">
        <v>8607</v>
      </c>
      <c r="H3040">
        <v>29</v>
      </c>
      <c r="I3040" t="s">
        <v>9298</v>
      </c>
      <c r="J3040" t="str">
        <f t="shared" si="47"/>
        <v>13F-HR-5.29.C3</v>
      </c>
      <c r="K3040" s="5" t="s">
        <v>8616</v>
      </c>
      <c r="L3040" t="s">
        <v>229</v>
      </c>
      <c r="M3040" t="s">
        <v>7927</v>
      </c>
      <c r="N3040" t="s">
        <v>8617</v>
      </c>
      <c r="Q3040" s="28">
        <v>888787108</v>
      </c>
    </row>
    <row r="3041" spans="1:17" x14ac:dyDescent="0.35">
      <c r="A3041" t="s">
        <v>8520</v>
      </c>
      <c r="B3041" s="3" t="s">
        <v>102</v>
      </c>
      <c r="F3041">
        <v>5</v>
      </c>
      <c r="G3041" t="s">
        <v>8607</v>
      </c>
      <c r="H3041">
        <v>30</v>
      </c>
      <c r="I3041" t="s">
        <v>9299</v>
      </c>
      <c r="J3041" t="str">
        <f t="shared" si="47"/>
        <v>13F-HR-5.30.C4</v>
      </c>
      <c r="K3041" s="5" t="s">
        <v>8618</v>
      </c>
      <c r="L3041" t="s">
        <v>8619</v>
      </c>
      <c r="M3041" t="s">
        <v>8620</v>
      </c>
      <c r="N3041" t="s">
        <v>8621</v>
      </c>
      <c r="Q3041" s="28">
        <v>22767855</v>
      </c>
    </row>
    <row r="3042" spans="1:17" x14ac:dyDescent="0.35">
      <c r="A3042" t="s">
        <v>8520</v>
      </c>
      <c r="B3042" s="3" t="s">
        <v>102</v>
      </c>
      <c r="F3042">
        <v>5</v>
      </c>
      <c r="G3042" t="s">
        <v>8607</v>
      </c>
      <c r="H3042">
        <v>31</v>
      </c>
      <c r="I3042" t="s">
        <v>9300</v>
      </c>
      <c r="J3042" t="str">
        <f t="shared" si="47"/>
        <v>13F-HR-5.31.C5</v>
      </c>
      <c r="K3042" s="5" t="s">
        <v>8622</v>
      </c>
      <c r="L3042" t="s">
        <v>241</v>
      </c>
      <c r="M3042" t="s">
        <v>8623</v>
      </c>
      <c r="N3042" t="s">
        <v>8624</v>
      </c>
      <c r="Q3042" s="28">
        <v>686399</v>
      </c>
    </row>
    <row r="3043" spans="1:17" x14ac:dyDescent="0.35">
      <c r="A3043" t="s">
        <v>8520</v>
      </c>
      <c r="B3043" s="3" t="s">
        <v>102</v>
      </c>
      <c r="F3043">
        <v>5</v>
      </c>
      <c r="G3043" t="s">
        <v>8607</v>
      </c>
      <c r="H3043">
        <v>32</v>
      </c>
      <c r="I3043" t="s">
        <v>9301</v>
      </c>
      <c r="J3043" t="str">
        <f t="shared" si="47"/>
        <v>13F-HR-5.32.C6</v>
      </c>
      <c r="K3043" s="5" t="s">
        <v>8625</v>
      </c>
      <c r="L3043" t="s">
        <v>229</v>
      </c>
      <c r="M3043" t="s">
        <v>8626</v>
      </c>
      <c r="N3043" t="s">
        <v>8627</v>
      </c>
      <c r="Q3043" s="28" t="s">
        <v>8628</v>
      </c>
    </row>
    <row r="3044" spans="1:17" x14ac:dyDescent="0.35">
      <c r="A3044" t="s">
        <v>8520</v>
      </c>
      <c r="B3044" s="3" t="s">
        <v>102</v>
      </c>
      <c r="F3044">
        <v>5</v>
      </c>
      <c r="G3044" t="s">
        <v>8607</v>
      </c>
      <c r="H3044">
        <v>33</v>
      </c>
      <c r="I3044" t="s">
        <v>9302</v>
      </c>
      <c r="J3044" t="str">
        <f t="shared" si="47"/>
        <v>13F-HR-5.33.C7</v>
      </c>
      <c r="K3044" s="5" t="s">
        <v>8629</v>
      </c>
      <c r="L3044" t="s">
        <v>229</v>
      </c>
      <c r="M3044" t="s">
        <v>8630</v>
      </c>
      <c r="N3044" t="s">
        <v>8631</v>
      </c>
      <c r="Q3044" s="28" t="s">
        <v>8685</v>
      </c>
    </row>
    <row r="3045" spans="1:17" x14ac:dyDescent="0.35">
      <c r="A3045" t="s">
        <v>8520</v>
      </c>
      <c r="B3045" s="3" t="s">
        <v>102</v>
      </c>
      <c r="F3045">
        <v>5</v>
      </c>
      <c r="G3045" t="s">
        <v>8607</v>
      </c>
      <c r="H3045">
        <v>34</v>
      </c>
      <c r="I3045" t="s">
        <v>9303</v>
      </c>
      <c r="J3045" t="str">
        <f t="shared" si="47"/>
        <v>13F-HR-5.34.C8</v>
      </c>
      <c r="K3045" s="5" t="s">
        <v>8633</v>
      </c>
      <c r="L3045" t="s">
        <v>4735</v>
      </c>
      <c r="M3045" t="s">
        <v>8634</v>
      </c>
      <c r="N3045" t="s">
        <v>8635</v>
      </c>
      <c r="Q3045" s="28" t="s">
        <v>8632</v>
      </c>
    </row>
    <row r="3046" spans="1:17" x14ac:dyDescent="0.35">
      <c r="A3046" t="s">
        <v>8651</v>
      </c>
      <c r="B3046" s="3" t="s">
        <v>102</v>
      </c>
      <c r="F3046">
        <v>5</v>
      </c>
      <c r="G3046" t="s">
        <v>8607</v>
      </c>
      <c r="H3046">
        <v>35</v>
      </c>
      <c r="I3046" t="s">
        <v>9304</v>
      </c>
      <c r="J3046" t="str">
        <f t="shared" si="47"/>
        <v>135-HR-5.35.C9</v>
      </c>
      <c r="K3046" s="5" t="s">
        <v>8637</v>
      </c>
      <c r="L3046" t="s">
        <v>229</v>
      </c>
      <c r="M3046" t="s">
        <v>8638</v>
      </c>
      <c r="N3046" t="s">
        <v>8639</v>
      </c>
      <c r="Q3046" s="28" t="s">
        <v>8636</v>
      </c>
    </row>
    <row r="3047" spans="1:17" x14ac:dyDescent="0.35">
      <c r="A3047" t="s">
        <v>8520</v>
      </c>
      <c r="B3047" s="3" t="s">
        <v>102</v>
      </c>
      <c r="F3047">
        <v>5</v>
      </c>
      <c r="G3047" t="s">
        <v>8607</v>
      </c>
      <c r="H3047">
        <v>36</v>
      </c>
      <c r="I3047" t="s">
        <v>9305</v>
      </c>
      <c r="J3047" t="str">
        <f t="shared" si="47"/>
        <v>13F-HR-5.36.C10</v>
      </c>
      <c r="K3047" s="5" t="s">
        <v>8640</v>
      </c>
      <c r="L3047" t="s">
        <v>241</v>
      </c>
      <c r="M3047" t="s">
        <v>8641</v>
      </c>
      <c r="N3047" t="s">
        <v>8642</v>
      </c>
      <c r="Q3047" s="28">
        <v>686399</v>
      </c>
    </row>
    <row r="3048" spans="1:17" x14ac:dyDescent="0.35">
      <c r="A3048" t="s">
        <v>8520</v>
      </c>
      <c r="B3048" s="3" t="s">
        <v>102</v>
      </c>
      <c r="F3048">
        <v>5</v>
      </c>
      <c r="G3048" t="s">
        <v>8607</v>
      </c>
      <c r="H3048">
        <v>37</v>
      </c>
      <c r="I3048" t="s">
        <v>9306</v>
      </c>
      <c r="J3048" t="str">
        <f t="shared" si="47"/>
        <v>13F-HR-5.37.C11</v>
      </c>
      <c r="K3048" s="5" t="s">
        <v>8643</v>
      </c>
      <c r="L3048" t="s">
        <v>241</v>
      </c>
      <c r="M3048" t="s">
        <v>8644</v>
      </c>
      <c r="N3048" t="s">
        <v>8645</v>
      </c>
      <c r="Q3048" s="28">
        <v>0</v>
      </c>
    </row>
    <row r="3049" spans="1:17" x14ac:dyDescent="0.35">
      <c r="A3049" t="s">
        <v>8520</v>
      </c>
      <c r="B3049" s="3" t="s">
        <v>102</v>
      </c>
      <c r="F3049">
        <v>5</v>
      </c>
      <c r="G3049" t="s">
        <v>8607</v>
      </c>
      <c r="H3049">
        <v>38</v>
      </c>
      <c r="I3049" t="s">
        <v>9307</v>
      </c>
      <c r="J3049" t="str">
        <f t="shared" si="47"/>
        <v>13F-HR-5.38.C12</v>
      </c>
      <c r="K3049" s="5" t="s">
        <v>8646</v>
      </c>
      <c r="L3049" t="s">
        <v>241</v>
      </c>
      <c r="M3049" t="s">
        <v>8647</v>
      </c>
      <c r="N3049" t="s">
        <v>8648</v>
      </c>
      <c r="Q3049" s="28">
        <v>0</v>
      </c>
    </row>
    <row r="3050" spans="1:17" x14ac:dyDescent="0.35">
      <c r="A3050" t="s">
        <v>8520</v>
      </c>
      <c r="B3050" s="3" t="s">
        <v>102</v>
      </c>
      <c r="F3050">
        <v>5</v>
      </c>
      <c r="G3050" t="s">
        <v>8607</v>
      </c>
      <c r="H3050">
        <v>27</v>
      </c>
      <c r="I3050" t="s">
        <v>9296</v>
      </c>
      <c r="J3050" t="str">
        <f t="shared" si="47"/>
        <v>13F-HR-5.27.C1</v>
      </c>
      <c r="K3050" s="5" t="s">
        <v>8608</v>
      </c>
      <c r="L3050" t="s">
        <v>229</v>
      </c>
      <c r="M3050" t="s">
        <v>8609</v>
      </c>
      <c r="N3050" t="s">
        <v>8610</v>
      </c>
      <c r="Q3050" s="28" t="s">
        <v>9034</v>
      </c>
    </row>
    <row r="3051" spans="1:17" x14ac:dyDescent="0.35">
      <c r="A3051" t="s">
        <v>8520</v>
      </c>
      <c r="B3051" s="3" t="s">
        <v>102</v>
      </c>
      <c r="F3051">
        <v>5</v>
      </c>
      <c r="G3051" t="s">
        <v>8607</v>
      </c>
      <c r="H3051">
        <v>28</v>
      </c>
      <c r="I3051" t="s">
        <v>9297</v>
      </c>
      <c r="J3051" t="str">
        <f t="shared" si="47"/>
        <v>13F-HR-5.28.C2</v>
      </c>
      <c r="K3051" s="5" t="s">
        <v>8612</v>
      </c>
      <c r="L3051" t="s">
        <v>229</v>
      </c>
      <c r="M3051" t="s">
        <v>8613</v>
      </c>
      <c r="N3051" t="s">
        <v>8614</v>
      </c>
      <c r="Q3051" s="28" t="s">
        <v>8615</v>
      </c>
    </row>
    <row r="3052" spans="1:17" x14ac:dyDescent="0.35">
      <c r="A3052" t="s">
        <v>8520</v>
      </c>
      <c r="B3052" s="3" t="s">
        <v>102</v>
      </c>
      <c r="F3052">
        <v>5</v>
      </c>
      <c r="G3052" t="s">
        <v>8607</v>
      </c>
      <c r="H3052">
        <v>29</v>
      </c>
      <c r="I3052" t="s">
        <v>9298</v>
      </c>
      <c r="J3052" t="str">
        <f t="shared" si="47"/>
        <v>13F-HR-5.29.C3</v>
      </c>
      <c r="K3052" s="5" t="s">
        <v>8616</v>
      </c>
      <c r="L3052" t="s">
        <v>229</v>
      </c>
      <c r="M3052" t="s">
        <v>7927</v>
      </c>
      <c r="N3052" t="s">
        <v>8617</v>
      </c>
      <c r="Q3052" s="28" t="s">
        <v>9035</v>
      </c>
    </row>
    <row r="3053" spans="1:17" x14ac:dyDescent="0.35">
      <c r="A3053" t="s">
        <v>8520</v>
      </c>
      <c r="B3053" s="3" t="s">
        <v>102</v>
      </c>
      <c r="F3053">
        <v>5</v>
      </c>
      <c r="G3053" t="s">
        <v>8607</v>
      </c>
      <c r="H3053">
        <v>30</v>
      </c>
      <c r="I3053" t="s">
        <v>9299</v>
      </c>
      <c r="J3053" t="str">
        <f t="shared" si="47"/>
        <v>13F-HR-5.30.C4</v>
      </c>
      <c r="K3053" s="5" t="s">
        <v>8618</v>
      </c>
      <c r="L3053" t="s">
        <v>8619</v>
      </c>
      <c r="M3053" t="s">
        <v>8620</v>
      </c>
      <c r="N3053" t="s">
        <v>8621</v>
      </c>
      <c r="Q3053" s="28">
        <v>326297</v>
      </c>
    </row>
    <row r="3054" spans="1:17" x14ac:dyDescent="0.35">
      <c r="A3054" t="s">
        <v>8520</v>
      </c>
      <c r="B3054" s="3" t="s">
        <v>102</v>
      </c>
      <c r="F3054">
        <v>5</v>
      </c>
      <c r="G3054" t="s">
        <v>8607</v>
      </c>
      <c r="H3054">
        <v>31</v>
      </c>
      <c r="I3054" t="s">
        <v>9300</v>
      </c>
      <c r="J3054" t="str">
        <f t="shared" si="47"/>
        <v>13F-HR-5.31.C5</v>
      </c>
      <c r="K3054" s="5" t="s">
        <v>8622</v>
      </c>
      <c r="L3054" t="s">
        <v>241</v>
      </c>
      <c r="M3054" t="s">
        <v>8623</v>
      </c>
      <c r="N3054" t="s">
        <v>8624</v>
      </c>
      <c r="Q3054" s="28">
        <v>1070</v>
      </c>
    </row>
    <row r="3055" spans="1:17" x14ac:dyDescent="0.35">
      <c r="A3055" t="s">
        <v>8520</v>
      </c>
      <c r="B3055" s="3" t="s">
        <v>102</v>
      </c>
      <c r="F3055">
        <v>5</v>
      </c>
      <c r="G3055" t="s">
        <v>8607</v>
      </c>
      <c r="H3055">
        <v>32</v>
      </c>
      <c r="I3055" t="s">
        <v>9301</v>
      </c>
      <c r="J3055" t="str">
        <f t="shared" si="47"/>
        <v>13F-HR-5.32.C6</v>
      </c>
      <c r="K3055" s="5" t="s">
        <v>8625</v>
      </c>
      <c r="L3055" t="s">
        <v>229</v>
      </c>
      <c r="M3055" t="s">
        <v>8626</v>
      </c>
      <c r="N3055" t="s">
        <v>8627</v>
      </c>
      <c r="Q3055" s="28" t="s">
        <v>8628</v>
      </c>
    </row>
    <row r="3056" spans="1:17" x14ac:dyDescent="0.35">
      <c r="A3056" t="s">
        <v>8520</v>
      </c>
      <c r="B3056" s="3" t="s">
        <v>102</v>
      </c>
      <c r="F3056">
        <v>5</v>
      </c>
      <c r="G3056" t="s">
        <v>8607</v>
      </c>
      <c r="H3056">
        <v>33</v>
      </c>
      <c r="I3056" t="s">
        <v>9302</v>
      </c>
      <c r="J3056" t="str">
        <f t="shared" si="47"/>
        <v>13F-HR-5.33.C7</v>
      </c>
      <c r="K3056" s="5" t="s">
        <v>8629</v>
      </c>
      <c r="L3056" t="s">
        <v>229</v>
      </c>
      <c r="M3056" t="s">
        <v>8630</v>
      </c>
      <c r="N3056" t="s">
        <v>8631</v>
      </c>
      <c r="Q3056" s="28" t="s">
        <v>8685</v>
      </c>
    </row>
    <row r="3057" spans="1:17" x14ac:dyDescent="0.35">
      <c r="A3057" t="s">
        <v>8520</v>
      </c>
      <c r="B3057" s="3" t="s">
        <v>102</v>
      </c>
      <c r="F3057">
        <v>5</v>
      </c>
      <c r="G3057" t="s">
        <v>8607</v>
      </c>
      <c r="H3057">
        <v>34</v>
      </c>
      <c r="I3057" t="s">
        <v>9303</v>
      </c>
      <c r="J3057" t="str">
        <f t="shared" si="47"/>
        <v>13F-HR-5.34.C8</v>
      </c>
      <c r="K3057" s="5" t="s">
        <v>8633</v>
      </c>
      <c r="L3057" t="s">
        <v>4735</v>
      </c>
      <c r="M3057" t="s">
        <v>8634</v>
      </c>
      <c r="N3057" t="s">
        <v>8635</v>
      </c>
      <c r="Q3057" s="28" t="s">
        <v>8632</v>
      </c>
    </row>
    <row r="3058" spans="1:17" x14ac:dyDescent="0.35">
      <c r="A3058" t="s">
        <v>8651</v>
      </c>
      <c r="B3058" s="3" t="s">
        <v>102</v>
      </c>
      <c r="F3058">
        <v>5</v>
      </c>
      <c r="G3058" t="s">
        <v>8607</v>
      </c>
      <c r="H3058">
        <v>35</v>
      </c>
      <c r="I3058" t="s">
        <v>9304</v>
      </c>
      <c r="J3058" t="str">
        <f t="shared" si="47"/>
        <v>135-HR-5.35.C9</v>
      </c>
      <c r="K3058" s="5" t="s">
        <v>8637</v>
      </c>
      <c r="L3058" t="s">
        <v>229</v>
      </c>
      <c r="M3058" t="s">
        <v>8638</v>
      </c>
      <c r="N3058" t="s">
        <v>8639</v>
      </c>
      <c r="Q3058" s="28" t="s">
        <v>8636</v>
      </c>
    </row>
    <row r="3059" spans="1:17" x14ac:dyDescent="0.35">
      <c r="A3059" t="s">
        <v>8520</v>
      </c>
      <c r="B3059" s="3" t="s">
        <v>102</v>
      </c>
      <c r="F3059">
        <v>5</v>
      </c>
      <c r="G3059" t="s">
        <v>8607</v>
      </c>
      <c r="H3059">
        <v>36</v>
      </c>
      <c r="I3059" t="s">
        <v>9305</v>
      </c>
      <c r="J3059" t="str">
        <f t="shared" si="47"/>
        <v>13F-HR-5.36.C10</v>
      </c>
      <c r="K3059" s="5" t="s">
        <v>8640</v>
      </c>
      <c r="L3059" t="s">
        <v>241</v>
      </c>
      <c r="M3059" t="s">
        <v>8641</v>
      </c>
      <c r="N3059" t="s">
        <v>8642</v>
      </c>
      <c r="Q3059" s="28">
        <v>1070</v>
      </c>
    </row>
    <row r="3060" spans="1:17" x14ac:dyDescent="0.35">
      <c r="A3060" t="s">
        <v>8520</v>
      </c>
      <c r="B3060" s="3" t="s">
        <v>102</v>
      </c>
      <c r="F3060">
        <v>5</v>
      </c>
      <c r="G3060" t="s">
        <v>8607</v>
      </c>
      <c r="H3060">
        <v>37</v>
      </c>
      <c r="I3060" t="s">
        <v>9306</v>
      </c>
      <c r="J3060" t="str">
        <f t="shared" si="47"/>
        <v>13F-HR-5.37.C11</v>
      </c>
      <c r="K3060" s="5" t="s">
        <v>8643</v>
      </c>
      <c r="L3060" t="s">
        <v>241</v>
      </c>
      <c r="M3060" t="s">
        <v>8644</v>
      </c>
      <c r="N3060" t="s">
        <v>8645</v>
      </c>
      <c r="Q3060" s="28">
        <v>0</v>
      </c>
    </row>
    <row r="3061" spans="1:17" x14ac:dyDescent="0.35">
      <c r="A3061" t="s">
        <v>8520</v>
      </c>
      <c r="B3061" s="3" t="s">
        <v>102</v>
      </c>
      <c r="F3061">
        <v>5</v>
      </c>
      <c r="G3061" t="s">
        <v>8607</v>
      </c>
      <c r="H3061">
        <v>38</v>
      </c>
      <c r="I3061" t="s">
        <v>9307</v>
      </c>
      <c r="J3061" t="str">
        <f t="shared" si="47"/>
        <v>13F-HR-5.38.C12</v>
      </c>
      <c r="K3061" s="5" t="s">
        <v>8646</v>
      </c>
      <c r="L3061" t="s">
        <v>241</v>
      </c>
      <c r="M3061" t="s">
        <v>8647</v>
      </c>
      <c r="N3061" t="s">
        <v>8648</v>
      </c>
      <c r="Q3061" s="28">
        <v>0</v>
      </c>
    </row>
    <row r="3062" spans="1:17" x14ac:dyDescent="0.35">
      <c r="A3062" t="s">
        <v>8520</v>
      </c>
      <c r="B3062" s="3" t="s">
        <v>102</v>
      </c>
      <c r="F3062">
        <v>5</v>
      </c>
      <c r="G3062" t="s">
        <v>8607</v>
      </c>
      <c r="H3062">
        <v>27</v>
      </c>
      <c r="I3062" t="s">
        <v>9296</v>
      </c>
      <c r="J3062" t="str">
        <f t="shared" si="47"/>
        <v>13F-HR-5.27.C1</v>
      </c>
      <c r="K3062" s="5" t="s">
        <v>8608</v>
      </c>
      <c r="L3062" t="s">
        <v>229</v>
      </c>
      <c r="M3062" t="s">
        <v>8609</v>
      </c>
      <c r="N3062" t="s">
        <v>8610</v>
      </c>
      <c r="Q3062" s="28" t="s">
        <v>9036</v>
      </c>
    </row>
    <row r="3063" spans="1:17" x14ac:dyDescent="0.35">
      <c r="A3063" t="s">
        <v>8520</v>
      </c>
      <c r="B3063" s="3" t="s">
        <v>102</v>
      </c>
      <c r="F3063">
        <v>5</v>
      </c>
      <c r="G3063" t="s">
        <v>8607</v>
      </c>
      <c r="H3063">
        <v>28</v>
      </c>
      <c r="I3063" t="s">
        <v>9297</v>
      </c>
      <c r="J3063" t="str">
        <f t="shared" si="47"/>
        <v>13F-HR-5.28.C2</v>
      </c>
      <c r="K3063" s="5" t="s">
        <v>8612</v>
      </c>
      <c r="L3063" t="s">
        <v>229</v>
      </c>
      <c r="M3063" t="s">
        <v>8613</v>
      </c>
      <c r="N3063" t="s">
        <v>8614</v>
      </c>
      <c r="Q3063" s="28" t="s">
        <v>8615</v>
      </c>
    </row>
    <row r="3064" spans="1:17" x14ac:dyDescent="0.35">
      <c r="A3064" t="s">
        <v>8520</v>
      </c>
      <c r="B3064" s="3" t="s">
        <v>102</v>
      </c>
      <c r="F3064">
        <v>5</v>
      </c>
      <c r="G3064" t="s">
        <v>8607</v>
      </c>
      <c r="H3064">
        <v>29</v>
      </c>
      <c r="I3064" t="s">
        <v>9298</v>
      </c>
      <c r="J3064" t="str">
        <f t="shared" si="47"/>
        <v>13F-HR-5.29.C3</v>
      </c>
      <c r="K3064" s="5" t="s">
        <v>8616</v>
      </c>
      <c r="L3064" t="s">
        <v>229</v>
      </c>
      <c r="M3064" t="s">
        <v>7927</v>
      </c>
      <c r="N3064" t="s">
        <v>8617</v>
      </c>
      <c r="Q3064" s="28">
        <v>892356106</v>
      </c>
    </row>
    <row r="3065" spans="1:17" x14ac:dyDescent="0.35">
      <c r="A3065" t="s">
        <v>8520</v>
      </c>
      <c r="B3065" s="3" t="s">
        <v>102</v>
      </c>
      <c r="F3065">
        <v>5</v>
      </c>
      <c r="G3065" t="s">
        <v>8607</v>
      </c>
      <c r="H3065">
        <v>30</v>
      </c>
      <c r="I3065" t="s">
        <v>9299</v>
      </c>
      <c r="J3065" t="str">
        <f t="shared" si="47"/>
        <v>13F-HR-5.30.C4</v>
      </c>
      <c r="K3065" s="5" t="s">
        <v>8618</v>
      </c>
      <c r="L3065" t="s">
        <v>8619</v>
      </c>
      <c r="M3065" t="s">
        <v>8620</v>
      </c>
      <c r="N3065" t="s">
        <v>8621</v>
      </c>
      <c r="Q3065" s="28">
        <v>17646436</v>
      </c>
    </row>
    <row r="3066" spans="1:17" x14ac:dyDescent="0.35">
      <c r="A3066" t="s">
        <v>8520</v>
      </c>
      <c r="B3066" s="3" t="s">
        <v>102</v>
      </c>
      <c r="F3066">
        <v>5</v>
      </c>
      <c r="G3066" t="s">
        <v>8607</v>
      </c>
      <c r="H3066">
        <v>31</v>
      </c>
      <c r="I3066" t="s">
        <v>9300</v>
      </c>
      <c r="J3066" t="str">
        <f t="shared" si="47"/>
        <v>13F-HR-5.31.C5</v>
      </c>
      <c r="K3066" s="5" t="s">
        <v>8622</v>
      </c>
      <c r="L3066" t="s">
        <v>241</v>
      </c>
      <c r="M3066" t="s">
        <v>8623</v>
      </c>
      <c r="N3066" t="s">
        <v>8624</v>
      </c>
      <c r="Q3066" s="28">
        <v>320262</v>
      </c>
    </row>
    <row r="3067" spans="1:17" x14ac:dyDescent="0.35">
      <c r="A3067" t="s">
        <v>8520</v>
      </c>
      <c r="B3067" s="3" t="s">
        <v>102</v>
      </c>
      <c r="F3067">
        <v>5</v>
      </c>
      <c r="G3067" t="s">
        <v>8607</v>
      </c>
      <c r="H3067">
        <v>32</v>
      </c>
      <c r="I3067" t="s">
        <v>9301</v>
      </c>
      <c r="J3067" t="str">
        <f t="shared" si="47"/>
        <v>13F-HR-5.32.C6</v>
      </c>
      <c r="K3067" s="5" t="s">
        <v>8625</v>
      </c>
      <c r="L3067" t="s">
        <v>229</v>
      </c>
      <c r="M3067" t="s">
        <v>8626</v>
      </c>
      <c r="N3067" t="s">
        <v>8627</v>
      </c>
      <c r="Q3067" s="28" t="s">
        <v>8628</v>
      </c>
    </row>
    <row r="3068" spans="1:17" x14ac:dyDescent="0.35">
      <c r="A3068" t="s">
        <v>8520</v>
      </c>
      <c r="B3068" s="3" t="s">
        <v>102</v>
      </c>
      <c r="F3068">
        <v>5</v>
      </c>
      <c r="G3068" t="s">
        <v>8607</v>
      </c>
      <c r="H3068">
        <v>33</v>
      </c>
      <c r="I3068" t="s">
        <v>9302</v>
      </c>
      <c r="J3068" t="str">
        <f t="shared" si="47"/>
        <v>13F-HR-5.33.C7</v>
      </c>
      <c r="K3068" s="5" t="s">
        <v>8629</v>
      </c>
      <c r="L3068" t="s">
        <v>229</v>
      </c>
      <c r="M3068" t="s">
        <v>8630</v>
      </c>
      <c r="N3068" t="s">
        <v>8631</v>
      </c>
      <c r="Q3068" s="28" t="s">
        <v>8685</v>
      </c>
    </row>
    <row r="3069" spans="1:17" x14ac:dyDescent="0.35">
      <c r="A3069" t="s">
        <v>8520</v>
      </c>
      <c r="B3069" s="3" t="s">
        <v>102</v>
      </c>
      <c r="F3069">
        <v>5</v>
      </c>
      <c r="G3069" t="s">
        <v>8607</v>
      </c>
      <c r="H3069">
        <v>34</v>
      </c>
      <c r="I3069" t="s">
        <v>9303</v>
      </c>
      <c r="J3069" t="str">
        <f t="shared" si="47"/>
        <v>13F-HR-5.34.C8</v>
      </c>
      <c r="K3069" s="5" t="s">
        <v>8633</v>
      </c>
      <c r="L3069" t="s">
        <v>4735</v>
      </c>
      <c r="M3069" t="s">
        <v>8634</v>
      </c>
      <c r="N3069" t="s">
        <v>8635</v>
      </c>
      <c r="Q3069" s="28" t="s">
        <v>8632</v>
      </c>
    </row>
    <row r="3070" spans="1:17" x14ac:dyDescent="0.35">
      <c r="A3070" t="s">
        <v>8651</v>
      </c>
      <c r="B3070" s="3" t="s">
        <v>102</v>
      </c>
      <c r="F3070">
        <v>5</v>
      </c>
      <c r="G3070" t="s">
        <v>8607</v>
      </c>
      <c r="H3070">
        <v>35</v>
      </c>
      <c r="I3070" t="s">
        <v>9304</v>
      </c>
      <c r="J3070" t="str">
        <f t="shared" si="47"/>
        <v>135-HR-5.35.C9</v>
      </c>
      <c r="K3070" s="5" t="s">
        <v>8637</v>
      </c>
      <c r="L3070" t="s">
        <v>229</v>
      </c>
      <c r="M3070" t="s">
        <v>8638</v>
      </c>
      <c r="N3070" t="s">
        <v>8639</v>
      </c>
      <c r="Q3070" s="28" t="s">
        <v>8636</v>
      </c>
    </row>
    <row r="3071" spans="1:17" x14ac:dyDescent="0.35">
      <c r="A3071" t="s">
        <v>8520</v>
      </c>
      <c r="B3071" s="3" t="s">
        <v>102</v>
      </c>
      <c r="F3071">
        <v>5</v>
      </c>
      <c r="G3071" t="s">
        <v>8607</v>
      </c>
      <c r="H3071">
        <v>36</v>
      </c>
      <c r="I3071" t="s">
        <v>9305</v>
      </c>
      <c r="J3071" t="str">
        <f t="shared" si="47"/>
        <v>13F-HR-5.36.C10</v>
      </c>
      <c r="K3071" s="5" t="s">
        <v>8640</v>
      </c>
      <c r="L3071" t="s">
        <v>241</v>
      </c>
      <c r="M3071" t="s">
        <v>8641</v>
      </c>
      <c r="N3071" t="s">
        <v>8642</v>
      </c>
      <c r="Q3071" s="28">
        <v>239632</v>
      </c>
    </row>
    <row r="3072" spans="1:17" x14ac:dyDescent="0.35">
      <c r="A3072" t="s">
        <v>8520</v>
      </c>
      <c r="B3072" s="3" t="s">
        <v>102</v>
      </c>
      <c r="F3072">
        <v>5</v>
      </c>
      <c r="G3072" t="s">
        <v>8607</v>
      </c>
      <c r="H3072">
        <v>37</v>
      </c>
      <c r="I3072" t="s">
        <v>9306</v>
      </c>
      <c r="J3072" t="str">
        <f t="shared" si="47"/>
        <v>13F-HR-5.37.C11</v>
      </c>
      <c r="K3072" s="5" t="s">
        <v>8643</v>
      </c>
      <c r="L3072" t="s">
        <v>241</v>
      </c>
      <c r="M3072" t="s">
        <v>8644</v>
      </c>
      <c r="N3072" t="s">
        <v>8645</v>
      </c>
      <c r="Q3072" s="28">
        <v>0</v>
      </c>
    </row>
    <row r="3073" spans="1:17" x14ac:dyDescent="0.35">
      <c r="A3073" t="s">
        <v>8520</v>
      </c>
      <c r="B3073" s="3" t="s">
        <v>102</v>
      </c>
      <c r="F3073">
        <v>5</v>
      </c>
      <c r="G3073" t="s">
        <v>8607</v>
      </c>
      <c r="H3073">
        <v>38</v>
      </c>
      <c r="I3073" t="s">
        <v>9307</v>
      </c>
      <c r="J3073" t="str">
        <f t="shared" si="47"/>
        <v>13F-HR-5.38.C12</v>
      </c>
      <c r="K3073" s="5" t="s">
        <v>8646</v>
      </c>
      <c r="L3073" t="s">
        <v>241</v>
      </c>
      <c r="M3073" t="s">
        <v>8647</v>
      </c>
      <c r="N3073" t="s">
        <v>8648</v>
      </c>
      <c r="Q3073" s="28">
        <v>80630</v>
      </c>
    </row>
    <row r="3074" spans="1:17" x14ac:dyDescent="0.35">
      <c r="A3074" t="s">
        <v>8520</v>
      </c>
      <c r="B3074" s="3" t="s">
        <v>102</v>
      </c>
      <c r="F3074">
        <v>5</v>
      </c>
      <c r="G3074" t="s">
        <v>8607</v>
      </c>
      <c r="H3074">
        <v>27</v>
      </c>
      <c r="I3074" t="s">
        <v>9296</v>
      </c>
      <c r="J3074" t="str">
        <f t="shared" si="47"/>
        <v>13F-HR-5.27.C1</v>
      </c>
      <c r="K3074" s="5" t="s">
        <v>8608</v>
      </c>
      <c r="L3074" t="s">
        <v>229</v>
      </c>
      <c r="M3074" t="s">
        <v>8609</v>
      </c>
      <c r="N3074" t="s">
        <v>8610</v>
      </c>
      <c r="Q3074" s="28" t="s">
        <v>9037</v>
      </c>
    </row>
    <row r="3075" spans="1:17" x14ac:dyDescent="0.35">
      <c r="A3075" t="s">
        <v>8520</v>
      </c>
      <c r="B3075" s="3" t="s">
        <v>102</v>
      </c>
      <c r="F3075">
        <v>5</v>
      </c>
      <c r="G3075" t="s">
        <v>8607</v>
      </c>
      <c r="H3075">
        <v>28</v>
      </c>
      <c r="I3075" t="s">
        <v>9297</v>
      </c>
      <c r="J3075" t="str">
        <f t="shared" ref="J3075:J3138" si="48">_xlfn.CONCAT(A3075,"-",F3075,".",H3075,".",I3075)</f>
        <v>13F-HR-5.28.C2</v>
      </c>
      <c r="K3075" s="5" t="s">
        <v>8612</v>
      </c>
      <c r="L3075" t="s">
        <v>229</v>
      </c>
      <c r="M3075" t="s">
        <v>8613</v>
      </c>
      <c r="N3075" t="s">
        <v>8614</v>
      </c>
      <c r="Q3075" s="28" t="s">
        <v>8615</v>
      </c>
    </row>
    <row r="3076" spans="1:17" x14ac:dyDescent="0.35">
      <c r="A3076" t="s">
        <v>8520</v>
      </c>
      <c r="B3076" s="3" t="s">
        <v>102</v>
      </c>
      <c r="F3076">
        <v>5</v>
      </c>
      <c r="G3076" t="s">
        <v>8607</v>
      </c>
      <c r="H3076">
        <v>29</v>
      </c>
      <c r="I3076" t="s">
        <v>9298</v>
      </c>
      <c r="J3076" t="str">
        <f t="shared" si="48"/>
        <v>13F-HR-5.29.C3</v>
      </c>
      <c r="K3076" s="5" t="s">
        <v>8616</v>
      </c>
      <c r="L3076" t="s">
        <v>229</v>
      </c>
      <c r="M3076" t="s">
        <v>7927</v>
      </c>
      <c r="N3076" t="s">
        <v>8617</v>
      </c>
      <c r="Q3076" s="28">
        <v>893641100</v>
      </c>
    </row>
    <row r="3077" spans="1:17" x14ac:dyDescent="0.35">
      <c r="A3077" t="s">
        <v>8520</v>
      </c>
      <c r="B3077" s="3" t="s">
        <v>102</v>
      </c>
      <c r="F3077">
        <v>5</v>
      </c>
      <c r="G3077" t="s">
        <v>8607</v>
      </c>
      <c r="H3077">
        <v>30</v>
      </c>
      <c r="I3077" t="s">
        <v>9299</v>
      </c>
      <c r="J3077" t="str">
        <f t="shared" si="48"/>
        <v>13F-HR-5.30.C4</v>
      </c>
      <c r="K3077" s="5" t="s">
        <v>8618</v>
      </c>
      <c r="L3077" t="s">
        <v>8619</v>
      </c>
      <c r="M3077" t="s">
        <v>8620</v>
      </c>
      <c r="N3077" t="s">
        <v>8621</v>
      </c>
      <c r="Q3077" s="28">
        <v>53332746</v>
      </c>
    </row>
    <row r="3078" spans="1:17" x14ac:dyDescent="0.35">
      <c r="A3078" t="s">
        <v>8520</v>
      </c>
      <c r="B3078" s="3" t="s">
        <v>102</v>
      </c>
      <c r="F3078">
        <v>5</v>
      </c>
      <c r="G3078" t="s">
        <v>8607</v>
      </c>
      <c r="H3078">
        <v>31</v>
      </c>
      <c r="I3078" t="s">
        <v>9300</v>
      </c>
      <c r="J3078" t="str">
        <f t="shared" si="48"/>
        <v>13F-HR-5.31.C5</v>
      </c>
      <c r="K3078" s="5" t="s">
        <v>8622</v>
      </c>
      <c r="L3078" t="s">
        <v>241</v>
      </c>
      <c r="M3078" t="s">
        <v>8623</v>
      </c>
      <c r="N3078" t="s">
        <v>8624</v>
      </c>
      <c r="Q3078" s="28">
        <v>38555</v>
      </c>
    </row>
    <row r="3079" spans="1:17" x14ac:dyDescent="0.35">
      <c r="A3079" t="s">
        <v>8520</v>
      </c>
      <c r="B3079" s="3" t="s">
        <v>102</v>
      </c>
      <c r="F3079">
        <v>5</v>
      </c>
      <c r="G3079" t="s">
        <v>8607</v>
      </c>
      <c r="H3079">
        <v>32</v>
      </c>
      <c r="I3079" t="s">
        <v>9301</v>
      </c>
      <c r="J3079" t="str">
        <f t="shared" si="48"/>
        <v>13F-HR-5.32.C6</v>
      </c>
      <c r="K3079" s="5" t="s">
        <v>8625</v>
      </c>
      <c r="L3079" t="s">
        <v>229</v>
      </c>
      <c r="M3079" t="s">
        <v>8626</v>
      </c>
      <c r="N3079" t="s">
        <v>8627</v>
      </c>
      <c r="Q3079" s="28" t="s">
        <v>8628</v>
      </c>
    </row>
    <row r="3080" spans="1:17" x14ac:dyDescent="0.35">
      <c r="A3080" t="s">
        <v>8520</v>
      </c>
      <c r="B3080" s="3" t="s">
        <v>102</v>
      </c>
      <c r="F3080">
        <v>5</v>
      </c>
      <c r="G3080" t="s">
        <v>8607</v>
      </c>
      <c r="H3080">
        <v>33</v>
      </c>
      <c r="I3080" t="s">
        <v>9302</v>
      </c>
      <c r="J3080" t="str">
        <f t="shared" si="48"/>
        <v>13F-HR-5.33.C7</v>
      </c>
      <c r="K3080" s="5" t="s">
        <v>8629</v>
      </c>
      <c r="L3080" t="s">
        <v>229</v>
      </c>
      <c r="M3080" t="s">
        <v>8630</v>
      </c>
      <c r="N3080" t="s">
        <v>8631</v>
      </c>
      <c r="Q3080" s="28" t="s">
        <v>8685</v>
      </c>
    </row>
    <row r="3081" spans="1:17" x14ac:dyDescent="0.35">
      <c r="A3081" t="s">
        <v>8520</v>
      </c>
      <c r="B3081" s="3" t="s">
        <v>102</v>
      </c>
      <c r="F3081">
        <v>5</v>
      </c>
      <c r="G3081" t="s">
        <v>8607</v>
      </c>
      <c r="H3081">
        <v>34</v>
      </c>
      <c r="I3081" t="s">
        <v>9303</v>
      </c>
      <c r="J3081" t="str">
        <f t="shared" si="48"/>
        <v>13F-HR-5.34.C8</v>
      </c>
      <c r="K3081" s="5" t="s">
        <v>8633</v>
      </c>
      <c r="L3081" t="s">
        <v>4735</v>
      </c>
      <c r="M3081" t="s">
        <v>8634</v>
      </c>
      <c r="N3081" t="s">
        <v>8635</v>
      </c>
      <c r="Q3081" s="28" t="s">
        <v>8632</v>
      </c>
    </row>
    <row r="3082" spans="1:17" x14ac:dyDescent="0.35">
      <c r="A3082" t="s">
        <v>8651</v>
      </c>
      <c r="B3082" s="3" t="s">
        <v>102</v>
      </c>
      <c r="F3082">
        <v>5</v>
      </c>
      <c r="G3082" t="s">
        <v>8607</v>
      </c>
      <c r="H3082">
        <v>35</v>
      </c>
      <c r="I3082" t="s">
        <v>9304</v>
      </c>
      <c r="J3082" t="str">
        <f t="shared" si="48"/>
        <v>135-HR-5.35.C9</v>
      </c>
      <c r="K3082" s="5" t="s">
        <v>8637</v>
      </c>
      <c r="L3082" t="s">
        <v>229</v>
      </c>
      <c r="M3082" t="s">
        <v>8638</v>
      </c>
      <c r="N3082" t="s">
        <v>8639</v>
      </c>
      <c r="Q3082" s="28" t="s">
        <v>8636</v>
      </c>
    </row>
    <row r="3083" spans="1:17" x14ac:dyDescent="0.35">
      <c r="A3083" t="s">
        <v>8520</v>
      </c>
      <c r="B3083" s="3" t="s">
        <v>102</v>
      </c>
      <c r="F3083">
        <v>5</v>
      </c>
      <c r="G3083" t="s">
        <v>8607</v>
      </c>
      <c r="H3083">
        <v>36</v>
      </c>
      <c r="I3083" t="s">
        <v>9305</v>
      </c>
      <c r="J3083" t="str">
        <f t="shared" si="48"/>
        <v>13F-HR-5.36.C10</v>
      </c>
      <c r="K3083" s="5" t="s">
        <v>8640</v>
      </c>
      <c r="L3083" t="s">
        <v>241</v>
      </c>
      <c r="M3083" t="s">
        <v>8641</v>
      </c>
      <c r="N3083" t="s">
        <v>8642</v>
      </c>
      <c r="Q3083" s="28">
        <v>38334</v>
      </c>
    </row>
    <row r="3084" spans="1:17" x14ac:dyDescent="0.35">
      <c r="A3084" t="s">
        <v>8520</v>
      </c>
      <c r="B3084" s="3" t="s">
        <v>102</v>
      </c>
      <c r="F3084">
        <v>5</v>
      </c>
      <c r="G3084" t="s">
        <v>8607</v>
      </c>
      <c r="H3084">
        <v>37</v>
      </c>
      <c r="I3084" t="s">
        <v>9306</v>
      </c>
      <c r="J3084" t="str">
        <f t="shared" si="48"/>
        <v>13F-HR-5.37.C11</v>
      </c>
      <c r="K3084" s="5" t="s">
        <v>8643</v>
      </c>
      <c r="L3084" t="s">
        <v>241</v>
      </c>
      <c r="M3084" t="s">
        <v>8644</v>
      </c>
      <c r="N3084" t="s">
        <v>8645</v>
      </c>
      <c r="Q3084" s="28">
        <v>0</v>
      </c>
    </row>
    <row r="3085" spans="1:17" x14ac:dyDescent="0.35">
      <c r="A3085" t="s">
        <v>8520</v>
      </c>
      <c r="B3085" s="3" t="s">
        <v>102</v>
      </c>
      <c r="F3085">
        <v>5</v>
      </c>
      <c r="G3085" t="s">
        <v>8607</v>
      </c>
      <c r="H3085">
        <v>38</v>
      </c>
      <c r="I3085" t="s">
        <v>9307</v>
      </c>
      <c r="J3085" t="str">
        <f t="shared" si="48"/>
        <v>13F-HR-5.38.C12</v>
      </c>
      <c r="K3085" s="5" t="s">
        <v>8646</v>
      </c>
      <c r="L3085" t="s">
        <v>241</v>
      </c>
      <c r="M3085" t="s">
        <v>8647</v>
      </c>
      <c r="N3085" t="s">
        <v>8648</v>
      </c>
      <c r="Q3085" s="28">
        <v>221</v>
      </c>
    </row>
    <row r="3086" spans="1:17" x14ac:dyDescent="0.35">
      <c r="A3086" t="s">
        <v>8520</v>
      </c>
      <c r="B3086" s="3" t="s">
        <v>102</v>
      </c>
      <c r="F3086">
        <v>5</v>
      </c>
      <c r="G3086" t="s">
        <v>8607</v>
      </c>
      <c r="H3086">
        <v>27</v>
      </c>
      <c r="I3086" t="s">
        <v>9296</v>
      </c>
      <c r="J3086" t="str">
        <f t="shared" si="48"/>
        <v>13F-HR-5.27.C1</v>
      </c>
      <c r="K3086" s="5" t="s">
        <v>8608</v>
      </c>
      <c r="L3086" t="s">
        <v>229</v>
      </c>
      <c r="M3086" t="s">
        <v>8609</v>
      </c>
      <c r="N3086" t="s">
        <v>8610</v>
      </c>
      <c r="Q3086" s="28" t="s">
        <v>9038</v>
      </c>
    </row>
    <row r="3087" spans="1:17" x14ac:dyDescent="0.35">
      <c r="A3087" t="s">
        <v>8520</v>
      </c>
      <c r="B3087" s="3" t="s">
        <v>102</v>
      </c>
      <c r="F3087">
        <v>5</v>
      </c>
      <c r="G3087" t="s">
        <v>8607</v>
      </c>
      <c r="H3087">
        <v>28</v>
      </c>
      <c r="I3087" t="s">
        <v>9297</v>
      </c>
      <c r="J3087" t="str">
        <f t="shared" si="48"/>
        <v>13F-HR-5.28.C2</v>
      </c>
      <c r="K3087" s="5" t="s">
        <v>8612</v>
      </c>
      <c r="L3087" t="s">
        <v>229</v>
      </c>
      <c r="M3087" t="s">
        <v>8613</v>
      </c>
      <c r="N3087" t="s">
        <v>8614</v>
      </c>
      <c r="Q3087" s="28" t="s">
        <v>8615</v>
      </c>
    </row>
    <row r="3088" spans="1:17" x14ac:dyDescent="0.35">
      <c r="A3088" t="s">
        <v>8520</v>
      </c>
      <c r="B3088" s="3" t="s">
        <v>102</v>
      </c>
      <c r="F3088">
        <v>5</v>
      </c>
      <c r="G3088" t="s">
        <v>8607</v>
      </c>
      <c r="H3088">
        <v>29</v>
      </c>
      <c r="I3088" t="s">
        <v>9298</v>
      </c>
      <c r="J3088" t="str">
        <f t="shared" si="48"/>
        <v>13F-HR-5.29.C3</v>
      </c>
      <c r="K3088" s="5" t="s">
        <v>8616</v>
      </c>
      <c r="L3088" t="s">
        <v>229</v>
      </c>
      <c r="M3088" t="s">
        <v>7927</v>
      </c>
      <c r="N3088" t="s">
        <v>8617</v>
      </c>
      <c r="Q3088" s="28" t="s">
        <v>9039</v>
      </c>
    </row>
    <row r="3089" spans="1:17" x14ac:dyDescent="0.35">
      <c r="A3089" t="s">
        <v>8520</v>
      </c>
      <c r="B3089" s="3" t="s">
        <v>102</v>
      </c>
      <c r="F3089">
        <v>5</v>
      </c>
      <c r="G3089" t="s">
        <v>8607</v>
      </c>
      <c r="H3089">
        <v>30</v>
      </c>
      <c r="I3089" t="s">
        <v>9299</v>
      </c>
      <c r="J3089" t="str">
        <f t="shared" si="48"/>
        <v>13F-HR-5.30.C4</v>
      </c>
      <c r="K3089" s="5" t="s">
        <v>8618</v>
      </c>
      <c r="L3089" t="s">
        <v>8619</v>
      </c>
      <c r="M3089" t="s">
        <v>8620</v>
      </c>
      <c r="N3089" t="s">
        <v>8621</v>
      </c>
      <c r="Q3089" s="28">
        <v>4113565</v>
      </c>
    </row>
    <row r="3090" spans="1:17" x14ac:dyDescent="0.35">
      <c r="A3090" t="s">
        <v>8520</v>
      </c>
      <c r="B3090" s="3" t="s">
        <v>102</v>
      </c>
      <c r="F3090">
        <v>5</v>
      </c>
      <c r="G3090" t="s">
        <v>8607</v>
      </c>
      <c r="H3090">
        <v>31</v>
      </c>
      <c r="I3090" t="s">
        <v>9300</v>
      </c>
      <c r="J3090" t="str">
        <f t="shared" si="48"/>
        <v>13F-HR-5.31.C5</v>
      </c>
      <c r="K3090" s="5" t="s">
        <v>8622</v>
      </c>
      <c r="L3090" t="s">
        <v>241</v>
      </c>
      <c r="M3090" t="s">
        <v>8623</v>
      </c>
      <c r="N3090" t="s">
        <v>8624</v>
      </c>
      <c r="Q3090" s="28">
        <v>49567</v>
      </c>
    </row>
    <row r="3091" spans="1:17" x14ac:dyDescent="0.35">
      <c r="A3091" t="s">
        <v>8520</v>
      </c>
      <c r="B3091" s="3" t="s">
        <v>102</v>
      </c>
      <c r="F3091">
        <v>5</v>
      </c>
      <c r="G3091" t="s">
        <v>8607</v>
      </c>
      <c r="H3091">
        <v>32</v>
      </c>
      <c r="I3091" t="s">
        <v>9301</v>
      </c>
      <c r="J3091" t="str">
        <f t="shared" si="48"/>
        <v>13F-HR-5.32.C6</v>
      </c>
      <c r="K3091" s="5" t="s">
        <v>8625</v>
      </c>
      <c r="L3091" t="s">
        <v>229</v>
      </c>
      <c r="M3091" t="s">
        <v>8626</v>
      </c>
      <c r="N3091" t="s">
        <v>8627</v>
      </c>
      <c r="Q3091" s="28" t="s">
        <v>8628</v>
      </c>
    </row>
    <row r="3092" spans="1:17" x14ac:dyDescent="0.35">
      <c r="A3092" t="s">
        <v>8520</v>
      </c>
      <c r="B3092" s="3" t="s">
        <v>102</v>
      </c>
      <c r="F3092">
        <v>5</v>
      </c>
      <c r="G3092" t="s">
        <v>8607</v>
      </c>
      <c r="H3092">
        <v>33</v>
      </c>
      <c r="I3092" t="s">
        <v>9302</v>
      </c>
      <c r="J3092" t="str">
        <f t="shared" si="48"/>
        <v>13F-HR-5.33.C7</v>
      </c>
      <c r="K3092" s="5" t="s">
        <v>8629</v>
      </c>
      <c r="L3092" t="s">
        <v>229</v>
      </c>
      <c r="M3092" t="s">
        <v>8630</v>
      </c>
      <c r="N3092" t="s">
        <v>8631</v>
      </c>
      <c r="Q3092" s="28" t="s">
        <v>8685</v>
      </c>
    </row>
    <row r="3093" spans="1:17" x14ac:dyDescent="0.35">
      <c r="A3093" t="s">
        <v>8520</v>
      </c>
      <c r="B3093" s="3" t="s">
        <v>102</v>
      </c>
      <c r="F3093">
        <v>5</v>
      </c>
      <c r="G3093" t="s">
        <v>8607</v>
      </c>
      <c r="H3093">
        <v>34</v>
      </c>
      <c r="I3093" t="s">
        <v>9303</v>
      </c>
      <c r="J3093" t="str">
        <f t="shared" si="48"/>
        <v>13F-HR-5.34.C8</v>
      </c>
      <c r="K3093" s="5" t="s">
        <v>8633</v>
      </c>
      <c r="L3093" t="s">
        <v>4735</v>
      </c>
      <c r="M3093" t="s">
        <v>8634</v>
      </c>
      <c r="N3093" t="s">
        <v>8635</v>
      </c>
      <c r="Q3093" s="28" t="s">
        <v>8632</v>
      </c>
    </row>
    <row r="3094" spans="1:17" x14ac:dyDescent="0.35">
      <c r="A3094" t="s">
        <v>8651</v>
      </c>
      <c r="B3094" s="3" t="s">
        <v>102</v>
      </c>
      <c r="F3094">
        <v>5</v>
      </c>
      <c r="G3094" t="s">
        <v>8607</v>
      </c>
      <c r="H3094">
        <v>35</v>
      </c>
      <c r="I3094" t="s">
        <v>9304</v>
      </c>
      <c r="J3094" t="str">
        <f t="shared" si="48"/>
        <v>135-HR-5.35.C9</v>
      </c>
      <c r="K3094" s="5" t="s">
        <v>8637</v>
      </c>
      <c r="L3094" t="s">
        <v>229</v>
      </c>
      <c r="M3094" t="s">
        <v>8638</v>
      </c>
      <c r="N3094" t="s">
        <v>8639</v>
      </c>
      <c r="Q3094" s="28" t="s">
        <v>8636</v>
      </c>
    </row>
    <row r="3095" spans="1:17" x14ac:dyDescent="0.35">
      <c r="A3095" t="s">
        <v>8520</v>
      </c>
      <c r="B3095" s="3" t="s">
        <v>102</v>
      </c>
      <c r="F3095">
        <v>5</v>
      </c>
      <c r="G3095" t="s">
        <v>8607</v>
      </c>
      <c r="H3095">
        <v>36</v>
      </c>
      <c r="I3095" t="s">
        <v>9305</v>
      </c>
      <c r="J3095" t="str">
        <f t="shared" si="48"/>
        <v>13F-HR-5.36.C10</v>
      </c>
      <c r="K3095" s="5" t="s">
        <v>8640</v>
      </c>
      <c r="L3095" t="s">
        <v>241</v>
      </c>
      <c r="M3095" t="s">
        <v>8641</v>
      </c>
      <c r="N3095" t="s">
        <v>8642</v>
      </c>
      <c r="Q3095" s="28">
        <v>4922</v>
      </c>
    </row>
    <row r="3096" spans="1:17" x14ac:dyDescent="0.35">
      <c r="A3096" t="s">
        <v>8520</v>
      </c>
      <c r="B3096" s="3" t="s">
        <v>102</v>
      </c>
      <c r="F3096">
        <v>5</v>
      </c>
      <c r="G3096" t="s">
        <v>8607</v>
      </c>
      <c r="H3096">
        <v>37</v>
      </c>
      <c r="I3096" t="s">
        <v>9306</v>
      </c>
      <c r="J3096" t="str">
        <f t="shared" si="48"/>
        <v>13F-HR-5.37.C11</v>
      </c>
      <c r="K3096" s="5" t="s">
        <v>8643</v>
      </c>
      <c r="L3096" t="s">
        <v>241</v>
      </c>
      <c r="M3096" t="s">
        <v>8644</v>
      </c>
      <c r="N3096" t="s">
        <v>8645</v>
      </c>
      <c r="Q3096" s="28">
        <v>0</v>
      </c>
    </row>
    <row r="3097" spans="1:17" x14ac:dyDescent="0.35">
      <c r="A3097" t="s">
        <v>8520</v>
      </c>
      <c r="B3097" s="3" t="s">
        <v>102</v>
      </c>
      <c r="F3097">
        <v>5</v>
      </c>
      <c r="G3097" t="s">
        <v>8607</v>
      </c>
      <c r="H3097">
        <v>38</v>
      </c>
      <c r="I3097" t="s">
        <v>9307</v>
      </c>
      <c r="J3097" t="str">
        <f t="shared" si="48"/>
        <v>13F-HR-5.38.C12</v>
      </c>
      <c r="K3097" s="5" t="s">
        <v>8646</v>
      </c>
      <c r="L3097" t="s">
        <v>241</v>
      </c>
      <c r="M3097" t="s">
        <v>8647</v>
      </c>
      <c r="N3097" t="s">
        <v>8648</v>
      </c>
      <c r="Q3097" s="28">
        <v>44645</v>
      </c>
    </row>
    <row r="3098" spans="1:17" x14ac:dyDescent="0.35">
      <c r="A3098" t="s">
        <v>8520</v>
      </c>
      <c r="B3098" s="3" t="s">
        <v>102</v>
      </c>
      <c r="F3098">
        <v>5</v>
      </c>
      <c r="G3098" t="s">
        <v>8607</v>
      </c>
      <c r="H3098">
        <v>27</v>
      </c>
      <c r="I3098" t="s">
        <v>9296</v>
      </c>
      <c r="J3098" t="str">
        <f t="shared" si="48"/>
        <v>13F-HR-5.27.C1</v>
      </c>
      <c r="K3098" s="5" t="s">
        <v>8608</v>
      </c>
      <c r="L3098" t="s">
        <v>229</v>
      </c>
      <c r="M3098" t="s">
        <v>8609</v>
      </c>
      <c r="N3098" t="s">
        <v>8610</v>
      </c>
      <c r="Q3098" s="28" t="s">
        <v>9040</v>
      </c>
    </row>
    <row r="3099" spans="1:17" x14ac:dyDescent="0.35">
      <c r="A3099" t="s">
        <v>8520</v>
      </c>
      <c r="B3099" s="3" t="s">
        <v>102</v>
      </c>
      <c r="F3099">
        <v>5</v>
      </c>
      <c r="G3099" t="s">
        <v>8607</v>
      </c>
      <c r="H3099">
        <v>28</v>
      </c>
      <c r="I3099" t="s">
        <v>9297</v>
      </c>
      <c r="J3099" t="str">
        <f t="shared" si="48"/>
        <v>13F-HR-5.28.C2</v>
      </c>
      <c r="K3099" s="5" t="s">
        <v>8612</v>
      </c>
      <c r="L3099" t="s">
        <v>229</v>
      </c>
      <c r="M3099" t="s">
        <v>8613</v>
      </c>
      <c r="N3099" t="s">
        <v>8614</v>
      </c>
      <c r="Q3099" s="28" t="s">
        <v>8615</v>
      </c>
    </row>
    <row r="3100" spans="1:17" x14ac:dyDescent="0.35">
      <c r="A3100" t="s">
        <v>8520</v>
      </c>
      <c r="B3100" s="3" t="s">
        <v>102</v>
      </c>
      <c r="F3100">
        <v>5</v>
      </c>
      <c r="G3100" t="s">
        <v>8607</v>
      </c>
      <c r="H3100">
        <v>29</v>
      </c>
      <c r="I3100" t="s">
        <v>9298</v>
      </c>
      <c r="J3100" t="str">
        <f t="shared" si="48"/>
        <v>13F-HR-5.29.C3</v>
      </c>
      <c r="K3100" s="5" t="s">
        <v>8616</v>
      </c>
      <c r="L3100" t="s">
        <v>229</v>
      </c>
      <c r="M3100" t="s">
        <v>7927</v>
      </c>
      <c r="N3100" t="s">
        <v>8617</v>
      </c>
      <c r="Q3100" s="28">
        <v>896522109</v>
      </c>
    </row>
    <row r="3101" spans="1:17" x14ac:dyDescent="0.35">
      <c r="A3101" t="s">
        <v>8520</v>
      </c>
      <c r="B3101" s="3" t="s">
        <v>102</v>
      </c>
      <c r="F3101">
        <v>5</v>
      </c>
      <c r="G3101" t="s">
        <v>8607</v>
      </c>
      <c r="H3101">
        <v>30</v>
      </c>
      <c r="I3101" t="s">
        <v>9299</v>
      </c>
      <c r="J3101" t="str">
        <f t="shared" si="48"/>
        <v>13F-HR-5.30.C4</v>
      </c>
      <c r="K3101" s="5" t="s">
        <v>8618</v>
      </c>
      <c r="L3101" t="s">
        <v>8619</v>
      </c>
      <c r="M3101" t="s">
        <v>8620</v>
      </c>
      <c r="N3101" t="s">
        <v>8621</v>
      </c>
      <c r="Q3101" s="28">
        <v>1311468</v>
      </c>
    </row>
    <row r="3102" spans="1:17" x14ac:dyDescent="0.35">
      <c r="A3102" t="s">
        <v>8520</v>
      </c>
      <c r="B3102" s="3" t="s">
        <v>102</v>
      </c>
      <c r="F3102">
        <v>5</v>
      </c>
      <c r="G3102" t="s">
        <v>8607</v>
      </c>
      <c r="H3102">
        <v>31</v>
      </c>
      <c r="I3102" t="s">
        <v>9300</v>
      </c>
      <c r="J3102" t="str">
        <f t="shared" si="48"/>
        <v>13F-HR-5.31.C5</v>
      </c>
      <c r="K3102" s="5" t="s">
        <v>8622</v>
      </c>
      <c r="L3102" t="s">
        <v>241</v>
      </c>
      <c r="M3102" t="s">
        <v>8623</v>
      </c>
      <c r="N3102" t="s">
        <v>8624</v>
      </c>
      <c r="Q3102" s="28">
        <v>46738</v>
      </c>
    </row>
    <row r="3103" spans="1:17" x14ac:dyDescent="0.35">
      <c r="A3103" t="s">
        <v>8520</v>
      </c>
      <c r="B3103" s="3" t="s">
        <v>102</v>
      </c>
      <c r="F3103">
        <v>5</v>
      </c>
      <c r="G3103" t="s">
        <v>8607</v>
      </c>
      <c r="H3103">
        <v>32</v>
      </c>
      <c r="I3103" t="s">
        <v>9301</v>
      </c>
      <c r="J3103" t="str">
        <f t="shared" si="48"/>
        <v>13F-HR-5.32.C6</v>
      </c>
      <c r="K3103" s="5" t="s">
        <v>8625</v>
      </c>
      <c r="L3103" t="s">
        <v>229</v>
      </c>
      <c r="M3103" t="s">
        <v>8626</v>
      </c>
      <c r="N3103" t="s">
        <v>8627</v>
      </c>
      <c r="Q3103" s="28" t="s">
        <v>8628</v>
      </c>
    </row>
    <row r="3104" spans="1:17" x14ac:dyDescent="0.35">
      <c r="A3104" t="s">
        <v>8520</v>
      </c>
      <c r="B3104" s="3" t="s">
        <v>102</v>
      </c>
      <c r="F3104">
        <v>5</v>
      </c>
      <c r="G3104" t="s">
        <v>8607</v>
      </c>
      <c r="H3104">
        <v>33</v>
      </c>
      <c r="I3104" t="s">
        <v>9302</v>
      </c>
      <c r="J3104" t="str">
        <f t="shared" si="48"/>
        <v>13F-HR-5.33.C7</v>
      </c>
      <c r="K3104" s="5" t="s">
        <v>8629</v>
      </c>
      <c r="L3104" t="s">
        <v>229</v>
      </c>
      <c r="M3104" t="s">
        <v>8630</v>
      </c>
      <c r="N3104" t="s">
        <v>8631</v>
      </c>
      <c r="Q3104" s="28" t="s">
        <v>8685</v>
      </c>
    </row>
    <row r="3105" spans="1:17" x14ac:dyDescent="0.35">
      <c r="A3105" t="s">
        <v>8520</v>
      </c>
      <c r="B3105" s="3" t="s">
        <v>102</v>
      </c>
      <c r="F3105">
        <v>5</v>
      </c>
      <c r="G3105" t="s">
        <v>8607</v>
      </c>
      <c r="H3105">
        <v>34</v>
      </c>
      <c r="I3105" t="s">
        <v>9303</v>
      </c>
      <c r="J3105" t="str">
        <f t="shared" si="48"/>
        <v>13F-HR-5.34.C8</v>
      </c>
      <c r="K3105" s="5" t="s">
        <v>8633</v>
      </c>
      <c r="L3105" t="s">
        <v>4735</v>
      </c>
      <c r="M3105" t="s">
        <v>8634</v>
      </c>
      <c r="N3105" t="s">
        <v>8635</v>
      </c>
      <c r="Q3105" s="28" t="s">
        <v>8632</v>
      </c>
    </row>
    <row r="3106" spans="1:17" x14ac:dyDescent="0.35">
      <c r="A3106" t="s">
        <v>8651</v>
      </c>
      <c r="B3106" s="3" t="s">
        <v>102</v>
      </c>
      <c r="F3106">
        <v>5</v>
      </c>
      <c r="G3106" t="s">
        <v>8607</v>
      </c>
      <c r="H3106">
        <v>35</v>
      </c>
      <c r="I3106" t="s">
        <v>9304</v>
      </c>
      <c r="J3106" t="str">
        <f t="shared" si="48"/>
        <v>135-HR-5.35.C9</v>
      </c>
      <c r="K3106" s="5" t="s">
        <v>8637</v>
      </c>
      <c r="L3106" t="s">
        <v>229</v>
      </c>
      <c r="M3106" t="s">
        <v>8638</v>
      </c>
      <c r="N3106" t="s">
        <v>8639</v>
      </c>
      <c r="Q3106" s="28" t="s">
        <v>8636</v>
      </c>
    </row>
    <row r="3107" spans="1:17" x14ac:dyDescent="0.35">
      <c r="A3107" t="s">
        <v>8520</v>
      </c>
      <c r="B3107" s="3" t="s">
        <v>102</v>
      </c>
      <c r="F3107">
        <v>5</v>
      </c>
      <c r="G3107" t="s">
        <v>8607</v>
      </c>
      <c r="H3107">
        <v>36</v>
      </c>
      <c r="I3107" t="s">
        <v>9305</v>
      </c>
      <c r="J3107" t="str">
        <f t="shared" si="48"/>
        <v>13F-HR-5.36.C10</v>
      </c>
      <c r="K3107" s="5" t="s">
        <v>8640</v>
      </c>
      <c r="L3107" t="s">
        <v>241</v>
      </c>
      <c r="M3107" t="s">
        <v>8641</v>
      </c>
      <c r="N3107" t="s">
        <v>8642</v>
      </c>
      <c r="Q3107" s="28">
        <v>46738</v>
      </c>
    </row>
    <row r="3108" spans="1:17" x14ac:dyDescent="0.35">
      <c r="A3108" t="s">
        <v>8520</v>
      </c>
      <c r="B3108" s="3" t="s">
        <v>102</v>
      </c>
      <c r="F3108">
        <v>5</v>
      </c>
      <c r="G3108" t="s">
        <v>8607</v>
      </c>
      <c r="H3108">
        <v>37</v>
      </c>
      <c r="I3108" t="s">
        <v>9306</v>
      </c>
      <c r="J3108" t="str">
        <f t="shared" si="48"/>
        <v>13F-HR-5.37.C11</v>
      </c>
      <c r="K3108" s="5" t="s">
        <v>8643</v>
      </c>
      <c r="L3108" t="s">
        <v>241</v>
      </c>
      <c r="M3108" t="s">
        <v>8644</v>
      </c>
      <c r="N3108" t="s">
        <v>8645</v>
      </c>
      <c r="Q3108" s="28">
        <v>0</v>
      </c>
    </row>
    <row r="3109" spans="1:17" x14ac:dyDescent="0.35">
      <c r="A3109" t="s">
        <v>8520</v>
      </c>
      <c r="B3109" s="3" t="s">
        <v>102</v>
      </c>
      <c r="F3109">
        <v>5</v>
      </c>
      <c r="G3109" t="s">
        <v>8607</v>
      </c>
      <c r="H3109">
        <v>38</v>
      </c>
      <c r="I3109" t="s">
        <v>9307</v>
      </c>
      <c r="J3109" t="str">
        <f t="shared" si="48"/>
        <v>13F-HR-5.38.C12</v>
      </c>
      <c r="K3109" s="5" t="s">
        <v>8646</v>
      </c>
      <c r="L3109" t="s">
        <v>241</v>
      </c>
      <c r="M3109" t="s">
        <v>8647</v>
      </c>
      <c r="N3109" t="s">
        <v>8648</v>
      </c>
      <c r="Q3109" s="28">
        <v>0</v>
      </c>
    </row>
    <row r="3110" spans="1:17" x14ac:dyDescent="0.35">
      <c r="A3110" t="s">
        <v>8520</v>
      </c>
      <c r="B3110" s="3" t="s">
        <v>102</v>
      </c>
      <c r="F3110">
        <v>5</v>
      </c>
      <c r="G3110" t="s">
        <v>8607</v>
      </c>
      <c r="H3110">
        <v>27</v>
      </c>
      <c r="I3110" t="s">
        <v>9296</v>
      </c>
      <c r="J3110" t="str">
        <f t="shared" si="48"/>
        <v>13F-HR-5.27.C1</v>
      </c>
      <c r="K3110" s="5" t="s">
        <v>8608</v>
      </c>
      <c r="L3110" t="s">
        <v>229</v>
      </c>
      <c r="M3110" t="s">
        <v>8609</v>
      </c>
      <c r="N3110" t="s">
        <v>8610</v>
      </c>
      <c r="Q3110" s="28" t="s">
        <v>9041</v>
      </c>
    </row>
    <row r="3111" spans="1:17" x14ac:dyDescent="0.35">
      <c r="A3111" t="s">
        <v>8520</v>
      </c>
      <c r="B3111" s="3" t="s">
        <v>102</v>
      </c>
      <c r="F3111">
        <v>5</v>
      </c>
      <c r="G3111" t="s">
        <v>8607</v>
      </c>
      <c r="H3111">
        <v>28</v>
      </c>
      <c r="I3111" t="s">
        <v>9297</v>
      </c>
      <c r="J3111" t="str">
        <f t="shared" si="48"/>
        <v>13F-HR-5.28.C2</v>
      </c>
      <c r="K3111" s="5" t="s">
        <v>8612</v>
      </c>
      <c r="L3111" t="s">
        <v>229</v>
      </c>
      <c r="M3111" t="s">
        <v>8613</v>
      </c>
      <c r="N3111" t="s">
        <v>8614</v>
      </c>
      <c r="Q3111" s="28" t="s">
        <v>9042</v>
      </c>
    </row>
    <row r="3112" spans="1:17" x14ac:dyDescent="0.35">
      <c r="A3112" t="s">
        <v>8520</v>
      </c>
      <c r="B3112" s="3" t="s">
        <v>102</v>
      </c>
      <c r="F3112">
        <v>5</v>
      </c>
      <c r="G3112" t="s">
        <v>8607</v>
      </c>
      <c r="H3112">
        <v>29</v>
      </c>
      <c r="I3112" t="s">
        <v>9298</v>
      </c>
      <c r="J3112" t="str">
        <f t="shared" si="48"/>
        <v>13F-HR-5.29.C3</v>
      </c>
      <c r="K3112" s="5" t="s">
        <v>8616</v>
      </c>
      <c r="L3112" t="s">
        <v>229</v>
      </c>
      <c r="M3112" t="s">
        <v>7927</v>
      </c>
      <c r="N3112" t="s">
        <v>8617</v>
      </c>
      <c r="Q3112" s="28" t="s">
        <v>9043</v>
      </c>
    </row>
    <row r="3113" spans="1:17" x14ac:dyDescent="0.35">
      <c r="A3113" t="s">
        <v>8520</v>
      </c>
      <c r="B3113" s="3" t="s">
        <v>102</v>
      </c>
      <c r="F3113">
        <v>5</v>
      </c>
      <c r="G3113" t="s">
        <v>8607</v>
      </c>
      <c r="H3113">
        <v>30</v>
      </c>
      <c r="I3113" t="s">
        <v>9299</v>
      </c>
      <c r="J3113" t="str">
        <f t="shared" si="48"/>
        <v>13F-HR-5.30.C4</v>
      </c>
      <c r="K3113" s="5" t="s">
        <v>8618</v>
      </c>
      <c r="L3113" t="s">
        <v>8619</v>
      </c>
      <c r="M3113" t="s">
        <v>8620</v>
      </c>
      <c r="N3113" t="s">
        <v>8621</v>
      </c>
      <c r="Q3113" s="28">
        <v>48045054</v>
      </c>
    </row>
    <row r="3114" spans="1:17" x14ac:dyDescent="0.35">
      <c r="A3114" t="s">
        <v>8520</v>
      </c>
      <c r="B3114" s="3" t="s">
        <v>102</v>
      </c>
      <c r="F3114">
        <v>5</v>
      </c>
      <c r="G3114" t="s">
        <v>8607</v>
      </c>
      <c r="H3114">
        <v>31</v>
      </c>
      <c r="I3114" t="s">
        <v>9300</v>
      </c>
      <c r="J3114" t="str">
        <f t="shared" si="48"/>
        <v>13F-HR-5.31.C5</v>
      </c>
      <c r="K3114" s="5" t="s">
        <v>8622</v>
      </c>
      <c r="L3114" t="s">
        <v>241</v>
      </c>
      <c r="M3114" t="s">
        <v>8623</v>
      </c>
      <c r="N3114" t="s">
        <v>8624</v>
      </c>
      <c r="Q3114" s="28">
        <v>755663</v>
      </c>
    </row>
    <row r="3115" spans="1:17" x14ac:dyDescent="0.35">
      <c r="A3115" t="s">
        <v>8520</v>
      </c>
      <c r="B3115" s="3" t="s">
        <v>102</v>
      </c>
      <c r="F3115">
        <v>5</v>
      </c>
      <c r="G3115" t="s">
        <v>8607</v>
      </c>
      <c r="H3115">
        <v>32</v>
      </c>
      <c r="I3115" t="s">
        <v>9301</v>
      </c>
      <c r="J3115" t="str">
        <f t="shared" si="48"/>
        <v>13F-HR-5.32.C6</v>
      </c>
      <c r="K3115" s="5" t="s">
        <v>8625</v>
      </c>
      <c r="L3115" t="s">
        <v>229</v>
      </c>
      <c r="M3115" t="s">
        <v>8626</v>
      </c>
      <c r="N3115" t="s">
        <v>8627</v>
      </c>
      <c r="Q3115" s="28" t="s">
        <v>8628</v>
      </c>
    </row>
    <row r="3116" spans="1:17" x14ac:dyDescent="0.35">
      <c r="A3116" t="s">
        <v>8520</v>
      </c>
      <c r="B3116" s="3" t="s">
        <v>102</v>
      </c>
      <c r="F3116">
        <v>5</v>
      </c>
      <c r="G3116" t="s">
        <v>8607</v>
      </c>
      <c r="H3116">
        <v>33</v>
      </c>
      <c r="I3116" t="s">
        <v>9302</v>
      </c>
      <c r="J3116" t="str">
        <f t="shared" si="48"/>
        <v>13F-HR-5.33.C7</v>
      </c>
      <c r="K3116" s="5" t="s">
        <v>8629</v>
      </c>
      <c r="L3116" t="s">
        <v>229</v>
      </c>
      <c r="M3116" t="s">
        <v>8630</v>
      </c>
      <c r="N3116" t="s">
        <v>8631</v>
      </c>
      <c r="Q3116" s="28" t="s">
        <v>8685</v>
      </c>
    </row>
    <row r="3117" spans="1:17" x14ac:dyDescent="0.35">
      <c r="A3117" t="s">
        <v>8520</v>
      </c>
      <c r="B3117" s="3" t="s">
        <v>102</v>
      </c>
      <c r="F3117">
        <v>5</v>
      </c>
      <c r="G3117" t="s">
        <v>8607</v>
      </c>
      <c r="H3117">
        <v>34</v>
      </c>
      <c r="I3117" t="s">
        <v>9303</v>
      </c>
      <c r="J3117" t="str">
        <f t="shared" si="48"/>
        <v>13F-HR-5.34.C8</v>
      </c>
      <c r="K3117" s="5" t="s">
        <v>8633</v>
      </c>
      <c r="L3117" t="s">
        <v>4735</v>
      </c>
      <c r="M3117" t="s">
        <v>8634</v>
      </c>
      <c r="N3117" t="s">
        <v>8635</v>
      </c>
      <c r="Q3117" s="28" t="s">
        <v>8632</v>
      </c>
    </row>
    <row r="3118" spans="1:17" x14ac:dyDescent="0.35">
      <c r="A3118" t="s">
        <v>8651</v>
      </c>
      <c r="B3118" s="3" t="s">
        <v>102</v>
      </c>
      <c r="F3118">
        <v>5</v>
      </c>
      <c r="G3118" t="s">
        <v>8607</v>
      </c>
      <c r="H3118">
        <v>35</v>
      </c>
      <c r="I3118" t="s">
        <v>9304</v>
      </c>
      <c r="J3118" t="str">
        <f t="shared" si="48"/>
        <v>135-HR-5.35.C9</v>
      </c>
      <c r="K3118" s="5" t="s">
        <v>8637</v>
      </c>
      <c r="L3118" t="s">
        <v>229</v>
      </c>
      <c r="M3118" t="s">
        <v>8638</v>
      </c>
      <c r="N3118" t="s">
        <v>8639</v>
      </c>
      <c r="Q3118" s="28" t="s">
        <v>8636</v>
      </c>
    </row>
    <row r="3119" spans="1:17" x14ac:dyDescent="0.35">
      <c r="A3119" t="s">
        <v>8520</v>
      </c>
      <c r="B3119" s="3" t="s">
        <v>102</v>
      </c>
      <c r="F3119">
        <v>5</v>
      </c>
      <c r="G3119" t="s">
        <v>8607</v>
      </c>
      <c r="H3119">
        <v>36</v>
      </c>
      <c r="I3119" t="s">
        <v>9305</v>
      </c>
      <c r="J3119" t="str">
        <f t="shared" si="48"/>
        <v>13F-HR-5.36.C10</v>
      </c>
      <c r="K3119" s="5" t="s">
        <v>8640</v>
      </c>
      <c r="L3119" t="s">
        <v>241</v>
      </c>
      <c r="M3119" t="s">
        <v>8641</v>
      </c>
      <c r="N3119" t="s">
        <v>8642</v>
      </c>
      <c r="Q3119" s="28">
        <v>745969</v>
      </c>
    </row>
    <row r="3120" spans="1:17" x14ac:dyDescent="0.35">
      <c r="A3120" t="s">
        <v>8520</v>
      </c>
      <c r="B3120" s="3" t="s">
        <v>102</v>
      </c>
      <c r="F3120">
        <v>5</v>
      </c>
      <c r="G3120" t="s">
        <v>8607</v>
      </c>
      <c r="H3120">
        <v>37</v>
      </c>
      <c r="I3120" t="s">
        <v>9306</v>
      </c>
      <c r="J3120" t="str">
        <f t="shared" si="48"/>
        <v>13F-HR-5.37.C11</v>
      </c>
      <c r="K3120" s="5" t="s">
        <v>8643</v>
      </c>
      <c r="L3120" t="s">
        <v>241</v>
      </c>
      <c r="M3120" t="s">
        <v>8644</v>
      </c>
      <c r="N3120" t="s">
        <v>8645</v>
      </c>
      <c r="Q3120" s="28">
        <v>0</v>
      </c>
    </row>
    <row r="3121" spans="1:17" x14ac:dyDescent="0.35">
      <c r="A3121" t="s">
        <v>8520</v>
      </c>
      <c r="B3121" s="3" t="s">
        <v>102</v>
      </c>
      <c r="F3121">
        <v>5</v>
      </c>
      <c r="G3121" t="s">
        <v>8607</v>
      </c>
      <c r="H3121">
        <v>38</v>
      </c>
      <c r="I3121" t="s">
        <v>9307</v>
      </c>
      <c r="J3121" t="str">
        <f t="shared" si="48"/>
        <v>13F-HR-5.38.C12</v>
      </c>
      <c r="K3121" s="5" t="s">
        <v>8646</v>
      </c>
      <c r="L3121" t="s">
        <v>241</v>
      </c>
      <c r="M3121" t="s">
        <v>8647</v>
      </c>
      <c r="N3121" t="s">
        <v>8648</v>
      </c>
      <c r="Q3121" s="28">
        <v>9694</v>
      </c>
    </row>
    <row r="3122" spans="1:17" x14ac:dyDescent="0.35">
      <c r="A3122" t="s">
        <v>8520</v>
      </c>
      <c r="B3122" s="3" t="s">
        <v>102</v>
      </c>
      <c r="F3122">
        <v>5</v>
      </c>
      <c r="G3122" t="s">
        <v>8607</v>
      </c>
      <c r="H3122">
        <v>27</v>
      </c>
      <c r="I3122" t="s">
        <v>9296</v>
      </c>
      <c r="J3122" t="str">
        <f t="shared" si="48"/>
        <v>13F-HR-5.27.C1</v>
      </c>
      <c r="K3122" s="5" t="s">
        <v>8608</v>
      </c>
      <c r="L3122" t="s">
        <v>229</v>
      </c>
      <c r="M3122" t="s">
        <v>8609</v>
      </c>
      <c r="N3122" t="s">
        <v>8610</v>
      </c>
      <c r="Q3122" s="28" t="s">
        <v>9044</v>
      </c>
    </row>
    <row r="3123" spans="1:17" x14ac:dyDescent="0.35">
      <c r="A3123" t="s">
        <v>8520</v>
      </c>
      <c r="B3123" s="3" t="s">
        <v>102</v>
      </c>
      <c r="F3123">
        <v>5</v>
      </c>
      <c r="G3123" t="s">
        <v>8607</v>
      </c>
      <c r="H3123">
        <v>28</v>
      </c>
      <c r="I3123" t="s">
        <v>9297</v>
      </c>
      <c r="J3123" t="str">
        <f t="shared" si="48"/>
        <v>13F-HR-5.28.C2</v>
      </c>
      <c r="K3123" s="5" t="s">
        <v>8612</v>
      </c>
      <c r="L3123" t="s">
        <v>229</v>
      </c>
      <c r="M3123" t="s">
        <v>8613</v>
      </c>
      <c r="N3123" t="s">
        <v>8614</v>
      </c>
      <c r="Q3123" s="28" t="s">
        <v>8615</v>
      </c>
    </row>
    <row r="3124" spans="1:17" x14ac:dyDescent="0.35">
      <c r="A3124" t="s">
        <v>8520</v>
      </c>
      <c r="B3124" s="3" t="s">
        <v>102</v>
      </c>
      <c r="F3124">
        <v>5</v>
      </c>
      <c r="G3124" t="s">
        <v>8607</v>
      </c>
      <c r="H3124">
        <v>29</v>
      </c>
      <c r="I3124" t="s">
        <v>9298</v>
      </c>
      <c r="J3124" t="str">
        <f t="shared" si="48"/>
        <v>13F-HR-5.29.C3</v>
      </c>
      <c r="K3124" s="5" t="s">
        <v>8616</v>
      </c>
      <c r="L3124" t="s">
        <v>229</v>
      </c>
      <c r="M3124" t="s">
        <v>7927</v>
      </c>
      <c r="N3124" t="s">
        <v>8617</v>
      </c>
      <c r="Q3124" s="28" t="s">
        <v>9045</v>
      </c>
    </row>
    <row r="3125" spans="1:17" x14ac:dyDescent="0.35">
      <c r="A3125" t="s">
        <v>8520</v>
      </c>
      <c r="B3125" s="3" t="s">
        <v>102</v>
      </c>
      <c r="F3125">
        <v>5</v>
      </c>
      <c r="G3125" t="s">
        <v>8607</v>
      </c>
      <c r="H3125">
        <v>30</v>
      </c>
      <c r="I3125" t="s">
        <v>9299</v>
      </c>
      <c r="J3125" t="str">
        <f t="shared" si="48"/>
        <v>13F-HR-5.30.C4</v>
      </c>
      <c r="K3125" s="5" t="s">
        <v>8618</v>
      </c>
      <c r="L3125" t="s">
        <v>8619</v>
      </c>
      <c r="M3125" t="s">
        <v>8620</v>
      </c>
      <c r="N3125" t="s">
        <v>8621</v>
      </c>
      <c r="Q3125" s="28">
        <v>41121812</v>
      </c>
    </row>
    <row r="3126" spans="1:17" x14ac:dyDescent="0.35">
      <c r="A3126" t="s">
        <v>8520</v>
      </c>
      <c r="B3126" s="3" t="s">
        <v>102</v>
      </c>
      <c r="F3126">
        <v>5</v>
      </c>
      <c r="G3126" t="s">
        <v>8607</v>
      </c>
      <c r="H3126">
        <v>31</v>
      </c>
      <c r="I3126" t="s">
        <v>9300</v>
      </c>
      <c r="J3126" t="str">
        <f t="shared" si="48"/>
        <v>13F-HR-5.31.C5</v>
      </c>
      <c r="K3126" s="5" t="s">
        <v>8622</v>
      </c>
      <c r="L3126" t="s">
        <v>241</v>
      </c>
      <c r="M3126" t="s">
        <v>8623</v>
      </c>
      <c r="N3126" t="s">
        <v>8624</v>
      </c>
      <c r="Q3126" s="28">
        <v>999315</v>
      </c>
    </row>
    <row r="3127" spans="1:17" x14ac:dyDescent="0.35">
      <c r="A3127" t="s">
        <v>8520</v>
      </c>
      <c r="B3127" s="3" t="s">
        <v>102</v>
      </c>
      <c r="F3127">
        <v>5</v>
      </c>
      <c r="G3127" t="s">
        <v>8607</v>
      </c>
      <c r="H3127">
        <v>32</v>
      </c>
      <c r="I3127" t="s">
        <v>9301</v>
      </c>
      <c r="J3127" t="str">
        <f t="shared" si="48"/>
        <v>13F-HR-5.32.C6</v>
      </c>
      <c r="K3127" s="5" t="s">
        <v>8625</v>
      </c>
      <c r="L3127" t="s">
        <v>229</v>
      </c>
      <c r="M3127" t="s">
        <v>8626</v>
      </c>
      <c r="N3127" t="s">
        <v>8627</v>
      </c>
      <c r="Q3127" s="28" t="s">
        <v>8628</v>
      </c>
    </row>
    <row r="3128" spans="1:17" x14ac:dyDescent="0.35">
      <c r="A3128" t="s">
        <v>8520</v>
      </c>
      <c r="B3128" s="3" t="s">
        <v>102</v>
      </c>
      <c r="F3128">
        <v>5</v>
      </c>
      <c r="G3128" t="s">
        <v>8607</v>
      </c>
      <c r="H3128">
        <v>33</v>
      </c>
      <c r="I3128" t="s">
        <v>9302</v>
      </c>
      <c r="J3128" t="str">
        <f t="shared" si="48"/>
        <v>13F-HR-5.33.C7</v>
      </c>
      <c r="K3128" s="5" t="s">
        <v>8629</v>
      </c>
      <c r="L3128" t="s">
        <v>229</v>
      </c>
      <c r="M3128" t="s">
        <v>8630</v>
      </c>
      <c r="N3128" t="s">
        <v>8631</v>
      </c>
      <c r="Q3128" s="28" t="s">
        <v>8685</v>
      </c>
    </row>
    <row r="3129" spans="1:17" x14ac:dyDescent="0.35">
      <c r="A3129" t="s">
        <v>8520</v>
      </c>
      <c r="B3129" s="3" t="s">
        <v>102</v>
      </c>
      <c r="F3129">
        <v>5</v>
      </c>
      <c r="G3129" t="s">
        <v>8607</v>
      </c>
      <c r="H3129">
        <v>34</v>
      </c>
      <c r="I3129" t="s">
        <v>9303</v>
      </c>
      <c r="J3129" t="str">
        <f t="shared" si="48"/>
        <v>13F-HR-5.34.C8</v>
      </c>
      <c r="K3129" s="5" t="s">
        <v>8633</v>
      </c>
      <c r="L3129" t="s">
        <v>4735</v>
      </c>
      <c r="M3129" t="s">
        <v>8634</v>
      </c>
      <c r="N3129" t="s">
        <v>8635</v>
      </c>
      <c r="Q3129" s="28" t="s">
        <v>8632</v>
      </c>
    </row>
    <row r="3130" spans="1:17" x14ac:dyDescent="0.35">
      <c r="A3130" t="s">
        <v>8651</v>
      </c>
      <c r="B3130" s="3" t="s">
        <v>102</v>
      </c>
      <c r="F3130">
        <v>5</v>
      </c>
      <c r="G3130" t="s">
        <v>8607</v>
      </c>
      <c r="H3130">
        <v>35</v>
      </c>
      <c r="I3130" t="s">
        <v>9304</v>
      </c>
      <c r="J3130" t="str">
        <f t="shared" si="48"/>
        <v>135-HR-5.35.C9</v>
      </c>
      <c r="K3130" s="5" t="s">
        <v>8637</v>
      </c>
      <c r="L3130" t="s">
        <v>229</v>
      </c>
      <c r="M3130" t="s">
        <v>8638</v>
      </c>
      <c r="N3130" t="s">
        <v>8639</v>
      </c>
      <c r="Q3130" s="28" t="s">
        <v>8636</v>
      </c>
    </row>
    <row r="3131" spans="1:17" x14ac:dyDescent="0.35">
      <c r="A3131" t="s">
        <v>8520</v>
      </c>
      <c r="B3131" s="3" t="s">
        <v>102</v>
      </c>
      <c r="F3131">
        <v>5</v>
      </c>
      <c r="G3131" t="s">
        <v>8607</v>
      </c>
      <c r="H3131">
        <v>36</v>
      </c>
      <c r="I3131" t="s">
        <v>9305</v>
      </c>
      <c r="J3131" t="str">
        <f t="shared" si="48"/>
        <v>13F-HR-5.36.C10</v>
      </c>
      <c r="K3131" s="5" t="s">
        <v>8640</v>
      </c>
      <c r="L3131" t="s">
        <v>241</v>
      </c>
      <c r="M3131" t="s">
        <v>8641</v>
      </c>
      <c r="N3131" t="s">
        <v>8642</v>
      </c>
      <c r="Q3131" s="28">
        <v>577858</v>
      </c>
    </row>
    <row r="3132" spans="1:17" x14ac:dyDescent="0.35">
      <c r="A3132" t="s">
        <v>8520</v>
      </c>
      <c r="B3132" s="3" t="s">
        <v>102</v>
      </c>
      <c r="F3132">
        <v>5</v>
      </c>
      <c r="G3132" t="s">
        <v>8607</v>
      </c>
      <c r="H3132">
        <v>37</v>
      </c>
      <c r="I3132" t="s">
        <v>9306</v>
      </c>
      <c r="J3132" t="str">
        <f t="shared" si="48"/>
        <v>13F-HR-5.37.C11</v>
      </c>
      <c r="K3132" s="5" t="s">
        <v>8643</v>
      </c>
      <c r="L3132" t="s">
        <v>241</v>
      </c>
      <c r="M3132" t="s">
        <v>8644</v>
      </c>
      <c r="N3132" t="s">
        <v>8645</v>
      </c>
      <c r="Q3132" s="28">
        <v>0</v>
      </c>
    </row>
    <row r="3133" spans="1:17" x14ac:dyDescent="0.35">
      <c r="A3133" t="s">
        <v>8520</v>
      </c>
      <c r="B3133" s="3" t="s">
        <v>102</v>
      </c>
      <c r="F3133">
        <v>5</v>
      </c>
      <c r="G3133" t="s">
        <v>8607</v>
      </c>
      <c r="H3133">
        <v>38</v>
      </c>
      <c r="I3133" t="s">
        <v>9307</v>
      </c>
      <c r="J3133" t="str">
        <f t="shared" si="48"/>
        <v>13F-HR-5.38.C12</v>
      </c>
      <c r="K3133" s="5" t="s">
        <v>8646</v>
      </c>
      <c r="L3133" t="s">
        <v>241</v>
      </c>
      <c r="M3133" t="s">
        <v>8647</v>
      </c>
      <c r="N3133" t="s">
        <v>8648</v>
      </c>
      <c r="Q3133" s="28">
        <v>421457</v>
      </c>
    </row>
    <row r="3134" spans="1:17" x14ac:dyDescent="0.35">
      <c r="A3134" t="s">
        <v>8520</v>
      </c>
      <c r="B3134" s="3" t="s">
        <v>102</v>
      </c>
      <c r="F3134">
        <v>5</v>
      </c>
      <c r="G3134" t="s">
        <v>8607</v>
      </c>
      <c r="H3134">
        <v>27</v>
      </c>
      <c r="I3134" t="s">
        <v>9296</v>
      </c>
      <c r="J3134" t="str">
        <f t="shared" si="48"/>
        <v>13F-HR-5.27.C1</v>
      </c>
      <c r="K3134" s="5" t="s">
        <v>8608</v>
      </c>
      <c r="L3134" t="s">
        <v>229</v>
      </c>
      <c r="M3134" t="s">
        <v>8609</v>
      </c>
      <c r="N3134" t="s">
        <v>8610</v>
      </c>
      <c r="Q3134" s="28" t="s">
        <v>9046</v>
      </c>
    </row>
    <row r="3135" spans="1:17" x14ac:dyDescent="0.35">
      <c r="A3135" t="s">
        <v>8520</v>
      </c>
      <c r="B3135" s="3" t="s">
        <v>102</v>
      </c>
      <c r="F3135">
        <v>5</v>
      </c>
      <c r="G3135" t="s">
        <v>8607</v>
      </c>
      <c r="H3135">
        <v>28</v>
      </c>
      <c r="I3135" t="s">
        <v>9297</v>
      </c>
      <c r="J3135" t="str">
        <f t="shared" si="48"/>
        <v>13F-HR-5.28.C2</v>
      </c>
      <c r="K3135" s="5" t="s">
        <v>8612</v>
      </c>
      <c r="L3135" t="s">
        <v>229</v>
      </c>
      <c r="M3135" t="s">
        <v>8613</v>
      </c>
      <c r="N3135" t="s">
        <v>8614</v>
      </c>
      <c r="Q3135" s="28" t="s">
        <v>8615</v>
      </c>
    </row>
    <row r="3136" spans="1:17" x14ac:dyDescent="0.35">
      <c r="A3136" t="s">
        <v>8520</v>
      </c>
      <c r="B3136" s="3" t="s">
        <v>102</v>
      </c>
      <c r="F3136">
        <v>5</v>
      </c>
      <c r="G3136" t="s">
        <v>8607</v>
      </c>
      <c r="H3136">
        <v>29</v>
      </c>
      <c r="I3136" t="s">
        <v>9298</v>
      </c>
      <c r="J3136" t="str">
        <f t="shared" si="48"/>
        <v>13F-HR-5.29.C3</v>
      </c>
      <c r="K3136" s="5" t="s">
        <v>8616</v>
      </c>
      <c r="L3136" t="s">
        <v>229</v>
      </c>
      <c r="M3136" t="s">
        <v>7927</v>
      </c>
      <c r="N3136" t="s">
        <v>8617</v>
      </c>
      <c r="Q3136" s="28" t="s">
        <v>9047</v>
      </c>
    </row>
    <row r="3137" spans="1:17" x14ac:dyDescent="0.35">
      <c r="A3137" t="s">
        <v>8520</v>
      </c>
      <c r="B3137" s="3" t="s">
        <v>102</v>
      </c>
      <c r="F3137">
        <v>5</v>
      </c>
      <c r="G3137" t="s">
        <v>8607</v>
      </c>
      <c r="H3137">
        <v>30</v>
      </c>
      <c r="I3137" t="s">
        <v>9299</v>
      </c>
      <c r="J3137" t="str">
        <f t="shared" si="48"/>
        <v>13F-HR-5.30.C4</v>
      </c>
      <c r="K3137" s="5" t="s">
        <v>8618</v>
      </c>
      <c r="L3137" t="s">
        <v>8619</v>
      </c>
      <c r="M3137" t="s">
        <v>8620</v>
      </c>
      <c r="N3137" t="s">
        <v>8621</v>
      </c>
      <c r="Q3137" s="28">
        <v>4190689</v>
      </c>
    </row>
    <row r="3138" spans="1:17" x14ac:dyDescent="0.35">
      <c r="A3138" t="s">
        <v>8520</v>
      </c>
      <c r="B3138" s="3" t="s">
        <v>102</v>
      </c>
      <c r="F3138">
        <v>5</v>
      </c>
      <c r="G3138" t="s">
        <v>8607</v>
      </c>
      <c r="H3138">
        <v>31</v>
      </c>
      <c r="I3138" t="s">
        <v>9300</v>
      </c>
      <c r="J3138" t="str">
        <f t="shared" si="48"/>
        <v>13F-HR-5.31.C5</v>
      </c>
      <c r="K3138" s="5" t="s">
        <v>8622</v>
      </c>
      <c r="L3138" t="s">
        <v>241</v>
      </c>
      <c r="M3138" t="s">
        <v>8623</v>
      </c>
      <c r="N3138" t="s">
        <v>8624</v>
      </c>
      <c r="Q3138" s="28">
        <v>57517</v>
      </c>
    </row>
    <row r="3139" spans="1:17" x14ac:dyDescent="0.35">
      <c r="A3139" t="s">
        <v>8520</v>
      </c>
      <c r="B3139" s="3" t="s">
        <v>102</v>
      </c>
      <c r="F3139">
        <v>5</v>
      </c>
      <c r="G3139" t="s">
        <v>8607</v>
      </c>
      <c r="H3139">
        <v>32</v>
      </c>
      <c r="I3139" t="s">
        <v>9301</v>
      </c>
      <c r="J3139" t="str">
        <f t="shared" ref="J3139:J3202" si="49">_xlfn.CONCAT(A3139,"-",F3139,".",H3139,".",I3139)</f>
        <v>13F-HR-5.32.C6</v>
      </c>
      <c r="K3139" s="5" t="s">
        <v>8625</v>
      </c>
      <c r="L3139" t="s">
        <v>229</v>
      </c>
      <c r="M3139" t="s">
        <v>8626</v>
      </c>
      <c r="N3139" t="s">
        <v>8627</v>
      </c>
      <c r="Q3139" s="28" t="s">
        <v>8628</v>
      </c>
    </row>
    <row r="3140" spans="1:17" x14ac:dyDescent="0.35">
      <c r="A3140" t="s">
        <v>8520</v>
      </c>
      <c r="B3140" s="3" t="s">
        <v>102</v>
      </c>
      <c r="F3140">
        <v>5</v>
      </c>
      <c r="G3140" t="s">
        <v>8607</v>
      </c>
      <c r="H3140">
        <v>33</v>
      </c>
      <c r="I3140" t="s">
        <v>9302</v>
      </c>
      <c r="J3140" t="str">
        <f t="shared" si="49"/>
        <v>13F-HR-5.33.C7</v>
      </c>
      <c r="K3140" s="5" t="s">
        <v>8629</v>
      </c>
      <c r="L3140" t="s">
        <v>229</v>
      </c>
      <c r="M3140" t="s">
        <v>8630</v>
      </c>
      <c r="N3140" t="s">
        <v>8631</v>
      </c>
      <c r="Q3140" s="28" t="s">
        <v>8685</v>
      </c>
    </row>
    <row r="3141" spans="1:17" x14ac:dyDescent="0.35">
      <c r="A3141" t="s">
        <v>8520</v>
      </c>
      <c r="B3141" s="3" t="s">
        <v>102</v>
      </c>
      <c r="F3141">
        <v>5</v>
      </c>
      <c r="G3141" t="s">
        <v>8607</v>
      </c>
      <c r="H3141">
        <v>34</v>
      </c>
      <c r="I3141" t="s">
        <v>9303</v>
      </c>
      <c r="J3141" t="str">
        <f t="shared" si="49"/>
        <v>13F-HR-5.34.C8</v>
      </c>
      <c r="K3141" s="5" t="s">
        <v>8633</v>
      </c>
      <c r="L3141" t="s">
        <v>4735</v>
      </c>
      <c r="M3141" t="s">
        <v>8634</v>
      </c>
      <c r="N3141" t="s">
        <v>8635</v>
      </c>
      <c r="Q3141" s="28" t="s">
        <v>8632</v>
      </c>
    </row>
    <row r="3142" spans="1:17" x14ac:dyDescent="0.35">
      <c r="A3142" t="s">
        <v>8651</v>
      </c>
      <c r="B3142" s="3" t="s">
        <v>102</v>
      </c>
      <c r="F3142">
        <v>5</v>
      </c>
      <c r="G3142" t="s">
        <v>8607</v>
      </c>
      <c r="H3142">
        <v>35</v>
      </c>
      <c r="I3142" t="s">
        <v>9304</v>
      </c>
      <c r="J3142" t="str">
        <f t="shared" si="49"/>
        <v>135-HR-5.35.C9</v>
      </c>
      <c r="K3142" s="5" t="s">
        <v>8637</v>
      </c>
      <c r="L3142" t="s">
        <v>229</v>
      </c>
      <c r="M3142" t="s">
        <v>8638</v>
      </c>
      <c r="N3142" t="s">
        <v>8639</v>
      </c>
      <c r="Q3142" s="28" t="s">
        <v>8636</v>
      </c>
    </row>
    <row r="3143" spans="1:17" x14ac:dyDescent="0.35">
      <c r="A3143" t="s">
        <v>8520</v>
      </c>
      <c r="B3143" s="3" t="s">
        <v>102</v>
      </c>
      <c r="F3143">
        <v>5</v>
      </c>
      <c r="G3143" t="s">
        <v>8607</v>
      </c>
      <c r="H3143">
        <v>36</v>
      </c>
      <c r="I3143" t="s">
        <v>9305</v>
      </c>
      <c r="J3143" t="str">
        <f t="shared" si="49"/>
        <v>13F-HR-5.36.C10</v>
      </c>
      <c r="K3143" s="5" t="s">
        <v>8640</v>
      </c>
      <c r="L3143" t="s">
        <v>241</v>
      </c>
      <c r="M3143" t="s">
        <v>8641</v>
      </c>
      <c r="N3143" t="s">
        <v>8642</v>
      </c>
      <c r="Q3143" s="28">
        <v>56513</v>
      </c>
    </row>
    <row r="3144" spans="1:17" x14ac:dyDescent="0.35">
      <c r="A3144" t="s">
        <v>8520</v>
      </c>
      <c r="B3144" s="3" t="s">
        <v>102</v>
      </c>
      <c r="F3144">
        <v>5</v>
      </c>
      <c r="G3144" t="s">
        <v>8607</v>
      </c>
      <c r="H3144">
        <v>37</v>
      </c>
      <c r="I3144" t="s">
        <v>9306</v>
      </c>
      <c r="J3144" t="str">
        <f t="shared" si="49"/>
        <v>13F-HR-5.37.C11</v>
      </c>
      <c r="K3144" s="5" t="s">
        <v>8643</v>
      </c>
      <c r="L3144" t="s">
        <v>241</v>
      </c>
      <c r="M3144" t="s">
        <v>8644</v>
      </c>
      <c r="N3144" t="s">
        <v>8645</v>
      </c>
      <c r="Q3144" s="28">
        <v>0</v>
      </c>
    </row>
    <row r="3145" spans="1:17" x14ac:dyDescent="0.35">
      <c r="A3145" t="s">
        <v>8520</v>
      </c>
      <c r="B3145" s="3" t="s">
        <v>102</v>
      </c>
      <c r="F3145">
        <v>5</v>
      </c>
      <c r="G3145" t="s">
        <v>8607</v>
      </c>
      <c r="H3145">
        <v>38</v>
      </c>
      <c r="I3145" t="s">
        <v>9307</v>
      </c>
      <c r="J3145" t="str">
        <f t="shared" si="49"/>
        <v>13F-HR-5.38.C12</v>
      </c>
      <c r="K3145" s="5" t="s">
        <v>8646</v>
      </c>
      <c r="L3145" t="s">
        <v>241</v>
      </c>
      <c r="M3145" t="s">
        <v>8647</v>
      </c>
      <c r="N3145" t="s">
        <v>8648</v>
      </c>
      <c r="Q3145" s="28">
        <v>1004</v>
      </c>
    </row>
    <row r="3146" spans="1:17" x14ac:dyDescent="0.35">
      <c r="A3146" t="s">
        <v>8520</v>
      </c>
      <c r="B3146" s="3" t="s">
        <v>102</v>
      </c>
      <c r="F3146">
        <v>5</v>
      </c>
      <c r="G3146" t="s">
        <v>8607</v>
      </c>
      <c r="H3146">
        <v>27</v>
      </c>
      <c r="I3146" t="s">
        <v>9296</v>
      </c>
      <c r="J3146" t="str">
        <f t="shared" si="49"/>
        <v>13F-HR-5.27.C1</v>
      </c>
      <c r="K3146" s="5" t="s">
        <v>8608</v>
      </c>
      <c r="L3146" t="s">
        <v>229</v>
      </c>
      <c r="M3146" t="s">
        <v>8609</v>
      </c>
      <c r="N3146" t="s">
        <v>8610</v>
      </c>
      <c r="Q3146" s="28" t="s">
        <v>9048</v>
      </c>
    </row>
    <row r="3147" spans="1:17" x14ac:dyDescent="0.35">
      <c r="A3147" t="s">
        <v>8520</v>
      </c>
      <c r="B3147" s="3" t="s">
        <v>102</v>
      </c>
      <c r="F3147">
        <v>5</v>
      </c>
      <c r="G3147" t="s">
        <v>8607</v>
      </c>
      <c r="H3147">
        <v>28</v>
      </c>
      <c r="I3147" t="s">
        <v>9297</v>
      </c>
      <c r="J3147" t="str">
        <f t="shared" si="49"/>
        <v>13F-HR-5.28.C2</v>
      </c>
      <c r="K3147" s="5" t="s">
        <v>8612</v>
      </c>
      <c r="L3147" t="s">
        <v>229</v>
      </c>
      <c r="M3147" t="s">
        <v>8613</v>
      </c>
      <c r="N3147" t="s">
        <v>8614</v>
      </c>
      <c r="Q3147" s="28" t="s">
        <v>9049</v>
      </c>
    </row>
    <row r="3148" spans="1:17" x14ac:dyDescent="0.35">
      <c r="A3148" t="s">
        <v>8520</v>
      </c>
      <c r="B3148" s="3" t="s">
        <v>102</v>
      </c>
      <c r="F3148">
        <v>5</v>
      </c>
      <c r="G3148" t="s">
        <v>8607</v>
      </c>
      <c r="H3148">
        <v>29</v>
      </c>
      <c r="I3148" t="s">
        <v>9298</v>
      </c>
      <c r="J3148" t="str">
        <f t="shared" si="49"/>
        <v>13F-HR-5.29.C3</v>
      </c>
      <c r="K3148" s="5" t="s">
        <v>8616</v>
      </c>
      <c r="L3148" t="s">
        <v>229</v>
      </c>
      <c r="M3148" t="s">
        <v>7927</v>
      </c>
      <c r="N3148" t="s">
        <v>8617</v>
      </c>
      <c r="Q3148" s="28">
        <v>903731107</v>
      </c>
    </row>
    <row r="3149" spans="1:17" x14ac:dyDescent="0.35">
      <c r="A3149" t="s">
        <v>8520</v>
      </c>
      <c r="B3149" s="3" t="s">
        <v>102</v>
      </c>
      <c r="F3149">
        <v>5</v>
      </c>
      <c r="G3149" t="s">
        <v>8607</v>
      </c>
      <c r="H3149">
        <v>30</v>
      </c>
      <c r="I3149" t="s">
        <v>9299</v>
      </c>
      <c r="J3149" t="str">
        <f t="shared" si="49"/>
        <v>13F-HR-5.30.C4</v>
      </c>
      <c r="K3149" s="5" t="s">
        <v>8618</v>
      </c>
      <c r="L3149" t="s">
        <v>8619</v>
      </c>
      <c r="M3149" t="s">
        <v>8620</v>
      </c>
      <c r="N3149" t="s">
        <v>8621</v>
      </c>
      <c r="Q3149" s="28">
        <v>8891291</v>
      </c>
    </row>
    <row r="3150" spans="1:17" x14ac:dyDescent="0.35">
      <c r="A3150" t="s">
        <v>8520</v>
      </c>
      <c r="B3150" s="3" t="s">
        <v>102</v>
      </c>
      <c r="F3150">
        <v>5</v>
      </c>
      <c r="G3150" t="s">
        <v>8607</v>
      </c>
      <c r="H3150">
        <v>31</v>
      </c>
      <c r="I3150" t="s">
        <v>9300</v>
      </c>
      <c r="J3150" t="str">
        <f t="shared" si="49"/>
        <v>13F-HR-5.31.C5</v>
      </c>
      <c r="K3150" s="5" t="s">
        <v>8622</v>
      </c>
      <c r="L3150" t="s">
        <v>241</v>
      </c>
      <c r="M3150" t="s">
        <v>8623</v>
      </c>
      <c r="N3150" t="s">
        <v>8624</v>
      </c>
      <c r="Q3150" s="28">
        <v>157647</v>
      </c>
    </row>
    <row r="3151" spans="1:17" x14ac:dyDescent="0.35">
      <c r="A3151" t="s">
        <v>8520</v>
      </c>
      <c r="B3151" s="3" t="s">
        <v>102</v>
      </c>
      <c r="F3151">
        <v>5</v>
      </c>
      <c r="G3151" t="s">
        <v>8607</v>
      </c>
      <c r="H3151">
        <v>32</v>
      </c>
      <c r="I3151" t="s">
        <v>9301</v>
      </c>
      <c r="J3151" t="str">
        <f t="shared" si="49"/>
        <v>13F-HR-5.32.C6</v>
      </c>
      <c r="K3151" s="5" t="s">
        <v>8625</v>
      </c>
      <c r="L3151" t="s">
        <v>229</v>
      </c>
      <c r="M3151" t="s">
        <v>8626</v>
      </c>
      <c r="N3151" t="s">
        <v>8627</v>
      </c>
      <c r="Q3151" s="28" t="s">
        <v>8628</v>
      </c>
    </row>
    <row r="3152" spans="1:17" x14ac:dyDescent="0.35">
      <c r="A3152" t="s">
        <v>8520</v>
      </c>
      <c r="B3152" s="3" t="s">
        <v>102</v>
      </c>
      <c r="F3152">
        <v>5</v>
      </c>
      <c r="G3152" t="s">
        <v>8607</v>
      </c>
      <c r="H3152">
        <v>33</v>
      </c>
      <c r="I3152" t="s">
        <v>9302</v>
      </c>
      <c r="J3152" t="str">
        <f t="shared" si="49"/>
        <v>13F-HR-5.33.C7</v>
      </c>
      <c r="K3152" s="5" t="s">
        <v>8629</v>
      </c>
      <c r="L3152" t="s">
        <v>229</v>
      </c>
      <c r="M3152" t="s">
        <v>8630</v>
      </c>
      <c r="N3152" t="s">
        <v>8631</v>
      </c>
      <c r="Q3152" s="28" t="s">
        <v>8685</v>
      </c>
    </row>
    <row r="3153" spans="1:17" x14ac:dyDescent="0.35">
      <c r="A3153" t="s">
        <v>8520</v>
      </c>
      <c r="B3153" s="3" t="s">
        <v>102</v>
      </c>
      <c r="F3153">
        <v>5</v>
      </c>
      <c r="G3153" t="s">
        <v>8607</v>
      </c>
      <c r="H3153">
        <v>34</v>
      </c>
      <c r="I3153" t="s">
        <v>9303</v>
      </c>
      <c r="J3153" t="str">
        <f t="shared" si="49"/>
        <v>13F-HR-5.34.C8</v>
      </c>
      <c r="K3153" s="5" t="s">
        <v>8633</v>
      </c>
      <c r="L3153" t="s">
        <v>4735</v>
      </c>
      <c r="M3153" t="s">
        <v>8634</v>
      </c>
      <c r="N3153" t="s">
        <v>8635</v>
      </c>
      <c r="Q3153" s="28" t="s">
        <v>8632</v>
      </c>
    </row>
    <row r="3154" spans="1:17" x14ac:dyDescent="0.35">
      <c r="A3154" t="s">
        <v>8651</v>
      </c>
      <c r="B3154" s="3" t="s">
        <v>102</v>
      </c>
      <c r="F3154">
        <v>5</v>
      </c>
      <c r="G3154" t="s">
        <v>8607</v>
      </c>
      <c r="H3154">
        <v>35</v>
      </c>
      <c r="I3154" t="s">
        <v>9304</v>
      </c>
      <c r="J3154" t="str">
        <f t="shared" si="49"/>
        <v>135-HR-5.35.C9</v>
      </c>
      <c r="K3154" s="5" t="s">
        <v>8637</v>
      </c>
      <c r="L3154" t="s">
        <v>229</v>
      </c>
      <c r="M3154" t="s">
        <v>8638</v>
      </c>
      <c r="N3154" t="s">
        <v>8639</v>
      </c>
      <c r="Q3154" s="28" t="s">
        <v>8636</v>
      </c>
    </row>
    <row r="3155" spans="1:17" x14ac:dyDescent="0.35">
      <c r="A3155" t="s">
        <v>8520</v>
      </c>
      <c r="B3155" s="3" t="s">
        <v>102</v>
      </c>
      <c r="F3155">
        <v>5</v>
      </c>
      <c r="G3155" t="s">
        <v>8607</v>
      </c>
      <c r="H3155">
        <v>36</v>
      </c>
      <c r="I3155" t="s">
        <v>9305</v>
      </c>
      <c r="J3155" t="str">
        <f t="shared" si="49"/>
        <v>13F-HR-5.36.C10</v>
      </c>
      <c r="K3155" s="5" t="s">
        <v>8640</v>
      </c>
      <c r="L3155" t="s">
        <v>241</v>
      </c>
      <c r="M3155" t="s">
        <v>8641</v>
      </c>
      <c r="N3155" t="s">
        <v>8642</v>
      </c>
      <c r="Q3155" s="28">
        <v>154661</v>
      </c>
    </row>
    <row r="3156" spans="1:17" x14ac:dyDescent="0.35">
      <c r="A3156" t="s">
        <v>8520</v>
      </c>
      <c r="B3156" s="3" t="s">
        <v>102</v>
      </c>
      <c r="F3156">
        <v>5</v>
      </c>
      <c r="G3156" t="s">
        <v>8607</v>
      </c>
      <c r="H3156">
        <v>37</v>
      </c>
      <c r="I3156" t="s">
        <v>9306</v>
      </c>
      <c r="J3156" t="str">
        <f t="shared" si="49"/>
        <v>13F-HR-5.37.C11</v>
      </c>
      <c r="K3156" s="5" t="s">
        <v>8643</v>
      </c>
      <c r="L3156" t="s">
        <v>241</v>
      </c>
      <c r="M3156" t="s">
        <v>8644</v>
      </c>
      <c r="N3156" t="s">
        <v>8645</v>
      </c>
      <c r="Q3156" s="28">
        <v>0</v>
      </c>
    </row>
    <row r="3157" spans="1:17" x14ac:dyDescent="0.35">
      <c r="A3157" t="s">
        <v>8520</v>
      </c>
      <c r="B3157" s="3" t="s">
        <v>102</v>
      </c>
      <c r="F3157">
        <v>5</v>
      </c>
      <c r="G3157" t="s">
        <v>8607</v>
      </c>
      <c r="H3157">
        <v>38</v>
      </c>
      <c r="I3157" t="s">
        <v>9307</v>
      </c>
      <c r="J3157" t="str">
        <f t="shared" si="49"/>
        <v>13F-HR-5.38.C12</v>
      </c>
      <c r="K3157" s="5" t="s">
        <v>8646</v>
      </c>
      <c r="L3157" t="s">
        <v>241</v>
      </c>
      <c r="M3157" t="s">
        <v>8647</v>
      </c>
      <c r="N3157" t="s">
        <v>8648</v>
      </c>
      <c r="Q3157" s="28">
        <v>2986</v>
      </c>
    </row>
    <row r="3158" spans="1:17" x14ac:dyDescent="0.35">
      <c r="A3158" t="s">
        <v>8520</v>
      </c>
      <c r="B3158" s="3" t="s">
        <v>102</v>
      </c>
      <c r="F3158">
        <v>5</v>
      </c>
      <c r="G3158" t="s">
        <v>8607</v>
      </c>
      <c r="H3158">
        <v>27</v>
      </c>
      <c r="I3158" t="s">
        <v>9296</v>
      </c>
      <c r="J3158" t="str">
        <f t="shared" si="49"/>
        <v>13F-HR-5.27.C1</v>
      </c>
      <c r="K3158" s="5" t="s">
        <v>8608</v>
      </c>
      <c r="L3158" t="s">
        <v>229</v>
      </c>
      <c r="M3158" t="s">
        <v>8609</v>
      </c>
      <c r="N3158" t="s">
        <v>8610</v>
      </c>
      <c r="Q3158" s="28" t="s">
        <v>9050</v>
      </c>
    </row>
    <row r="3159" spans="1:17" x14ac:dyDescent="0.35">
      <c r="A3159" t="s">
        <v>8520</v>
      </c>
      <c r="B3159" s="3" t="s">
        <v>102</v>
      </c>
      <c r="F3159">
        <v>5</v>
      </c>
      <c r="G3159" t="s">
        <v>8607</v>
      </c>
      <c r="H3159">
        <v>28</v>
      </c>
      <c r="I3159" t="s">
        <v>9297</v>
      </c>
      <c r="J3159" t="str">
        <f t="shared" si="49"/>
        <v>13F-HR-5.28.C2</v>
      </c>
      <c r="K3159" s="5" t="s">
        <v>8612</v>
      </c>
      <c r="L3159" t="s">
        <v>229</v>
      </c>
      <c r="M3159" t="s">
        <v>8613</v>
      </c>
      <c r="N3159" t="s">
        <v>8614</v>
      </c>
      <c r="Q3159" s="28" t="s">
        <v>8615</v>
      </c>
    </row>
    <row r="3160" spans="1:17" x14ac:dyDescent="0.35">
      <c r="A3160" t="s">
        <v>8520</v>
      </c>
      <c r="B3160" s="3" t="s">
        <v>102</v>
      </c>
      <c r="F3160">
        <v>5</v>
      </c>
      <c r="G3160" t="s">
        <v>8607</v>
      </c>
      <c r="H3160">
        <v>29</v>
      </c>
      <c r="I3160" t="s">
        <v>9298</v>
      </c>
      <c r="J3160" t="str">
        <f t="shared" si="49"/>
        <v>13F-HR-5.29.C3</v>
      </c>
      <c r="K3160" s="5" t="s">
        <v>8616</v>
      </c>
      <c r="L3160" t="s">
        <v>229</v>
      </c>
      <c r="M3160" t="s">
        <v>7927</v>
      </c>
      <c r="N3160" t="s">
        <v>8617</v>
      </c>
      <c r="Q3160" s="28">
        <v>907818108</v>
      </c>
    </row>
    <row r="3161" spans="1:17" x14ac:dyDescent="0.35">
      <c r="A3161" t="s">
        <v>8520</v>
      </c>
      <c r="B3161" s="3" t="s">
        <v>102</v>
      </c>
      <c r="F3161">
        <v>5</v>
      </c>
      <c r="G3161" t="s">
        <v>8607</v>
      </c>
      <c r="H3161">
        <v>30</v>
      </c>
      <c r="I3161" t="s">
        <v>9299</v>
      </c>
      <c r="J3161" t="str">
        <f t="shared" si="49"/>
        <v>13F-HR-5.30.C4</v>
      </c>
      <c r="K3161" s="5" t="s">
        <v>8618</v>
      </c>
      <c r="L3161" t="s">
        <v>8619</v>
      </c>
      <c r="M3161" t="s">
        <v>8620</v>
      </c>
      <c r="N3161" t="s">
        <v>8621</v>
      </c>
      <c r="Q3161" s="28">
        <v>16385134</v>
      </c>
    </row>
    <row r="3162" spans="1:17" x14ac:dyDescent="0.35">
      <c r="A3162" t="s">
        <v>8520</v>
      </c>
      <c r="B3162" s="3" t="s">
        <v>102</v>
      </c>
      <c r="F3162">
        <v>5</v>
      </c>
      <c r="G3162" t="s">
        <v>8607</v>
      </c>
      <c r="H3162">
        <v>31</v>
      </c>
      <c r="I3162" t="s">
        <v>9300</v>
      </c>
      <c r="J3162" t="str">
        <f t="shared" si="49"/>
        <v>13F-HR-5.31.C5</v>
      </c>
      <c r="K3162" s="5" t="s">
        <v>8622</v>
      </c>
      <c r="L3162" t="s">
        <v>241</v>
      </c>
      <c r="M3162" t="s">
        <v>8623</v>
      </c>
      <c r="N3162" t="s">
        <v>8624</v>
      </c>
      <c r="Q3162" s="28">
        <v>69358</v>
      </c>
    </row>
    <row r="3163" spans="1:17" x14ac:dyDescent="0.35">
      <c r="A3163" t="s">
        <v>8520</v>
      </c>
      <c r="B3163" s="3" t="s">
        <v>102</v>
      </c>
      <c r="F3163">
        <v>5</v>
      </c>
      <c r="G3163" t="s">
        <v>8607</v>
      </c>
      <c r="H3163">
        <v>32</v>
      </c>
      <c r="I3163" t="s">
        <v>9301</v>
      </c>
      <c r="J3163" t="str">
        <f t="shared" si="49"/>
        <v>13F-HR-5.32.C6</v>
      </c>
      <c r="K3163" s="5" t="s">
        <v>8625</v>
      </c>
      <c r="L3163" t="s">
        <v>229</v>
      </c>
      <c r="M3163" t="s">
        <v>8626</v>
      </c>
      <c r="N3163" t="s">
        <v>8627</v>
      </c>
      <c r="Q3163" s="28" t="s">
        <v>8628</v>
      </c>
    </row>
    <row r="3164" spans="1:17" x14ac:dyDescent="0.35">
      <c r="A3164" t="s">
        <v>8520</v>
      </c>
      <c r="B3164" s="3" t="s">
        <v>102</v>
      </c>
      <c r="F3164">
        <v>5</v>
      </c>
      <c r="G3164" t="s">
        <v>8607</v>
      </c>
      <c r="H3164">
        <v>33</v>
      </c>
      <c r="I3164" t="s">
        <v>9302</v>
      </c>
      <c r="J3164" t="str">
        <f t="shared" si="49"/>
        <v>13F-HR-5.33.C7</v>
      </c>
      <c r="K3164" s="5" t="s">
        <v>8629</v>
      </c>
      <c r="L3164" t="s">
        <v>229</v>
      </c>
      <c r="M3164" t="s">
        <v>8630</v>
      </c>
      <c r="N3164" t="s">
        <v>8631</v>
      </c>
      <c r="Q3164" s="28" t="s">
        <v>8685</v>
      </c>
    </row>
    <row r="3165" spans="1:17" x14ac:dyDescent="0.35">
      <c r="A3165" t="s">
        <v>8520</v>
      </c>
      <c r="B3165" s="3" t="s">
        <v>102</v>
      </c>
      <c r="F3165">
        <v>5</v>
      </c>
      <c r="G3165" t="s">
        <v>8607</v>
      </c>
      <c r="H3165">
        <v>34</v>
      </c>
      <c r="I3165" t="s">
        <v>9303</v>
      </c>
      <c r="J3165" t="str">
        <f t="shared" si="49"/>
        <v>13F-HR-5.34.C8</v>
      </c>
      <c r="K3165" s="5" t="s">
        <v>8633</v>
      </c>
      <c r="L3165" t="s">
        <v>4735</v>
      </c>
      <c r="M3165" t="s">
        <v>8634</v>
      </c>
      <c r="N3165" t="s">
        <v>8635</v>
      </c>
      <c r="Q3165" s="28" t="s">
        <v>8632</v>
      </c>
    </row>
    <row r="3166" spans="1:17" x14ac:dyDescent="0.35">
      <c r="A3166" t="s">
        <v>8651</v>
      </c>
      <c r="B3166" s="3" t="s">
        <v>102</v>
      </c>
      <c r="F3166">
        <v>5</v>
      </c>
      <c r="G3166" t="s">
        <v>8607</v>
      </c>
      <c r="H3166">
        <v>35</v>
      </c>
      <c r="I3166" t="s">
        <v>9304</v>
      </c>
      <c r="J3166" t="str">
        <f t="shared" si="49"/>
        <v>135-HR-5.35.C9</v>
      </c>
      <c r="K3166" s="5" t="s">
        <v>8637</v>
      </c>
      <c r="L3166" t="s">
        <v>229</v>
      </c>
      <c r="M3166" t="s">
        <v>8638</v>
      </c>
      <c r="N3166" t="s">
        <v>8639</v>
      </c>
      <c r="Q3166" s="28" t="s">
        <v>8636</v>
      </c>
    </row>
    <row r="3167" spans="1:17" x14ac:dyDescent="0.35">
      <c r="A3167" t="s">
        <v>8520</v>
      </c>
      <c r="B3167" s="3" t="s">
        <v>102</v>
      </c>
      <c r="F3167">
        <v>5</v>
      </c>
      <c r="G3167" t="s">
        <v>8607</v>
      </c>
      <c r="H3167">
        <v>36</v>
      </c>
      <c r="I3167" t="s">
        <v>9305</v>
      </c>
      <c r="J3167" t="str">
        <f t="shared" si="49"/>
        <v>13F-HR-5.36.C10</v>
      </c>
      <c r="K3167" s="5" t="s">
        <v>8640</v>
      </c>
      <c r="L3167" t="s">
        <v>241</v>
      </c>
      <c r="M3167" t="s">
        <v>8641</v>
      </c>
      <c r="N3167" t="s">
        <v>8642</v>
      </c>
      <c r="Q3167" s="28">
        <v>0</v>
      </c>
    </row>
    <row r="3168" spans="1:17" x14ac:dyDescent="0.35">
      <c r="A3168" t="s">
        <v>8520</v>
      </c>
      <c r="B3168" s="3" t="s">
        <v>102</v>
      </c>
      <c r="F3168">
        <v>5</v>
      </c>
      <c r="G3168" t="s">
        <v>8607</v>
      </c>
      <c r="H3168">
        <v>37</v>
      </c>
      <c r="I3168" t="s">
        <v>9306</v>
      </c>
      <c r="J3168" t="str">
        <f t="shared" si="49"/>
        <v>13F-HR-5.37.C11</v>
      </c>
      <c r="K3168" s="5" t="s">
        <v>8643</v>
      </c>
      <c r="L3168" t="s">
        <v>241</v>
      </c>
      <c r="M3168" t="s">
        <v>8644</v>
      </c>
      <c r="N3168" t="s">
        <v>8645</v>
      </c>
      <c r="Q3168" s="28">
        <v>0</v>
      </c>
    </row>
    <row r="3169" spans="1:17" x14ac:dyDescent="0.35">
      <c r="A3169" t="s">
        <v>8520</v>
      </c>
      <c r="B3169" s="3" t="s">
        <v>102</v>
      </c>
      <c r="F3169">
        <v>5</v>
      </c>
      <c r="G3169" t="s">
        <v>8607</v>
      </c>
      <c r="H3169">
        <v>38</v>
      </c>
      <c r="I3169" t="s">
        <v>9307</v>
      </c>
      <c r="J3169" t="str">
        <f t="shared" si="49"/>
        <v>13F-HR-5.38.C12</v>
      </c>
      <c r="K3169" s="5" t="s">
        <v>8646</v>
      </c>
      <c r="L3169" t="s">
        <v>241</v>
      </c>
      <c r="M3169" t="s">
        <v>8647</v>
      </c>
      <c r="N3169" t="s">
        <v>8648</v>
      </c>
      <c r="Q3169" s="28">
        <v>69358</v>
      </c>
    </row>
    <row r="3170" spans="1:17" x14ac:dyDescent="0.35">
      <c r="A3170" t="s">
        <v>8520</v>
      </c>
      <c r="B3170" s="3" t="s">
        <v>102</v>
      </c>
      <c r="F3170">
        <v>5</v>
      </c>
      <c r="G3170" t="s">
        <v>8607</v>
      </c>
      <c r="H3170">
        <v>27</v>
      </c>
      <c r="I3170" t="s">
        <v>9296</v>
      </c>
      <c r="J3170" t="str">
        <f t="shared" si="49"/>
        <v>13F-HR-5.27.C1</v>
      </c>
      <c r="K3170" s="5" t="s">
        <v>8608</v>
      </c>
      <c r="L3170" t="s">
        <v>229</v>
      </c>
      <c r="M3170" t="s">
        <v>8609</v>
      </c>
      <c r="N3170" t="s">
        <v>8610</v>
      </c>
      <c r="Q3170" s="28" t="s">
        <v>9051</v>
      </c>
    </row>
    <row r="3171" spans="1:17" x14ac:dyDescent="0.35">
      <c r="A3171" t="s">
        <v>8520</v>
      </c>
      <c r="B3171" s="3" t="s">
        <v>102</v>
      </c>
      <c r="F3171">
        <v>5</v>
      </c>
      <c r="G3171" t="s">
        <v>8607</v>
      </c>
      <c r="H3171">
        <v>28</v>
      </c>
      <c r="I3171" t="s">
        <v>9297</v>
      </c>
      <c r="J3171" t="str">
        <f t="shared" si="49"/>
        <v>13F-HR-5.28.C2</v>
      </c>
      <c r="K3171" s="5" t="s">
        <v>8612</v>
      </c>
      <c r="L3171" t="s">
        <v>229</v>
      </c>
      <c r="M3171" t="s">
        <v>8613</v>
      </c>
      <c r="N3171" t="s">
        <v>8614</v>
      </c>
      <c r="Q3171" s="28" t="s">
        <v>8615</v>
      </c>
    </row>
    <row r="3172" spans="1:17" x14ac:dyDescent="0.35">
      <c r="A3172" t="s">
        <v>8520</v>
      </c>
      <c r="B3172" s="3" t="s">
        <v>102</v>
      </c>
      <c r="F3172">
        <v>5</v>
      </c>
      <c r="G3172" t="s">
        <v>8607</v>
      </c>
      <c r="H3172">
        <v>29</v>
      </c>
      <c r="I3172" t="s">
        <v>9298</v>
      </c>
      <c r="J3172" t="str">
        <f t="shared" si="49"/>
        <v>13F-HR-5.29.C3</v>
      </c>
      <c r="K3172" s="5" t="s">
        <v>8616</v>
      </c>
      <c r="L3172" t="s">
        <v>229</v>
      </c>
      <c r="M3172" t="s">
        <v>7927</v>
      </c>
      <c r="N3172" t="s">
        <v>8617</v>
      </c>
      <c r="Q3172" s="28">
        <v>911363109</v>
      </c>
    </row>
    <row r="3173" spans="1:17" x14ac:dyDescent="0.35">
      <c r="A3173" t="s">
        <v>8520</v>
      </c>
      <c r="B3173" s="3" t="s">
        <v>102</v>
      </c>
      <c r="F3173">
        <v>5</v>
      </c>
      <c r="G3173" t="s">
        <v>8607</v>
      </c>
      <c r="H3173">
        <v>30</v>
      </c>
      <c r="I3173" t="s">
        <v>9299</v>
      </c>
      <c r="J3173" t="str">
        <f t="shared" si="49"/>
        <v>13F-HR-5.30.C4</v>
      </c>
      <c r="K3173" s="5" t="s">
        <v>8618</v>
      </c>
      <c r="L3173" t="s">
        <v>8619</v>
      </c>
      <c r="M3173" t="s">
        <v>8620</v>
      </c>
      <c r="N3173" t="s">
        <v>8621</v>
      </c>
      <c r="Q3173" s="28">
        <v>574684</v>
      </c>
    </row>
    <row r="3174" spans="1:17" x14ac:dyDescent="0.35">
      <c r="A3174" t="s">
        <v>8520</v>
      </c>
      <c r="B3174" s="3" t="s">
        <v>102</v>
      </c>
      <c r="F3174">
        <v>5</v>
      </c>
      <c r="G3174" t="s">
        <v>8607</v>
      </c>
      <c r="H3174">
        <v>31</v>
      </c>
      <c r="I3174" t="s">
        <v>9300</v>
      </c>
      <c r="J3174" t="str">
        <f t="shared" si="49"/>
        <v>13F-HR-5.31.C5</v>
      </c>
      <c r="K3174" s="5" t="s">
        <v>8622</v>
      </c>
      <c r="L3174" t="s">
        <v>241</v>
      </c>
      <c r="M3174" t="s">
        <v>8623</v>
      </c>
      <c r="N3174" t="s">
        <v>8624</v>
      </c>
      <c r="Q3174" s="28">
        <v>917</v>
      </c>
    </row>
    <row r="3175" spans="1:17" x14ac:dyDescent="0.35">
      <c r="A3175" t="s">
        <v>8520</v>
      </c>
      <c r="B3175" s="3" t="s">
        <v>102</v>
      </c>
      <c r="F3175">
        <v>5</v>
      </c>
      <c r="G3175" t="s">
        <v>8607</v>
      </c>
      <c r="H3175">
        <v>32</v>
      </c>
      <c r="I3175" t="s">
        <v>9301</v>
      </c>
      <c r="J3175" t="str">
        <f t="shared" si="49"/>
        <v>13F-HR-5.32.C6</v>
      </c>
      <c r="K3175" s="5" t="s">
        <v>8625</v>
      </c>
      <c r="L3175" t="s">
        <v>229</v>
      </c>
      <c r="M3175" t="s">
        <v>8626</v>
      </c>
      <c r="N3175" t="s">
        <v>8627</v>
      </c>
      <c r="Q3175" s="28" t="s">
        <v>8628</v>
      </c>
    </row>
    <row r="3176" spans="1:17" x14ac:dyDescent="0.35">
      <c r="A3176" t="s">
        <v>8520</v>
      </c>
      <c r="B3176" s="3" t="s">
        <v>102</v>
      </c>
      <c r="F3176">
        <v>5</v>
      </c>
      <c r="G3176" t="s">
        <v>8607</v>
      </c>
      <c r="H3176">
        <v>33</v>
      </c>
      <c r="I3176" t="s">
        <v>9302</v>
      </c>
      <c r="J3176" t="str">
        <f t="shared" si="49"/>
        <v>13F-HR-5.33.C7</v>
      </c>
      <c r="K3176" s="5" t="s">
        <v>8629</v>
      </c>
      <c r="L3176" t="s">
        <v>229</v>
      </c>
      <c r="M3176" t="s">
        <v>8630</v>
      </c>
      <c r="N3176" t="s">
        <v>8631</v>
      </c>
      <c r="Q3176" s="28" t="s">
        <v>8685</v>
      </c>
    </row>
    <row r="3177" spans="1:17" x14ac:dyDescent="0.35">
      <c r="A3177" t="s">
        <v>8520</v>
      </c>
      <c r="B3177" s="3" t="s">
        <v>102</v>
      </c>
      <c r="F3177">
        <v>5</v>
      </c>
      <c r="G3177" t="s">
        <v>8607</v>
      </c>
      <c r="H3177">
        <v>34</v>
      </c>
      <c r="I3177" t="s">
        <v>9303</v>
      </c>
      <c r="J3177" t="str">
        <f t="shared" si="49"/>
        <v>13F-HR-5.34.C8</v>
      </c>
      <c r="K3177" s="5" t="s">
        <v>8633</v>
      </c>
      <c r="L3177" t="s">
        <v>4735</v>
      </c>
      <c r="M3177" t="s">
        <v>8634</v>
      </c>
      <c r="N3177" t="s">
        <v>8635</v>
      </c>
      <c r="Q3177" s="28" t="s">
        <v>8632</v>
      </c>
    </row>
    <row r="3178" spans="1:17" x14ac:dyDescent="0.35">
      <c r="A3178" t="s">
        <v>8651</v>
      </c>
      <c r="B3178" s="3" t="s">
        <v>102</v>
      </c>
      <c r="F3178">
        <v>5</v>
      </c>
      <c r="G3178" t="s">
        <v>8607</v>
      </c>
      <c r="H3178">
        <v>35</v>
      </c>
      <c r="I3178" t="s">
        <v>9304</v>
      </c>
      <c r="J3178" t="str">
        <f t="shared" si="49"/>
        <v>135-HR-5.35.C9</v>
      </c>
      <c r="K3178" s="5" t="s">
        <v>8637</v>
      </c>
      <c r="L3178" t="s">
        <v>229</v>
      </c>
      <c r="M3178" t="s">
        <v>8638</v>
      </c>
      <c r="N3178" t="s">
        <v>8639</v>
      </c>
      <c r="Q3178" s="28" t="s">
        <v>8636</v>
      </c>
    </row>
    <row r="3179" spans="1:17" x14ac:dyDescent="0.35">
      <c r="A3179" t="s">
        <v>8520</v>
      </c>
      <c r="B3179" s="3" t="s">
        <v>102</v>
      </c>
      <c r="F3179">
        <v>5</v>
      </c>
      <c r="G3179" t="s">
        <v>8607</v>
      </c>
      <c r="H3179">
        <v>36</v>
      </c>
      <c r="I3179" t="s">
        <v>9305</v>
      </c>
      <c r="J3179" t="str">
        <f t="shared" si="49"/>
        <v>13F-HR-5.36.C10</v>
      </c>
      <c r="K3179" s="5" t="s">
        <v>8640</v>
      </c>
      <c r="L3179" t="s">
        <v>241</v>
      </c>
      <c r="M3179" t="s">
        <v>8641</v>
      </c>
      <c r="N3179" t="s">
        <v>8642</v>
      </c>
      <c r="Q3179" s="28">
        <v>917</v>
      </c>
    </row>
    <row r="3180" spans="1:17" x14ac:dyDescent="0.35">
      <c r="A3180" t="s">
        <v>8520</v>
      </c>
      <c r="B3180" s="3" t="s">
        <v>102</v>
      </c>
      <c r="F3180">
        <v>5</v>
      </c>
      <c r="G3180" t="s">
        <v>8607</v>
      </c>
      <c r="H3180">
        <v>37</v>
      </c>
      <c r="I3180" t="s">
        <v>9306</v>
      </c>
      <c r="J3180" t="str">
        <f t="shared" si="49"/>
        <v>13F-HR-5.37.C11</v>
      </c>
      <c r="K3180" s="5" t="s">
        <v>8643</v>
      </c>
      <c r="L3180" t="s">
        <v>241</v>
      </c>
      <c r="M3180" t="s">
        <v>8644</v>
      </c>
      <c r="N3180" t="s">
        <v>8645</v>
      </c>
      <c r="Q3180" s="28">
        <v>0</v>
      </c>
    </row>
    <row r="3181" spans="1:17" x14ac:dyDescent="0.35">
      <c r="A3181" t="s">
        <v>8520</v>
      </c>
      <c r="B3181" s="3" t="s">
        <v>102</v>
      </c>
      <c r="F3181">
        <v>5</v>
      </c>
      <c r="G3181" t="s">
        <v>8607</v>
      </c>
      <c r="H3181">
        <v>38</v>
      </c>
      <c r="I3181" t="s">
        <v>9307</v>
      </c>
      <c r="J3181" t="str">
        <f t="shared" si="49"/>
        <v>13F-HR-5.38.C12</v>
      </c>
      <c r="K3181" s="5" t="s">
        <v>8646</v>
      </c>
      <c r="L3181" t="s">
        <v>241</v>
      </c>
      <c r="M3181" t="s">
        <v>8647</v>
      </c>
      <c r="N3181" t="s">
        <v>8648</v>
      </c>
      <c r="Q3181" s="28">
        <v>0</v>
      </c>
    </row>
    <row r="3182" spans="1:17" x14ac:dyDescent="0.35">
      <c r="A3182" t="s">
        <v>8520</v>
      </c>
      <c r="B3182" s="3" t="s">
        <v>102</v>
      </c>
      <c r="F3182">
        <v>5</v>
      </c>
      <c r="G3182" t="s">
        <v>8607</v>
      </c>
      <c r="H3182">
        <v>27</v>
      </c>
      <c r="I3182" t="s">
        <v>9296</v>
      </c>
      <c r="J3182" t="str">
        <f t="shared" si="49"/>
        <v>13F-HR-5.27.C1</v>
      </c>
      <c r="K3182" s="5" t="s">
        <v>8608</v>
      </c>
      <c r="L3182" t="s">
        <v>229</v>
      </c>
      <c r="M3182" t="s">
        <v>8609</v>
      </c>
      <c r="N3182" t="s">
        <v>8610</v>
      </c>
      <c r="Q3182" s="28" t="s">
        <v>9052</v>
      </c>
    </row>
    <row r="3183" spans="1:17" x14ac:dyDescent="0.35">
      <c r="A3183" t="s">
        <v>8520</v>
      </c>
      <c r="B3183" s="3" t="s">
        <v>102</v>
      </c>
      <c r="F3183">
        <v>5</v>
      </c>
      <c r="G3183" t="s">
        <v>8607</v>
      </c>
      <c r="H3183">
        <v>28</v>
      </c>
      <c r="I3183" t="s">
        <v>9297</v>
      </c>
      <c r="J3183" t="str">
        <f t="shared" si="49"/>
        <v>13F-HR-5.28.C2</v>
      </c>
      <c r="K3183" s="5" t="s">
        <v>8612</v>
      </c>
      <c r="L3183" t="s">
        <v>229</v>
      </c>
      <c r="M3183" t="s">
        <v>8613</v>
      </c>
      <c r="N3183" t="s">
        <v>8614</v>
      </c>
      <c r="Q3183" s="28" t="s">
        <v>8615</v>
      </c>
    </row>
    <row r="3184" spans="1:17" x14ac:dyDescent="0.35">
      <c r="A3184" t="s">
        <v>8520</v>
      </c>
      <c r="B3184" s="3" t="s">
        <v>102</v>
      </c>
      <c r="F3184">
        <v>5</v>
      </c>
      <c r="G3184" t="s">
        <v>8607</v>
      </c>
      <c r="H3184">
        <v>29</v>
      </c>
      <c r="I3184" t="s">
        <v>9298</v>
      </c>
      <c r="J3184" t="str">
        <f t="shared" si="49"/>
        <v>13F-HR-5.29.C3</v>
      </c>
      <c r="K3184" s="5" t="s">
        <v>8616</v>
      </c>
      <c r="L3184" t="s">
        <v>229</v>
      </c>
      <c r="M3184" t="s">
        <v>7927</v>
      </c>
      <c r="N3184" t="s">
        <v>8617</v>
      </c>
      <c r="Q3184" s="28" t="s">
        <v>9053</v>
      </c>
    </row>
    <row r="3185" spans="1:17" x14ac:dyDescent="0.35">
      <c r="A3185" t="s">
        <v>8520</v>
      </c>
      <c r="B3185" s="3" t="s">
        <v>102</v>
      </c>
      <c r="F3185">
        <v>5</v>
      </c>
      <c r="G3185" t="s">
        <v>8607</v>
      </c>
      <c r="H3185">
        <v>30</v>
      </c>
      <c r="I3185" t="s">
        <v>9299</v>
      </c>
      <c r="J3185" t="str">
        <f t="shared" si="49"/>
        <v>13F-HR-5.30.C4</v>
      </c>
      <c r="K3185" s="5" t="s">
        <v>8618</v>
      </c>
      <c r="L3185" t="s">
        <v>8619</v>
      </c>
      <c r="M3185" t="s">
        <v>8620</v>
      </c>
      <c r="N3185" t="s">
        <v>8621</v>
      </c>
      <c r="Q3185" s="28">
        <v>117095311</v>
      </c>
    </row>
    <row r="3186" spans="1:17" x14ac:dyDescent="0.35">
      <c r="A3186" t="s">
        <v>8520</v>
      </c>
      <c r="B3186" s="3" t="s">
        <v>102</v>
      </c>
      <c r="F3186">
        <v>5</v>
      </c>
      <c r="G3186" t="s">
        <v>8607</v>
      </c>
      <c r="H3186">
        <v>31</v>
      </c>
      <c r="I3186" t="s">
        <v>9300</v>
      </c>
      <c r="J3186" t="str">
        <f t="shared" si="49"/>
        <v>13F-HR-5.31.C5</v>
      </c>
      <c r="K3186" s="5" t="s">
        <v>8622</v>
      </c>
      <c r="L3186" t="s">
        <v>241</v>
      </c>
      <c r="M3186" t="s">
        <v>8623</v>
      </c>
      <c r="N3186" t="s">
        <v>8624</v>
      </c>
      <c r="Q3186" s="28">
        <v>223571</v>
      </c>
    </row>
    <row r="3187" spans="1:17" x14ac:dyDescent="0.35">
      <c r="A3187" t="s">
        <v>8520</v>
      </c>
      <c r="B3187" s="3" t="s">
        <v>102</v>
      </c>
      <c r="F3187">
        <v>5</v>
      </c>
      <c r="G3187" t="s">
        <v>8607</v>
      </c>
      <c r="H3187">
        <v>32</v>
      </c>
      <c r="I3187" t="s">
        <v>9301</v>
      </c>
      <c r="J3187" t="str">
        <f t="shared" si="49"/>
        <v>13F-HR-5.32.C6</v>
      </c>
      <c r="K3187" s="5" t="s">
        <v>8625</v>
      </c>
      <c r="L3187" t="s">
        <v>229</v>
      </c>
      <c r="M3187" t="s">
        <v>8626</v>
      </c>
      <c r="N3187" t="s">
        <v>8627</v>
      </c>
      <c r="Q3187" s="28" t="s">
        <v>8628</v>
      </c>
    </row>
    <row r="3188" spans="1:17" x14ac:dyDescent="0.35">
      <c r="A3188" t="s">
        <v>8520</v>
      </c>
      <c r="B3188" s="3" t="s">
        <v>102</v>
      </c>
      <c r="F3188">
        <v>5</v>
      </c>
      <c r="G3188" t="s">
        <v>8607</v>
      </c>
      <c r="H3188">
        <v>33</v>
      </c>
      <c r="I3188" t="s">
        <v>9302</v>
      </c>
      <c r="J3188" t="str">
        <f t="shared" si="49"/>
        <v>13F-HR-5.33.C7</v>
      </c>
      <c r="K3188" s="5" t="s">
        <v>8629</v>
      </c>
      <c r="L3188" t="s">
        <v>229</v>
      </c>
      <c r="M3188" t="s">
        <v>8630</v>
      </c>
      <c r="N3188" t="s">
        <v>8631</v>
      </c>
      <c r="Q3188" s="28" t="s">
        <v>8685</v>
      </c>
    </row>
    <row r="3189" spans="1:17" x14ac:dyDescent="0.35">
      <c r="A3189" t="s">
        <v>8520</v>
      </c>
      <c r="B3189" s="3" t="s">
        <v>102</v>
      </c>
      <c r="F3189">
        <v>5</v>
      </c>
      <c r="G3189" t="s">
        <v>8607</v>
      </c>
      <c r="H3189">
        <v>34</v>
      </c>
      <c r="I3189" t="s">
        <v>9303</v>
      </c>
      <c r="J3189" t="str">
        <f t="shared" si="49"/>
        <v>13F-HR-5.34.C8</v>
      </c>
      <c r="K3189" s="5" t="s">
        <v>8633</v>
      </c>
      <c r="L3189" t="s">
        <v>4735</v>
      </c>
      <c r="M3189" t="s">
        <v>8634</v>
      </c>
      <c r="N3189" t="s">
        <v>8635</v>
      </c>
      <c r="Q3189" s="28" t="s">
        <v>8632</v>
      </c>
    </row>
    <row r="3190" spans="1:17" x14ac:dyDescent="0.35">
      <c r="A3190" t="s">
        <v>8651</v>
      </c>
      <c r="B3190" s="3" t="s">
        <v>102</v>
      </c>
      <c r="F3190">
        <v>5</v>
      </c>
      <c r="G3190" t="s">
        <v>8607</v>
      </c>
      <c r="H3190">
        <v>35</v>
      </c>
      <c r="I3190" t="s">
        <v>9304</v>
      </c>
      <c r="J3190" t="str">
        <f t="shared" si="49"/>
        <v>135-HR-5.35.C9</v>
      </c>
      <c r="K3190" s="5" t="s">
        <v>8637</v>
      </c>
      <c r="L3190" t="s">
        <v>229</v>
      </c>
      <c r="M3190" t="s">
        <v>8638</v>
      </c>
      <c r="N3190" t="s">
        <v>8639</v>
      </c>
      <c r="Q3190" s="28" t="s">
        <v>8636</v>
      </c>
    </row>
    <row r="3191" spans="1:17" x14ac:dyDescent="0.35">
      <c r="A3191" t="s">
        <v>8520</v>
      </c>
      <c r="B3191" s="3" t="s">
        <v>102</v>
      </c>
      <c r="F3191">
        <v>5</v>
      </c>
      <c r="G3191" t="s">
        <v>8607</v>
      </c>
      <c r="H3191">
        <v>36</v>
      </c>
      <c r="I3191" t="s">
        <v>9305</v>
      </c>
      <c r="J3191" t="str">
        <f t="shared" si="49"/>
        <v>13F-HR-5.36.C10</v>
      </c>
      <c r="K3191" s="5" t="s">
        <v>8640</v>
      </c>
      <c r="L3191" t="s">
        <v>241</v>
      </c>
      <c r="M3191" t="s">
        <v>8641</v>
      </c>
      <c r="N3191" t="s">
        <v>8642</v>
      </c>
      <c r="Q3191" s="28">
        <v>90044</v>
      </c>
    </row>
    <row r="3192" spans="1:17" x14ac:dyDescent="0.35">
      <c r="A3192" t="s">
        <v>8520</v>
      </c>
      <c r="B3192" s="3" t="s">
        <v>102</v>
      </c>
      <c r="F3192">
        <v>5</v>
      </c>
      <c r="G3192" t="s">
        <v>8607</v>
      </c>
      <c r="H3192">
        <v>37</v>
      </c>
      <c r="I3192" t="s">
        <v>9306</v>
      </c>
      <c r="J3192" t="str">
        <f t="shared" si="49"/>
        <v>13F-HR-5.37.C11</v>
      </c>
      <c r="K3192" s="5" t="s">
        <v>8643</v>
      </c>
      <c r="L3192" t="s">
        <v>241</v>
      </c>
      <c r="M3192" t="s">
        <v>8644</v>
      </c>
      <c r="N3192" t="s">
        <v>8645</v>
      </c>
      <c r="Q3192" s="28">
        <v>0</v>
      </c>
    </row>
    <row r="3193" spans="1:17" x14ac:dyDescent="0.35">
      <c r="A3193" t="s">
        <v>8520</v>
      </c>
      <c r="B3193" s="3" t="s">
        <v>102</v>
      </c>
      <c r="F3193">
        <v>5</v>
      </c>
      <c r="G3193" t="s">
        <v>8607</v>
      </c>
      <c r="H3193">
        <v>38</v>
      </c>
      <c r="I3193" t="s">
        <v>9307</v>
      </c>
      <c r="J3193" t="str">
        <f t="shared" si="49"/>
        <v>13F-HR-5.38.C12</v>
      </c>
      <c r="K3193" s="5" t="s">
        <v>8646</v>
      </c>
      <c r="L3193" t="s">
        <v>241</v>
      </c>
      <c r="M3193" t="s">
        <v>8647</v>
      </c>
      <c r="N3193" t="s">
        <v>8648</v>
      </c>
      <c r="Q3193" s="28">
        <v>133527</v>
      </c>
    </row>
    <row r="3194" spans="1:17" x14ac:dyDescent="0.35">
      <c r="A3194" t="s">
        <v>8520</v>
      </c>
      <c r="B3194" s="3" t="s">
        <v>102</v>
      </c>
      <c r="F3194">
        <v>5</v>
      </c>
      <c r="G3194" t="s">
        <v>8607</v>
      </c>
      <c r="H3194">
        <v>27</v>
      </c>
      <c r="I3194" t="s">
        <v>9296</v>
      </c>
      <c r="J3194" t="str">
        <f t="shared" si="49"/>
        <v>13F-HR-5.27.C1</v>
      </c>
      <c r="K3194" t="s">
        <v>8608</v>
      </c>
      <c r="L3194" t="s">
        <v>229</v>
      </c>
      <c r="M3194" t="s">
        <v>8609</v>
      </c>
      <c r="N3194" t="s">
        <v>8610</v>
      </c>
      <c r="Q3194" s="28" t="s">
        <v>9054</v>
      </c>
    </row>
    <row r="3195" spans="1:17" x14ac:dyDescent="0.35">
      <c r="A3195" t="s">
        <v>8520</v>
      </c>
      <c r="B3195" s="3" t="s">
        <v>102</v>
      </c>
      <c r="F3195">
        <v>5</v>
      </c>
      <c r="G3195" t="s">
        <v>8607</v>
      </c>
      <c r="H3195">
        <v>28</v>
      </c>
      <c r="I3195" t="s">
        <v>9297</v>
      </c>
      <c r="J3195" t="str">
        <f t="shared" si="49"/>
        <v>13F-HR-5.28.C2</v>
      </c>
      <c r="K3195" t="s">
        <v>8612</v>
      </c>
      <c r="L3195" t="s">
        <v>229</v>
      </c>
      <c r="M3195" t="s">
        <v>8613</v>
      </c>
      <c r="N3195" t="s">
        <v>8614</v>
      </c>
      <c r="Q3195" s="28" t="s">
        <v>8615</v>
      </c>
    </row>
    <row r="3196" spans="1:17" x14ac:dyDescent="0.35">
      <c r="A3196" t="s">
        <v>8520</v>
      </c>
      <c r="B3196" s="3" t="s">
        <v>102</v>
      </c>
      <c r="F3196">
        <v>5</v>
      </c>
      <c r="G3196" t="s">
        <v>8607</v>
      </c>
      <c r="H3196">
        <v>29</v>
      </c>
      <c r="I3196" t="s">
        <v>9298</v>
      </c>
      <c r="J3196" t="str">
        <f t="shared" si="49"/>
        <v>13F-HR-5.29.C3</v>
      </c>
      <c r="K3196" t="s">
        <v>8616</v>
      </c>
      <c r="L3196" t="s">
        <v>229</v>
      </c>
      <c r="M3196" t="s">
        <v>7927</v>
      </c>
      <c r="N3196" t="s">
        <v>8617</v>
      </c>
      <c r="Q3196" s="28" t="s">
        <v>9055</v>
      </c>
    </row>
    <row r="3197" spans="1:17" x14ac:dyDescent="0.35">
      <c r="A3197" t="s">
        <v>8520</v>
      </c>
      <c r="B3197" s="3" t="s">
        <v>102</v>
      </c>
      <c r="F3197">
        <v>5</v>
      </c>
      <c r="G3197" t="s">
        <v>8607</v>
      </c>
      <c r="H3197">
        <v>30</v>
      </c>
      <c r="I3197" t="s">
        <v>9299</v>
      </c>
      <c r="J3197" t="str">
        <f t="shared" si="49"/>
        <v>13F-HR-5.30.C4</v>
      </c>
      <c r="K3197" t="s">
        <v>8618</v>
      </c>
      <c r="L3197" t="s">
        <v>8619</v>
      </c>
      <c r="M3197" t="s">
        <v>8620</v>
      </c>
      <c r="N3197" t="s">
        <v>8621</v>
      </c>
      <c r="Q3197" s="28">
        <v>5028468</v>
      </c>
    </row>
    <row r="3198" spans="1:17" x14ac:dyDescent="0.35">
      <c r="A3198" t="s">
        <v>8520</v>
      </c>
      <c r="B3198" s="3" t="s">
        <v>102</v>
      </c>
      <c r="F3198">
        <v>5</v>
      </c>
      <c r="G3198" t="s">
        <v>8607</v>
      </c>
      <c r="H3198">
        <v>31</v>
      </c>
      <c r="I3198" t="s">
        <v>9300</v>
      </c>
      <c r="J3198" t="str">
        <f t="shared" si="49"/>
        <v>13F-HR-5.31.C5</v>
      </c>
      <c r="K3198" t="s">
        <v>8622</v>
      </c>
      <c r="L3198" t="s">
        <v>241</v>
      </c>
      <c r="M3198" t="s">
        <v>8623</v>
      </c>
      <c r="N3198" t="s">
        <v>8624</v>
      </c>
      <c r="Q3198" s="28">
        <v>31424</v>
      </c>
    </row>
    <row r="3199" spans="1:17" x14ac:dyDescent="0.35">
      <c r="A3199" t="s">
        <v>8520</v>
      </c>
      <c r="B3199" s="3" t="s">
        <v>102</v>
      </c>
      <c r="F3199">
        <v>5</v>
      </c>
      <c r="G3199" t="s">
        <v>8607</v>
      </c>
      <c r="H3199">
        <v>32</v>
      </c>
      <c r="I3199" t="s">
        <v>9301</v>
      </c>
      <c r="J3199" t="str">
        <f t="shared" si="49"/>
        <v>13F-HR-5.32.C6</v>
      </c>
      <c r="K3199" t="s">
        <v>8625</v>
      </c>
      <c r="L3199" t="s">
        <v>229</v>
      </c>
      <c r="M3199" t="s">
        <v>8626</v>
      </c>
      <c r="N3199" t="s">
        <v>8627</v>
      </c>
      <c r="Q3199" s="28" t="s">
        <v>8628</v>
      </c>
    </row>
    <row r="3200" spans="1:17" x14ac:dyDescent="0.35">
      <c r="A3200" t="s">
        <v>8520</v>
      </c>
      <c r="B3200" s="3" t="s">
        <v>102</v>
      </c>
      <c r="F3200">
        <v>5</v>
      </c>
      <c r="G3200" t="s">
        <v>8607</v>
      </c>
      <c r="H3200">
        <v>33</v>
      </c>
      <c r="I3200" t="s">
        <v>9302</v>
      </c>
      <c r="J3200" t="str">
        <f t="shared" si="49"/>
        <v>13F-HR-5.33.C7</v>
      </c>
      <c r="K3200" t="s">
        <v>8629</v>
      </c>
      <c r="L3200" t="s">
        <v>229</v>
      </c>
      <c r="M3200" t="s">
        <v>8630</v>
      </c>
      <c r="N3200" t="s">
        <v>8631</v>
      </c>
      <c r="Q3200" s="28" t="s">
        <v>8685</v>
      </c>
    </row>
    <row r="3201" spans="1:17" x14ac:dyDescent="0.35">
      <c r="A3201" t="s">
        <v>8520</v>
      </c>
      <c r="B3201" s="3" t="s">
        <v>102</v>
      </c>
      <c r="F3201">
        <v>5</v>
      </c>
      <c r="G3201" t="s">
        <v>8607</v>
      </c>
      <c r="H3201">
        <v>34</v>
      </c>
      <c r="I3201" t="s">
        <v>9303</v>
      </c>
      <c r="J3201" t="str">
        <f t="shared" si="49"/>
        <v>13F-HR-5.34.C8</v>
      </c>
      <c r="K3201" t="s">
        <v>8633</v>
      </c>
      <c r="L3201" t="s">
        <v>4735</v>
      </c>
      <c r="M3201" t="s">
        <v>8634</v>
      </c>
      <c r="N3201" t="s">
        <v>8635</v>
      </c>
      <c r="Q3201" s="28" t="s">
        <v>8632</v>
      </c>
    </row>
    <row r="3202" spans="1:17" x14ac:dyDescent="0.35">
      <c r="A3202" t="s">
        <v>8651</v>
      </c>
      <c r="B3202" s="3" t="s">
        <v>102</v>
      </c>
      <c r="F3202">
        <v>5</v>
      </c>
      <c r="G3202" t="s">
        <v>8607</v>
      </c>
      <c r="H3202">
        <v>35</v>
      </c>
      <c r="I3202" t="s">
        <v>9304</v>
      </c>
      <c r="J3202" t="str">
        <f t="shared" si="49"/>
        <v>135-HR-5.35.C9</v>
      </c>
      <c r="K3202" t="s">
        <v>8637</v>
      </c>
      <c r="L3202" t="s">
        <v>229</v>
      </c>
      <c r="M3202" t="s">
        <v>8638</v>
      </c>
      <c r="N3202" t="s">
        <v>8639</v>
      </c>
      <c r="Q3202" s="28" t="s">
        <v>8636</v>
      </c>
    </row>
    <row r="3203" spans="1:17" x14ac:dyDescent="0.35">
      <c r="A3203" t="s">
        <v>8520</v>
      </c>
      <c r="B3203" s="3" t="s">
        <v>102</v>
      </c>
      <c r="F3203">
        <v>5</v>
      </c>
      <c r="G3203" t="s">
        <v>8607</v>
      </c>
      <c r="H3203">
        <v>36</v>
      </c>
      <c r="I3203" t="s">
        <v>9305</v>
      </c>
      <c r="J3203" t="str">
        <f t="shared" ref="J3203:J3266" si="50">_xlfn.CONCAT(A3203,"-",F3203,".",H3203,".",I3203)</f>
        <v>13F-HR-5.36.C10</v>
      </c>
      <c r="K3203" t="s">
        <v>8640</v>
      </c>
      <c r="L3203" t="s">
        <v>241</v>
      </c>
      <c r="M3203" t="s">
        <v>8641</v>
      </c>
      <c r="N3203" t="s">
        <v>8642</v>
      </c>
      <c r="Q3203" s="28">
        <v>6191</v>
      </c>
    </row>
    <row r="3204" spans="1:17" x14ac:dyDescent="0.35">
      <c r="A3204" t="s">
        <v>8520</v>
      </c>
      <c r="B3204" s="3" t="s">
        <v>102</v>
      </c>
      <c r="F3204">
        <v>5</v>
      </c>
      <c r="G3204" t="s">
        <v>8607</v>
      </c>
      <c r="H3204">
        <v>37</v>
      </c>
      <c r="I3204" t="s">
        <v>9306</v>
      </c>
      <c r="J3204" t="str">
        <f t="shared" si="50"/>
        <v>13F-HR-5.37.C11</v>
      </c>
      <c r="K3204" t="s">
        <v>8643</v>
      </c>
      <c r="L3204" t="s">
        <v>241</v>
      </c>
      <c r="M3204" t="s">
        <v>8644</v>
      </c>
      <c r="N3204" t="s">
        <v>8645</v>
      </c>
      <c r="Q3204" s="28">
        <v>0</v>
      </c>
    </row>
    <row r="3205" spans="1:17" x14ac:dyDescent="0.35">
      <c r="A3205" t="s">
        <v>8520</v>
      </c>
      <c r="B3205" s="3" t="s">
        <v>102</v>
      </c>
      <c r="F3205">
        <v>5</v>
      </c>
      <c r="G3205" t="s">
        <v>8607</v>
      </c>
      <c r="H3205">
        <v>38</v>
      </c>
      <c r="I3205" t="s">
        <v>9307</v>
      </c>
      <c r="J3205" t="str">
        <f t="shared" si="50"/>
        <v>13F-HR-5.38.C12</v>
      </c>
      <c r="K3205" t="s">
        <v>8646</v>
      </c>
      <c r="L3205" t="s">
        <v>241</v>
      </c>
      <c r="M3205" t="s">
        <v>8647</v>
      </c>
      <c r="N3205" t="s">
        <v>8648</v>
      </c>
      <c r="Q3205" s="28">
        <v>25233</v>
      </c>
    </row>
    <row r="3206" spans="1:17" x14ac:dyDescent="0.35">
      <c r="A3206" t="s">
        <v>8520</v>
      </c>
      <c r="B3206" s="3" t="s">
        <v>102</v>
      </c>
      <c r="F3206">
        <v>5</v>
      </c>
      <c r="G3206" t="s">
        <v>8607</v>
      </c>
      <c r="H3206">
        <v>27</v>
      </c>
      <c r="I3206" t="s">
        <v>9296</v>
      </c>
      <c r="J3206" t="str">
        <f t="shared" si="50"/>
        <v>13F-HR-5.27.C1</v>
      </c>
      <c r="K3206" s="5" t="s">
        <v>8608</v>
      </c>
      <c r="L3206" t="s">
        <v>229</v>
      </c>
      <c r="M3206" t="s">
        <v>8609</v>
      </c>
      <c r="N3206" t="s">
        <v>8610</v>
      </c>
      <c r="Q3206" s="28" t="s">
        <v>9056</v>
      </c>
    </row>
    <row r="3207" spans="1:17" x14ac:dyDescent="0.35">
      <c r="A3207" t="s">
        <v>8520</v>
      </c>
      <c r="B3207" s="3" t="s">
        <v>102</v>
      </c>
      <c r="F3207">
        <v>5</v>
      </c>
      <c r="G3207" t="s">
        <v>8607</v>
      </c>
      <c r="H3207">
        <v>28</v>
      </c>
      <c r="I3207" t="s">
        <v>9297</v>
      </c>
      <c r="J3207" t="str">
        <f t="shared" si="50"/>
        <v>13F-HR-5.28.C2</v>
      </c>
      <c r="K3207" s="5" t="s">
        <v>8612</v>
      </c>
      <c r="L3207" t="s">
        <v>229</v>
      </c>
      <c r="M3207" t="s">
        <v>8613</v>
      </c>
      <c r="N3207" t="s">
        <v>8614</v>
      </c>
      <c r="Q3207" s="28" t="s">
        <v>8698</v>
      </c>
    </row>
    <row r="3208" spans="1:17" x14ac:dyDescent="0.35">
      <c r="A3208" t="s">
        <v>8520</v>
      </c>
      <c r="B3208" s="3" t="s">
        <v>102</v>
      </c>
      <c r="F3208">
        <v>5</v>
      </c>
      <c r="G3208" t="s">
        <v>8607</v>
      </c>
      <c r="H3208">
        <v>29</v>
      </c>
      <c r="I3208" t="s">
        <v>9298</v>
      </c>
      <c r="J3208" t="str">
        <f t="shared" si="50"/>
        <v>13F-HR-5.29.C3</v>
      </c>
      <c r="K3208" s="5" t="s">
        <v>8616</v>
      </c>
      <c r="L3208" t="s">
        <v>229</v>
      </c>
      <c r="M3208" t="s">
        <v>7927</v>
      </c>
      <c r="N3208" t="s">
        <v>8617</v>
      </c>
      <c r="Q3208" s="28">
        <v>9.1911999999999992E+109</v>
      </c>
    </row>
    <row r="3209" spans="1:17" x14ac:dyDescent="0.35">
      <c r="A3209" t="s">
        <v>8520</v>
      </c>
      <c r="B3209" s="3" t="s">
        <v>102</v>
      </c>
      <c r="F3209">
        <v>5</v>
      </c>
      <c r="G3209" t="s">
        <v>8607</v>
      </c>
      <c r="H3209">
        <v>30</v>
      </c>
      <c r="I3209" t="s">
        <v>9299</v>
      </c>
      <c r="J3209" t="str">
        <f t="shared" si="50"/>
        <v>13F-HR-5.30.C4</v>
      </c>
      <c r="K3209" s="5" t="s">
        <v>8618</v>
      </c>
      <c r="L3209" t="s">
        <v>8619</v>
      </c>
      <c r="M3209" t="s">
        <v>8620</v>
      </c>
      <c r="N3209" t="s">
        <v>8621</v>
      </c>
      <c r="Q3209" s="28">
        <v>3510265</v>
      </c>
    </row>
    <row r="3210" spans="1:17" x14ac:dyDescent="0.35">
      <c r="A3210" t="s">
        <v>8520</v>
      </c>
      <c r="B3210" s="3" t="s">
        <v>102</v>
      </c>
      <c r="F3210">
        <v>5</v>
      </c>
      <c r="G3210" t="s">
        <v>8607</v>
      </c>
      <c r="H3210">
        <v>31</v>
      </c>
      <c r="I3210" t="s">
        <v>9300</v>
      </c>
      <c r="J3210" t="str">
        <f t="shared" si="50"/>
        <v>13F-HR-5.31.C5</v>
      </c>
      <c r="K3210" s="5" t="s">
        <v>8622</v>
      </c>
      <c r="L3210" t="s">
        <v>241</v>
      </c>
      <c r="M3210" t="s">
        <v>8623</v>
      </c>
      <c r="N3210" t="s">
        <v>8624</v>
      </c>
      <c r="Q3210" s="28">
        <v>351730</v>
      </c>
    </row>
    <row r="3211" spans="1:17" x14ac:dyDescent="0.35">
      <c r="A3211" t="s">
        <v>8520</v>
      </c>
      <c r="B3211" s="3" t="s">
        <v>102</v>
      </c>
      <c r="F3211">
        <v>5</v>
      </c>
      <c r="G3211" t="s">
        <v>8607</v>
      </c>
      <c r="H3211">
        <v>32</v>
      </c>
      <c r="I3211" t="s">
        <v>9301</v>
      </c>
      <c r="J3211" t="str">
        <f t="shared" si="50"/>
        <v>13F-HR-5.32.C6</v>
      </c>
      <c r="K3211" s="5" t="s">
        <v>8625</v>
      </c>
      <c r="L3211" t="s">
        <v>229</v>
      </c>
      <c r="M3211" t="s">
        <v>8626</v>
      </c>
      <c r="N3211" t="s">
        <v>8627</v>
      </c>
      <c r="Q3211" s="28" t="s">
        <v>8628</v>
      </c>
    </row>
    <row r="3212" spans="1:17" x14ac:dyDescent="0.35">
      <c r="A3212" t="s">
        <v>8520</v>
      </c>
      <c r="B3212" s="3" t="s">
        <v>102</v>
      </c>
      <c r="F3212">
        <v>5</v>
      </c>
      <c r="G3212" t="s">
        <v>8607</v>
      </c>
      <c r="H3212">
        <v>33</v>
      </c>
      <c r="I3212" t="s">
        <v>9302</v>
      </c>
      <c r="J3212" t="str">
        <f t="shared" si="50"/>
        <v>13F-HR-5.33.C7</v>
      </c>
      <c r="K3212" s="5" t="s">
        <v>8629</v>
      </c>
      <c r="L3212" t="s">
        <v>229</v>
      </c>
      <c r="M3212" t="s">
        <v>8630</v>
      </c>
      <c r="N3212" t="s">
        <v>8631</v>
      </c>
      <c r="Q3212" s="28" t="s">
        <v>8685</v>
      </c>
    </row>
    <row r="3213" spans="1:17" x14ac:dyDescent="0.35">
      <c r="A3213" t="s">
        <v>8520</v>
      </c>
      <c r="B3213" s="3" t="s">
        <v>102</v>
      </c>
      <c r="F3213">
        <v>5</v>
      </c>
      <c r="G3213" t="s">
        <v>8607</v>
      </c>
      <c r="H3213">
        <v>34</v>
      </c>
      <c r="I3213" t="s">
        <v>9303</v>
      </c>
      <c r="J3213" t="str">
        <f t="shared" si="50"/>
        <v>13F-HR-5.34.C8</v>
      </c>
      <c r="K3213" s="5" t="s">
        <v>8633</v>
      </c>
      <c r="L3213" t="s">
        <v>4735</v>
      </c>
      <c r="M3213" t="s">
        <v>8634</v>
      </c>
      <c r="N3213" t="s">
        <v>8635</v>
      </c>
      <c r="Q3213" s="28" t="s">
        <v>8632</v>
      </c>
    </row>
    <row r="3214" spans="1:17" x14ac:dyDescent="0.35">
      <c r="A3214" t="s">
        <v>8651</v>
      </c>
      <c r="B3214" s="3" t="s">
        <v>102</v>
      </c>
      <c r="F3214">
        <v>5</v>
      </c>
      <c r="G3214" t="s">
        <v>8607</v>
      </c>
      <c r="H3214">
        <v>35</v>
      </c>
      <c r="I3214" t="s">
        <v>9304</v>
      </c>
      <c r="J3214" t="str">
        <f t="shared" si="50"/>
        <v>135-HR-5.35.C9</v>
      </c>
      <c r="K3214" s="5" t="s">
        <v>8637</v>
      </c>
      <c r="L3214" t="s">
        <v>229</v>
      </c>
      <c r="M3214" t="s">
        <v>8638</v>
      </c>
      <c r="N3214" t="s">
        <v>8639</v>
      </c>
      <c r="Q3214" s="28" t="s">
        <v>8636</v>
      </c>
    </row>
    <row r="3215" spans="1:17" x14ac:dyDescent="0.35">
      <c r="A3215" t="s">
        <v>8520</v>
      </c>
      <c r="B3215" s="3" t="s">
        <v>102</v>
      </c>
      <c r="F3215">
        <v>5</v>
      </c>
      <c r="G3215" t="s">
        <v>8607</v>
      </c>
      <c r="H3215">
        <v>36</v>
      </c>
      <c r="I3215" t="s">
        <v>9305</v>
      </c>
      <c r="J3215" t="str">
        <f t="shared" si="50"/>
        <v>13F-HR-5.36.C10</v>
      </c>
      <c r="K3215" s="5" t="s">
        <v>8640</v>
      </c>
      <c r="L3215" t="s">
        <v>241</v>
      </c>
      <c r="M3215" t="s">
        <v>8641</v>
      </c>
      <c r="N3215" t="s">
        <v>8642</v>
      </c>
      <c r="Q3215" s="28">
        <v>351730</v>
      </c>
    </row>
    <row r="3216" spans="1:17" x14ac:dyDescent="0.35">
      <c r="A3216" t="s">
        <v>8520</v>
      </c>
      <c r="B3216" s="3" t="s">
        <v>102</v>
      </c>
      <c r="F3216">
        <v>5</v>
      </c>
      <c r="G3216" t="s">
        <v>8607</v>
      </c>
      <c r="H3216">
        <v>37</v>
      </c>
      <c r="I3216" t="s">
        <v>9306</v>
      </c>
      <c r="J3216" t="str">
        <f t="shared" si="50"/>
        <v>13F-HR-5.37.C11</v>
      </c>
      <c r="K3216" s="5" t="s">
        <v>8643</v>
      </c>
      <c r="L3216" t="s">
        <v>241</v>
      </c>
      <c r="M3216" t="s">
        <v>8644</v>
      </c>
      <c r="N3216" t="s">
        <v>8645</v>
      </c>
      <c r="Q3216" s="28">
        <v>0</v>
      </c>
    </row>
    <row r="3217" spans="1:17" x14ac:dyDescent="0.35">
      <c r="A3217" t="s">
        <v>8520</v>
      </c>
      <c r="B3217" s="3" t="s">
        <v>102</v>
      </c>
      <c r="F3217">
        <v>5</v>
      </c>
      <c r="G3217" t="s">
        <v>8607</v>
      </c>
      <c r="H3217">
        <v>38</v>
      </c>
      <c r="I3217" t="s">
        <v>9307</v>
      </c>
      <c r="J3217" t="str">
        <f t="shared" si="50"/>
        <v>13F-HR-5.38.C12</v>
      </c>
      <c r="K3217" s="5" t="s">
        <v>8646</v>
      </c>
      <c r="L3217" t="s">
        <v>241</v>
      </c>
      <c r="M3217" t="s">
        <v>8647</v>
      </c>
      <c r="N3217" t="s">
        <v>8648</v>
      </c>
      <c r="Q3217" s="28">
        <v>0</v>
      </c>
    </row>
    <row r="3218" spans="1:17" x14ac:dyDescent="0.35">
      <c r="A3218" t="s">
        <v>8520</v>
      </c>
      <c r="B3218" s="3" t="s">
        <v>102</v>
      </c>
      <c r="F3218">
        <v>5</v>
      </c>
      <c r="G3218" t="s">
        <v>8607</v>
      </c>
      <c r="H3218">
        <v>27</v>
      </c>
      <c r="I3218" t="s">
        <v>9296</v>
      </c>
      <c r="J3218" t="str">
        <f t="shared" si="50"/>
        <v>13F-HR-5.27.C1</v>
      </c>
      <c r="K3218" s="5" t="s">
        <v>8608</v>
      </c>
      <c r="L3218" t="s">
        <v>229</v>
      </c>
      <c r="M3218" t="s">
        <v>8609</v>
      </c>
      <c r="N3218" t="s">
        <v>8610</v>
      </c>
      <c r="Q3218" s="28" t="s">
        <v>9057</v>
      </c>
    </row>
    <row r="3219" spans="1:17" x14ac:dyDescent="0.35">
      <c r="A3219" t="s">
        <v>8520</v>
      </c>
      <c r="B3219" s="3" t="s">
        <v>102</v>
      </c>
      <c r="F3219">
        <v>5</v>
      </c>
      <c r="G3219" t="s">
        <v>8607</v>
      </c>
      <c r="H3219">
        <v>28</v>
      </c>
      <c r="I3219" t="s">
        <v>9297</v>
      </c>
      <c r="J3219" t="str">
        <f t="shared" si="50"/>
        <v>13F-HR-5.28.C2</v>
      </c>
      <c r="K3219" s="5" t="s">
        <v>8612</v>
      </c>
      <c r="L3219" t="s">
        <v>229</v>
      </c>
      <c r="M3219" t="s">
        <v>8613</v>
      </c>
      <c r="N3219" t="s">
        <v>8614</v>
      </c>
      <c r="Q3219" s="28" t="s">
        <v>8800</v>
      </c>
    </row>
    <row r="3220" spans="1:17" x14ac:dyDescent="0.35">
      <c r="A3220" t="s">
        <v>8520</v>
      </c>
      <c r="B3220" s="3" t="s">
        <v>102</v>
      </c>
      <c r="F3220">
        <v>5</v>
      </c>
      <c r="G3220" t="s">
        <v>8607</v>
      </c>
      <c r="H3220">
        <v>29</v>
      </c>
      <c r="I3220" t="s">
        <v>9298</v>
      </c>
      <c r="J3220" t="str">
        <f t="shared" si="50"/>
        <v>13F-HR-5.29.C3</v>
      </c>
      <c r="K3220" s="5" t="s">
        <v>8616</v>
      </c>
      <c r="L3220" t="s">
        <v>229</v>
      </c>
      <c r="M3220" t="s">
        <v>7927</v>
      </c>
      <c r="N3220" t="s">
        <v>8617</v>
      </c>
      <c r="Q3220" s="28" t="s">
        <v>9058</v>
      </c>
    </row>
    <row r="3221" spans="1:17" x14ac:dyDescent="0.35">
      <c r="A3221" t="s">
        <v>8520</v>
      </c>
      <c r="B3221" s="3" t="s">
        <v>102</v>
      </c>
      <c r="F3221">
        <v>5</v>
      </c>
      <c r="G3221" t="s">
        <v>8607</v>
      </c>
      <c r="H3221">
        <v>30</v>
      </c>
      <c r="I3221" t="s">
        <v>9299</v>
      </c>
      <c r="J3221" t="str">
        <f t="shared" si="50"/>
        <v>13F-HR-5.30.C4</v>
      </c>
      <c r="K3221" s="5" t="s">
        <v>8618</v>
      </c>
      <c r="L3221" t="s">
        <v>8619</v>
      </c>
      <c r="M3221" t="s">
        <v>8620</v>
      </c>
      <c r="N3221" t="s">
        <v>8621</v>
      </c>
      <c r="Q3221" s="28">
        <v>227448</v>
      </c>
    </row>
    <row r="3222" spans="1:17" x14ac:dyDescent="0.35">
      <c r="A3222" t="s">
        <v>8520</v>
      </c>
      <c r="B3222" s="3" t="s">
        <v>102</v>
      </c>
      <c r="F3222">
        <v>5</v>
      </c>
      <c r="G3222" t="s">
        <v>8607</v>
      </c>
      <c r="H3222">
        <v>31</v>
      </c>
      <c r="I3222" t="s">
        <v>9300</v>
      </c>
      <c r="J3222" t="str">
        <f t="shared" si="50"/>
        <v>13F-HR-5.31.C5</v>
      </c>
      <c r="K3222" s="5" t="s">
        <v>8622</v>
      </c>
      <c r="L3222" t="s">
        <v>241</v>
      </c>
      <c r="M3222" t="s">
        <v>8623</v>
      </c>
      <c r="N3222" t="s">
        <v>8624</v>
      </c>
      <c r="Q3222" s="28">
        <v>2334</v>
      </c>
    </row>
    <row r="3223" spans="1:17" x14ac:dyDescent="0.35">
      <c r="A3223" t="s">
        <v>8520</v>
      </c>
      <c r="B3223" s="3" t="s">
        <v>102</v>
      </c>
      <c r="F3223">
        <v>5</v>
      </c>
      <c r="G3223" t="s">
        <v>8607</v>
      </c>
      <c r="H3223">
        <v>32</v>
      </c>
      <c r="I3223" t="s">
        <v>9301</v>
      </c>
      <c r="J3223" t="str">
        <f t="shared" si="50"/>
        <v>13F-HR-5.32.C6</v>
      </c>
      <c r="K3223" s="5" t="s">
        <v>8625</v>
      </c>
      <c r="L3223" t="s">
        <v>229</v>
      </c>
      <c r="M3223" t="s">
        <v>8626</v>
      </c>
      <c r="N3223" t="s">
        <v>8627</v>
      </c>
      <c r="Q3223" s="28" t="s">
        <v>8628</v>
      </c>
    </row>
    <row r="3224" spans="1:17" x14ac:dyDescent="0.35">
      <c r="A3224" t="s">
        <v>8520</v>
      </c>
      <c r="B3224" s="3" t="s">
        <v>102</v>
      </c>
      <c r="F3224">
        <v>5</v>
      </c>
      <c r="G3224" t="s">
        <v>8607</v>
      </c>
      <c r="H3224">
        <v>33</v>
      </c>
      <c r="I3224" t="s">
        <v>9302</v>
      </c>
      <c r="J3224" t="str">
        <f t="shared" si="50"/>
        <v>13F-HR-5.33.C7</v>
      </c>
      <c r="K3224" s="5" t="s">
        <v>8629</v>
      </c>
      <c r="L3224" t="s">
        <v>229</v>
      </c>
      <c r="M3224" t="s">
        <v>8630</v>
      </c>
      <c r="N3224" t="s">
        <v>8631</v>
      </c>
      <c r="Q3224" s="28" t="s">
        <v>8685</v>
      </c>
    </row>
    <row r="3225" spans="1:17" x14ac:dyDescent="0.35">
      <c r="A3225" t="s">
        <v>8520</v>
      </c>
      <c r="B3225" s="3" t="s">
        <v>102</v>
      </c>
      <c r="F3225">
        <v>5</v>
      </c>
      <c r="G3225" t="s">
        <v>8607</v>
      </c>
      <c r="H3225">
        <v>34</v>
      </c>
      <c r="I3225" t="s">
        <v>9303</v>
      </c>
      <c r="J3225" t="str">
        <f t="shared" si="50"/>
        <v>13F-HR-5.34.C8</v>
      </c>
      <c r="K3225" s="5" t="s">
        <v>8633</v>
      </c>
      <c r="L3225" t="s">
        <v>4735</v>
      </c>
      <c r="M3225" t="s">
        <v>8634</v>
      </c>
      <c r="N3225" t="s">
        <v>8635</v>
      </c>
      <c r="Q3225" s="28" t="s">
        <v>8632</v>
      </c>
    </row>
    <row r="3226" spans="1:17" x14ac:dyDescent="0.35">
      <c r="A3226" t="s">
        <v>8520</v>
      </c>
      <c r="B3226" s="3" t="s">
        <v>102</v>
      </c>
      <c r="F3226">
        <v>5</v>
      </c>
      <c r="G3226" t="s">
        <v>8607</v>
      </c>
      <c r="H3226">
        <v>35</v>
      </c>
      <c r="I3226" t="s">
        <v>9304</v>
      </c>
      <c r="J3226" t="str">
        <f t="shared" si="50"/>
        <v>13F-HR-5.35.C9</v>
      </c>
      <c r="K3226" s="5" t="s">
        <v>8637</v>
      </c>
      <c r="L3226" t="s">
        <v>229</v>
      </c>
      <c r="M3226" t="s">
        <v>8638</v>
      </c>
      <c r="N3226" t="s">
        <v>8639</v>
      </c>
      <c r="Q3226" s="28" t="s">
        <v>8636</v>
      </c>
    </row>
    <row r="3227" spans="1:17" x14ac:dyDescent="0.35">
      <c r="A3227" t="s">
        <v>8520</v>
      </c>
      <c r="B3227" s="3" t="s">
        <v>102</v>
      </c>
      <c r="F3227">
        <v>5</v>
      </c>
      <c r="G3227" t="s">
        <v>8607</v>
      </c>
      <c r="H3227">
        <v>36</v>
      </c>
      <c r="I3227" t="s">
        <v>9305</v>
      </c>
      <c r="J3227" t="str">
        <f t="shared" si="50"/>
        <v>13F-HR-5.36.C10</v>
      </c>
      <c r="K3227" s="5" t="s">
        <v>8640</v>
      </c>
      <c r="L3227" t="s">
        <v>241</v>
      </c>
      <c r="M3227" t="s">
        <v>8641</v>
      </c>
      <c r="N3227" t="s">
        <v>8642</v>
      </c>
      <c r="Q3227" s="28">
        <v>1838</v>
      </c>
    </row>
    <row r="3228" spans="1:17" x14ac:dyDescent="0.35">
      <c r="A3228" t="s">
        <v>8520</v>
      </c>
      <c r="B3228" s="3" t="s">
        <v>102</v>
      </c>
      <c r="F3228">
        <v>5</v>
      </c>
      <c r="G3228" t="s">
        <v>8607</v>
      </c>
      <c r="H3228">
        <v>37</v>
      </c>
      <c r="I3228" t="s">
        <v>9306</v>
      </c>
      <c r="J3228" t="str">
        <f t="shared" si="50"/>
        <v>13F-HR-5.37.C11</v>
      </c>
      <c r="K3228" s="5" t="s">
        <v>8643</v>
      </c>
      <c r="L3228" t="s">
        <v>241</v>
      </c>
      <c r="M3228" t="s">
        <v>8644</v>
      </c>
      <c r="N3228" t="s">
        <v>8645</v>
      </c>
      <c r="Q3228" s="28">
        <v>0</v>
      </c>
    </row>
    <row r="3229" spans="1:17" x14ac:dyDescent="0.35">
      <c r="A3229" t="s">
        <v>8520</v>
      </c>
      <c r="B3229" s="3" t="s">
        <v>102</v>
      </c>
      <c r="F3229">
        <v>5</v>
      </c>
      <c r="G3229" t="s">
        <v>8607</v>
      </c>
      <c r="H3229">
        <v>38</v>
      </c>
      <c r="I3229" t="s">
        <v>9307</v>
      </c>
      <c r="J3229" t="str">
        <f t="shared" si="50"/>
        <v>13F-HR-5.38.C12</v>
      </c>
      <c r="K3229" s="5" t="s">
        <v>8646</v>
      </c>
      <c r="L3229" t="s">
        <v>241</v>
      </c>
      <c r="M3229" t="s">
        <v>8647</v>
      </c>
      <c r="N3229" t="s">
        <v>8648</v>
      </c>
      <c r="Q3229" s="28">
        <v>496</v>
      </c>
    </row>
    <row r="3230" spans="1:17" x14ac:dyDescent="0.35">
      <c r="A3230" t="s">
        <v>8520</v>
      </c>
      <c r="B3230" s="3" t="s">
        <v>102</v>
      </c>
      <c r="F3230">
        <v>5</v>
      </c>
      <c r="G3230" t="s">
        <v>8607</v>
      </c>
      <c r="H3230">
        <v>27</v>
      </c>
      <c r="I3230" t="s">
        <v>9296</v>
      </c>
      <c r="J3230" t="str">
        <f t="shared" si="50"/>
        <v>13F-HR-5.27.C1</v>
      </c>
      <c r="K3230" s="5" t="s">
        <v>8608</v>
      </c>
      <c r="L3230" t="s">
        <v>229</v>
      </c>
      <c r="M3230" t="s">
        <v>8609</v>
      </c>
      <c r="N3230" t="s">
        <v>8610</v>
      </c>
      <c r="Q3230" s="28" t="s">
        <v>9059</v>
      </c>
    </row>
    <row r="3231" spans="1:17" x14ac:dyDescent="0.35">
      <c r="A3231" t="s">
        <v>8520</v>
      </c>
      <c r="B3231" s="3" t="s">
        <v>102</v>
      </c>
      <c r="F3231">
        <v>5</v>
      </c>
      <c r="G3231" t="s">
        <v>8607</v>
      </c>
      <c r="H3231">
        <v>28</v>
      </c>
      <c r="I3231" t="s">
        <v>9297</v>
      </c>
      <c r="J3231" t="str">
        <f t="shared" si="50"/>
        <v>13F-HR-5.28.C2</v>
      </c>
      <c r="K3231" s="5" t="s">
        <v>8612</v>
      </c>
      <c r="L3231" t="s">
        <v>229</v>
      </c>
      <c r="M3231" t="s">
        <v>8613</v>
      </c>
      <c r="N3231" t="s">
        <v>8614</v>
      </c>
      <c r="Q3231" s="28" t="s">
        <v>8615</v>
      </c>
    </row>
    <row r="3232" spans="1:17" x14ac:dyDescent="0.35">
      <c r="A3232" t="s">
        <v>8520</v>
      </c>
      <c r="B3232" s="3" t="s">
        <v>102</v>
      </c>
      <c r="F3232">
        <v>5</v>
      </c>
      <c r="G3232" t="s">
        <v>8607</v>
      </c>
      <c r="H3232">
        <v>29</v>
      </c>
      <c r="I3232" t="s">
        <v>9298</v>
      </c>
      <c r="J3232" t="str">
        <f t="shared" si="50"/>
        <v>13F-HR-5.29.C3</v>
      </c>
      <c r="K3232" s="5" t="s">
        <v>8616</v>
      </c>
      <c r="L3232" t="s">
        <v>229</v>
      </c>
      <c r="M3232" t="s">
        <v>7927</v>
      </c>
      <c r="N3232" t="s">
        <v>8617</v>
      </c>
      <c r="Q3232" s="28" t="s">
        <v>9060</v>
      </c>
    </row>
    <row r="3233" spans="1:17" x14ac:dyDescent="0.35">
      <c r="A3233" t="s">
        <v>8520</v>
      </c>
      <c r="B3233" s="3" t="s">
        <v>102</v>
      </c>
      <c r="F3233">
        <v>5</v>
      </c>
      <c r="G3233" t="s">
        <v>8607</v>
      </c>
      <c r="H3233">
        <v>30</v>
      </c>
      <c r="I3233" t="s">
        <v>9299</v>
      </c>
      <c r="J3233" t="str">
        <f t="shared" si="50"/>
        <v>13F-HR-5.30.C4</v>
      </c>
      <c r="K3233" s="5" t="s">
        <v>8618</v>
      </c>
      <c r="L3233" t="s">
        <v>8619</v>
      </c>
      <c r="M3233" t="s">
        <v>8620</v>
      </c>
      <c r="N3233" t="s">
        <v>8621</v>
      </c>
      <c r="Q3233" s="28">
        <v>7369322</v>
      </c>
    </row>
    <row r="3234" spans="1:17" x14ac:dyDescent="0.35">
      <c r="A3234" t="s">
        <v>8520</v>
      </c>
      <c r="B3234" s="3" t="s">
        <v>102</v>
      </c>
      <c r="F3234">
        <v>5</v>
      </c>
      <c r="G3234" t="s">
        <v>8607</v>
      </c>
      <c r="H3234">
        <v>31</v>
      </c>
      <c r="I3234" t="s">
        <v>9300</v>
      </c>
      <c r="J3234" t="str">
        <f t="shared" si="50"/>
        <v>13F-HR-5.31.C5</v>
      </c>
      <c r="K3234" s="5" t="s">
        <v>8622</v>
      </c>
      <c r="L3234" t="s">
        <v>241</v>
      </c>
      <c r="M3234" t="s">
        <v>8623</v>
      </c>
      <c r="N3234" t="s">
        <v>8624</v>
      </c>
      <c r="Q3234" s="28">
        <v>162463</v>
      </c>
    </row>
    <row r="3235" spans="1:17" x14ac:dyDescent="0.35">
      <c r="A3235" t="s">
        <v>8520</v>
      </c>
      <c r="B3235" s="3" t="s">
        <v>102</v>
      </c>
      <c r="F3235">
        <v>5</v>
      </c>
      <c r="G3235" t="s">
        <v>8607</v>
      </c>
      <c r="H3235">
        <v>32</v>
      </c>
      <c r="I3235" t="s">
        <v>9301</v>
      </c>
      <c r="J3235" t="str">
        <f t="shared" si="50"/>
        <v>13F-HR-5.32.C6</v>
      </c>
      <c r="K3235" s="5" t="s">
        <v>8625</v>
      </c>
      <c r="L3235" t="s">
        <v>229</v>
      </c>
      <c r="M3235" t="s">
        <v>8626</v>
      </c>
      <c r="N3235" t="s">
        <v>8627</v>
      </c>
      <c r="Q3235" s="28" t="s">
        <v>8628</v>
      </c>
    </row>
    <row r="3236" spans="1:17" x14ac:dyDescent="0.35">
      <c r="A3236" t="s">
        <v>8520</v>
      </c>
      <c r="B3236" s="3" t="s">
        <v>102</v>
      </c>
      <c r="F3236">
        <v>5</v>
      </c>
      <c r="G3236" t="s">
        <v>8607</v>
      </c>
      <c r="H3236">
        <v>33</v>
      </c>
      <c r="I3236" t="s">
        <v>9302</v>
      </c>
      <c r="J3236" t="str">
        <f t="shared" si="50"/>
        <v>13F-HR-5.33.C7</v>
      </c>
      <c r="K3236" s="5" t="s">
        <v>8629</v>
      </c>
      <c r="L3236" t="s">
        <v>229</v>
      </c>
      <c r="M3236" t="s">
        <v>8630</v>
      </c>
      <c r="N3236" t="s">
        <v>8631</v>
      </c>
      <c r="Q3236" s="28" t="s">
        <v>8685</v>
      </c>
    </row>
    <row r="3237" spans="1:17" x14ac:dyDescent="0.35">
      <c r="A3237" t="s">
        <v>8520</v>
      </c>
      <c r="B3237" s="3" t="s">
        <v>102</v>
      </c>
      <c r="F3237">
        <v>5</v>
      </c>
      <c r="G3237" t="s">
        <v>8607</v>
      </c>
      <c r="H3237">
        <v>34</v>
      </c>
      <c r="I3237" t="s">
        <v>9303</v>
      </c>
      <c r="J3237" t="str">
        <f t="shared" si="50"/>
        <v>13F-HR-5.34.C8</v>
      </c>
      <c r="K3237" s="5" t="s">
        <v>8633</v>
      </c>
      <c r="L3237" t="s">
        <v>4735</v>
      </c>
      <c r="M3237" t="s">
        <v>8634</v>
      </c>
      <c r="N3237" t="s">
        <v>8635</v>
      </c>
      <c r="Q3237" s="28" t="s">
        <v>8632</v>
      </c>
    </row>
    <row r="3238" spans="1:17" x14ac:dyDescent="0.35">
      <c r="A3238" t="s">
        <v>8520</v>
      </c>
      <c r="B3238" s="3" t="s">
        <v>102</v>
      </c>
      <c r="F3238">
        <v>5</v>
      </c>
      <c r="G3238" t="s">
        <v>8607</v>
      </c>
      <c r="H3238">
        <v>35</v>
      </c>
      <c r="I3238" t="s">
        <v>9304</v>
      </c>
      <c r="J3238" t="str">
        <f t="shared" si="50"/>
        <v>13F-HR-5.35.C9</v>
      </c>
      <c r="K3238" s="5" t="s">
        <v>8637</v>
      </c>
      <c r="L3238" t="s">
        <v>229</v>
      </c>
      <c r="M3238" t="s">
        <v>8638</v>
      </c>
      <c r="N3238" t="s">
        <v>8639</v>
      </c>
      <c r="Q3238" s="28" t="s">
        <v>8636</v>
      </c>
    </row>
    <row r="3239" spans="1:17" x14ac:dyDescent="0.35">
      <c r="A3239" t="s">
        <v>8520</v>
      </c>
      <c r="B3239" s="3" t="s">
        <v>102</v>
      </c>
      <c r="F3239">
        <v>5</v>
      </c>
      <c r="G3239" t="s">
        <v>8607</v>
      </c>
      <c r="H3239">
        <v>36</v>
      </c>
      <c r="I3239" t="s">
        <v>9305</v>
      </c>
      <c r="J3239" t="str">
        <f t="shared" si="50"/>
        <v>13F-HR-5.36.C10</v>
      </c>
      <c r="K3239" s="5" t="s">
        <v>8640</v>
      </c>
      <c r="L3239" t="s">
        <v>241</v>
      </c>
      <c r="M3239" t="s">
        <v>8641</v>
      </c>
      <c r="N3239" t="s">
        <v>8642</v>
      </c>
      <c r="Q3239" s="28">
        <v>0</v>
      </c>
    </row>
    <row r="3240" spans="1:17" x14ac:dyDescent="0.35">
      <c r="A3240" t="s">
        <v>8520</v>
      </c>
      <c r="B3240" s="3" t="s">
        <v>102</v>
      </c>
      <c r="F3240">
        <v>5</v>
      </c>
      <c r="G3240" t="s">
        <v>8607</v>
      </c>
      <c r="H3240">
        <v>37</v>
      </c>
      <c r="I3240" t="s">
        <v>9306</v>
      </c>
      <c r="J3240" t="str">
        <f t="shared" si="50"/>
        <v>13F-HR-5.37.C11</v>
      </c>
      <c r="K3240" s="5" t="s">
        <v>8643</v>
      </c>
      <c r="L3240" t="s">
        <v>241</v>
      </c>
      <c r="M3240" t="s">
        <v>8644</v>
      </c>
      <c r="N3240" t="s">
        <v>8645</v>
      </c>
      <c r="Q3240" s="28">
        <v>0</v>
      </c>
    </row>
    <row r="3241" spans="1:17" x14ac:dyDescent="0.35">
      <c r="A3241" t="s">
        <v>8520</v>
      </c>
      <c r="B3241" s="3" t="s">
        <v>102</v>
      </c>
      <c r="F3241">
        <v>5</v>
      </c>
      <c r="G3241" t="s">
        <v>8607</v>
      </c>
      <c r="H3241">
        <v>38</v>
      </c>
      <c r="I3241" t="s">
        <v>9307</v>
      </c>
      <c r="J3241" t="str">
        <f t="shared" si="50"/>
        <v>13F-HR-5.38.C12</v>
      </c>
      <c r="K3241" s="5" t="s">
        <v>8646</v>
      </c>
      <c r="L3241" t="s">
        <v>241</v>
      </c>
      <c r="M3241" t="s">
        <v>8647</v>
      </c>
      <c r="N3241" t="s">
        <v>8648</v>
      </c>
      <c r="Q3241" s="28">
        <v>162463</v>
      </c>
    </row>
    <row r="3242" spans="1:17" x14ac:dyDescent="0.35">
      <c r="A3242" t="s">
        <v>8520</v>
      </c>
      <c r="B3242" s="3" t="s">
        <v>102</v>
      </c>
      <c r="F3242">
        <v>5</v>
      </c>
      <c r="G3242" t="s">
        <v>8607</v>
      </c>
      <c r="H3242">
        <v>27</v>
      </c>
      <c r="I3242" t="s">
        <v>9296</v>
      </c>
      <c r="J3242" t="str">
        <f t="shared" si="50"/>
        <v>13F-HR-5.27.C1</v>
      </c>
      <c r="K3242" s="5" t="s">
        <v>8608</v>
      </c>
      <c r="L3242" t="s">
        <v>229</v>
      </c>
      <c r="M3242" t="s">
        <v>8609</v>
      </c>
      <c r="N3242" t="s">
        <v>8610</v>
      </c>
      <c r="Q3242" s="28" t="s">
        <v>9061</v>
      </c>
    </row>
    <row r="3243" spans="1:17" x14ac:dyDescent="0.35">
      <c r="A3243" t="s">
        <v>8520</v>
      </c>
      <c r="B3243" s="3" t="s">
        <v>102</v>
      </c>
      <c r="F3243">
        <v>5</v>
      </c>
      <c r="G3243" t="s">
        <v>8607</v>
      </c>
      <c r="H3243">
        <v>28</v>
      </c>
      <c r="I3243" t="s">
        <v>9297</v>
      </c>
      <c r="J3243" t="str">
        <f t="shared" si="50"/>
        <v>13F-HR-5.28.C2</v>
      </c>
      <c r="K3243" s="5" t="s">
        <v>8612</v>
      </c>
      <c r="L3243" t="s">
        <v>229</v>
      </c>
      <c r="M3243" t="s">
        <v>8613</v>
      </c>
      <c r="N3243" t="s">
        <v>8614</v>
      </c>
      <c r="Q3243" s="28" t="s">
        <v>8615</v>
      </c>
    </row>
    <row r="3244" spans="1:17" x14ac:dyDescent="0.35">
      <c r="A3244" t="s">
        <v>8520</v>
      </c>
      <c r="B3244" s="3" t="s">
        <v>102</v>
      </c>
      <c r="F3244">
        <v>5</v>
      </c>
      <c r="G3244" t="s">
        <v>8607</v>
      </c>
      <c r="H3244">
        <v>29</v>
      </c>
      <c r="I3244" t="s">
        <v>9298</v>
      </c>
      <c r="J3244" t="str">
        <f t="shared" si="50"/>
        <v>13F-HR-5.29.C3</v>
      </c>
      <c r="K3244" s="5" t="s">
        <v>8616</v>
      </c>
      <c r="L3244" t="s">
        <v>229</v>
      </c>
      <c r="M3244" t="s">
        <v>7927</v>
      </c>
      <c r="N3244" t="s">
        <v>8617</v>
      </c>
      <c r="Q3244" s="28" t="s">
        <v>9062</v>
      </c>
    </row>
    <row r="3245" spans="1:17" x14ac:dyDescent="0.35">
      <c r="A3245" t="s">
        <v>8520</v>
      </c>
      <c r="B3245" s="3" t="s">
        <v>102</v>
      </c>
      <c r="F3245">
        <v>5</v>
      </c>
      <c r="G3245" t="s">
        <v>8607</v>
      </c>
      <c r="H3245">
        <v>30</v>
      </c>
      <c r="I3245" t="s">
        <v>9299</v>
      </c>
      <c r="J3245" t="str">
        <f t="shared" si="50"/>
        <v>13F-HR-5.30.C4</v>
      </c>
      <c r="K3245" s="5" t="s">
        <v>8618</v>
      </c>
      <c r="L3245" t="s">
        <v>8619</v>
      </c>
      <c r="M3245" t="s">
        <v>8620</v>
      </c>
      <c r="N3245" t="s">
        <v>8621</v>
      </c>
      <c r="Q3245" s="28">
        <v>63620505</v>
      </c>
    </row>
    <row r="3246" spans="1:17" x14ac:dyDescent="0.35">
      <c r="A3246" t="s">
        <v>8520</v>
      </c>
      <c r="B3246" s="3" t="s">
        <v>102</v>
      </c>
      <c r="F3246">
        <v>5</v>
      </c>
      <c r="G3246" t="s">
        <v>8607</v>
      </c>
      <c r="H3246">
        <v>31</v>
      </c>
      <c r="I3246" t="s">
        <v>9300</v>
      </c>
      <c r="J3246" t="str">
        <f t="shared" si="50"/>
        <v>13F-HR-5.31.C5</v>
      </c>
      <c r="K3246" s="5" t="s">
        <v>8622</v>
      </c>
      <c r="L3246" t="s">
        <v>241</v>
      </c>
      <c r="M3246" t="s">
        <v>8623</v>
      </c>
      <c r="N3246" t="s">
        <v>8624</v>
      </c>
      <c r="Q3246" s="28">
        <v>131225</v>
      </c>
    </row>
    <row r="3247" spans="1:17" x14ac:dyDescent="0.35">
      <c r="A3247" t="s">
        <v>8520</v>
      </c>
      <c r="B3247" s="3" t="s">
        <v>102</v>
      </c>
      <c r="F3247">
        <v>5</v>
      </c>
      <c r="G3247" t="s">
        <v>8607</v>
      </c>
      <c r="H3247">
        <v>32</v>
      </c>
      <c r="I3247" t="s">
        <v>9301</v>
      </c>
      <c r="J3247" t="str">
        <f t="shared" si="50"/>
        <v>13F-HR-5.32.C6</v>
      </c>
      <c r="K3247" s="5" t="s">
        <v>8625</v>
      </c>
      <c r="L3247" t="s">
        <v>229</v>
      </c>
      <c r="M3247" t="s">
        <v>8626</v>
      </c>
      <c r="N3247" t="s">
        <v>8627</v>
      </c>
      <c r="Q3247" s="28" t="s">
        <v>8628</v>
      </c>
    </row>
    <row r="3248" spans="1:17" x14ac:dyDescent="0.35">
      <c r="A3248" t="s">
        <v>8520</v>
      </c>
      <c r="B3248" s="3" t="s">
        <v>102</v>
      </c>
      <c r="F3248">
        <v>5</v>
      </c>
      <c r="G3248" t="s">
        <v>8607</v>
      </c>
      <c r="H3248">
        <v>33</v>
      </c>
      <c r="I3248" t="s">
        <v>9302</v>
      </c>
      <c r="J3248" t="str">
        <f t="shared" si="50"/>
        <v>13F-HR-5.33.C7</v>
      </c>
      <c r="K3248" s="5" t="s">
        <v>8629</v>
      </c>
      <c r="L3248" t="s">
        <v>229</v>
      </c>
      <c r="M3248" t="s">
        <v>8630</v>
      </c>
      <c r="N3248" t="s">
        <v>8631</v>
      </c>
      <c r="Q3248" s="28" t="s">
        <v>8685</v>
      </c>
    </row>
    <row r="3249" spans="1:17" x14ac:dyDescent="0.35">
      <c r="A3249" t="s">
        <v>8520</v>
      </c>
      <c r="B3249" s="3" t="s">
        <v>102</v>
      </c>
      <c r="F3249">
        <v>5</v>
      </c>
      <c r="G3249" t="s">
        <v>8607</v>
      </c>
      <c r="H3249">
        <v>34</v>
      </c>
      <c r="I3249" t="s">
        <v>9303</v>
      </c>
      <c r="J3249" t="str">
        <f t="shared" si="50"/>
        <v>13F-HR-5.34.C8</v>
      </c>
      <c r="K3249" s="5" t="s">
        <v>8633</v>
      </c>
      <c r="L3249" t="s">
        <v>4735</v>
      </c>
      <c r="M3249" t="s">
        <v>8634</v>
      </c>
      <c r="N3249" t="s">
        <v>8635</v>
      </c>
      <c r="Q3249" s="28" t="s">
        <v>8632</v>
      </c>
    </row>
    <row r="3250" spans="1:17" x14ac:dyDescent="0.35">
      <c r="A3250" t="s">
        <v>8520</v>
      </c>
      <c r="B3250" s="3" t="s">
        <v>102</v>
      </c>
      <c r="F3250">
        <v>5</v>
      </c>
      <c r="G3250" t="s">
        <v>8607</v>
      </c>
      <c r="H3250">
        <v>35</v>
      </c>
      <c r="I3250" t="s">
        <v>9304</v>
      </c>
      <c r="J3250" t="str">
        <f t="shared" si="50"/>
        <v>13F-HR-5.35.C9</v>
      </c>
      <c r="K3250" s="5" t="s">
        <v>8637</v>
      </c>
      <c r="L3250" t="s">
        <v>229</v>
      </c>
      <c r="M3250" t="s">
        <v>8638</v>
      </c>
      <c r="N3250" t="s">
        <v>8639</v>
      </c>
      <c r="Q3250" s="28" t="s">
        <v>8636</v>
      </c>
    </row>
    <row r="3251" spans="1:17" x14ac:dyDescent="0.35">
      <c r="A3251" t="s">
        <v>8520</v>
      </c>
      <c r="B3251" s="3" t="s">
        <v>102</v>
      </c>
      <c r="F3251">
        <v>5</v>
      </c>
      <c r="G3251" t="s">
        <v>8607</v>
      </c>
      <c r="H3251">
        <v>36</v>
      </c>
      <c r="I3251" t="s">
        <v>9305</v>
      </c>
      <c r="J3251" t="str">
        <f t="shared" si="50"/>
        <v>13F-HR-5.36.C10</v>
      </c>
      <c r="K3251" s="5" t="s">
        <v>8640</v>
      </c>
      <c r="L3251" t="s">
        <v>241</v>
      </c>
      <c r="M3251" t="s">
        <v>8641</v>
      </c>
      <c r="N3251" t="s">
        <v>8642</v>
      </c>
      <c r="Q3251" s="28">
        <v>87358</v>
      </c>
    </row>
    <row r="3252" spans="1:17" x14ac:dyDescent="0.35">
      <c r="A3252" t="s">
        <v>8520</v>
      </c>
      <c r="B3252" s="3" t="s">
        <v>102</v>
      </c>
      <c r="F3252">
        <v>5</v>
      </c>
      <c r="G3252" t="s">
        <v>8607</v>
      </c>
      <c r="H3252">
        <v>37</v>
      </c>
      <c r="I3252" t="s">
        <v>9306</v>
      </c>
      <c r="J3252" t="str">
        <f t="shared" si="50"/>
        <v>13F-HR-5.37.C11</v>
      </c>
      <c r="K3252" s="5" t="s">
        <v>8643</v>
      </c>
      <c r="L3252" t="s">
        <v>241</v>
      </c>
      <c r="M3252" t="s">
        <v>8644</v>
      </c>
      <c r="N3252" t="s">
        <v>8645</v>
      </c>
      <c r="Q3252" s="28">
        <v>0</v>
      </c>
    </row>
    <row r="3253" spans="1:17" x14ac:dyDescent="0.35">
      <c r="A3253" t="s">
        <v>8520</v>
      </c>
      <c r="B3253" s="3" t="s">
        <v>102</v>
      </c>
      <c r="F3253">
        <v>5</v>
      </c>
      <c r="G3253" t="s">
        <v>8607</v>
      </c>
      <c r="H3253">
        <v>38</v>
      </c>
      <c r="I3253" t="s">
        <v>9307</v>
      </c>
      <c r="J3253" t="str">
        <f t="shared" si="50"/>
        <v>13F-HR-5.38.C12</v>
      </c>
      <c r="K3253" s="5" t="s">
        <v>8646</v>
      </c>
      <c r="L3253" t="s">
        <v>241</v>
      </c>
      <c r="M3253" t="s">
        <v>8647</v>
      </c>
      <c r="N3253" t="s">
        <v>8648</v>
      </c>
      <c r="Q3253" s="28">
        <v>43867</v>
      </c>
    </row>
    <row r="3254" spans="1:17" x14ac:dyDescent="0.35">
      <c r="A3254" t="s">
        <v>8520</v>
      </c>
      <c r="B3254" s="3" t="s">
        <v>102</v>
      </c>
      <c r="F3254">
        <v>5</v>
      </c>
      <c r="G3254" t="s">
        <v>8607</v>
      </c>
      <c r="H3254">
        <v>27</v>
      </c>
      <c r="I3254" t="s">
        <v>9296</v>
      </c>
      <c r="J3254" t="str">
        <f t="shared" si="50"/>
        <v>13F-HR-5.27.C1</v>
      </c>
      <c r="K3254" s="5" t="s">
        <v>8608</v>
      </c>
      <c r="L3254" t="s">
        <v>229</v>
      </c>
      <c r="M3254" t="s">
        <v>8609</v>
      </c>
      <c r="N3254" t="s">
        <v>8610</v>
      </c>
      <c r="Q3254" s="28" t="s">
        <v>9063</v>
      </c>
    </row>
    <row r="3255" spans="1:17" x14ac:dyDescent="0.35">
      <c r="A3255" t="s">
        <v>8520</v>
      </c>
      <c r="B3255" s="3" t="s">
        <v>102</v>
      </c>
      <c r="F3255">
        <v>5</v>
      </c>
      <c r="G3255" t="s">
        <v>8607</v>
      </c>
      <c r="H3255">
        <v>28</v>
      </c>
      <c r="I3255" t="s">
        <v>9297</v>
      </c>
      <c r="J3255" t="str">
        <f t="shared" si="50"/>
        <v>13F-HR-5.28.C2</v>
      </c>
      <c r="K3255" s="5" t="s">
        <v>8612</v>
      </c>
      <c r="L3255" t="s">
        <v>229</v>
      </c>
      <c r="M3255" t="s">
        <v>8613</v>
      </c>
      <c r="N3255" t="s">
        <v>8614</v>
      </c>
      <c r="Q3255" s="28" t="s">
        <v>9042</v>
      </c>
    </row>
    <row r="3256" spans="1:17" x14ac:dyDescent="0.35">
      <c r="A3256" t="s">
        <v>8520</v>
      </c>
      <c r="B3256" s="3" t="s">
        <v>102</v>
      </c>
      <c r="F3256">
        <v>5</v>
      </c>
      <c r="G3256" t="s">
        <v>8607</v>
      </c>
      <c r="H3256">
        <v>29</v>
      </c>
      <c r="I3256" t="s">
        <v>9298</v>
      </c>
      <c r="J3256" t="str">
        <f t="shared" si="50"/>
        <v>13F-HR-5.29.C3</v>
      </c>
      <c r="K3256" s="5" t="s">
        <v>8616</v>
      </c>
      <c r="L3256" t="s">
        <v>229</v>
      </c>
      <c r="M3256" t="s">
        <v>7927</v>
      </c>
      <c r="N3256" t="s">
        <v>8617</v>
      </c>
      <c r="Q3256" s="28" t="s">
        <v>9064</v>
      </c>
    </row>
    <row r="3257" spans="1:17" x14ac:dyDescent="0.35">
      <c r="A3257" t="s">
        <v>8520</v>
      </c>
      <c r="B3257" s="3" t="s">
        <v>102</v>
      </c>
      <c r="F3257">
        <v>5</v>
      </c>
      <c r="G3257" t="s">
        <v>8607</v>
      </c>
      <c r="H3257">
        <v>30</v>
      </c>
      <c r="I3257" t="s">
        <v>9299</v>
      </c>
      <c r="J3257" t="str">
        <f t="shared" si="50"/>
        <v>13F-HR-5.30.C4</v>
      </c>
      <c r="K3257" s="5" t="s">
        <v>8618</v>
      </c>
      <c r="L3257" t="s">
        <v>8619</v>
      </c>
      <c r="M3257" t="s">
        <v>8620</v>
      </c>
      <c r="N3257" t="s">
        <v>8621</v>
      </c>
      <c r="Q3257" s="28">
        <v>2752665</v>
      </c>
    </row>
    <row r="3258" spans="1:17" x14ac:dyDescent="0.35">
      <c r="A3258" t="s">
        <v>8520</v>
      </c>
      <c r="B3258" s="3" t="s">
        <v>102</v>
      </c>
      <c r="F3258">
        <v>5</v>
      </c>
      <c r="G3258" t="s">
        <v>8607</v>
      </c>
      <c r="H3258">
        <v>31</v>
      </c>
      <c r="I3258" t="s">
        <v>9300</v>
      </c>
      <c r="J3258" t="str">
        <f t="shared" si="50"/>
        <v>13F-HR-5.31.C5</v>
      </c>
      <c r="K3258" s="5" t="s">
        <v>8622</v>
      </c>
      <c r="L3258" t="s">
        <v>241</v>
      </c>
      <c r="M3258" t="s">
        <v>8623</v>
      </c>
      <c r="N3258" t="s">
        <v>8624</v>
      </c>
      <c r="Q3258" s="28">
        <v>120678</v>
      </c>
    </row>
    <row r="3259" spans="1:17" x14ac:dyDescent="0.35">
      <c r="A3259" t="s">
        <v>8520</v>
      </c>
      <c r="B3259" s="3" t="s">
        <v>102</v>
      </c>
      <c r="F3259">
        <v>5</v>
      </c>
      <c r="G3259" t="s">
        <v>8607</v>
      </c>
      <c r="H3259">
        <v>32</v>
      </c>
      <c r="I3259" t="s">
        <v>9301</v>
      </c>
      <c r="J3259" t="str">
        <f t="shared" si="50"/>
        <v>13F-HR-5.32.C6</v>
      </c>
      <c r="K3259" s="5" t="s">
        <v>8625</v>
      </c>
      <c r="L3259" t="s">
        <v>229</v>
      </c>
      <c r="M3259" t="s">
        <v>8626</v>
      </c>
      <c r="N3259" t="s">
        <v>8627</v>
      </c>
      <c r="Q3259" s="28" t="s">
        <v>8628</v>
      </c>
    </row>
    <row r="3260" spans="1:17" x14ac:dyDescent="0.35">
      <c r="A3260" t="s">
        <v>8520</v>
      </c>
      <c r="B3260" s="3" t="s">
        <v>102</v>
      </c>
      <c r="F3260">
        <v>5</v>
      </c>
      <c r="G3260" t="s">
        <v>8607</v>
      </c>
      <c r="H3260">
        <v>33</v>
      </c>
      <c r="I3260" t="s">
        <v>9302</v>
      </c>
      <c r="J3260" t="str">
        <f t="shared" si="50"/>
        <v>13F-HR-5.33.C7</v>
      </c>
      <c r="K3260" s="5" t="s">
        <v>8629</v>
      </c>
      <c r="L3260" t="s">
        <v>229</v>
      </c>
      <c r="M3260" t="s">
        <v>8630</v>
      </c>
      <c r="N3260" t="s">
        <v>8631</v>
      </c>
      <c r="Q3260" s="28" t="s">
        <v>8685</v>
      </c>
    </row>
    <row r="3261" spans="1:17" x14ac:dyDescent="0.35">
      <c r="A3261" t="s">
        <v>8520</v>
      </c>
      <c r="B3261" s="3" t="s">
        <v>102</v>
      </c>
      <c r="F3261">
        <v>5</v>
      </c>
      <c r="G3261" t="s">
        <v>8607</v>
      </c>
      <c r="H3261">
        <v>34</v>
      </c>
      <c r="I3261" t="s">
        <v>9303</v>
      </c>
      <c r="J3261" t="str">
        <f t="shared" si="50"/>
        <v>13F-HR-5.34.C8</v>
      </c>
      <c r="K3261" s="5" t="s">
        <v>8633</v>
      </c>
      <c r="L3261" t="s">
        <v>4735</v>
      </c>
      <c r="M3261" t="s">
        <v>8634</v>
      </c>
      <c r="N3261" t="s">
        <v>8635</v>
      </c>
      <c r="Q3261" s="28" t="s">
        <v>8632</v>
      </c>
    </row>
    <row r="3262" spans="1:17" x14ac:dyDescent="0.35">
      <c r="A3262" t="s">
        <v>8520</v>
      </c>
      <c r="B3262" s="3" t="s">
        <v>102</v>
      </c>
      <c r="F3262">
        <v>5</v>
      </c>
      <c r="G3262" t="s">
        <v>8607</v>
      </c>
      <c r="H3262">
        <v>35</v>
      </c>
      <c r="I3262" t="s">
        <v>9304</v>
      </c>
      <c r="J3262" t="str">
        <f t="shared" si="50"/>
        <v>13F-HR-5.35.C9</v>
      </c>
      <c r="K3262" s="5" t="s">
        <v>8637</v>
      </c>
      <c r="L3262" t="s">
        <v>229</v>
      </c>
      <c r="M3262" t="s">
        <v>8638</v>
      </c>
      <c r="N3262" t="s">
        <v>8639</v>
      </c>
      <c r="Q3262" s="28" t="s">
        <v>8636</v>
      </c>
    </row>
    <row r="3263" spans="1:17" x14ac:dyDescent="0.35">
      <c r="A3263" t="s">
        <v>8520</v>
      </c>
      <c r="B3263" s="3" t="s">
        <v>102</v>
      </c>
      <c r="F3263">
        <v>5</v>
      </c>
      <c r="G3263" t="s">
        <v>8607</v>
      </c>
      <c r="H3263">
        <v>36</v>
      </c>
      <c r="I3263" t="s">
        <v>9305</v>
      </c>
      <c r="J3263" t="str">
        <f t="shared" si="50"/>
        <v>13F-HR-5.36.C10</v>
      </c>
      <c r="K3263" s="5" t="s">
        <v>8640</v>
      </c>
      <c r="L3263" t="s">
        <v>241</v>
      </c>
      <c r="M3263" t="s">
        <v>8641</v>
      </c>
      <c r="N3263" t="s">
        <v>8642</v>
      </c>
      <c r="Q3263" s="28">
        <v>120678</v>
      </c>
    </row>
    <row r="3264" spans="1:17" x14ac:dyDescent="0.35">
      <c r="A3264" t="s">
        <v>8520</v>
      </c>
      <c r="B3264" s="3" t="s">
        <v>102</v>
      </c>
      <c r="F3264">
        <v>5</v>
      </c>
      <c r="G3264" t="s">
        <v>8607</v>
      </c>
      <c r="H3264">
        <v>37</v>
      </c>
      <c r="I3264" t="s">
        <v>9306</v>
      </c>
      <c r="J3264" t="str">
        <f t="shared" si="50"/>
        <v>13F-HR-5.37.C11</v>
      </c>
      <c r="K3264" s="5" t="s">
        <v>8643</v>
      </c>
      <c r="L3264" t="s">
        <v>241</v>
      </c>
      <c r="M3264" t="s">
        <v>8644</v>
      </c>
      <c r="N3264" t="s">
        <v>8645</v>
      </c>
      <c r="Q3264" s="28">
        <v>0</v>
      </c>
    </row>
    <row r="3265" spans="1:17" x14ac:dyDescent="0.35">
      <c r="A3265" t="s">
        <v>8520</v>
      </c>
      <c r="B3265" s="3" t="s">
        <v>102</v>
      </c>
      <c r="F3265">
        <v>5</v>
      </c>
      <c r="G3265" t="s">
        <v>8607</v>
      </c>
      <c r="H3265">
        <v>38</v>
      </c>
      <c r="I3265" t="s">
        <v>9307</v>
      </c>
      <c r="J3265" t="str">
        <f t="shared" si="50"/>
        <v>13F-HR-5.38.C12</v>
      </c>
      <c r="K3265" s="5" t="s">
        <v>8646</v>
      </c>
      <c r="L3265" t="s">
        <v>241</v>
      </c>
      <c r="M3265" t="s">
        <v>8647</v>
      </c>
      <c r="N3265" t="s">
        <v>8648</v>
      </c>
      <c r="Q3265" s="28">
        <v>0</v>
      </c>
    </row>
    <row r="3266" spans="1:17" x14ac:dyDescent="0.35">
      <c r="A3266" t="s">
        <v>8520</v>
      </c>
      <c r="B3266" s="3" t="s">
        <v>102</v>
      </c>
      <c r="F3266">
        <v>5</v>
      </c>
      <c r="G3266" t="s">
        <v>8607</v>
      </c>
      <c r="H3266">
        <v>27</v>
      </c>
      <c r="I3266" t="s">
        <v>9296</v>
      </c>
      <c r="J3266" t="str">
        <f t="shared" si="50"/>
        <v>13F-HR-5.27.C1</v>
      </c>
      <c r="K3266" s="5" t="s">
        <v>8608</v>
      </c>
      <c r="L3266" t="s">
        <v>229</v>
      </c>
      <c r="M3266" t="s">
        <v>8609</v>
      </c>
      <c r="N3266" t="s">
        <v>8610</v>
      </c>
      <c r="Q3266" s="28" t="s">
        <v>9065</v>
      </c>
    </row>
    <row r="3267" spans="1:17" x14ac:dyDescent="0.35">
      <c r="A3267" t="s">
        <v>8520</v>
      </c>
      <c r="B3267" s="3" t="s">
        <v>102</v>
      </c>
      <c r="F3267">
        <v>5</v>
      </c>
      <c r="G3267" t="s">
        <v>8607</v>
      </c>
      <c r="H3267">
        <v>28</v>
      </c>
      <c r="I3267" t="s">
        <v>9297</v>
      </c>
      <c r="J3267" t="str">
        <f t="shared" ref="J3267:J3330" si="51">_xlfn.CONCAT(A3267,"-",F3267,".",H3267,".",I3267)</f>
        <v>13F-HR-5.28.C2</v>
      </c>
      <c r="K3267" s="5" t="s">
        <v>8612</v>
      </c>
      <c r="L3267" t="s">
        <v>229</v>
      </c>
      <c r="M3267" t="s">
        <v>8613</v>
      </c>
      <c r="N3267" t="s">
        <v>8614</v>
      </c>
      <c r="Q3267" s="28" t="s">
        <v>8615</v>
      </c>
    </row>
    <row r="3268" spans="1:17" x14ac:dyDescent="0.35">
      <c r="A3268" t="s">
        <v>8520</v>
      </c>
      <c r="B3268" s="3" t="s">
        <v>102</v>
      </c>
      <c r="F3268">
        <v>5</v>
      </c>
      <c r="G3268" t="s">
        <v>8607</v>
      </c>
      <c r="H3268">
        <v>29</v>
      </c>
      <c r="I3268" t="s">
        <v>9298</v>
      </c>
      <c r="J3268" t="str">
        <f t="shared" si="51"/>
        <v>13F-HR-5.29.C3</v>
      </c>
      <c r="K3268" s="5" t="s">
        <v>8616</v>
      </c>
      <c r="L3268" t="s">
        <v>229</v>
      </c>
      <c r="M3268" t="s">
        <v>7927</v>
      </c>
      <c r="N3268" t="s">
        <v>8617</v>
      </c>
      <c r="Q3268" s="28">
        <v>925652109</v>
      </c>
    </row>
    <row r="3269" spans="1:17" x14ac:dyDescent="0.35">
      <c r="A3269" t="s">
        <v>8520</v>
      </c>
      <c r="B3269" s="3" t="s">
        <v>102</v>
      </c>
      <c r="F3269">
        <v>5</v>
      </c>
      <c r="G3269" t="s">
        <v>8607</v>
      </c>
      <c r="H3269">
        <v>30</v>
      </c>
      <c r="I3269" t="s">
        <v>9299</v>
      </c>
      <c r="J3269" t="str">
        <f t="shared" si="51"/>
        <v>13F-HR-5.30.C4</v>
      </c>
      <c r="K3269" s="5" t="s">
        <v>8618</v>
      </c>
      <c r="L3269" t="s">
        <v>8619</v>
      </c>
      <c r="M3269" t="s">
        <v>8620</v>
      </c>
      <c r="N3269" t="s">
        <v>8621</v>
      </c>
      <c r="Q3269" s="28">
        <v>4993470</v>
      </c>
    </row>
    <row r="3270" spans="1:17" x14ac:dyDescent="0.35">
      <c r="A3270" t="s">
        <v>8520</v>
      </c>
      <c r="B3270" s="3" t="s">
        <v>102</v>
      </c>
      <c r="F3270">
        <v>5</v>
      </c>
      <c r="G3270" t="s">
        <v>8607</v>
      </c>
      <c r="H3270">
        <v>31</v>
      </c>
      <c r="I3270" t="s">
        <v>9300</v>
      </c>
      <c r="J3270" t="str">
        <f t="shared" si="51"/>
        <v>13F-HR-5.31.C5</v>
      </c>
      <c r="K3270" s="5" t="s">
        <v>8622</v>
      </c>
      <c r="L3270" t="s">
        <v>241</v>
      </c>
      <c r="M3270" t="s">
        <v>8623</v>
      </c>
      <c r="N3270" t="s">
        <v>8624</v>
      </c>
      <c r="Q3270" s="28">
        <v>153080</v>
      </c>
    </row>
    <row r="3271" spans="1:17" x14ac:dyDescent="0.35">
      <c r="A3271" t="s">
        <v>8520</v>
      </c>
      <c r="B3271" s="3" t="s">
        <v>102</v>
      </c>
      <c r="F3271">
        <v>5</v>
      </c>
      <c r="G3271" t="s">
        <v>8607</v>
      </c>
      <c r="H3271">
        <v>32</v>
      </c>
      <c r="I3271" t="s">
        <v>9301</v>
      </c>
      <c r="J3271" t="str">
        <f t="shared" si="51"/>
        <v>13F-HR-5.32.C6</v>
      </c>
      <c r="K3271" s="5" t="s">
        <v>8625</v>
      </c>
      <c r="L3271" t="s">
        <v>229</v>
      </c>
      <c r="M3271" t="s">
        <v>8626</v>
      </c>
      <c r="N3271" t="s">
        <v>8627</v>
      </c>
      <c r="Q3271" s="28" t="s">
        <v>8628</v>
      </c>
    </row>
    <row r="3272" spans="1:17" x14ac:dyDescent="0.35">
      <c r="A3272" t="s">
        <v>8520</v>
      </c>
      <c r="B3272" s="3" t="s">
        <v>102</v>
      </c>
      <c r="F3272">
        <v>5</v>
      </c>
      <c r="G3272" t="s">
        <v>8607</v>
      </c>
      <c r="H3272">
        <v>33</v>
      </c>
      <c r="I3272" t="s">
        <v>9302</v>
      </c>
      <c r="J3272" t="str">
        <f t="shared" si="51"/>
        <v>13F-HR-5.33.C7</v>
      </c>
      <c r="K3272" s="5" t="s">
        <v>8629</v>
      </c>
      <c r="L3272" t="s">
        <v>229</v>
      </c>
      <c r="M3272" t="s">
        <v>8630</v>
      </c>
      <c r="N3272" t="s">
        <v>8631</v>
      </c>
      <c r="Q3272" s="28" t="s">
        <v>8685</v>
      </c>
    </row>
    <row r="3273" spans="1:17" x14ac:dyDescent="0.35">
      <c r="A3273" t="s">
        <v>8520</v>
      </c>
      <c r="B3273" s="3" t="s">
        <v>102</v>
      </c>
      <c r="F3273">
        <v>5</v>
      </c>
      <c r="G3273" t="s">
        <v>8607</v>
      </c>
      <c r="H3273">
        <v>34</v>
      </c>
      <c r="I3273" t="s">
        <v>9303</v>
      </c>
      <c r="J3273" t="str">
        <f t="shared" si="51"/>
        <v>13F-HR-5.34.C8</v>
      </c>
      <c r="K3273" s="5" t="s">
        <v>8633</v>
      </c>
      <c r="L3273" t="s">
        <v>4735</v>
      </c>
      <c r="M3273" t="s">
        <v>8634</v>
      </c>
      <c r="N3273" t="s">
        <v>8635</v>
      </c>
      <c r="Q3273" s="28" t="s">
        <v>8632</v>
      </c>
    </row>
    <row r="3274" spans="1:17" x14ac:dyDescent="0.35">
      <c r="A3274" t="s">
        <v>8520</v>
      </c>
      <c r="B3274" s="3" t="s">
        <v>102</v>
      </c>
      <c r="F3274">
        <v>5</v>
      </c>
      <c r="G3274" t="s">
        <v>8607</v>
      </c>
      <c r="H3274">
        <v>35</v>
      </c>
      <c r="I3274" t="s">
        <v>9304</v>
      </c>
      <c r="J3274" t="str">
        <f t="shared" si="51"/>
        <v>13F-HR-5.35.C9</v>
      </c>
      <c r="K3274" s="5" t="s">
        <v>8637</v>
      </c>
      <c r="L3274" t="s">
        <v>229</v>
      </c>
      <c r="M3274" t="s">
        <v>8638</v>
      </c>
      <c r="N3274" t="s">
        <v>8639</v>
      </c>
      <c r="Q3274" s="28" t="s">
        <v>8636</v>
      </c>
    </row>
    <row r="3275" spans="1:17" x14ac:dyDescent="0.35">
      <c r="A3275" t="s">
        <v>8520</v>
      </c>
      <c r="B3275" s="3" t="s">
        <v>102</v>
      </c>
      <c r="F3275">
        <v>5</v>
      </c>
      <c r="G3275" t="s">
        <v>8607</v>
      </c>
      <c r="H3275">
        <v>36</v>
      </c>
      <c r="I3275" t="s">
        <v>9305</v>
      </c>
      <c r="J3275" t="str">
        <f t="shared" si="51"/>
        <v>13F-HR-5.36.C10</v>
      </c>
      <c r="K3275" s="5" t="s">
        <v>8640</v>
      </c>
      <c r="L3275" t="s">
        <v>241</v>
      </c>
      <c r="M3275" t="s">
        <v>8641</v>
      </c>
      <c r="N3275" t="s">
        <v>8642</v>
      </c>
      <c r="Q3275" s="28">
        <v>153080</v>
      </c>
    </row>
    <row r="3276" spans="1:17" x14ac:dyDescent="0.35">
      <c r="A3276" t="s">
        <v>8520</v>
      </c>
      <c r="B3276" s="3" t="s">
        <v>102</v>
      </c>
      <c r="F3276">
        <v>5</v>
      </c>
      <c r="G3276" t="s">
        <v>8607</v>
      </c>
      <c r="H3276">
        <v>37</v>
      </c>
      <c r="I3276" t="s">
        <v>9306</v>
      </c>
      <c r="J3276" t="str">
        <f t="shared" si="51"/>
        <v>13F-HR-5.37.C11</v>
      </c>
      <c r="K3276" s="5" t="s">
        <v>8643</v>
      </c>
      <c r="L3276" t="s">
        <v>241</v>
      </c>
      <c r="M3276" t="s">
        <v>8644</v>
      </c>
      <c r="N3276" t="s">
        <v>8645</v>
      </c>
      <c r="Q3276" s="28">
        <v>0</v>
      </c>
    </row>
    <row r="3277" spans="1:17" x14ac:dyDescent="0.35">
      <c r="A3277" t="s">
        <v>8520</v>
      </c>
      <c r="B3277" s="3" t="s">
        <v>102</v>
      </c>
      <c r="F3277">
        <v>5</v>
      </c>
      <c r="G3277" t="s">
        <v>8607</v>
      </c>
      <c r="H3277">
        <v>38</v>
      </c>
      <c r="I3277" t="s">
        <v>9307</v>
      </c>
      <c r="J3277" t="str">
        <f t="shared" si="51"/>
        <v>13F-HR-5.38.C12</v>
      </c>
      <c r="K3277" s="5" t="s">
        <v>8646</v>
      </c>
      <c r="L3277" t="s">
        <v>241</v>
      </c>
      <c r="M3277" t="s">
        <v>8647</v>
      </c>
      <c r="N3277" t="s">
        <v>8648</v>
      </c>
      <c r="Q3277" s="28">
        <v>0</v>
      </c>
    </row>
    <row r="3278" spans="1:17" x14ac:dyDescent="0.35">
      <c r="A3278" t="s">
        <v>8520</v>
      </c>
      <c r="B3278" s="3" t="s">
        <v>102</v>
      </c>
      <c r="F3278">
        <v>5</v>
      </c>
      <c r="G3278" t="s">
        <v>8607</v>
      </c>
      <c r="H3278">
        <v>27</v>
      </c>
      <c r="I3278" t="s">
        <v>9296</v>
      </c>
      <c r="J3278" t="str">
        <f t="shared" si="51"/>
        <v>13F-HR-5.27.C1</v>
      </c>
      <c r="K3278" s="5" t="s">
        <v>8608</v>
      </c>
      <c r="L3278" t="s">
        <v>229</v>
      </c>
      <c r="M3278" t="s">
        <v>8609</v>
      </c>
      <c r="N3278" t="s">
        <v>8610</v>
      </c>
      <c r="Q3278" s="28" t="s">
        <v>9066</v>
      </c>
    </row>
    <row r="3279" spans="1:17" x14ac:dyDescent="0.35">
      <c r="A3279" t="s">
        <v>8520</v>
      </c>
      <c r="B3279" s="3" t="s">
        <v>102</v>
      </c>
      <c r="F3279">
        <v>5</v>
      </c>
      <c r="G3279" t="s">
        <v>8607</v>
      </c>
      <c r="H3279">
        <v>28</v>
      </c>
      <c r="I3279" t="s">
        <v>9297</v>
      </c>
      <c r="J3279" t="str">
        <f t="shared" si="51"/>
        <v>13F-HR-5.28.C2</v>
      </c>
      <c r="K3279" s="5" t="s">
        <v>8612</v>
      </c>
      <c r="L3279" t="s">
        <v>229</v>
      </c>
      <c r="M3279" t="s">
        <v>8613</v>
      </c>
      <c r="N3279" t="s">
        <v>8614</v>
      </c>
      <c r="Q3279" s="28" t="s">
        <v>8661</v>
      </c>
    </row>
    <row r="3280" spans="1:17" x14ac:dyDescent="0.35">
      <c r="A3280" t="s">
        <v>8520</v>
      </c>
      <c r="B3280" s="3" t="s">
        <v>102</v>
      </c>
      <c r="F3280">
        <v>5</v>
      </c>
      <c r="G3280" t="s">
        <v>8607</v>
      </c>
      <c r="H3280">
        <v>29</v>
      </c>
      <c r="I3280" t="s">
        <v>9298</v>
      </c>
      <c r="J3280" t="str">
        <f t="shared" si="51"/>
        <v>13F-HR-5.29.C3</v>
      </c>
      <c r="K3280" s="5" t="s">
        <v>8616</v>
      </c>
      <c r="L3280" t="s">
        <v>229</v>
      </c>
      <c r="M3280" t="s">
        <v>7927</v>
      </c>
      <c r="N3280" t="s">
        <v>8617</v>
      </c>
      <c r="Q3280" s="28" t="s">
        <v>9067</v>
      </c>
    </row>
    <row r="3281" spans="1:17" x14ac:dyDescent="0.35">
      <c r="A3281" t="s">
        <v>8520</v>
      </c>
      <c r="B3281" s="3" t="s">
        <v>102</v>
      </c>
      <c r="F3281">
        <v>5</v>
      </c>
      <c r="G3281" t="s">
        <v>8607</v>
      </c>
      <c r="H3281">
        <v>30</v>
      </c>
      <c r="I3281" t="s">
        <v>9299</v>
      </c>
      <c r="J3281" t="str">
        <f t="shared" si="51"/>
        <v>13F-HR-5.30.C4</v>
      </c>
      <c r="K3281" s="5" t="s">
        <v>8618</v>
      </c>
      <c r="L3281" t="s">
        <v>8619</v>
      </c>
      <c r="M3281" t="s">
        <v>8620</v>
      </c>
      <c r="N3281" t="s">
        <v>8621</v>
      </c>
      <c r="Q3281" s="28">
        <v>124982447</v>
      </c>
    </row>
    <row r="3282" spans="1:17" x14ac:dyDescent="0.35">
      <c r="A3282" t="s">
        <v>8520</v>
      </c>
      <c r="B3282" s="3" t="s">
        <v>102</v>
      </c>
      <c r="F3282">
        <v>5</v>
      </c>
      <c r="G3282" t="s">
        <v>8607</v>
      </c>
      <c r="H3282">
        <v>31</v>
      </c>
      <c r="I3282" t="s">
        <v>9300</v>
      </c>
      <c r="J3282" t="str">
        <f t="shared" si="51"/>
        <v>13F-HR-5.31.C5</v>
      </c>
      <c r="K3282" s="5" t="s">
        <v>8622</v>
      </c>
      <c r="L3282" t="s">
        <v>241</v>
      </c>
      <c r="M3282" t="s">
        <v>8623</v>
      </c>
      <c r="N3282" t="s">
        <v>8624</v>
      </c>
      <c r="Q3282" s="28">
        <v>356624</v>
      </c>
    </row>
    <row r="3283" spans="1:17" x14ac:dyDescent="0.35">
      <c r="A3283" t="s">
        <v>8520</v>
      </c>
      <c r="B3283" s="3" t="s">
        <v>102</v>
      </c>
      <c r="F3283">
        <v>5</v>
      </c>
      <c r="G3283" t="s">
        <v>8607</v>
      </c>
      <c r="H3283">
        <v>32</v>
      </c>
      <c r="I3283" t="s">
        <v>9301</v>
      </c>
      <c r="J3283" t="str">
        <f t="shared" si="51"/>
        <v>13F-HR-5.32.C6</v>
      </c>
      <c r="K3283" s="5" t="s">
        <v>8625</v>
      </c>
      <c r="L3283" t="s">
        <v>229</v>
      </c>
      <c r="M3283" t="s">
        <v>8626</v>
      </c>
      <c r="N3283" t="s">
        <v>8627</v>
      </c>
      <c r="Q3283" s="28" t="s">
        <v>8628</v>
      </c>
    </row>
    <row r="3284" spans="1:17" x14ac:dyDescent="0.35">
      <c r="A3284" t="s">
        <v>8520</v>
      </c>
      <c r="B3284" s="3" t="s">
        <v>102</v>
      </c>
      <c r="F3284">
        <v>5</v>
      </c>
      <c r="G3284" t="s">
        <v>8607</v>
      </c>
      <c r="H3284">
        <v>33</v>
      </c>
      <c r="I3284" t="s">
        <v>9302</v>
      </c>
      <c r="J3284" t="str">
        <f t="shared" si="51"/>
        <v>13F-HR-5.33.C7</v>
      </c>
      <c r="K3284" s="5" t="s">
        <v>8629</v>
      </c>
      <c r="L3284" t="s">
        <v>229</v>
      </c>
      <c r="M3284" t="s">
        <v>8630</v>
      </c>
      <c r="N3284" t="s">
        <v>8631</v>
      </c>
      <c r="Q3284" s="28" t="s">
        <v>8685</v>
      </c>
    </row>
    <row r="3285" spans="1:17" x14ac:dyDescent="0.35">
      <c r="A3285" t="s">
        <v>8520</v>
      </c>
      <c r="B3285" s="3" t="s">
        <v>102</v>
      </c>
      <c r="F3285">
        <v>5</v>
      </c>
      <c r="G3285" t="s">
        <v>8607</v>
      </c>
      <c r="H3285">
        <v>34</v>
      </c>
      <c r="I3285" t="s">
        <v>9303</v>
      </c>
      <c r="J3285" t="str">
        <f t="shared" si="51"/>
        <v>13F-HR-5.34.C8</v>
      </c>
      <c r="K3285" s="5" t="s">
        <v>8633</v>
      </c>
      <c r="L3285" t="s">
        <v>4735</v>
      </c>
      <c r="M3285" t="s">
        <v>8634</v>
      </c>
      <c r="N3285" t="s">
        <v>8635</v>
      </c>
      <c r="Q3285" s="28" t="s">
        <v>8632</v>
      </c>
    </row>
    <row r="3286" spans="1:17" x14ac:dyDescent="0.35">
      <c r="A3286" t="s">
        <v>8520</v>
      </c>
      <c r="B3286" s="3" t="s">
        <v>102</v>
      </c>
      <c r="F3286">
        <v>5</v>
      </c>
      <c r="G3286" t="s">
        <v>8607</v>
      </c>
      <c r="H3286">
        <v>35</v>
      </c>
      <c r="I3286" t="s">
        <v>9304</v>
      </c>
      <c r="J3286" t="str">
        <f t="shared" si="51"/>
        <v>13F-HR-5.35.C9</v>
      </c>
      <c r="K3286" s="5" t="s">
        <v>8637</v>
      </c>
      <c r="L3286" t="s">
        <v>229</v>
      </c>
      <c r="M3286" t="s">
        <v>8638</v>
      </c>
      <c r="N3286" t="s">
        <v>8639</v>
      </c>
      <c r="Q3286" s="28" t="s">
        <v>8636</v>
      </c>
    </row>
    <row r="3287" spans="1:17" x14ac:dyDescent="0.35">
      <c r="A3287" t="s">
        <v>8520</v>
      </c>
      <c r="B3287" s="3" t="s">
        <v>102</v>
      </c>
      <c r="F3287">
        <v>5</v>
      </c>
      <c r="G3287" t="s">
        <v>8607</v>
      </c>
      <c r="H3287">
        <v>36</v>
      </c>
      <c r="I3287" t="s">
        <v>9305</v>
      </c>
      <c r="J3287" t="str">
        <f t="shared" si="51"/>
        <v>13F-HR-5.36.C10</v>
      </c>
      <c r="K3287" s="5" t="s">
        <v>8640</v>
      </c>
      <c r="L3287" t="s">
        <v>241</v>
      </c>
      <c r="M3287" t="s">
        <v>8641</v>
      </c>
      <c r="N3287" t="s">
        <v>8642</v>
      </c>
      <c r="Q3287" s="28">
        <v>245002</v>
      </c>
    </row>
    <row r="3288" spans="1:17" x14ac:dyDescent="0.35">
      <c r="A3288" t="s">
        <v>8520</v>
      </c>
      <c r="B3288" s="3" t="s">
        <v>102</v>
      </c>
      <c r="F3288">
        <v>5</v>
      </c>
      <c r="G3288" t="s">
        <v>8607</v>
      </c>
      <c r="H3288">
        <v>37</v>
      </c>
      <c r="I3288" t="s">
        <v>9306</v>
      </c>
      <c r="J3288" t="str">
        <f t="shared" si="51"/>
        <v>13F-HR-5.37.C11</v>
      </c>
      <c r="K3288" s="5" t="s">
        <v>8643</v>
      </c>
      <c r="L3288" t="s">
        <v>241</v>
      </c>
      <c r="M3288" t="s">
        <v>8644</v>
      </c>
      <c r="N3288" t="s">
        <v>8645</v>
      </c>
      <c r="Q3288" s="28">
        <v>0</v>
      </c>
    </row>
    <row r="3289" spans="1:17" x14ac:dyDescent="0.35">
      <c r="A3289" t="s">
        <v>8520</v>
      </c>
      <c r="B3289" s="3" t="s">
        <v>102</v>
      </c>
      <c r="F3289">
        <v>5</v>
      </c>
      <c r="G3289" t="s">
        <v>8607</v>
      </c>
      <c r="H3289">
        <v>38</v>
      </c>
      <c r="I3289" t="s">
        <v>9307</v>
      </c>
      <c r="J3289" t="str">
        <f t="shared" si="51"/>
        <v>13F-HR-5.38.C12</v>
      </c>
      <c r="K3289" s="5" t="s">
        <v>8646</v>
      </c>
      <c r="L3289" t="s">
        <v>241</v>
      </c>
      <c r="M3289" t="s">
        <v>8647</v>
      </c>
      <c r="N3289" t="s">
        <v>8648</v>
      </c>
      <c r="Q3289" s="28">
        <v>111622</v>
      </c>
    </row>
    <row r="3290" spans="1:17" x14ac:dyDescent="0.35">
      <c r="A3290" t="s">
        <v>8520</v>
      </c>
      <c r="B3290" s="3" t="s">
        <v>102</v>
      </c>
      <c r="F3290">
        <v>5</v>
      </c>
      <c r="G3290" t="s">
        <v>8607</v>
      </c>
      <c r="H3290">
        <v>27</v>
      </c>
      <c r="I3290" t="s">
        <v>9296</v>
      </c>
      <c r="J3290" t="str">
        <f t="shared" si="51"/>
        <v>13F-HR-5.27.C1</v>
      </c>
      <c r="K3290" s="5" t="s">
        <v>8608</v>
      </c>
      <c r="L3290" t="s">
        <v>229</v>
      </c>
      <c r="M3290" t="s">
        <v>8609</v>
      </c>
      <c r="N3290" t="s">
        <v>8610</v>
      </c>
      <c r="Q3290" s="28" t="s">
        <v>9068</v>
      </c>
    </row>
    <row r="3291" spans="1:17" x14ac:dyDescent="0.35">
      <c r="A3291" t="s">
        <v>8520</v>
      </c>
      <c r="B3291" s="3" t="s">
        <v>102</v>
      </c>
      <c r="F3291">
        <v>5</v>
      </c>
      <c r="G3291" t="s">
        <v>8607</v>
      </c>
      <c r="H3291">
        <v>28</v>
      </c>
      <c r="I3291" t="s">
        <v>9297</v>
      </c>
      <c r="J3291" t="str">
        <f t="shared" si="51"/>
        <v>13F-HR-5.28.C2</v>
      </c>
      <c r="K3291" s="5" t="s">
        <v>8612</v>
      </c>
      <c r="L3291" t="s">
        <v>229</v>
      </c>
      <c r="M3291" t="s">
        <v>8613</v>
      </c>
      <c r="N3291" t="s">
        <v>8614</v>
      </c>
      <c r="Q3291" s="28" t="s">
        <v>8615</v>
      </c>
    </row>
    <row r="3292" spans="1:17" x14ac:dyDescent="0.35">
      <c r="A3292" t="s">
        <v>8520</v>
      </c>
      <c r="B3292" s="3" t="s">
        <v>102</v>
      </c>
      <c r="F3292">
        <v>5</v>
      </c>
      <c r="G3292" t="s">
        <v>8607</v>
      </c>
      <c r="H3292">
        <v>29</v>
      </c>
      <c r="I3292" t="s">
        <v>9298</v>
      </c>
      <c r="J3292" t="str">
        <f t="shared" si="51"/>
        <v>13F-HR-5.29.C3</v>
      </c>
      <c r="K3292" s="5" t="s">
        <v>8616</v>
      </c>
      <c r="L3292" t="s">
        <v>229</v>
      </c>
      <c r="M3292" t="s">
        <v>7927</v>
      </c>
      <c r="N3292" t="s">
        <v>8617</v>
      </c>
      <c r="Q3292" s="28" t="s">
        <v>9069</v>
      </c>
    </row>
    <row r="3293" spans="1:17" x14ac:dyDescent="0.35">
      <c r="A3293" t="s">
        <v>8520</v>
      </c>
      <c r="B3293" s="3" t="s">
        <v>102</v>
      </c>
      <c r="F3293">
        <v>5</v>
      </c>
      <c r="G3293" t="s">
        <v>8607</v>
      </c>
      <c r="H3293">
        <v>30</v>
      </c>
      <c r="I3293" t="s">
        <v>9299</v>
      </c>
      <c r="J3293" t="str">
        <f t="shared" si="51"/>
        <v>13F-HR-5.30.C4</v>
      </c>
      <c r="K3293" s="5" t="s">
        <v>8618</v>
      </c>
      <c r="L3293" t="s">
        <v>8619</v>
      </c>
      <c r="M3293" t="s">
        <v>8620</v>
      </c>
      <c r="N3293" t="s">
        <v>8621</v>
      </c>
      <c r="Q3293" s="28">
        <v>19737418</v>
      </c>
    </row>
    <row r="3294" spans="1:17" x14ac:dyDescent="0.35">
      <c r="A3294" t="s">
        <v>8520</v>
      </c>
      <c r="B3294" s="3" t="s">
        <v>102</v>
      </c>
      <c r="F3294">
        <v>5</v>
      </c>
      <c r="G3294" t="s">
        <v>8607</v>
      </c>
      <c r="H3294">
        <v>31</v>
      </c>
      <c r="I3294" t="s">
        <v>9300</v>
      </c>
      <c r="J3294" t="str">
        <f t="shared" si="51"/>
        <v>13F-HR-5.31.C5</v>
      </c>
      <c r="K3294" s="5" t="s">
        <v>8622</v>
      </c>
      <c r="L3294" t="s">
        <v>241</v>
      </c>
      <c r="M3294" t="s">
        <v>8623</v>
      </c>
      <c r="N3294" t="s">
        <v>8624</v>
      </c>
      <c r="Q3294" s="28">
        <v>101119</v>
      </c>
    </row>
    <row r="3295" spans="1:17" x14ac:dyDescent="0.35">
      <c r="A3295" t="s">
        <v>8520</v>
      </c>
      <c r="B3295" s="3" t="s">
        <v>102</v>
      </c>
      <c r="F3295">
        <v>5</v>
      </c>
      <c r="G3295" t="s">
        <v>8607</v>
      </c>
      <c r="H3295">
        <v>32</v>
      </c>
      <c r="I3295" t="s">
        <v>9301</v>
      </c>
      <c r="J3295" t="str">
        <f t="shared" si="51"/>
        <v>13F-HR-5.32.C6</v>
      </c>
      <c r="K3295" s="5" t="s">
        <v>8625</v>
      </c>
      <c r="L3295" t="s">
        <v>229</v>
      </c>
      <c r="M3295" t="s">
        <v>8626</v>
      </c>
      <c r="N3295" t="s">
        <v>8627</v>
      </c>
      <c r="Q3295" s="28" t="s">
        <v>8628</v>
      </c>
    </row>
    <row r="3296" spans="1:17" x14ac:dyDescent="0.35">
      <c r="A3296" t="s">
        <v>8520</v>
      </c>
      <c r="B3296" s="3" t="s">
        <v>102</v>
      </c>
      <c r="F3296">
        <v>5</v>
      </c>
      <c r="G3296" t="s">
        <v>8607</v>
      </c>
      <c r="H3296">
        <v>33</v>
      </c>
      <c r="I3296" t="s">
        <v>9302</v>
      </c>
      <c r="J3296" t="str">
        <f t="shared" si="51"/>
        <v>13F-HR-5.33.C7</v>
      </c>
      <c r="K3296" s="5" t="s">
        <v>8629</v>
      </c>
      <c r="L3296" t="s">
        <v>229</v>
      </c>
      <c r="M3296" t="s">
        <v>8630</v>
      </c>
      <c r="N3296" t="s">
        <v>8631</v>
      </c>
      <c r="Q3296" s="28" t="s">
        <v>8685</v>
      </c>
    </row>
    <row r="3297" spans="1:17" x14ac:dyDescent="0.35">
      <c r="A3297" t="s">
        <v>8520</v>
      </c>
      <c r="B3297" s="3" t="s">
        <v>102</v>
      </c>
      <c r="F3297">
        <v>5</v>
      </c>
      <c r="G3297" t="s">
        <v>8607</v>
      </c>
      <c r="H3297">
        <v>34</v>
      </c>
      <c r="I3297" t="s">
        <v>9303</v>
      </c>
      <c r="J3297" t="str">
        <f t="shared" si="51"/>
        <v>13F-HR-5.34.C8</v>
      </c>
      <c r="K3297" s="5" t="s">
        <v>8633</v>
      </c>
      <c r="L3297" t="s">
        <v>4735</v>
      </c>
      <c r="M3297" t="s">
        <v>8634</v>
      </c>
      <c r="N3297" t="s">
        <v>8635</v>
      </c>
      <c r="Q3297" s="28" t="s">
        <v>8632</v>
      </c>
    </row>
    <row r="3298" spans="1:17" x14ac:dyDescent="0.35">
      <c r="A3298" t="s">
        <v>8520</v>
      </c>
      <c r="B3298" s="3" t="s">
        <v>102</v>
      </c>
      <c r="F3298">
        <v>5</v>
      </c>
      <c r="G3298" t="s">
        <v>8607</v>
      </c>
      <c r="H3298">
        <v>35</v>
      </c>
      <c r="I3298" t="s">
        <v>9304</v>
      </c>
      <c r="J3298" t="str">
        <f t="shared" si="51"/>
        <v>13F-HR-5.35.C9</v>
      </c>
      <c r="K3298" s="5" t="s">
        <v>8637</v>
      </c>
      <c r="L3298" t="s">
        <v>229</v>
      </c>
      <c r="M3298" t="s">
        <v>8638</v>
      </c>
      <c r="N3298" t="s">
        <v>8639</v>
      </c>
      <c r="Q3298" s="28" t="s">
        <v>8636</v>
      </c>
    </row>
    <row r="3299" spans="1:17" x14ac:dyDescent="0.35">
      <c r="A3299" t="s">
        <v>8520</v>
      </c>
      <c r="B3299" s="3" t="s">
        <v>102</v>
      </c>
      <c r="F3299">
        <v>5</v>
      </c>
      <c r="G3299" t="s">
        <v>8607</v>
      </c>
      <c r="H3299">
        <v>36</v>
      </c>
      <c r="I3299" t="s">
        <v>9305</v>
      </c>
      <c r="J3299" t="str">
        <f t="shared" si="51"/>
        <v>13F-HR-5.36.C10</v>
      </c>
      <c r="K3299" s="5" t="s">
        <v>8640</v>
      </c>
      <c r="L3299" t="s">
        <v>241</v>
      </c>
      <c r="M3299" t="s">
        <v>8641</v>
      </c>
      <c r="N3299" t="s">
        <v>8642</v>
      </c>
      <c r="Q3299" s="28">
        <v>77295</v>
      </c>
    </row>
    <row r="3300" spans="1:17" x14ac:dyDescent="0.35">
      <c r="A3300" t="s">
        <v>8520</v>
      </c>
      <c r="B3300" s="3" t="s">
        <v>102</v>
      </c>
      <c r="F3300">
        <v>5</v>
      </c>
      <c r="G3300" t="s">
        <v>8607</v>
      </c>
      <c r="H3300">
        <v>37</v>
      </c>
      <c r="I3300" t="s">
        <v>9306</v>
      </c>
      <c r="J3300" t="str">
        <f t="shared" si="51"/>
        <v>13F-HR-5.37.C11</v>
      </c>
      <c r="K3300" s="5" t="s">
        <v>8643</v>
      </c>
      <c r="L3300" t="s">
        <v>241</v>
      </c>
      <c r="M3300" t="s">
        <v>8644</v>
      </c>
      <c r="N3300" t="s">
        <v>8645</v>
      </c>
      <c r="Q3300" s="28">
        <v>0</v>
      </c>
    </row>
    <row r="3301" spans="1:17" x14ac:dyDescent="0.35">
      <c r="A3301" t="s">
        <v>8520</v>
      </c>
      <c r="B3301" s="3" t="s">
        <v>102</v>
      </c>
      <c r="F3301">
        <v>5</v>
      </c>
      <c r="G3301" t="s">
        <v>8607</v>
      </c>
      <c r="H3301">
        <v>38</v>
      </c>
      <c r="I3301" t="s">
        <v>9307</v>
      </c>
      <c r="J3301" t="str">
        <f t="shared" si="51"/>
        <v>13F-HR-5.38.C12</v>
      </c>
      <c r="K3301" s="5" t="s">
        <v>8646</v>
      </c>
      <c r="L3301" t="s">
        <v>241</v>
      </c>
      <c r="M3301" t="s">
        <v>8647</v>
      </c>
      <c r="N3301" t="s">
        <v>8648</v>
      </c>
      <c r="Q3301" s="28">
        <v>23824</v>
      </c>
    </row>
    <row r="3302" spans="1:17" x14ac:dyDescent="0.35">
      <c r="A3302" t="s">
        <v>8520</v>
      </c>
      <c r="B3302" s="3" t="s">
        <v>102</v>
      </c>
      <c r="F3302">
        <v>5</v>
      </c>
      <c r="G3302" t="s">
        <v>8607</v>
      </c>
      <c r="H3302">
        <v>27</v>
      </c>
      <c r="I3302" t="s">
        <v>9296</v>
      </c>
      <c r="J3302" t="str">
        <f t="shared" si="51"/>
        <v>13F-HR-5.27.C1</v>
      </c>
      <c r="K3302" s="5" t="s">
        <v>8608</v>
      </c>
      <c r="L3302" t="s">
        <v>229</v>
      </c>
      <c r="M3302" t="s">
        <v>8609</v>
      </c>
      <c r="N3302" t="s">
        <v>8610</v>
      </c>
      <c r="Q3302" s="28" t="s">
        <v>9070</v>
      </c>
    </row>
    <row r="3303" spans="1:17" x14ac:dyDescent="0.35">
      <c r="A3303" t="s">
        <v>8520</v>
      </c>
      <c r="B3303" s="3" t="s">
        <v>102</v>
      </c>
      <c r="F3303">
        <v>5</v>
      </c>
      <c r="G3303" t="s">
        <v>8607</v>
      </c>
      <c r="H3303">
        <v>28</v>
      </c>
      <c r="I3303" t="s">
        <v>9297</v>
      </c>
      <c r="J3303" t="str">
        <f t="shared" si="51"/>
        <v>13F-HR-5.28.C2</v>
      </c>
      <c r="K3303" s="5" t="s">
        <v>8612</v>
      </c>
      <c r="L3303" t="s">
        <v>229</v>
      </c>
      <c r="M3303" t="s">
        <v>8613</v>
      </c>
      <c r="N3303" t="s">
        <v>8614</v>
      </c>
      <c r="Q3303" s="28" t="s">
        <v>8615</v>
      </c>
    </row>
    <row r="3304" spans="1:17" x14ac:dyDescent="0.35">
      <c r="A3304" t="s">
        <v>8520</v>
      </c>
      <c r="B3304" s="3" t="s">
        <v>102</v>
      </c>
      <c r="F3304">
        <v>5</v>
      </c>
      <c r="G3304" t="s">
        <v>8607</v>
      </c>
      <c r="H3304">
        <v>29</v>
      </c>
      <c r="I3304" t="s">
        <v>9298</v>
      </c>
      <c r="J3304" t="str">
        <f t="shared" si="51"/>
        <v>13F-HR-5.29.C3</v>
      </c>
      <c r="K3304" s="5" t="s">
        <v>8616</v>
      </c>
      <c r="L3304" t="s">
        <v>229</v>
      </c>
      <c r="M3304" t="s">
        <v>7927</v>
      </c>
      <c r="N3304" t="s">
        <v>8617</v>
      </c>
      <c r="Q3304" s="28">
        <v>947890109</v>
      </c>
    </row>
    <row r="3305" spans="1:17" x14ac:dyDescent="0.35">
      <c r="A3305" t="s">
        <v>8520</v>
      </c>
      <c r="B3305" s="3" t="s">
        <v>102</v>
      </c>
      <c r="F3305">
        <v>5</v>
      </c>
      <c r="G3305" t="s">
        <v>8607</v>
      </c>
      <c r="H3305">
        <v>30</v>
      </c>
      <c r="I3305" t="s">
        <v>9299</v>
      </c>
      <c r="J3305" t="str">
        <f t="shared" si="51"/>
        <v>13F-HR-5.30.C4</v>
      </c>
      <c r="K3305" s="5" t="s">
        <v>8618</v>
      </c>
      <c r="L3305" t="s">
        <v>8619</v>
      </c>
      <c r="M3305" t="s">
        <v>8620</v>
      </c>
      <c r="N3305" t="s">
        <v>8621</v>
      </c>
      <c r="Q3305" s="28">
        <v>1279677</v>
      </c>
    </row>
    <row r="3306" spans="1:17" x14ac:dyDescent="0.35">
      <c r="A3306" t="s">
        <v>8520</v>
      </c>
      <c r="B3306" s="3" t="s">
        <v>102</v>
      </c>
      <c r="F3306">
        <v>5</v>
      </c>
      <c r="G3306" t="s">
        <v>8607</v>
      </c>
      <c r="H3306">
        <v>31</v>
      </c>
      <c r="I3306" t="s">
        <v>9300</v>
      </c>
      <c r="J3306" t="str">
        <f t="shared" si="51"/>
        <v>13F-HR-5.31.C5</v>
      </c>
      <c r="K3306" s="5" t="s">
        <v>8622</v>
      </c>
      <c r="L3306" t="s">
        <v>241</v>
      </c>
      <c r="M3306" t="s">
        <v>8623</v>
      </c>
      <c r="N3306" t="s">
        <v>8624</v>
      </c>
      <c r="Q3306" s="28">
        <v>24824</v>
      </c>
    </row>
    <row r="3307" spans="1:17" x14ac:dyDescent="0.35">
      <c r="A3307" t="s">
        <v>8520</v>
      </c>
      <c r="B3307" s="3" t="s">
        <v>102</v>
      </c>
      <c r="F3307">
        <v>5</v>
      </c>
      <c r="G3307" t="s">
        <v>8607</v>
      </c>
      <c r="H3307">
        <v>32</v>
      </c>
      <c r="I3307" t="s">
        <v>9301</v>
      </c>
      <c r="J3307" t="str">
        <f t="shared" si="51"/>
        <v>13F-HR-5.32.C6</v>
      </c>
      <c r="K3307" s="5" t="s">
        <v>8625</v>
      </c>
      <c r="L3307" t="s">
        <v>229</v>
      </c>
      <c r="M3307" t="s">
        <v>8626</v>
      </c>
      <c r="N3307" t="s">
        <v>8627</v>
      </c>
      <c r="Q3307" s="28" t="s">
        <v>8628</v>
      </c>
    </row>
    <row r="3308" spans="1:17" x14ac:dyDescent="0.35">
      <c r="A3308" t="s">
        <v>8520</v>
      </c>
      <c r="B3308" s="3" t="s">
        <v>102</v>
      </c>
      <c r="F3308">
        <v>5</v>
      </c>
      <c r="G3308" t="s">
        <v>8607</v>
      </c>
      <c r="H3308">
        <v>33</v>
      </c>
      <c r="I3308" t="s">
        <v>9302</v>
      </c>
      <c r="J3308" t="str">
        <f t="shared" si="51"/>
        <v>13F-HR-5.33.C7</v>
      </c>
      <c r="K3308" s="5" t="s">
        <v>8629</v>
      </c>
      <c r="L3308" t="s">
        <v>229</v>
      </c>
      <c r="M3308" t="s">
        <v>8630</v>
      </c>
      <c r="N3308" t="s">
        <v>8631</v>
      </c>
      <c r="Q3308" s="28" t="s">
        <v>8685</v>
      </c>
    </row>
    <row r="3309" spans="1:17" x14ac:dyDescent="0.35">
      <c r="A3309" t="s">
        <v>8520</v>
      </c>
      <c r="B3309" s="3" t="s">
        <v>102</v>
      </c>
      <c r="F3309">
        <v>5</v>
      </c>
      <c r="G3309" t="s">
        <v>8607</v>
      </c>
      <c r="H3309">
        <v>34</v>
      </c>
      <c r="I3309" t="s">
        <v>9303</v>
      </c>
      <c r="J3309" t="str">
        <f t="shared" si="51"/>
        <v>13F-HR-5.34.C8</v>
      </c>
      <c r="K3309" s="5" t="s">
        <v>8633</v>
      </c>
      <c r="L3309" t="s">
        <v>4735</v>
      </c>
      <c r="M3309" t="s">
        <v>8634</v>
      </c>
      <c r="N3309" t="s">
        <v>8635</v>
      </c>
      <c r="Q3309" s="28" t="s">
        <v>8632</v>
      </c>
    </row>
    <row r="3310" spans="1:17" x14ac:dyDescent="0.35">
      <c r="A3310" t="s">
        <v>8520</v>
      </c>
      <c r="B3310" s="3" t="s">
        <v>102</v>
      </c>
      <c r="F3310">
        <v>5</v>
      </c>
      <c r="G3310" t="s">
        <v>8607</v>
      </c>
      <c r="H3310">
        <v>35</v>
      </c>
      <c r="I3310" t="s">
        <v>9304</v>
      </c>
      <c r="J3310" t="str">
        <f t="shared" si="51"/>
        <v>13F-HR-5.35.C9</v>
      </c>
      <c r="K3310" s="5" t="s">
        <v>8637</v>
      </c>
      <c r="L3310" t="s">
        <v>229</v>
      </c>
      <c r="M3310" t="s">
        <v>8638</v>
      </c>
      <c r="N3310" t="s">
        <v>8639</v>
      </c>
      <c r="Q3310" s="28" t="s">
        <v>8636</v>
      </c>
    </row>
    <row r="3311" spans="1:17" x14ac:dyDescent="0.35">
      <c r="A3311" t="s">
        <v>8520</v>
      </c>
      <c r="B3311" s="3" t="s">
        <v>102</v>
      </c>
      <c r="F3311">
        <v>5</v>
      </c>
      <c r="G3311" t="s">
        <v>8607</v>
      </c>
      <c r="H3311">
        <v>36</v>
      </c>
      <c r="I3311" t="s">
        <v>9305</v>
      </c>
      <c r="J3311" t="str">
        <f t="shared" si="51"/>
        <v>13F-HR-5.36.C10</v>
      </c>
      <c r="K3311" s="5" t="s">
        <v>8640</v>
      </c>
      <c r="L3311" t="s">
        <v>241</v>
      </c>
      <c r="M3311" t="s">
        <v>8641</v>
      </c>
      <c r="N3311" t="s">
        <v>8642</v>
      </c>
      <c r="Q3311" s="28">
        <v>24824</v>
      </c>
    </row>
    <row r="3312" spans="1:17" x14ac:dyDescent="0.35">
      <c r="A3312" t="s">
        <v>8520</v>
      </c>
      <c r="B3312" s="3" t="s">
        <v>102</v>
      </c>
      <c r="F3312">
        <v>5</v>
      </c>
      <c r="G3312" t="s">
        <v>8607</v>
      </c>
      <c r="H3312">
        <v>37</v>
      </c>
      <c r="I3312" t="s">
        <v>9306</v>
      </c>
      <c r="J3312" t="str">
        <f t="shared" si="51"/>
        <v>13F-HR-5.37.C11</v>
      </c>
      <c r="K3312" s="5" t="s">
        <v>8643</v>
      </c>
      <c r="L3312" t="s">
        <v>241</v>
      </c>
      <c r="M3312" t="s">
        <v>8644</v>
      </c>
      <c r="N3312" t="s">
        <v>8645</v>
      </c>
      <c r="Q3312" s="28">
        <v>0</v>
      </c>
    </row>
    <row r="3313" spans="1:17" x14ac:dyDescent="0.35">
      <c r="A3313" t="s">
        <v>8520</v>
      </c>
      <c r="B3313" s="3" t="s">
        <v>102</v>
      </c>
      <c r="F3313">
        <v>5</v>
      </c>
      <c r="G3313" t="s">
        <v>8607</v>
      </c>
      <c r="H3313">
        <v>38</v>
      </c>
      <c r="I3313" t="s">
        <v>9307</v>
      </c>
      <c r="J3313" t="str">
        <f t="shared" si="51"/>
        <v>13F-HR-5.38.C12</v>
      </c>
      <c r="K3313" s="5" t="s">
        <v>8646</v>
      </c>
      <c r="L3313" t="s">
        <v>241</v>
      </c>
      <c r="M3313" t="s">
        <v>8647</v>
      </c>
      <c r="N3313" t="s">
        <v>8648</v>
      </c>
      <c r="Q3313" s="28">
        <v>0</v>
      </c>
    </row>
    <row r="3314" spans="1:17" x14ac:dyDescent="0.35">
      <c r="A3314" t="s">
        <v>8520</v>
      </c>
      <c r="B3314" s="3" t="s">
        <v>102</v>
      </c>
      <c r="F3314">
        <v>5</v>
      </c>
      <c r="G3314" t="s">
        <v>8607</v>
      </c>
      <c r="H3314">
        <v>27</v>
      </c>
      <c r="I3314" t="s">
        <v>9296</v>
      </c>
      <c r="J3314" t="str">
        <f t="shared" si="51"/>
        <v>13F-HR-5.27.C1</v>
      </c>
      <c r="K3314" s="5" t="s">
        <v>8608</v>
      </c>
      <c r="L3314" t="s">
        <v>229</v>
      </c>
      <c r="M3314" t="s">
        <v>8609</v>
      </c>
      <c r="N3314" t="s">
        <v>8610</v>
      </c>
      <c r="Q3314" s="28" t="s">
        <v>9071</v>
      </c>
    </row>
    <row r="3315" spans="1:17" x14ac:dyDescent="0.35">
      <c r="A3315" t="s">
        <v>8520</v>
      </c>
      <c r="B3315" s="3" t="s">
        <v>102</v>
      </c>
      <c r="F3315">
        <v>5</v>
      </c>
      <c r="G3315" t="s">
        <v>8607</v>
      </c>
      <c r="H3315">
        <v>28</v>
      </c>
      <c r="I3315" t="s">
        <v>9297</v>
      </c>
      <c r="J3315" t="str">
        <f t="shared" si="51"/>
        <v>13F-HR-5.28.C2</v>
      </c>
      <c r="K3315" s="5" t="s">
        <v>8612</v>
      </c>
      <c r="L3315" t="s">
        <v>229</v>
      </c>
      <c r="M3315" t="s">
        <v>8613</v>
      </c>
      <c r="N3315" t="s">
        <v>8614</v>
      </c>
      <c r="Q3315" s="28" t="s">
        <v>8615</v>
      </c>
    </row>
    <row r="3316" spans="1:17" x14ac:dyDescent="0.35">
      <c r="A3316" t="s">
        <v>8520</v>
      </c>
      <c r="B3316" s="3" t="s">
        <v>102</v>
      </c>
      <c r="F3316">
        <v>5</v>
      </c>
      <c r="G3316" t="s">
        <v>8607</v>
      </c>
      <c r="H3316">
        <v>29</v>
      </c>
      <c r="I3316" t="s">
        <v>9298</v>
      </c>
      <c r="J3316" t="str">
        <f t="shared" si="51"/>
        <v>13F-HR-5.29.C3</v>
      </c>
      <c r="K3316" s="5" t="s">
        <v>8616</v>
      </c>
      <c r="L3316" t="s">
        <v>229</v>
      </c>
      <c r="M3316" t="s">
        <v>7927</v>
      </c>
      <c r="N3316" t="s">
        <v>8617</v>
      </c>
      <c r="Q3316" s="28">
        <v>949746101</v>
      </c>
    </row>
    <row r="3317" spans="1:17" x14ac:dyDescent="0.35">
      <c r="A3317" t="s">
        <v>8520</v>
      </c>
      <c r="B3317" s="3" t="s">
        <v>102</v>
      </c>
      <c r="F3317">
        <v>5</v>
      </c>
      <c r="G3317" t="s">
        <v>8607</v>
      </c>
      <c r="H3317">
        <v>30</v>
      </c>
      <c r="I3317" t="s">
        <v>9299</v>
      </c>
      <c r="J3317" t="str">
        <f t="shared" si="51"/>
        <v>13F-HR-5.30.C4</v>
      </c>
      <c r="K3317" s="5" t="s">
        <v>8618</v>
      </c>
      <c r="L3317" t="s">
        <v>8619</v>
      </c>
      <c r="M3317" t="s">
        <v>8620</v>
      </c>
      <c r="N3317" t="s">
        <v>8621</v>
      </c>
      <c r="Q3317" s="28">
        <v>19068932</v>
      </c>
    </row>
    <row r="3318" spans="1:17" x14ac:dyDescent="0.35">
      <c r="A3318" t="s">
        <v>8520</v>
      </c>
      <c r="B3318" s="3" t="s">
        <v>102</v>
      </c>
      <c r="F3318">
        <v>5</v>
      </c>
      <c r="G3318" t="s">
        <v>8607</v>
      </c>
      <c r="H3318">
        <v>31</v>
      </c>
      <c r="I3318" t="s">
        <v>9300</v>
      </c>
      <c r="J3318" t="str">
        <f t="shared" si="51"/>
        <v>13F-HR-5.31.C5</v>
      </c>
      <c r="K3318" s="5" t="s">
        <v>8622</v>
      </c>
      <c r="L3318" t="s">
        <v>241</v>
      </c>
      <c r="M3318" t="s">
        <v>8623</v>
      </c>
      <c r="N3318" t="s">
        <v>8624</v>
      </c>
      <c r="Q3318" s="28">
        <v>265621</v>
      </c>
    </row>
    <row r="3319" spans="1:17" x14ac:dyDescent="0.35">
      <c r="A3319" t="s">
        <v>8520</v>
      </c>
      <c r="B3319" s="3" t="s">
        <v>102</v>
      </c>
      <c r="F3319">
        <v>5</v>
      </c>
      <c r="G3319" t="s">
        <v>8607</v>
      </c>
      <c r="H3319">
        <v>32</v>
      </c>
      <c r="I3319" t="s">
        <v>9301</v>
      </c>
      <c r="J3319" t="str">
        <f t="shared" si="51"/>
        <v>13F-HR-5.32.C6</v>
      </c>
      <c r="K3319" s="5" t="s">
        <v>8625</v>
      </c>
      <c r="L3319" t="s">
        <v>229</v>
      </c>
      <c r="M3319" t="s">
        <v>8626</v>
      </c>
      <c r="N3319" t="s">
        <v>8627</v>
      </c>
      <c r="Q3319" s="28" t="s">
        <v>8628</v>
      </c>
    </row>
    <row r="3320" spans="1:17" x14ac:dyDescent="0.35">
      <c r="A3320" t="s">
        <v>8520</v>
      </c>
      <c r="B3320" s="3" t="s">
        <v>102</v>
      </c>
      <c r="F3320">
        <v>5</v>
      </c>
      <c r="G3320" t="s">
        <v>8607</v>
      </c>
      <c r="H3320">
        <v>33</v>
      </c>
      <c r="I3320" t="s">
        <v>9302</v>
      </c>
      <c r="J3320" t="str">
        <f t="shared" si="51"/>
        <v>13F-HR-5.33.C7</v>
      </c>
      <c r="K3320" s="5" t="s">
        <v>8629</v>
      </c>
      <c r="L3320" t="s">
        <v>229</v>
      </c>
      <c r="M3320" t="s">
        <v>8630</v>
      </c>
      <c r="N3320" t="s">
        <v>8631</v>
      </c>
      <c r="Q3320" s="28" t="s">
        <v>8685</v>
      </c>
    </row>
    <row r="3321" spans="1:17" x14ac:dyDescent="0.35">
      <c r="A3321" t="s">
        <v>8520</v>
      </c>
      <c r="B3321" s="3" t="s">
        <v>102</v>
      </c>
      <c r="F3321">
        <v>5</v>
      </c>
      <c r="G3321" t="s">
        <v>8607</v>
      </c>
      <c r="H3321">
        <v>34</v>
      </c>
      <c r="I3321" t="s">
        <v>9303</v>
      </c>
      <c r="J3321" t="str">
        <f t="shared" si="51"/>
        <v>13F-HR-5.34.C8</v>
      </c>
      <c r="K3321" s="5" t="s">
        <v>8633</v>
      </c>
      <c r="L3321" t="s">
        <v>4735</v>
      </c>
      <c r="M3321" t="s">
        <v>8634</v>
      </c>
      <c r="N3321" t="s">
        <v>8635</v>
      </c>
      <c r="Q3321" s="28" t="s">
        <v>8632</v>
      </c>
    </row>
    <row r="3322" spans="1:17" x14ac:dyDescent="0.35">
      <c r="A3322" t="s">
        <v>8520</v>
      </c>
      <c r="B3322" s="3" t="s">
        <v>102</v>
      </c>
      <c r="F3322">
        <v>5</v>
      </c>
      <c r="G3322" t="s">
        <v>8607</v>
      </c>
      <c r="H3322">
        <v>35</v>
      </c>
      <c r="I3322" t="s">
        <v>9304</v>
      </c>
      <c r="J3322" t="str">
        <f t="shared" si="51"/>
        <v>13F-HR-5.35.C9</v>
      </c>
      <c r="K3322" s="5" t="s">
        <v>8637</v>
      </c>
      <c r="L3322" t="s">
        <v>229</v>
      </c>
      <c r="M3322" t="s">
        <v>8638</v>
      </c>
      <c r="N3322" t="s">
        <v>8639</v>
      </c>
      <c r="Q3322" s="28" t="s">
        <v>8636</v>
      </c>
    </row>
    <row r="3323" spans="1:17" x14ac:dyDescent="0.35">
      <c r="A3323" t="s">
        <v>8520</v>
      </c>
      <c r="B3323" s="3" t="s">
        <v>102</v>
      </c>
      <c r="F3323">
        <v>5</v>
      </c>
      <c r="G3323" t="s">
        <v>8607</v>
      </c>
      <c r="H3323">
        <v>36</v>
      </c>
      <c r="I3323" t="s">
        <v>9305</v>
      </c>
      <c r="J3323" t="str">
        <f t="shared" si="51"/>
        <v>13F-HR-5.36.C10</v>
      </c>
      <c r="K3323" s="5" t="s">
        <v>8640</v>
      </c>
      <c r="L3323" t="s">
        <v>241</v>
      </c>
      <c r="M3323" t="s">
        <v>8641</v>
      </c>
      <c r="N3323" t="s">
        <v>8642</v>
      </c>
      <c r="Q3323" s="28">
        <v>13467</v>
      </c>
    </row>
    <row r="3324" spans="1:17" x14ac:dyDescent="0.35">
      <c r="A3324" t="s">
        <v>8520</v>
      </c>
      <c r="B3324" s="3" t="s">
        <v>102</v>
      </c>
      <c r="F3324">
        <v>5</v>
      </c>
      <c r="G3324" t="s">
        <v>8607</v>
      </c>
      <c r="H3324">
        <v>37</v>
      </c>
      <c r="I3324" t="s">
        <v>9306</v>
      </c>
      <c r="J3324" t="str">
        <f t="shared" si="51"/>
        <v>13F-HR-5.37.C11</v>
      </c>
      <c r="K3324" s="5" t="s">
        <v>8643</v>
      </c>
      <c r="L3324" t="s">
        <v>241</v>
      </c>
      <c r="M3324" t="s">
        <v>8644</v>
      </c>
      <c r="N3324" t="s">
        <v>8645</v>
      </c>
      <c r="Q3324" s="28">
        <v>0</v>
      </c>
    </row>
    <row r="3325" spans="1:17" x14ac:dyDescent="0.35">
      <c r="A3325" t="s">
        <v>8520</v>
      </c>
      <c r="B3325" s="3" t="s">
        <v>102</v>
      </c>
      <c r="F3325">
        <v>5</v>
      </c>
      <c r="G3325" t="s">
        <v>8607</v>
      </c>
      <c r="H3325">
        <v>38</v>
      </c>
      <c r="I3325" t="s">
        <v>9307</v>
      </c>
      <c r="J3325" t="str">
        <f t="shared" si="51"/>
        <v>13F-HR-5.38.C12</v>
      </c>
      <c r="K3325" s="5" t="s">
        <v>8646</v>
      </c>
      <c r="L3325" t="s">
        <v>241</v>
      </c>
      <c r="M3325" t="s">
        <v>8647</v>
      </c>
      <c r="N3325" t="s">
        <v>8648</v>
      </c>
      <c r="Q3325" s="28">
        <v>252154</v>
      </c>
    </row>
    <row r="3326" spans="1:17" x14ac:dyDescent="0.35">
      <c r="A3326" t="s">
        <v>8520</v>
      </c>
      <c r="B3326" s="3" t="s">
        <v>102</v>
      </c>
      <c r="F3326">
        <v>5</v>
      </c>
      <c r="G3326" t="s">
        <v>8607</v>
      </c>
      <c r="H3326">
        <v>27</v>
      </c>
      <c r="I3326" t="s">
        <v>9296</v>
      </c>
      <c r="J3326" t="str">
        <f t="shared" si="51"/>
        <v>13F-HR-5.27.C1</v>
      </c>
      <c r="K3326" s="5" t="s">
        <v>8608</v>
      </c>
      <c r="L3326" t="s">
        <v>229</v>
      </c>
      <c r="M3326" t="s">
        <v>8609</v>
      </c>
      <c r="N3326" t="s">
        <v>8610</v>
      </c>
      <c r="Q3326" s="28" t="s">
        <v>9072</v>
      </c>
    </row>
    <row r="3327" spans="1:17" x14ac:dyDescent="0.35">
      <c r="A3327" t="s">
        <v>8520</v>
      </c>
      <c r="B3327" s="3" t="s">
        <v>102</v>
      </c>
      <c r="F3327">
        <v>5</v>
      </c>
      <c r="G3327" t="s">
        <v>8607</v>
      </c>
      <c r="H3327">
        <v>28</v>
      </c>
      <c r="I3327" t="s">
        <v>9297</v>
      </c>
      <c r="J3327" t="str">
        <f t="shared" si="51"/>
        <v>13F-HR-5.28.C2</v>
      </c>
      <c r="K3327" s="5" t="s">
        <v>8612</v>
      </c>
      <c r="L3327" t="s">
        <v>229</v>
      </c>
      <c r="M3327" t="s">
        <v>8613</v>
      </c>
      <c r="N3327" t="s">
        <v>8614</v>
      </c>
      <c r="Q3327" s="28" t="s">
        <v>8615</v>
      </c>
    </row>
    <row r="3328" spans="1:17" x14ac:dyDescent="0.35">
      <c r="A3328" t="s">
        <v>8520</v>
      </c>
      <c r="B3328" s="3" t="s">
        <v>102</v>
      </c>
      <c r="F3328">
        <v>5</v>
      </c>
      <c r="G3328" t="s">
        <v>8607</v>
      </c>
      <c r="H3328">
        <v>29</v>
      </c>
      <c r="I3328" t="s">
        <v>9298</v>
      </c>
      <c r="J3328" t="str">
        <f t="shared" si="51"/>
        <v>13F-HR-5.29.C3</v>
      </c>
      <c r="K3328" s="5" t="s">
        <v>8616</v>
      </c>
      <c r="L3328" t="s">
        <v>229</v>
      </c>
      <c r="M3328" t="s">
        <v>7927</v>
      </c>
      <c r="N3328" t="s">
        <v>8617</v>
      </c>
      <c r="Q3328" s="28" t="s">
        <v>9073</v>
      </c>
    </row>
    <row r="3329" spans="1:17" x14ac:dyDescent="0.35">
      <c r="A3329" t="s">
        <v>8520</v>
      </c>
      <c r="B3329" s="3" t="s">
        <v>102</v>
      </c>
      <c r="F3329">
        <v>5</v>
      </c>
      <c r="G3329" t="s">
        <v>8607</v>
      </c>
      <c r="H3329">
        <v>30</v>
      </c>
      <c r="I3329" t="s">
        <v>9299</v>
      </c>
      <c r="J3329" t="str">
        <f t="shared" si="51"/>
        <v>13F-HR-5.30.C4</v>
      </c>
      <c r="K3329" s="5" t="s">
        <v>8618</v>
      </c>
      <c r="L3329" t="s">
        <v>8619</v>
      </c>
      <c r="M3329" t="s">
        <v>8620</v>
      </c>
      <c r="N3329" t="s">
        <v>8621</v>
      </c>
      <c r="Q3329" s="28">
        <v>61867117</v>
      </c>
    </row>
    <row r="3330" spans="1:17" x14ac:dyDescent="0.35">
      <c r="A3330" t="s">
        <v>8520</v>
      </c>
      <c r="B3330" s="3" t="s">
        <v>102</v>
      </c>
      <c r="F3330">
        <v>5</v>
      </c>
      <c r="G3330" t="s">
        <v>8607</v>
      </c>
      <c r="H3330">
        <v>31</v>
      </c>
      <c r="I3330" t="s">
        <v>9300</v>
      </c>
      <c r="J3330" t="str">
        <f t="shared" si="51"/>
        <v>13F-HR-5.31.C5</v>
      </c>
      <c r="K3330" s="5" t="s">
        <v>8622</v>
      </c>
      <c r="L3330" t="s">
        <v>241</v>
      </c>
      <c r="M3330" t="s">
        <v>8623</v>
      </c>
      <c r="N3330" t="s">
        <v>8624</v>
      </c>
      <c r="Q3330" s="28">
        <v>403806</v>
      </c>
    </row>
    <row r="3331" spans="1:17" x14ac:dyDescent="0.35">
      <c r="A3331" t="s">
        <v>8520</v>
      </c>
      <c r="B3331" s="3" t="s">
        <v>102</v>
      </c>
      <c r="F3331">
        <v>5</v>
      </c>
      <c r="G3331" t="s">
        <v>8607</v>
      </c>
      <c r="H3331">
        <v>32</v>
      </c>
      <c r="I3331" t="s">
        <v>9301</v>
      </c>
      <c r="J3331" t="str">
        <f t="shared" ref="J3331:J3394" si="52">_xlfn.CONCAT(A3331,"-",F3331,".",H3331,".",I3331)</f>
        <v>13F-HR-5.32.C6</v>
      </c>
      <c r="K3331" s="5" t="s">
        <v>8625</v>
      </c>
      <c r="L3331" t="s">
        <v>229</v>
      </c>
      <c r="M3331" t="s">
        <v>8626</v>
      </c>
      <c r="N3331" t="s">
        <v>8627</v>
      </c>
      <c r="Q3331" s="28" t="s">
        <v>8628</v>
      </c>
    </row>
    <row r="3332" spans="1:17" x14ac:dyDescent="0.35">
      <c r="A3332" t="s">
        <v>8520</v>
      </c>
      <c r="B3332" s="3" t="s">
        <v>102</v>
      </c>
      <c r="F3332">
        <v>5</v>
      </c>
      <c r="G3332" t="s">
        <v>8607</v>
      </c>
      <c r="H3332">
        <v>33</v>
      </c>
      <c r="I3332" t="s">
        <v>9302</v>
      </c>
      <c r="J3332" t="str">
        <f t="shared" si="52"/>
        <v>13F-HR-5.33.C7</v>
      </c>
      <c r="K3332" s="5" t="s">
        <v>8629</v>
      </c>
      <c r="L3332" t="s">
        <v>229</v>
      </c>
      <c r="M3332" t="s">
        <v>8630</v>
      </c>
      <c r="N3332" t="s">
        <v>8631</v>
      </c>
      <c r="Q3332" s="28" t="s">
        <v>8685</v>
      </c>
    </row>
    <row r="3333" spans="1:17" x14ac:dyDescent="0.35">
      <c r="A3333" t="s">
        <v>8520</v>
      </c>
      <c r="B3333" s="3" t="s">
        <v>102</v>
      </c>
      <c r="F3333">
        <v>5</v>
      </c>
      <c r="G3333" t="s">
        <v>8607</v>
      </c>
      <c r="H3333">
        <v>34</v>
      </c>
      <c r="I3333" t="s">
        <v>9303</v>
      </c>
      <c r="J3333" t="str">
        <f t="shared" si="52"/>
        <v>13F-HR-5.34.C8</v>
      </c>
      <c r="K3333" s="5" t="s">
        <v>8633</v>
      </c>
      <c r="L3333" t="s">
        <v>4735</v>
      </c>
      <c r="M3333" t="s">
        <v>8634</v>
      </c>
      <c r="N3333" t="s">
        <v>8635</v>
      </c>
      <c r="Q3333" s="28" t="s">
        <v>8632</v>
      </c>
    </row>
    <row r="3334" spans="1:17" x14ac:dyDescent="0.35">
      <c r="A3334" t="s">
        <v>8520</v>
      </c>
      <c r="B3334" s="3" t="s">
        <v>102</v>
      </c>
      <c r="F3334">
        <v>5</v>
      </c>
      <c r="G3334" t="s">
        <v>8607</v>
      </c>
      <c r="H3334">
        <v>35</v>
      </c>
      <c r="I3334" t="s">
        <v>9304</v>
      </c>
      <c r="J3334" t="str">
        <f t="shared" si="52"/>
        <v>13F-HR-5.35.C9</v>
      </c>
      <c r="K3334" s="5" t="s">
        <v>8637</v>
      </c>
      <c r="L3334" t="s">
        <v>229</v>
      </c>
      <c r="M3334" t="s">
        <v>8638</v>
      </c>
      <c r="N3334" t="s">
        <v>8639</v>
      </c>
      <c r="Q3334" s="28" t="s">
        <v>8636</v>
      </c>
    </row>
    <row r="3335" spans="1:17" x14ac:dyDescent="0.35">
      <c r="A3335" t="s">
        <v>8520</v>
      </c>
      <c r="B3335" s="3" t="s">
        <v>102</v>
      </c>
      <c r="F3335">
        <v>5</v>
      </c>
      <c r="G3335" t="s">
        <v>8607</v>
      </c>
      <c r="H3335">
        <v>36</v>
      </c>
      <c r="I3335" t="s">
        <v>9305</v>
      </c>
      <c r="J3335" t="str">
        <f t="shared" si="52"/>
        <v>13F-HR-5.36.C10</v>
      </c>
      <c r="K3335" s="5" t="s">
        <v>8640</v>
      </c>
      <c r="L3335" t="s">
        <v>241</v>
      </c>
      <c r="M3335" t="s">
        <v>8641</v>
      </c>
      <c r="N3335" t="s">
        <v>8642</v>
      </c>
      <c r="Q3335" s="28">
        <v>206907</v>
      </c>
    </row>
    <row r="3336" spans="1:17" x14ac:dyDescent="0.35">
      <c r="A3336" t="s">
        <v>8520</v>
      </c>
      <c r="B3336" s="3" t="s">
        <v>102</v>
      </c>
      <c r="F3336">
        <v>5</v>
      </c>
      <c r="G3336" t="s">
        <v>8607</v>
      </c>
      <c r="H3336">
        <v>37</v>
      </c>
      <c r="I3336" t="s">
        <v>9306</v>
      </c>
      <c r="J3336" t="str">
        <f t="shared" si="52"/>
        <v>13F-HR-5.37.C11</v>
      </c>
      <c r="K3336" s="5" t="s">
        <v>8643</v>
      </c>
      <c r="L3336" t="s">
        <v>241</v>
      </c>
      <c r="M3336" t="s">
        <v>8644</v>
      </c>
      <c r="N3336" t="s">
        <v>8645</v>
      </c>
      <c r="Q3336" s="28">
        <v>0</v>
      </c>
    </row>
    <row r="3337" spans="1:17" x14ac:dyDescent="0.35">
      <c r="A3337" t="s">
        <v>8520</v>
      </c>
      <c r="B3337" s="3" t="s">
        <v>102</v>
      </c>
      <c r="F3337">
        <v>5</v>
      </c>
      <c r="G3337" t="s">
        <v>8607</v>
      </c>
      <c r="H3337">
        <v>38</v>
      </c>
      <c r="I3337" t="s">
        <v>9307</v>
      </c>
      <c r="J3337" t="str">
        <f t="shared" si="52"/>
        <v>13F-HR-5.38.C12</v>
      </c>
      <c r="K3337" s="5" t="s">
        <v>8646</v>
      </c>
      <c r="L3337" t="s">
        <v>241</v>
      </c>
      <c r="M3337" t="s">
        <v>8647</v>
      </c>
      <c r="N3337" t="s">
        <v>8648</v>
      </c>
      <c r="Q3337" s="28">
        <v>196899</v>
      </c>
    </row>
    <row r="3338" spans="1:17" x14ac:dyDescent="0.35">
      <c r="A3338" t="s">
        <v>8520</v>
      </c>
      <c r="B3338" s="3" t="s">
        <v>102</v>
      </c>
      <c r="F3338">
        <v>5</v>
      </c>
      <c r="G3338" t="s">
        <v>8607</v>
      </c>
      <c r="H3338">
        <v>27</v>
      </c>
      <c r="I3338" t="s">
        <v>9296</v>
      </c>
      <c r="J3338" t="str">
        <f t="shared" si="52"/>
        <v>13F-HR-5.27.C1</v>
      </c>
      <c r="K3338" s="5" t="s">
        <v>8608</v>
      </c>
      <c r="L3338" t="s">
        <v>229</v>
      </c>
      <c r="M3338" t="s">
        <v>8609</v>
      </c>
      <c r="N3338" t="s">
        <v>8610</v>
      </c>
      <c r="Q3338" s="28" t="s">
        <v>9074</v>
      </c>
    </row>
    <row r="3339" spans="1:17" x14ac:dyDescent="0.35">
      <c r="A3339" t="s">
        <v>8520</v>
      </c>
      <c r="B3339" s="3" t="s">
        <v>102</v>
      </c>
      <c r="F3339">
        <v>5</v>
      </c>
      <c r="G3339" t="s">
        <v>8607</v>
      </c>
      <c r="H3339">
        <v>28</v>
      </c>
      <c r="I3339" t="s">
        <v>9297</v>
      </c>
      <c r="J3339" t="str">
        <f t="shared" si="52"/>
        <v>13F-HR-5.28.C2</v>
      </c>
      <c r="K3339" s="5" t="s">
        <v>8612</v>
      </c>
      <c r="L3339" t="s">
        <v>229</v>
      </c>
      <c r="M3339" t="s">
        <v>8613</v>
      </c>
      <c r="N3339" t="s">
        <v>8614</v>
      </c>
      <c r="Q3339" s="28" t="s">
        <v>8615</v>
      </c>
    </row>
    <row r="3340" spans="1:17" x14ac:dyDescent="0.35">
      <c r="A3340" t="s">
        <v>8520</v>
      </c>
      <c r="B3340" s="3" t="s">
        <v>102</v>
      </c>
      <c r="F3340">
        <v>5</v>
      </c>
      <c r="G3340" t="s">
        <v>8607</v>
      </c>
      <c r="H3340">
        <v>29</v>
      </c>
      <c r="I3340" t="s">
        <v>9298</v>
      </c>
      <c r="J3340" t="str">
        <f t="shared" si="52"/>
        <v>13F-HR-5.29.C3</v>
      </c>
      <c r="K3340" s="5" t="s">
        <v>8616</v>
      </c>
      <c r="L3340" t="s">
        <v>229</v>
      </c>
      <c r="M3340" t="s">
        <v>7927</v>
      </c>
      <c r="N3340" t="s">
        <v>8617</v>
      </c>
      <c r="Q3340" s="28">
        <v>962879102</v>
      </c>
    </row>
    <row r="3341" spans="1:17" x14ac:dyDescent="0.35">
      <c r="A3341" t="s">
        <v>8520</v>
      </c>
      <c r="B3341" s="3" t="s">
        <v>102</v>
      </c>
      <c r="F3341">
        <v>5</v>
      </c>
      <c r="G3341" t="s">
        <v>8607</v>
      </c>
      <c r="H3341">
        <v>30</v>
      </c>
      <c r="I3341" t="s">
        <v>9299</v>
      </c>
      <c r="J3341" t="str">
        <f t="shared" si="52"/>
        <v>13F-HR-5.30.C4</v>
      </c>
      <c r="K3341" s="5" t="s">
        <v>8618</v>
      </c>
      <c r="L3341" t="s">
        <v>8619</v>
      </c>
      <c r="M3341" t="s">
        <v>8620</v>
      </c>
      <c r="N3341" t="s">
        <v>8621</v>
      </c>
      <c r="Q3341" s="28">
        <v>10452414</v>
      </c>
    </row>
    <row r="3342" spans="1:17" x14ac:dyDescent="0.35">
      <c r="A3342" t="s">
        <v>8520</v>
      </c>
      <c r="B3342" s="3" t="s">
        <v>102</v>
      </c>
      <c r="F3342">
        <v>5</v>
      </c>
      <c r="G3342" t="s">
        <v>8607</v>
      </c>
      <c r="H3342">
        <v>31</v>
      </c>
      <c r="I3342" t="s">
        <v>9300</v>
      </c>
      <c r="J3342" t="str">
        <f t="shared" si="52"/>
        <v>13F-HR-5.31.C5</v>
      </c>
      <c r="K3342" s="5" t="s">
        <v>8622</v>
      </c>
      <c r="L3342" t="s">
        <v>241</v>
      </c>
      <c r="M3342" t="s">
        <v>8623</v>
      </c>
      <c r="N3342" t="s">
        <v>8624</v>
      </c>
      <c r="Q3342" s="28">
        <v>134644</v>
      </c>
    </row>
    <row r="3343" spans="1:17" x14ac:dyDescent="0.35">
      <c r="A3343" t="s">
        <v>8520</v>
      </c>
      <c r="B3343" s="3" t="s">
        <v>102</v>
      </c>
      <c r="F3343">
        <v>5</v>
      </c>
      <c r="G3343" t="s">
        <v>8607</v>
      </c>
      <c r="H3343">
        <v>32</v>
      </c>
      <c r="I3343" t="s">
        <v>9301</v>
      </c>
      <c r="J3343" t="str">
        <f t="shared" si="52"/>
        <v>13F-HR-5.32.C6</v>
      </c>
      <c r="K3343" s="5" t="s">
        <v>8625</v>
      </c>
      <c r="L3343" t="s">
        <v>229</v>
      </c>
      <c r="M3343" t="s">
        <v>8626</v>
      </c>
      <c r="N3343" t="s">
        <v>8627</v>
      </c>
      <c r="Q3343" s="28" t="s">
        <v>8628</v>
      </c>
    </row>
    <row r="3344" spans="1:17" x14ac:dyDescent="0.35">
      <c r="A3344" t="s">
        <v>8520</v>
      </c>
      <c r="B3344" s="3" t="s">
        <v>102</v>
      </c>
      <c r="F3344">
        <v>5</v>
      </c>
      <c r="G3344" t="s">
        <v>8607</v>
      </c>
      <c r="H3344">
        <v>33</v>
      </c>
      <c r="I3344" t="s">
        <v>9302</v>
      </c>
      <c r="J3344" t="str">
        <f t="shared" si="52"/>
        <v>13F-HR-5.33.C7</v>
      </c>
      <c r="K3344" s="5" t="s">
        <v>8629</v>
      </c>
      <c r="L3344" t="s">
        <v>229</v>
      </c>
      <c r="M3344" t="s">
        <v>8630</v>
      </c>
      <c r="N3344" t="s">
        <v>8631</v>
      </c>
      <c r="Q3344" s="28" t="s">
        <v>8685</v>
      </c>
    </row>
    <row r="3345" spans="1:17" x14ac:dyDescent="0.35">
      <c r="A3345" t="s">
        <v>8520</v>
      </c>
      <c r="B3345" s="3" t="s">
        <v>102</v>
      </c>
      <c r="F3345">
        <v>5</v>
      </c>
      <c r="G3345" t="s">
        <v>8607</v>
      </c>
      <c r="H3345">
        <v>34</v>
      </c>
      <c r="I3345" t="s">
        <v>9303</v>
      </c>
      <c r="J3345" t="str">
        <f t="shared" si="52"/>
        <v>13F-HR-5.34.C8</v>
      </c>
      <c r="K3345" s="5" t="s">
        <v>8633</v>
      </c>
      <c r="L3345" t="s">
        <v>4735</v>
      </c>
      <c r="M3345" t="s">
        <v>8634</v>
      </c>
      <c r="N3345" t="s">
        <v>8635</v>
      </c>
      <c r="Q3345" s="28" t="s">
        <v>8632</v>
      </c>
    </row>
    <row r="3346" spans="1:17" x14ac:dyDescent="0.35">
      <c r="A3346" t="s">
        <v>8520</v>
      </c>
      <c r="B3346" s="3" t="s">
        <v>102</v>
      </c>
      <c r="F3346">
        <v>5</v>
      </c>
      <c r="G3346" t="s">
        <v>8607</v>
      </c>
      <c r="H3346">
        <v>35</v>
      </c>
      <c r="I3346" t="s">
        <v>9304</v>
      </c>
      <c r="J3346" t="str">
        <f t="shared" si="52"/>
        <v>13F-HR-5.35.C9</v>
      </c>
      <c r="K3346" s="5" t="s">
        <v>8637</v>
      </c>
      <c r="L3346" t="s">
        <v>229</v>
      </c>
      <c r="M3346" t="s">
        <v>8638</v>
      </c>
      <c r="N3346" t="s">
        <v>8639</v>
      </c>
      <c r="Q3346" s="28" t="s">
        <v>8636</v>
      </c>
    </row>
    <row r="3347" spans="1:17" x14ac:dyDescent="0.35">
      <c r="A3347" t="s">
        <v>8520</v>
      </c>
      <c r="B3347" s="3" t="s">
        <v>102</v>
      </c>
      <c r="F3347">
        <v>5</v>
      </c>
      <c r="G3347" t="s">
        <v>8607</v>
      </c>
      <c r="H3347">
        <v>36</v>
      </c>
      <c r="I3347" t="s">
        <v>9305</v>
      </c>
      <c r="J3347" t="str">
        <f t="shared" si="52"/>
        <v>13F-HR-5.36.C10</v>
      </c>
      <c r="K3347" s="5" t="s">
        <v>8640</v>
      </c>
      <c r="L3347" t="s">
        <v>241</v>
      </c>
      <c r="M3347" t="s">
        <v>8641</v>
      </c>
      <c r="N3347" t="s">
        <v>8642</v>
      </c>
      <c r="Q3347" s="28">
        <v>0</v>
      </c>
    </row>
    <row r="3348" spans="1:17" x14ac:dyDescent="0.35">
      <c r="A3348" t="s">
        <v>8520</v>
      </c>
      <c r="B3348" s="3" t="s">
        <v>102</v>
      </c>
      <c r="F3348">
        <v>5</v>
      </c>
      <c r="G3348" t="s">
        <v>8607</v>
      </c>
      <c r="H3348">
        <v>37</v>
      </c>
      <c r="I3348" t="s">
        <v>9306</v>
      </c>
      <c r="J3348" t="str">
        <f t="shared" si="52"/>
        <v>13F-HR-5.37.C11</v>
      </c>
      <c r="K3348" s="5" t="s">
        <v>8643</v>
      </c>
      <c r="L3348" t="s">
        <v>241</v>
      </c>
      <c r="M3348" t="s">
        <v>8644</v>
      </c>
      <c r="N3348" t="s">
        <v>8645</v>
      </c>
      <c r="Q3348" s="28">
        <v>0</v>
      </c>
    </row>
    <row r="3349" spans="1:17" x14ac:dyDescent="0.35">
      <c r="A3349" t="s">
        <v>8520</v>
      </c>
      <c r="B3349" s="3" t="s">
        <v>102</v>
      </c>
      <c r="F3349">
        <v>5</v>
      </c>
      <c r="G3349" t="s">
        <v>8607</v>
      </c>
      <c r="H3349">
        <v>38</v>
      </c>
      <c r="I3349" t="s">
        <v>9307</v>
      </c>
      <c r="J3349" t="str">
        <f t="shared" si="52"/>
        <v>13F-HR-5.38.C12</v>
      </c>
      <c r="K3349" s="5" t="s">
        <v>8646</v>
      </c>
      <c r="L3349" t="s">
        <v>241</v>
      </c>
      <c r="M3349" t="s">
        <v>8647</v>
      </c>
      <c r="N3349" t="s">
        <v>8648</v>
      </c>
      <c r="Q3349" s="28">
        <v>134644</v>
      </c>
    </row>
    <row r="3350" spans="1:17" x14ac:dyDescent="0.35">
      <c r="A3350" t="s">
        <v>8520</v>
      </c>
      <c r="B3350" s="3" t="s">
        <v>102</v>
      </c>
      <c r="F3350">
        <v>5</v>
      </c>
      <c r="G3350" t="s">
        <v>8607</v>
      </c>
      <c r="H3350">
        <v>27</v>
      </c>
      <c r="I3350" t="s">
        <v>9296</v>
      </c>
      <c r="J3350" t="str">
        <f t="shared" si="52"/>
        <v>13F-HR-5.27.C1</v>
      </c>
      <c r="K3350" s="5" t="s">
        <v>8608</v>
      </c>
      <c r="L3350" t="s">
        <v>229</v>
      </c>
      <c r="M3350" t="s">
        <v>8609</v>
      </c>
      <c r="N3350" t="s">
        <v>8610</v>
      </c>
      <c r="Q3350" s="28" t="s">
        <v>9075</v>
      </c>
    </row>
    <row r="3351" spans="1:17" x14ac:dyDescent="0.35">
      <c r="A3351" t="s">
        <v>8520</v>
      </c>
      <c r="B3351" s="3" t="s">
        <v>102</v>
      </c>
      <c r="F3351">
        <v>5</v>
      </c>
      <c r="G3351" t="s">
        <v>8607</v>
      </c>
      <c r="H3351">
        <v>28</v>
      </c>
      <c r="I3351" t="s">
        <v>9297</v>
      </c>
      <c r="J3351" t="str">
        <f t="shared" si="52"/>
        <v>13F-HR-5.28.C2</v>
      </c>
      <c r="K3351" s="5" t="s">
        <v>8612</v>
      </c>
      <c r="L3351" t="s">
        <v>229</v>
      </c>
      <c r="M3351" t="s">
        <v>8613</v>
      </c>
      <c r="N3351" t="s">
        <v>8614</v>
      </c>
      <c r="Q3351" s="28" t="s">
        <v>8615</v>
      </c>
    </row>
    <row r="3352" spans="1:17" x14ac:dyDescent="0.35">
      <c r="A3352" t="s">
        <v>8520</v>
      </c>
      <c r="B3352" s="3" t="s">
        <v>102</v>
      </c>
      <c r="F3352">
        <v>5</v>
      </c>
      <c r="G3352" t="s">
        <v>8607</v>
      </c>
      <c r="H3352">
        <v>29</v>
      </c>
      <c r="I3352" t="s">
        <v>9298</v>
      </c>
      <c r="J3352" t="str">
        <f t="shared" si="52"/>
        <v>13F-HR-5.29.C3</v>
      </c>
      <c r="K3352" s="5" t="s">
        <v>8616</v>
      </c>
      <c r="L3352" t="s">
        <v>229</v>
      </c>
      <c r="M3352" t="s">
        <v>7927</v>
      </c>
      <c r="N3352" t="s">
        <v>8617</v>
      </c>
      <c r="Q3352" s="28">
        <v>983134107</v>
      </c>
    </row>
    <row r="3353" spans="1:17" x14ac:dyDescent="0.35">
      <c r="A3353" t="s">
        <v>8520</v>
      </c>
      <c r="B3353" s="3" t="s">
        <v>102</v>
      </c>
      <c r="F3353">
        <v>5</v>
      </c>
      <c r="G3353" t="s">
        <v>8607</v>
      </c>
      <c r="H3353">
        <v>30</v>
      </c>
      <c r="I3353" t="s">
        <v>9299</v>
      </c>
      <c r="J3353" t="str">
        <f t="shared" si="52"/>
        <v>13F-HR-5.30.C4</v>
      </c>
      <c r="K3353" s="5" t="s">
        <v>8618</v>
      </c>
      <c r="L3353" t="s">
        <v>8619</v>
      </c>
      <c r="M3353" t="s">
        <v>8620</v>
      </c>
      <c r="N3353" t="s">
        <v>8621</v>
      </c>
      <c r="Q3353" s="28">
        <v>2759091</v>
      </c>
    </row>
    <row r="3354" spans="1:17" x14ac:dyDescent="0.35">
      <c r="A3354" t="s">
        <v>8520</v>
      </c>
      <c r="B3354" s="3" t="s">
        <v>102</v>
      </c>
      <c r="F3354">
        <v>5</v>
      </c>
      <c r="G3354" t="s">
        <v>8607</v>
      </c>
      <c r="H3354">
        <v>31</v>
      </c>
      <c r="I3354" t="s">
        <v>9300</v>
      </c>
      <c r="J3354" t="str">
        <f t="shared" si="52"/>
        <v>13F-HR-5.31.C5</v>
      </c>
      <c r="K3354" s="5" t="s">
        <v>8622</v>
      </c>
      <c r="L3354" t="s">
        <v>241</v>
      </c>
      <c r="M3354" t="s">
        <v>8623</v>
      </c>
      <c r="N3354" t="s">
        <v>8624</v>
      </c>
      <c r="Q3354" s="28">
        <v>33043</v>
      </c>
    </row>
    <row r="3355" spans="1:17" x14ac:dyDescent="0.35">
      <c r="A3355" t="s">
        <v>8520</v>
      </c>
      <c r="B3355" s="3" t="s">
        <v>102</v>
      </c>
      <c r="F3355">
        <v>5</v>
      </c>
      <c r="G3355" t="s">
        <v>8607</v>
      </c>
      <c r="H3355">
        <v>32</v>
      </c>
      <c r="I3355" t="s">
        <v>9301</v>
      </c>
      <c r="J3355" t="str">
        <f t="shared" si="52"/>
        <v>13F-HR-5.32.C6</v>
      </c>
      <c r="K3355" s="5" t="s">
        <v>8625</v>
      </c>
      <c r="L3355" t="s">
        <v>229</v>
      </c>
      <c r="M3355" t="s">
        <v>8626</v>
      </c>
      <c r="N3355" t="s">
        <v>8627</v>
      </c>
      <c r="Q3355" s="28" t="s">
        <v>8628</v>
      </c>
    </row>
    <row r="3356" spans="1:17" x14ac:dyDescent="0.35">
      <c r="A3356" t="s">
        <v>8520</v>
      </c>
      <c r="B3356" s="3" t="s">
        <v>102</v>
      </c>
      <c r="F3356">
        <v>5</v>
      </c>
      <c r="G3356" t="s">
        <v>8607</v>
      </c>
      <c r="H3356">
        <v>33</v>
      </c>
      <c r="I3356" t="s">
        <v>9302</v>
      </c>
      <c r="J3356" t="str">
        <f t="shared" si="52"/>
        <v>13F-HR-5.33.C7</v>
      </c>
      <c r="K3356" s="5" t="s">
        <v>8629</v>
      </c>
      <c r="L3356" t="s">
        <v>229</v>
      </c>
      <c r="M3356" t="s">
        <v>8630</v>
      </c>
      <c r="N3356" t="s">
        <v>8631</v>
      </c>
      <c r="Q3356" s="28" t="s">
        <v>8685</v>
      </c>
    </row>
    <row r="3357" spans="1:17" x14ac:dyDescent="0.35">
      <c r="A3357" t="s">
        <v>8520</v>
      </c>
      <c r="B3357" s="3" t="s">
        <v>102</v>
      </c>
      <c r="F3357">
        <v>5</v>
      </c>
      <c r="G3357" t="s">
        <v>8607</v>
      </c>
      <c r="H3357">
        <v>34</v>
      </c>
      <c r="I3357" t="s">
        <v>9303</v>
      </c>
      <c r="J3357" t="str">
        <f t="shared" si="52"/>
        <v>13F-HR-5.34.C8</v>
      </c>
      <c r="K3357" s="5" t="s">
        <v>8633</v>
      </c>
      <c r="L3357" t="s">
        <v>4735</v>
      </c>
      <c r="M3357" t="s">
        <v>8634</v>
      </c>
      <c r="N3357" t="s">
        <v>8635</v>
      </c>
      <c r="Q3357" s="28" t="s">
        <v>8632</v>
      </c>
    </row>
    <row r="3358" spans="1:17" x14ac:dyDescent="0.35">
      <c r="A3358" t="s">
        <v>8520</v>
      </c>
      <c r="B3358" s="3" t="s">
        <v>102</v>
      </c>
      <c r="F3358">
        <v>5</v>
      </c>
      <c r="G3358" t="s">
        <v>8607</v>
      </c>
      <c r="H3358">
        <v>35</v>
      </c>
      <c r="I3358" t="s">
        <v>9304</v>
      </c>
      <c r="J3358" t="str">
        <f t="shared" si="52"/>
        <v>13F-HR-5.35.C9</v>
      </c>
      <c r="K3358" s="5" t="s">
        <v>8637</v>
      </c>
      <c r="L3358" t="s">
        <v>229</v>
      </c>
      <c r="M3358" t="s">
        <v>8638</v>
      </c>
      <c r="N3358" t="s">
        <v>8639</v>
      </c>
      <c r="Q3358" s="28" t="s">
        <v>8636</v>
      </c>
    </row>
    <row r="3359" spans="1:17" x14ac:dyDescent="0.35">
      <c r="A3359" t="s">
        <v>8520</v>
      </c>
      <c r="B3359" s="3" t="s">
        <v>102</v>
      </c>
      <c r="F3359">
        <v>5</v>
      </c>
      <c r="G3359" t="s">
        <v>8607</v>
      </c>
      <c r="H3359">
        <v>36</v>
      </c>
      <c r="I3359" t="s">
        <v>9305</v>
      </c>
      <c r="J3359" t="str">
        <f t="shared" si="52"/>
        <v>13F-HR-5.36.C10</v>
      </c>
      <c r="K3359" s="5" t="s">
        <v>8640</v>
      </c>
      <c r="L3359" t="s">
        <v>241</v>
      </c>
      <c r="M3359" t="s">
        <v>8641</v>
      </c>
      <c r="N3359" t="s">
        <v>8642</v>
      </c>
      <c r="Q3359" s="28">
        <v>31437</v>
      </c>
    </row>
    <row r="3360" spans="1:17" x14ac:dyDescent="0.35">
      <c r="A3360" t="s">
        <v>8520</v>
      </c>
      <c r="B3360" s="3" t="s">
        <v>102</v>
      </c>
      <c r="F3360">
        <v>5</v>
      </c>
      <c r="G3360" t="s">
        <v>8607</v>
      </c>
      <c r="H3360">
        <v>37</v>
      </c>
      <c r="I3360" t="s">
        <v>9306</v>
      </c>
      <c r="J3360" t="str">
        <f t="shared" si="52"/>
        <v>13F-HR-5.37.C11</v>
      </c>
      <c r="K3360" s="5" t="s">
        <v>8643</v>
      </c>
      <c r="L3360" t="s">
        <v>241</v>
      </c>
      <c r="M3360" t="s">
        <v>8644</v>
      </c>
      <c r="N3360" t="s">
        <v>8645</v>
      </c>
      <c r="Q3360" s="28">
        <v>0</v>
      </c>
    </row>
    <row r="3361" spans="1:17" x14ac:dyDescent="0.35">
      <c r="A3361" t="s">
        <v>8520</v>
      </c>
      <c r="B3361" s="3" t="s">
        <v>102</v>
      </c>
      <c r="F3361">
        <v>5</v>
      </c>
      <c r="G3361" t="s">
        <v>8607</v>
      </c>
      <c r="H3361">
        <v>38</v>
      </c>
      <c r="I3361" t="s">
        <v>9307</v>
      </c>
      <c r="J3361" t="str">
        <f t="shared" si="52"/>
        <v>13F-HR-5.38.C12</v>
      </c>
      <c r="K3361" s="5" t="s">
        <v>8646</v>
      </c>
      <c r="L3361" t="s">
        <v>241</v>
      </c>
      <c r="M3361" t="s">
        <v>8647</v>
      </c>
      <c r="N3361" t="s">
        <v>8648</v>
      </c>
      <c r="Q3361" s="28">
        <v>1606</v>
      </c>
    </row>
    <row r="3362" spans="1:17" x14ac:dyDescent="0.35">
      <c r="A3362" t="s">
        <v>8520</v>
      </c>
      <c r="B3362" s="3" t="s">
        <v>102</v>
      </c>
      <c r="F3362">
        <v>5</v>
      </c>
      <c r="G3362" t="s">
        <v>8607</v>
      </c>
      <c r="H3362">
        <v>27</v>
      </c>
      <c r="I3362" t="s">
        <v>9296</v>
      </c>
      <c r="J3362" t="str">
        <f t="shared" si="52"/>
        <v>13F-HR-5.27.C1</v>
      </c>
      <c r="K3362" s="5" t="s">
        <v>8608</v>
      </c>
      <c r="L3362" t="s">
        <v>229</v>
      </c>
      <c r="M3362" t="s">
        <v>8609</v>
      </c>
      <c r="N3362" t="s">
        <v>8610</v>
      </c>
      <c r="Q3362" s="28" t="s">
        <v>9076</v>
      </c>
    </row>
    <row r="3363" spans="1:17" x14ac:dyDescent="0.35">
      <c r="A3363" t="s">
        <v>8520</v>
      </c>
      <c r="B3363" s="3" t="s">
        <v>102</v>
      </c>
      <c r="F3363">
        <v>5</v>
      </c>
      <c r="G3363" t="s">
        <v>8607</v>
      </c>
      <c r="H3363">
        <v>28</v>
      </c>
      <c r="I3363" t="s">
        <v>9297</v>
      </c>
      <c r="J3363" t="str">
        <f t="shared" si="52"/>
        <v>13F-HR-5.28.C2</v>
      </c>
      <c r="K3363" s="5" t="s">
        <v>8612</v>
      </c>
      <c r="L3363" t="s">
        <v>229</v>
      </c>
      <c r="M3363" t="s">
        <v>8613</v>
      </c>
      <c r="N3363" t="s">
        <v>8614</v>
      </c>
      <c r="Q3363" s="28" t="s">
        <v>8615</v>
      </c>
    </row>
    <row r="3364" spans="1:17" x14ac:dyDescent="0.35">
      <c r="A3364" t="s">
        <v>8520</v>
      </c>
      <c r="B3364" s="3" t="s">
        <v>102</v>
      </c>
      <c r="F3364">
        <v>5</v>
      </c>
      <c r="G3364" t="s">
        <v>8607</v>
      </c>
      <c r="H3364">
        <v>29</v>
      </c>
      <c r="I3364" t="s">
        <v>9298</v>
      </c>
      <c r="J3364" t="str">
        <f t="shared" si="52"/>
        <v>13F-HR-5.29.C3</v>
      </c>
      <c r="K3364" s="5" t="s">
        <v>8616</v>
      </c>
      <c r="L3364" t="s">
        <v>229</v>
      </c>
      <c r="M3364" t="s">
        <v>7927</v>
      </c>
      <c r="N3364" t="s">
        <v>8617</v>
      </c>
      <c r="Q3364" s="28">
        <v>983793100</v>
      </c>
    </row>
    <row r="3365" spans="1:17" x14ac:dyDescent="0.35">
      <c r="A3365" t="s">
        <v>8520</v>
      </c>
      <c r="B3365" s="3" t="s">
        <v>102</v>
      </c>
      <c r="F3365">
        <v>5</v>
      </c>
      <c r="G3365" t="s">
        <v>8607</v>
      </c>
      <c r="H3365">
        <v>30</v>
      </c>
      <c r="I3365" t="s">
        <v>9299</v>
      </c>
      <c r="J3365" t="str">
        <f t="shared" si="52"/>
        <v>13F-HR-5.30.C4</v>
      </c>
      <c r="K3365" s="5" t="s">
        <v>8618</v>
      </c>
      <c r="L3365" t="s">
        <v>8619</v>
      </c>
      <c r="M3365" t="s">
        <v>8620</v>
      </c>
      <c r="N3365" t="s">
        <v>8621</v>
      </c>
      <c r="Q3365" s="28">
        <v>1381327</v>
      </c>
    </row>
    <row r="3366" spans="1:17" x14ac:dyDescent="0.35">
      <c r="A3366" t="s">
        <v>8520</v>
      </c>
      <c r="B3366" s="3" t="s">
        <v>102</v>
      </c>
      <c r="F3366">
        <v>5</v>
      </c>
      <c r="G3366" t="s">
        <v>8607</v>
      </c>
      <c r="H3366">
        <v>31</v>
      </c>
      <c r="I3366" t="s">
        <v>9300</v>
      </c>
      <c r="J3366" t="str">
        <f t="shared" si="52"/>
        <v>13F-HR-5.31.C5</v>
      </c>
      <c r="K3366" s="5" t="s">
        <v>8622</v>
      </c>
      <c r="L3366" t="s">
        <v>241</v>
      </c>
      <c r="M3366" t="s">
        <v>8623</v>
      </c>
      <c r="N3366" t="s">
        <v>8624</v>
      </c>
      <c r="Q3366" s="28">
        <v>12840</v>
      </c>
    </row>
    <row r="3367" spans="1:17" x14ac:dyDescent="0.35">
      <c r="A3367" t="s">
        <v>8520</v>
      </c>
      <c r="B3367" s="3" t="s">
        <v>102</v>
      </c>
      <c r="F3367">
        <v>5</v>
      </c>
      <c r="G3367" t="s">
        <v>8607</v>
      </c>
      <c r="H3367">
        <v>32</v>
      </c>
      <c r="I3367" t="s">
        <v>9301</v>
      </c>
      <c r="J3367" t="str">
        <f t="shared" si="52"/>
        <v>13F-HR-5.32.C6</v>
      </c>
      <c r="K3367" s="5" t="s">
        <v>8625</v>
      </c>
      <c r="L3367" t="s">
        <v>229</v>
      </c>
      <c r="M3367" t="s">
        <v>8626</v>
      </c>
      <c r="N3367" t="s">
        <v>8627</v>
      </c>
      <c r="Q3367" s="28" t="s">
        <v>8628</v>
      </c>
    </row>
    <row r="3368" spans="1:17" x14ac:dyDescent="0.35">
      <c r="A3368" t="s">
        <v>8520</v>
      </c>
      <c r="B3368" s="3" t="s">
        <v>102</v>
      </c>
      <c r="F3368">
        <v>5</v>
      </c>
      <c r="G3368" t="s">
        <v>8607</v>
      </c>
      <c r="H3368">
        <v>33</v>
      </c>
      <c r="I3368" t="s">
        <v>9302</v>
      </c>
      <c r="J3368" t="str">
        <f t="shared" si="52"/>
        <v>13F-HR-5.33.C7</v>
      </c>
      <c r="K3368" s="5" t="s">
        <v>8629</v>
      </c>
      <c r="L3368" t="s">
        <v>229</v>
      </c>
      <c r="M3368" t="s">
        <v>8630</v>
      </c>
      <c r="N3368" t="s">
        <v>8631</v>
      </c>
      <c r="Q3368" s="28" t="s">
        <v>8685</v>
      </c>
    </row>
    <row r="3369" spans="1:17" x14ac:dyDescent="0.35">
      <c r="A3369" t="s">
        <v>8520</v>
      </c>
      <c r="B3369" s="3" t="s">
        <v>102</v>
      </c>
      <c r="F3369">
        <v>5</v>
      </c>
      <c r="G3369" t="s">
        <v>8607</v>
      </c>
      <c r="H3369">
        <v>34</v>
      </c>
      <c r="I3369" t="s">
        <v>9303</v>
      </c>
      <c r="J3369" t="str">
        <f t="shared" si="52"/>
        <v>13F-HR-5.34.C8</v>
      </c>
      <c r="K3369" s="5" t="s">
        <v>8633</v>
      </c>
      <c r="L3369" t="s">
        <v>4735</v>
      </c>
      <c r="M3369" t="s">
        <v>8634</v>
      </c>
      <c r="N3369" t="s">
        <v>8635</v>
      </c>
      <c r="Q3369" s="28" t="s">
        <v>8632</v>
      </c>
    </row>
    <row r="3370" spans="1:17" x14ac:dyDescent="0.35">
      <c r="A3370" t="s">
        <v>8520</v>
      </c>
      <c r="B3370" s="3" t="s">
        <v>102</v>
      </c>
      <c r="F3370">
        <v>5</v>
      </c>
      <c r="G3370" t="s">
        <v>8607</v>
      </c>
      <c r="H3370">
        <v>35</v>
      </c>
      <c r="I3370" t="s">
        <v>9304</v>
      </c>
      <c r="J3370" t="str">
        <f t="shared" si="52"/>
        <v>13F-HR-5.35.C9</v>
      </c>
      <c r="K3370" s="5" t="s">
        <v>8637</v>
      </c>
      <c r="L3370" t="s">
        <v>229</v>
      </c>
      <c r="M3370" t="s">
        <v>8638</v>
      </c>
      <c r="N3370" t="s">
        <v>8639</v>
      </c>
      <c r="Q3370" s="28" t="s">
        <v>8636</v>
      </c>
    </row>
    <row r="3371" spans="1:17" x14ac:dyDescent="0.35">
      <c r="A3371" t="s">
        <v>8520</v>
      </c>
      <c r="B3371" s="3" t="s">
        <v>102</v>
      </c>
      <c r="F3371">
        <v>5</v>
      </c>
      <c r="G3371" t="s">
        <v>8607</v>
      </c>
      <c r="H3371">
        <v>36</v>
      </c>
      <c r="I3371" t="s">
        <v>9305</v>
      </c>
      <c r="J3371" t="str">
        <f t="shared" si="52"/>
        <v>13F-HR-5.36.C10</v>
      </c>
      <c r="K3371" s="5" t="s">
        <v>8640</v>
      </c>
      <c r="L3371" t="s">
        <v>241</v>
      </c>
      <c r="M3371" t="s">
        <v>8641</v>
      </c>
      <c r="N3371" t="s">
        <v>8642</v>
      </c>
      <c r="Q3371" s="28">
        <v>12231</v>
      </c>
    </row>
    <row r="3372" spans="1:17" x14ac:dyDescent="0.35">
      <c r="A3372" t="s">
        <v>8520</v>
      </c>
      <c r="B3372" s="3" t="s">
        <v>102</v>
      </c>
      <c r="F3372">
        <v>5</v>
      </c>
      <c r="G3372" t="s">
        <v>8607</v>
      </c>
      <c r="H3372">
        <v>37</v>
      </c>
      <c r="I3372" t="s">
        <v>9306</v>
      </c>
      <c r="J3372" t="str">
        <f t="shared" si="52"/>
        <v>13F-HR-5.37.C11</v>
      </c>
      <c r="K3372" s="5" t="s">
        <v>8643</v>
      </c>
      <c r="L3372" t="s">
        <v>241</v>
      </c>
      <c r="M3372" t="s">
        <v>8644</v>
      </c>
      <c r="N3372" t="s">
        <v>8645</v>
      </c>
      <c r="Q3372" s="28">
        <v>0</v>
      </c>
    </row>
    <row r="3373" spans="1:17" x14ac:dyDescent="0.35">
      <c r="A3373" t="s">
        <v>8520</v>
      </c>
      <c r="B3373" s="3" t="s">
        <v>102</v>
      </c>
      <c r="F3373">
        <v>5</v>
      </c>
      <c r="G3373" t="s">
        <v>8607</v>
      </c>
      <c r="H3373">
        <v>38</v>
      </c>
      <c r="I3373" t="s">
        <v>9307</v>
      </c>
      <c r="J3373" t="str">
        <f t="shared" si="52"/>
        <v>13F-HR-5.38.C12</v>
      </c>
      <c r="K3373" s="5" t="s">
        <v>8646</v>
      </c>
      <c r="L3373" t="s">
        <v>241</v>
      </c>
      <c r="M3373" t="s">
        <v>8647</v>
      </c>
      <c r="N3373" t="s">
        <v>8648</v>
      </c>
      <c r="Q3373" s="28">
        <v>609</v>
      </c>
    </row>
    <row r="3374" spans="1:17" x14ac:dyDescent="0.35">
      <c r="A3374" t="s">
        <v>8520</v>
      </c>
      <c r="B3374" s="3" t="s">
        <v>102</v>
      </c>
      <c r="F3374">
        <v>5</v>
      </c>
      <c r="G3374" t="s">
        <v>8607</v>
      </c>
      <c r="H3374">
        <v>27</v>
      </c>
      <c r="I3374" t="s">
        <v>9296</v>
      </c>
      <c r="J3374" t="str">
        <f t="shared" si="52"/>
        <v>13F-HR-5.27.C1</v>
      </c>
      <c r="K3374" s="5" t="s">
        <v>8608</v>
      </c>
      <c r="L3374" t="s">
        <v>229</v>
      </c>
      <c r="M3374" t="s">
        <v>8609</v>
      </c>
      <c r="N3374" t="s">
        <v>8610</v>
      </c>
      <c r="Q3374" s="28" t="s">
        <v>9077</v>
      </c>
    </row>
    <row r="3375" spans="1:17" x14ac:dyDescent="0.35">
      <c r="A3375" t="s">
        <v>8520</v>
      </c>
      <c r="B3375" s="3" t="s">
        <v>102</v>
      </c>
      <c r="F3375">
        <v>5</v>
      </c>
      <c r="G3375" t="s">
        <v>8607</v>
      </c>
      <c r="H3375">
        <v>28</v>
      </c>
      <c r="I3375" t="s">
        <v>9297</v>
      </c>
      <c r="J3375" t="str">
        <f t="shared" si="52"/>
        <v>13F-HR-5.28.C2</v>
      </c>
      <c r="K3375" s="5" t="s">
        <v>8612</v>
      </c>
      <c r="L3375" t="s">
        <v>229</v>
      </c>
      <c r="M3375" t="s">
        <v>8613</v>
      </c>
      <c r="N3375" t="s">
        <v>8614</v>
      </c>
      <c r="Q3375" s="28" t="s">
        <v>8615</v>
      </c>
    </row>
    <row r="3376" spans="1:17" x14ac:dyDescent="0.35">
      <c r="A3376" t="s">
        <v>8520</v>
      </c>
      <c r="B3376" s="3" t="s">
        <v>102</v>
      </c>
      <c r="F3376">
        <v>5</v>
      </c>
      <c r="G3376" t="s">
        <v>8607</v>
      </c>
      <c r="H3376">
        <v>29</v>
      </c>
      <c r="I3376" t="s">
        <v>9298</v>
      </c>
      <c r="J3376" t="str">
        <f t="shared" si="52"/>
        <v>13F-HR-5.29.C3</v>
      </c>
      <c r="K3376" s="5" t="s">
        <v>8616</v>
      </c>
      <c r="L3376" t="s">
        <v>229</v>
      </c>
      <c r="M3376" t="s">
        <v>7927</v>
      </c>
      <c r="N3376" t="s">
        <v>8617</v>
      </c>
      <c r="Q3376" s="28">
        <v>988498101</v>
      </c>
    </row>
    <row r="3377" spans="1:17" x14ac:dyDescent="0.35">
      <c r="A3377" t="s">
        <v>8520</v>
      </c>
      <c r="B3377" s="3" t="s">
        <v>102</v>
      </c>
      <c r="F3377">
        <v>5</v>
      </c>
      <c r="G3377" t="s">
        <v>8607</v>
      </c>
      <c r="H3377">
        <v>30</v>
      </c>
      <c r="I3377" t="s">
        <v>9299</v>
      </c>
      <c r="J3377" t="str">
        <f t="shared" si="52"/>
        <v>13F-HR-5.30.C4</v>
      </c>
      <c r="K3377" s="5" t="s">
        <v>8618</v>
      </c>
      <c r="L3377" t="s">
        <v>8619</v>
      </c>
      <c r="M3377" t="s">
        <v>8620</v>
      </c>
      <c r="N3377" t="s">
        <v>8621</v>
      </c>
      <c r="Q3377" s="28">
        <v>47728547</v>
      </c>
    </row>
    <row r="3378" spans="1:17" x14ac:dyDescent="0.35">
      <c r="A3378" t="s">
        <v>8520</v>
      </c>
      <c r="B3378" s="3" t="s">
        <v>102</v>
      </c>
      <c r="F3378">
        <v>5</v>
      </c>
      <c r="G3378" t="s">
        <v>8607</v>
      </c>
      <c r="H3378">
        <v>31</v>
      </c>
      <c r="I3378" t="s">
        <v>9300</v>
      </c>
      <c r="J3378" t="str">
        <f t="shared" si="52"/>
        <v>13F-HR-5.31.C5</v>
      </c>
      <c r="K3378" s="5" t="s">
        <v>8622</v>
      </c>
      <c r="L3378" t="s">
        <v>241</v>
      </c>
      <c r="M3378" t="s">
        <v>8623</v>
      </c>
      <c r="N3378" t="s">
        <v>8624</v>
      </c>
      <c r="Q3378" s="28">
        <v>303308</v>
      </c>
    </row>
    <row r="3379" spans="1:17" x14ac:dyDescent="0.35">
      <c r="A3379" t="s">
        <v>8520</v>
      </c>
      <c r="B3379" s="3" t="s">
        <v>102</v>
      </c>
      <c r="F3379">
        <v>5</v>
      </c>
      <c r="G3379" t="s">
        <v>8607</v>
      </c>
      <c r="H3379">
        <v>32</v>
      </c>
      <c r="I3379" t="s">
        <v>9301</v>
      </c>
      <c r="J3379" t="str">
        <f t="shared" si="52"/>
        <v>13F-HR-5.32.C6</v>
      </c>
      <c r="K3379" s="5" t="s">
        <v>8625</v>
      </c>
      <c r="L3379" t="s">
        <v>229</v>
      </c>
      <c r="M3379" t="s">
        <v>8626</v>
      </c>
      <c r="N3379" t="s">
        <v>8627</v>
      </c>
      <c r="Q3379" s="28" t="s">
        <v>8628</v>
      </c>
    </row>
    <row r="3380" spans="1:17" x14ac:dyDescent="0.35">
      <c r="A3380" t="s">
        <v>8520</v>
      </c>
      <c r="B3380" s="3" t="s">
        <v>102</v>
      </c>
      <c r="F3380">
        <v>5</v>
      </c>
      <c r="G3380" t="s">
        <v>8607</v>
      </c>
      <c r="H3380">
        <v>33</v>
      </c>
      <c r="I3380" t="s">
        <v>9302</v>
      </c>
      <c r="J3380" t="str">
        <f t="shared" si="52"/>
        <v>13F-HR-5.33.C7</v>
      </c>
      <c r="K3380" s="5" t="s">
        <v>8629</v>
      </c>
      <c r="L3380" t="s">
        <v>229</v>
      </c>
      <c r="M3380" t="s">
        <v>8630</v>
      </c>
      <c r="N3380" t="s">
        <v>8631</v>
      </c>
      <c r="Q3380" s="28" t="s">
        <v>8685</v>
      </c>
    </row>
    <row r="3381" spans="1:17" x14ac:dyDescent="0.35">
      <c r="A3381" t="s">
        <v>8520</v>
      </c>
      <c r="B3381" s="3" t="s">
        <v>102</v>
      </c>
      <c r="F3381">
        <v>5</v>
      </c>
      <c r="G3381" t="s">
        <v>8607</v>
      </c>
      <c r="H3381">
        <v>34</v>
      </c>
      <c r="I3381" t="s">
        <v>9303</v>
      </c>
      <c r="J3381" t="str">
        <f t="shared" si="52"/>
        <v>13F-HR-5.34.C8</v>
      </c>
      <c r="K3381" s="5" t="s">
        <v>8633</v>
      </c>
      <c r="L3381" t="s">
        <v>4735</v>
      </c>
      <c r="M3381" t="s">
        <v>8634</v>
      </c>
      <c r="N3381" t="s">
        <v>8635</v>
      </c>
      <c r="Q3381" s="28" t="s">
        <v>8632</v>
      </c>
    </row>
    <row r="3382" spans="1:17" x14ac:dyDescent="0.35">
      <c r="A3382" t="s">
        <v>8520</v>
      </c>
      <c r="B3382" s="3" t="s">
        <v>102</v>
      </c>
      <c r="F3382">
        <v>5</v>
      </c>
      <c r="G3382" t="s">
        <v>8607</v>
      </c>
      <c r="H3382">
        <v>35</v>
      </c>
      <c r="I3382" t="s">
        <v>9304</v>
      </c>
      <c r="J3382" t="str">
        <f t="shared" si="52"/>
        <v>13F-HR-5.35.C9</v>
      </c>
      <c r="K3382" s="5" t="s">
        <v>8637</v>
      </c>
      <c r="L3382" t="s">
        <v>229</v>
      </c>
      <c r="M3382" t="s">
        <v>8638</v>
      </c>
      <c r="N3382" t="s">
        <v>8639</v>
      </c>
      <c r="Q3382" s="28" t="s">
        <v>8636</v>
      </c>
    </row>
    <row r="3383" spans="1:17" x14ac:dyDescent="0.35">
      <c r="A3383" t="s">
        <v>8520</v>
      </c>
      <c r="B3383" s="3" t="s">
        <v>102</v>
      </c>
      <c r="F3383">
        <v>5</v>
      </c>
      <c r="G3383" t="s">
        <v>8607</v>
      </c>
      <c r="H3383">
        <v>36</v>
      </c>
      <c r="I3383" t="s">
        <v>9305</v>
      </c>
      <c r="J3383" t="str">
        <f t="shared" si="52"/>
        <v>13F-HR-5.36.C10</v>
      </c>
      <c r="K3383" s="5" t="s">
        <v>8640</v>
      </c>
      <c r="L3383" t="s">
        <v>241</v>
      </c>
      <c r="M3383" t="s">
        <v>8641</v>
      </c>
      <c r="N3383" t="s">
        <v>8642</v>
      </c>
      <c r="Q3383" s="28">
        <v>147053</v>
      </c>
    </row>
    <row r="3384" spans="1:17" x14ac:dyDescent="0.35">
      <c r="A3384" t="s">
        <v>8520</v>
      </c>
      <c r="B3384" s="3" t="s">
        <v>102</v>
      </c>
      <c r="F3384">
        <v>5</v>
      </c>
      <c r="G3384" t="s">
        <v>8607</v>
      </c>
      <c r="H3384">
        <v>37</v>
      </c>
      <c r="I3384" t="s">
        <v>9306</v>
      </c>
      <c r="J3384" t="str">
        <f t="shared" si="52"/>
        <v>13F-HR-5.37.C11</v>
      </c>
      <c r="K3384" s="5" t="s">
        <v>8643</v>
      </c>
      <c r="L3384" t="s">
        <v>241</v>
      </c>
      <c r="M3384" t="s">
        <v>8644</v>
      </c>
      <c r="N3384" t="s">
        <v>8645</v>
      </c>
      <c r="Q3384" s="28">
        <v>0</v>
      </c>
    </row>
    <row r="3385" spans="1:17" x14ac:dyDescent="0.35">
      <c r="A3385" t="s">
        <v>8520</v>
      </c>
      <c r="B3385" s="3" t="s">
        <v>102</v>
      </c>
      <c r="F3385">
        <v>5</v>
      </c>
      <c r="G3385" t="s">
        <v>8607</v>
      </c>
      <c r="H3385">
        <v>38</v>
      </c>
      <c r="I3385" t="s">
        <v>9307</v>
      </c>
      <c r="J3385" t="str">
        <f t="shared" si="52"/>
        <v>13F-HR-5.38.C12</v>
      </c>
      <c r="K3385" s="5" t="s">
        <v>8646</v>
      </c>
      <c r="L3385" t="s">
        <v>241</v>
      </c>
      <c r="M3385" t="s">
        <v>8647</v>
      </c>
      <c r="N3385" t="s">
        <v>8648</v>
      </c>
      <c r="Q3385" s="28">
        <v>156255</v>
      </c>
    </row>
    <row r="3386" spans="1:17" x14ac:dyDescent="0.35">
      <c r="A3386" t="s">
        <v>8520</v>
      </c>
      <c r="B3386" s="3" t="s">
        <v>102</v>
      </c>
      <c r="F3386">
        <v>5</v>
      </c>
      <c r="G3386" t="s">
        <v>8607</v>
      </c>
      <c r="H3386">
        <v>27</v>
      </c>
      <c r="I3386" t="s">
        <v>9296</v>
      </c>
      <c r="J3386" t="str">
        <f t="shared" si="52"/>
        <v>13F-HR-5.27.C1</v>
      </c>
      <c r="K3386" s="5" t="s">
        <v>8608</v>
      </c>
      <c r="L3386" t="s">
        <v>229</v>
      </c>
      <c r="M3386" t="s">
        <v>8609</v>
      </c>
      <c r="N3386" t="s">
        <v>8610</v>
      </c>
      <c r="Q3386" s="28" t="s">
        <v>9078</v>
      </c>
    </row>
    <row r="3387" spans="1:17" x14ac:dyDescent="0.35">
      <c r="A3387" t="s">
        <v>8520</v>
      </c>
      <c r="B3387" s="3" t="s">
        <v>102</v>
      </c>
      <c r="F3387">
        <v>5</v>
      </c>
      <c r="G3387" t="s">
        <v>8607</v>
      </c>
      <c r="H3387">
        <v>28</v>
      </c>
      <c r="I3387" t="s">
        <v>9297</v>
      </c>
      <c r="J3387" t="str">
        <f t="shared" si="52"/>
        <v>13F-HR-5.28.C2</v>
      </c>
      <c r="K3387" s="5" t="s">
        <v>8612</v>
      </c>
      <c r="L3387" t="s">
        <v>229</v>
      </c>
      <c r="M3387" t="s">
        <v>8613</v>
      </c>
      <c r="N3387" t="s">
        <v>8614</v>
      </c>
      <c r="Q3387" s="28" t="s">
        <v>8706</v>
      </c>
    </row>
    <row r="3388" spans="1:17" x14ac:dyDescent="0.35">
      <c r="A3388" t="s">
        <v>8520</v>
      </c>
      <c r="B3388" s="3" t="s">
        <v>102</v>
      </c>
      <c r="F3388">
        <v>5</v>
      </c>
      <c r="G3388" t="s">
        <v>8607</v>
      </c>
      <c r="H3388">
        <v>29</v>
      </c>
      <c r="I3388" t="s">
        <v>9298</v>
      </c>
      <c r="J3388" t="str">
        <f t="shared" si="52"/>
        <v>13F-HR-5.29.C3</v>
      </c>
      <c r="K3388" s="5" t="s">
        <v>8616</v>
      </c>
      <c r="L3388" t="s">
        <v>229</v>
      </c>
      <c r="M3388" t="s">
        <v>7927</v>
      </c>
      <c r="N3388" t="s">
        <v>8617</v>
      </c>
      <c r="Q3388" s="28" t="s">
        <v>9079</v>
      </c>
    </row>
    <row r="3389" spans="1:17" x14ac:dyDescent="0.35">
      <c r="A3389" t="s">
        <v>8520</v>
      </c>
      <c r="B3389" s="3" t="s">
        <v>102</v>
      </c>
      <c r="F3389">
        <v>5</v>
      </c>
      <c r="G3389" t="s">
        <v>8607</v>
      </c>
      <c r="H3389">
        <v>30</v>
      </c>
      <c r="I3389" t="s">
        <v>9299</v>
      </c>
      <c r="J3389" t="str">
        <f t="shared" si="52"/>
        <v>13F-HR-5.30.C4</v>
      </c>
      <c r="K3389" s="5" t="s">
        <v>8618</v>
      </c>
      <c r="L3389" t="s">
        <v>8619</v>
      </c>
      <c r="M3389" t="s">
        <v>8620</v>
      </c>
      <c r="N3389" t="s">
        <v>8621</v>
      </c>
      <c r="Q3389" s="28">
        <v>9053774</v>
      </c>
    </row>
    <row r="3390" spans="1:17" x14ac:dyDescent="0.35">
      <c r="A3390" t="s">
        <v>8520</v>
      </c>
      <c r="B3390" s="3" t="s">
        <v>102</v>
      </c>
      <c r="F3390">
        <v>5</v>
      </c>
      <c r="G3390" t="s">
        <v>8607</v>
      </c>
      <c r="H3390">
        <v>31</v>
      </c>
      <c r="I3390" t="s">
        <v>9300</v>
      </c>
      <c r="J3390" t="str">
        <f t="shared" si="52"/>
        <v>13F-HR-5.31.C5</v>
      </c>
      <c r="K3390" s="5" t="s">
        <v>8622</v>
      </c>
      <c r="L3390" t="s">
        <v>241</v>
      </c>
      <c r="M3390" t="s">
        <v>8623</v>
      </c>
      <c r="N3390" t="s">
        <v>8624</v>
      </c>
      <c r="Q3390" s="28">
        <v>54988</v>
      </c>
    </row>
    <row r="3391" spans="1:17" x14ac:dyDescent="0.35">
      <c r="A3391" t="s">
        <v>8520</v>
      </c>
      <c r="B3391" s="3" t="s">
        <v>102</v>
      </c>
      <c r="F3391">
        <v>5</v>
      </c>
      <c r="G3391" t="s">
        <v>8607</v>
      </c>
      <c r="H3391">
        <v>32</v>
      </c>
      <c r="I3391" t="s">
        <v>9301</v>
      </c>
      <c r="J3391" t="str">
        <f t="shared" si="52"/>
        <v>13F-HR-5.32.C6</v>
      </c>
      <c r="K3391" s="5" t="s">
        <v>8625</v>
      </c>
      <c r="L3391" t="s">
        <v>229</v>
      </c>
      <c r="M3391" t="s">
        <v>8626</v>
      </c>
      <c r="N3391" t="s">
        <v>8627</v>
      </c>
      <c r="Q3391" s="28" t="s">
        <v>8628</v>
      </c>
    </row>
    <row r="3392" spans="1:17" x14ac:dyDescent="0.35">
      <c r="A3392" t="s">
        <v>8520</v>
      </c>
      <c r="B3392" s="3" t="s">
        <v>102</v>
      </c>
      <c r="F3392">
        <v>5</v>
      </c>
      <c r="G3392" t="s">
        <v>8607</v>
      </c>
      <c r="H3392">
        <v>33</v>
      </c>
      <c r="I3392" t="s">
        <v>9302</v>
      </c>
      <c r="J3392" t="str">
        <f t="shared" si="52"/>
        <v>13F-HR-5.33.C7</v>
      </c>
      <c r="K3392" s="5" t="s">
        <v>8629</v>
      </c>
      <c r="L3392" t="s">
        <v>229</v>
      </c>
      <c r="M3392" t="s">
        <v>8630</v>
      </c>
      <c r="N3392" t="s">
        <v>8631</v>
      </c>
      <c r="Q3392" s="28" t="s">
        <v>8685</v>
      </c>
    </row>
    <row r="3393" spans="1:17" x14ac:dyDescent="0.35">
      <c r="A3393" t="s">
        <v>8520</v>
      </c>
      <c r="B3393" s="3" t="s">
        <v>102</v>
      </c>
      <c r="F3393">
        <v>5</v>
      </c>
      <c r="G3393" t="s">
        <v>8607</v>
      </c>
      <c r="H3393">
        <v>34</v>
      </c>
      <c r="I3393" t="s">
        <v>9303</v>
      </c>
      <c r="J3393" t="str">
        <f t="shared" si="52"/>
        <v>13F-HR-5.34.C8</v>
      </c>
      <c r="K3393" s="5" t="s">
        <v>8633</v>
      </c>
      <c r="L3393" t="s">
        <v>4735</v>
      </c>
      <c r="M3393" t="s">
        <v>8634</v>
      </c>
      <c r="N3393" t="s">
        <v>8635</v>
      </c>
      <c r="Q3393" s="28" t="s">
        <v>8632</v>
      </c>
    </row>
    <row r="3394" spans="1:17" x14ac:dyDescent="0.35">
      <c r="A3394" t="s">
        <v>8520</v>
      </c>
      <c r="B3394" s="3" t="s">
        <v>102</v>
      </c>
      <c r="F3394">
        <v>5</v>
      </c>
      <c r="G3394" t="s">
        <v>8607</v>
      </c>
      <c r="H3394">
        <v>35</v>
      </c>
      <c r="I3394" t="s">
        <v>9304</v>
      </c>
      <c r="J3394" t="str">
        <f t="shared" si="52"/>
        <v>13F-HR-5.35.C9</v>
      </c>
      <c r="K3394" s="5" t="s">
        <v>8637</v>
      </c>
      <c r="L3394" t="s">
        <v>229</v>
      </c>
      <c r="M3394" t="s">
        <v>8638</v>
      </c>
      <c r="N3394" t="s">
        <v>8639</v>
      </c>
      <c r="Q3394" s="28" t="s">
        <v>8636</v>
      </c>
    </row>
    <row r="3395" spans="1:17" x14ac:dyDescent="0.35">
      <c r="A3395" t="s">
        <v>8520</v>
      </c>
      <c r="B3395" s="3" t="s">
        <v>102</v>
      </c>
      <c r="F3395">
        <v>5</v>
      </c>
      <c r="G3395" t="s">
        <v>8607</v>
      </c>
      <c r="H3395">
        <v>36</v>
      </c>
      <c r="I3395" t="s">
        <v>9305</v>
      </c>
      <c r="J3395" t="str">
        <f t="shared" ref="J3395:J3458" si="53">_xlfn.CONCAT(A3395,"-",F3395,".",H3395,".",I3395)</f>
        <v>13F-HR-5.36.C10</v>
      </c>
      <c r="K3395" s="5" t="s">
        <v>8640</v>
      </c>
      <c r="L3395" t="s">
        <v>241</v>
      </c>
      <c r="M3395" t="s">
        <v>8641</v>
      </c>
      <c r="N3395" t="s">
        <v>8642</v>
      </c>
      <c r="Q3395" s="28">
        <v>48610</v>
      </c>
    </row>
    <row r="3396" spans="1:17" x14ac:dyDescent="0.35">
      <c r="A3396" t="s">
        <v>8520</v>
      </c>
      <c r="B3396" s="3" t="s">
        <v>102</v>
      </c>
      <c r="F3396">
        <v>5</v>
      </c>
      <c r="G3396" t="s">
        <v>8607</v>
      </c>
      <c r="H3396">
        <v>37</v>
      </c>
      <c r="I3396" t="s">
        <v>9306</v>
      </c>
      <c r="J3396" t="str">
        <f t="shared" si="53"/>
        <v>13F-HR-5.37.C11</v>
      </c>
      <c r="K3396" s="5" t="s">
        <v>8643</v>
      </c>
      <c r="L3396" t="s">
        <v>241</v>
      </c>
      <c r="M3396" t="s">
        <v>8644</v>
      </c>
      <c r="N3396" t="s">
        <v>8645</v>
      </c>
      <c r="Q3396" s="28">
        <v>0</v>
      </c>
    </row>
    <row r="3397" spans="1:17" x14ac:dyDescent="0.35">
      <c r="A3397" t="s">
        <v>8520</v>
      </c>
      <c r="B3397" s="3" t="s">
        <v>102</v>
      </c>
      <c r="F3397">
        <v>5</v>
      </c>
      <c r="G3397" t="s">
        <v>8607</v>
      </c>
      <c r="H3397">
        <v>38</v>
      </c>
      <c r="I3397" t="s">
        <v>9307</v>
      </c>
      <c r="J3397" t="str">
        <f t="shared" si="53"/>
        <v>13F-HR-5.38.C12</v>
      </c>
      <c r="K3397" s="5" t="s">
        <v>8646</v>
      </c>
      <c r="L3397" t="s">
        <v>241</v>
      </c>
      <c r="M3397" t="s">
        <v>8647</v>
      </c>
      <c r="N3397" t="s">
        <v>8648</v>
      </c>
      <c r="Q3397" s="28">
        <v>6378</v>
      </c>
    </row>
    <row r="3398" spans="1:17" x14ac:dyDescent="0.35">
      <c r="A3398" t="s">
        <v>8520</v>
      </c>
      <c r="B3398" s="3" t="s">
        <v>102</v>
      </c>
      <c r="F3398">
        <v>5</v>
      </c>
      <c r="G3398" t="s">
        <v>8607</v>
      </c>
      <c r="H3398">
        <v>27</v>
      </c>
      <c r="I3398" t="s">
        <v>9296</v>
      </c>
      <c r="J3398" t="str">
        <f t="shared" si="53"/>
        <v>13F-HR-5.27.C1</v>
      </c>
      <c r="K3398" s="5" t="s">
        <v>8608</v>
      </c>
      <c r="L3398" t="s">
        <v>229</v>
      </c>
      <c r="M3398" t="s">
        <v>8609</v>
      </c>
      <c r="N3398" t="s">
        <v>8610</v>
      </c>
      <c r="Q3398" s="28" t="s">
        <v>9080</v>
      </c>
    </row>
    <row r="3399" spans="1:17" x14ac:dyDescent="0.35">
      <c r="A3399" t="s">
        <v>8520</v>
      </c>
      <c r="B3399" s="3" t="s">
        <v>102</v>
      </c>
      <c r="F3399">
        <v>5</v>
      </c>
      <c r="G3399" t="s">
        <v>8607</v>
      </c>
      <c r="H3399">
        <v>28</v>
      </c>
      <c r="I3399" t="s">
        <v>9297</v>
      </c>
      <c r="J3399" t="str">
        <f t="shared" si="53"/>
        <v>13F-HR-5.28.C2</v>
      </c>
      <c r="K3399" s="5" t="s">
        <v>8612</v>
      </c>
      <c r="L3399" t="s">
        <v>229</v>
      </c>
      <c r="M3399" t="s">
        <v>8613</v>
      </c>
      <c r="N3399" t="s">
        <v>8614</v>
      </c>
      <c r="Q3399" s="28" t="s">
        <v>9081</v>
      </c>
    </row>
    <row r="3400" spans="1:17" x14ac:dyDescent="0.35">
      <c r="A3400" t="s">
        <v>8520</v>
      </c>
      <c r="B3400" s="3" t="s">
        <v>102</v>
      </c>
      <c r="F3400">
        <v>5</v>
      </c>
      <c r="G3400" t="s">
        <v>8607</v>
      </c>
      <c r="H3400">
        <v>29</v>
      </c>
      <c r="I3400" t="s">
        <v>9298</v>
      </c>
      <c r="J3400" t="str">
        <f t="shared" si="53"/>
        <v>13F-HR-5.29.C3</v>
      </c>
      <c r="K3400" s="5" t="s">
        <v>8616</v>
      </c>
      <c r="L3400" t="s">
        <v>229</v>
      </c>
      <c r="M3400" t="s">
        <v>7927</v>
      </c>
      <c r="N3400" t="s">
        <v>8617</v>
      </c>
      <c r="Q3400" s="28" t="s">
        <v>9082</v>
      </c>
    </row>
    <row r="3401" spans="1:17" x14ac:dyDescent="0.35">
      <c r="A3401" t="s">
        <v>8520</v>
      </c>
      <c r="B3401" s="3" t="s">
        <v>102</v>
      </c>
      <c r="F3401">
        <v>5</v>
      </c>
      <c r="G3401" t="s">
        <v>8607</v>
      </c>
      <c r="H3401">
        <v>30</v>
      </c>
      <c r="I3401" t="s">
        <v>9299</v>
      </c>
      <c r="J3401" t="str">
        <f t="shared" si="53"/>
        <v>13F-HR-5.30.C4</v>
      </c>
      <c r="K3401" s="5" t="s">
        <v>8618</v>
      </c>
      <c r="L3401" t="s">
        <v>8619</v>
      </c>
      <c r="M3401" t="s">
        <v>8620</v>
      </c>
      <c r="N3401" t="s">
        <v>8621</v>
      </c>
      <c r="Q3401" s="28">
        <v>214903003</v>
      </c>
    </row>
    <row r="3402" spans="1:17" x14ac:dyDescent="0.35">
      <c r="A3402" t="s">
        <v>8520</v>
      </c>
      <c r="B3402" s="3" t="s">
        <v>102</v>
      </c>
      <c r="F3402">
        <v>5</v>
      </c>
      <c r="G3402" t="s">
        <v>8607</v>
      </c>
      <c r="H3402">
        <v>31</v>
      </c>
      <c r="I3402" t="s">
        <v>9300</v>
      </c>
      <c r="J3402" t="str">
        <f t="shared" si="53"/>
        <v>13F-HR-5.31.C5</v>
      </c>
      <c r="K3402" s="5" t="s">
        <v>8622</v>
      </c>
      <c r="L3402" t="s">
        <v>241</v>
      </c>
      <c r="M3402" t="s">
        <v>8623</v>
      </c>
      <c r="N3402" t="s">
        <v>8624</v>
      </c>
      <c r="Q3402" s="28">
        <v>9107324</v>
      </c>
    </row>
    <row r="3403" spans="1:17" x14ac:dyDescent="0.35">
      <c r="A3403" t="s">
        <v>8520</v>
      </c>
      <c r="B3403" s="3" t="s">
        <v>102</v>
      </c>
      <c r="F3403">
        <v>5</v>
      </c>
      <c r="G3403" t="s">
        <v>8607</v>
      </c>
      <c r="H3403">
        <v>32</v>
      </c>
      <c r="I3403" t="s">
        <v>9301</v>
      </c>
      <c r="J3403" t="str">
        <f t="shared" si="53"/>
        <v>13F-HR-5.32.C6</v>
      </c>
      <c r="K3403" s="5" t="s">
        <v>8625</v>
      </c>
      <c r="L3403" t="s">
        <v>229</v>
      </c>
      <c r="M3403" t="s">
        <v>8626</v>
      </c>
      <c r="N3403" t="s">
        <v>8627</v>
      </c>
      <c r="Q3403" s="28" t="s">
        <v>8628</v>
      </c>
    </row>
    <row r="3404" spans="1:17" x14ac:dyDescent="0.35">
      <c r="A3404" t="s">
        <v>8520</v>
      </c>
      <c r="B3404" s="3" t="s">
        <v>102</v>
      </c>
      <c r="F3404">
        <v>5</v>
      </c>
      <c r="G3404" t="s">
        <v>8607</v>
      </c>
      <c r="H3404">
        <v>33</v>
      </c>
      <c r="I3404" t="s">
        <v>9302</v>
      </c>
      <c r="J3404" t="str">
        <f t="shared" si="53"/>
        <v>13F-HR-5.33.C7</v>
      </c>
      <c r="K3404" s="5" t="s">
        <v>8629</v>
      </c>
      <c r="L3404" t="s">
        <v>229</v>
      </c>
      <c r="M3404" t="s">
        <v>8630</v>
      </c>
      <c r="N3404" t="s">
        <v>8631</v>
      </c>
      <c r="Q3404" s="28" t="s">
        <v>8685</v>
      </c>
    </row>
    <row r="3405" spans="1:17" x14ac:dyDescent="0.35">
      <c r="A3405" t="s">
        <v>8520</v>
      </c>
      <c r="B3405" s="3" t="s">
        <v>102</v>
      </c>
      <c r="F3405">
        <v>5</v>
      </c>
      <c r="G3405" t="s">
        <v>8607</v>
      </c>
      <c r="H3405">
        <v>34</v>
      </c>
      <c r="I3405" t="s">
        <v>9303</v>
      </c>
      <c r="J3405" t="str">
        <f t="shared" si="53"/>
        <v>13F-HR-5.34.C8</v>
      </c>
      <c r="K3405" s="5" t="s">
        <v>8633</v>
      </c>
      <c r="L3405" t="s">
        <v>4735</v>
      </c>
      <c r="M3405" t="s">
        <v>8634</v>
      </c>
      <c r="N3405" t="s">
        <v>8635</v>
      </c>
      <c r="Q3405" s="28" t="s">
        <v>8632</v>
      </c>
    </row>
    <row r="3406" spans="1:17" x14ac:dyDescent="0.35">
      <c r="A3406" t="s">
        <v>8520</v>
      </c>
      <c r="B3406" s="3" t="s">
        <v>102</v>
      </c>
      <c r="F3406">
        <v>5</v>
      </c>
      <c r="G3406" t="s">
        <v>8607</v>
      </c>
      <c r="H3406">
        <v>35</v>
      </c>
      <c r="I3406" t="s">
        <v>9304</v>
      </c>
      <c r="J3406" t="str">
        <f t="shared" si="53"/>
        <v>13F-HR-5.35.C9</v>
      </c>
      <c r="K3406" s="5" t="s">
        <v>8637</v>
      </c>
      <c r="L3406" t="s">
        <v>229</v>
      </c>
      <c r="M3406" t="s">
        <v>8638</v>
      </c>
      <c r="N3406" t="s">
        <v>8639</v>
      </c>
      <c r="Q3406" s="28" t="s">
        <v>8636</v>
      </c>
    </row>
    <row r="3407" spans="1:17" x14ac:dyDescent="0.35">
      <c r="A3407" t="s">
        <v>8520</v>
      </c>
      <c r="B3407" s="3" t="s">
        <v>102</v>
      </c>
      <c r="F3407">
        <v>5</v>
      </c>
      <c r="G3407" t="s">
        <v>8607</v>
      </c>
      <c r="H3407">
        <v>36</v>
      </c>
      <c r="I3407" t="s">
        <v>9305</v>
      </c>
      <c r="J3407" t="str">
        <f t="shared" si="53"/>
        <v>13F-HR-5.36.C10</v>
      </c>
      <c r="K3407" s="5" t="s">
        <v>8640</v>
      </c>
      <c r="L3407" t="s">
        <v>241</v>
      </c>
      <c r="M3407" t="s">
        <v>8641</v>
      </c>
      <c r="N3407" t="s">
        <v>8642</v>
      </c>
      <c r="Q3407" s="28">
        <v>7425875</v>
      </c>
    </row>
    <row r="3408" spans="1:17" x14ac:dyDescent="0.35">
      <c r="A3408" t="s">
        <v>8520</v>
      </c>
      <c r="B3408" s="3" t="s">
        <v>102</v>
      </c>
      <c r="F3408">
        <v>5</v>
      </c>
      <c r="G3408" t="s">
        <v>8607</v>
      </c>
      <c r="H3408">
        <v>37</v>
      </c>
      <c r="I3408" t="s">
        <v>9306</v>
      </c>
      <c r="J3408" t="str">
        <f t="shared" si="53"/>
        <v>13F-HR-5.37.C11</v>
      </c>
      <c r="K3408" s="5" t="s">
        <v>8643</v>
      </c>
      <c r="L3408" t="s">
        <v>241</v>
      </c>
      <c r="M3408" t="s">
        <v>8644</v>
      </c>
      <c r="N3408" t="s">
        <v>8645</v>
      </c>
      <c r="Q3408" s="28">
        <v>0</v>
      </c>
    </row>
    <row r="3409" spans="1:17" x14ac:dyDescent="0.35">
      <c r="A3409" t="s">
        <v>8520</v>
      </c>
      <c r="B3409" s="3" t="s">
        <v>102</v>
      </c>
      <c r="F3409">
        <v>5</v>
      </c>
      <c r="G3409" t="s">
        <v>8607</v>
      </c>
      <c r="H3409">
        <v>38</v>
      </c>
      <c r="I3409" t="s">
        <v>9307</v>
      </c>
      <c r="J3409" t="str">
        <f t="shared" si="53"/>
        <v>13F-HR-5.38.C12</v>
      </c>
      <c r="K3409" s="5" t="s">
        <v>8646</v>
      </c>
      <c r="L3409" t="s">
        <v>241</v>
      </c>
      <c r="M3409" t="s">
        <v>8647</v>
      </c>
      <c r="N3409" t="s">
        <v>8648</v>
      </c>
      <c r="Q3409" s="28">
        <v>1681449</v>
      </c>
    </row>
    <row r="3410" spans="1:17" x14ac:dyDescent="0.35">
      <c r="A3410" t="s">
        <v>8520</v>
      </c>
      <c r="B3410" s="3" t="s">
        <v>102</v>
      </c>
      <c r="F3410">
        <v>5</v>
      </c>
      <c r="G3410" t="s">
        <v>8607</v>
      </c>
      <c r="H3410">
        <v>27</v>
      </c>
      <c r="I3410" t="s">
        <v>9296</v>
      </c>
      <c r="J3410" t="str">
        <f t="shared" si="53"/>
        <v>13F-HR-5.27.C1</v>
      </c>
      <c r="K3410" s="5" t="s">
        <v>8608</v>
      </c>
      <c r="L3410" t="s">
        <v>229</v>
      </c>
      <c r="M3410" t="s">
        <v>8609</v>
      </c>
      <c r="N3410" t="s">
        <v>8610</v>
      </c>
      <c r="Q3410" s="28" t="s">
        <v>9083</v>
      </c>
    </row>
    <row r="3411" spans="1:17" x14ac:dyDescent="0.35">
      <c r="A3411" t="s">
        <v>8520</v>
      </c>
      <c r="B3411" s="3" t="s">
        <v>102</v>
      </c>
      <c r="F3411">
        <v>5</v>
      </c>
      <c r="G3411" t="s">
        <v>8607</v>
      </c>
      <c r="H3411">
        <v>28</v>
      </c>
      <c r="I3411" t="s">
        <v>9297</v>
      </c>
      <c r="J3411" t="str">
        <f t="shared" si="53"/>
        <v>13F-HR-5.28.C2</v>
      </c>
      <c r="K3411" s="5" t="s">
        <v>8612</v>
      </c>
      <c r="L3411" t="s">
        <v>229</v>
      </c>
      <c r="M3411" t="s">
        <v>8613</v>
      </c>
      <c r="N3411" t="s">
        <v>8614</v>
      </c>
      <c r="Q3411" s="28" t="s">
        <v>9084</v>
      </c>
    </row>
    <row r="3412" spans="1:17" x14ac:dyDescent="0.35">
      <c r="A3412" t="s">
        <v>8520</v>
      </c>
      <c r="B3412" s="3" t="s">
        <v>102</v>
      </c>
      <c r="F3412">
        <v>5</v>
      </c>
      <c r="G3412" t="s">
        <v>8607</v>
      </c>
      <c r="H3412">
        <v>29</v>
      </c>
      <c r="I3412" t="s">
        <v>9298</v>
      </c>
      <c r="J3412" t="str">
        <f t="shared" si="53"/>
        <v>13F-HR-5.29.C3</v>
      </c>
      <c r="K3412" s="5" t="s">
        <v>8616</v>
      </c>
      <c r="L3412" t="s">
        <v>229</v>
      </c>
      <c r="M3412" t="s">
        <v>7927</v>
      </c>
      <c r="N3412" t="s">
        <v>8617</v>
      </c>
      <c r="Q3412" s="28" t="s">
        <v>9085</v>
      </c>
    </row>
    <row r="3413" spans="1:17" x14ac:dyDescent="0.35">
      <c r="A3413" t="s">
        <v>8520</v>
      </c>
      <c r="B3413" s="3" t="s">
        <v>102</v>
      </c>
      <c r="F3413">
        <v>5</v>
      </c>
      <c r="G3413" t="s">
        <v>8607</v>
      </c>
      <c r="H3413">
        <v>30</v>
      </c>
      <c r="I3413" t="s">
        <v>9299</v>
      </c>
      <c r="J3413" t="str">
        <f t="shared" si="53"/>
        <v>13F-HR-5.30.C4</v>
      </c>
      <c r="K3413" s="5" t="s">
        <v>8618</v>
      </c>
      <c r="L3413" t="s">
        <v>8619</v>
      </c>
      <c r="M3413" t="s">
        <v>8620</v>
      </c>
      <c r="N3413" t="s">
        <v>8621</v>
      </c>
      <c r="Q3413" s="28">
        <v>28236017</v>
      </c>
    </row>
    <row r="3414" spans="1:17" x14ac:dyDescent="0.35">
      <c r="A3414" t="s">
        <v>8520</v>
      </c>
      <c r="B3414" s="3" t="s">
        <v>102</v>
      </c>
      <c r="F3414">
        <v>5</v>
      </c>
      <c r="G3414" t="s">
        <v>8607</v>
      </c>
      <c r="H3414">
        <v>31</v>
      </c>
      <c r="I3414" t="s">
        <v>9300</v>
      </c>
      <c r="J3414" t="str">
        <f t="shared" si="53"/>
        <v>13F-HR-5.31.C5</v>
      </c>
      <c r="K3414" s="5" t="s">
        <v>8622</v>
      </c>
      <c r="L3414" t="s">
        <v>241</v>
      </c>
      <c r="M3414" t="s">
        <v>8623</v>
      </c>
      <c r="N3414" t="s">
        <v>8624</v>
      </c>
      <c r="Q3414" s="28">
        <v>70751</v>
      </c>
    </row>
    <row r="3415" spans="1:17" x14ac:dyDescent="0.35">
      <c r="A3415" t="s">
        <v>8520</v>
      </c>
      <c r="B3415" s="3" t="s">
        <v>102</v>
      </c>
      <c r="F3415">
        <v>5</v>
      </c>
      <c r="G3415" t="s">
        <v>8607</v>
      </c>
      <c r="H3415">
        <v>32</v>
      </c>
      <c r="I3415" t="s">
        <v>9301</v>
      </c>
      <c r="J3415" t="str">
        <f t="shared" si="53"/>
        <v>13F-HR-5.32.C6</v>
      </c>
      <c r="K3415" s="5" t="s">
        <v>8625</v>
      </c>
      <c r="L3415" t="s">
        <v>229</v>
      </c>
      <c r="M3415" t="s">
        <v>8626</v>
      </c>
      <c r="N3415" t="s">
        <v>8627</v>
      </c>
      <c r="Q3415" s="28" t="s">
        <v>8628</v>
      </c>
    </row>
    <row r="3416" spans="1:17" x14ac:dyDescent="0.35">
      <c r="A3416" t="s">
        <v>8520</v>
      </c>
      <c r="B3416" s="3" t="s">
        <v>102</v>
      </c>
      <c r="F3416">
        <v>5</v>
      </c>
      <c r="G3416" t="s">
        <v>8607</v>
      </c>
      <c r="H3416">
        <v>33</v>
      </c>
      <c r="I3416" t="s">
        <v>9302</v>
      </c>
      <c r="J3416" t="str">
        <f t="shared" si="53"/>
        <v>13F-HR-5.33.C7</v>
      </c>
      <c r="K3416" s="5" t="s">
        <v>8629</v>
      </c>
      <c r="L3416" t="s">
        <v>229</v>
      </c>
      <c r="M3416" t="s">
        <v>8630</v>
      </c>
      <c r="N3416" t="s">
        <v>8631</v>
      </c>
      <c r="Q3416" s="28" t="s">
        <v>8685</v>
      </c>
    </row>
    <row r="3417" spans="1:17" x14ac:dyDescent="0.35">
      <c r="A3417" t="s">
        <v>8520</v>
      </c>
      <c r="B3417" s="3" t="s">
        <v>102</v>
      </c>
      <c r="F3417">
        <v>5</v>
      </c>
      <c r="G3417" t="s">
        <v>8607</v>
      </c>
      <c r="H3417">
        <v>34</v>
      </c>
      <c r="I3417" t="s">
        <v>9303</v>
      </c>
      <c r="J3417" t="str">
        <f t="shared" si="53"/>
        <v>13F-HR-5.34.C8</v>
      </c>
      <c r="K3417" s="5" t="s">
        <v>8633</v>
      </c>
      <c r="L3417" t="s">
        <v>4735</v>
      </c>
      <c r="M3417" t="s">
        <v>8634</v>
      </c>
      <c r="N3417" t="s">
        <v>8635</v>
      </c>
      <c r="Q3417" s="28" t="s">
        <v>8632</v>
      </c>
    </row>
    <row r="3418" spans="1:17" x14ac:dyDescent="0.35">
      <c r="A3418" t="s">
        <v>8520</v>
      </c>
      <c r="B3418" s="3" t="s">
        <v>102</v>
      </c>
      <c r="F3418">
        <v>5</v>
      </c>
      <c r="G3418" t="s">
        <v>8607</v>
      </c>
      <c r="H3418">
        <v>35</v>
      </c>
      <c r="I3418" t="s">
        <v>9304</v>
      </c>
      <c r="J3418" t="str">
        <f t="shared" si="53"/>
        <v>13F-HR-5.35.C9</v>
      </c>
      <c r="K3418" s="5" t="s">
        <v>8637</v>
      </c>
      <c r="L3418" t="s">
        <v>229</v>
      </c>
      <c r="M3418" t="s">
        <v>8638</v>
      </c>
      <c r="N3418" t="s">
        <v>8639</v>
      </c>
      <c r="Q3418" s="28" t="s">
        <v>8636</v>
      </c>
    </row>
    <row r="3419" spans="1:17" x14ac:dyDescent="0.35">
      <c r="A3419" t="s">
        <v>8520</v>
      </c>
      <c r="B3419" s="3" t="s">
        <v>102</v>
      </c>
      <c r="F3419">
        <v>5</v>
      </c>
      <c r="G3419" t="s">
        <v>8607</v>
      </c>
      <c r="H3419">
        <v>36</v>
      </c>
      <c r="I3419" t="s">
        <v>9305</v>
      </c>
      <c r="J3419" t="str">
        <f t="shared" si="53"/>
        <v>13F-HR-5.36.C10</v>
      </c>
      <c r="K3419" s="5" t="s">
        <v>8640</v>
      </c>
      <c r="L3419" t="s">
        <v>241</v>
      </c>
      <c r="M3419" t="s">
        <v>8641</v>
      </c>
      <c r="N3419" t="s">
        <v>8642</v>
      </c>
      <c r="Q3419" s="28">
        <v>45844</v>
      </c>
    </row>
    <row r="3420" spans="1:17" x14ac:dyDescent="0.35">
      <c r="A3420" t="s">
        <v>8520</v>
      </c>
      <c r="B3420" s="3" t="s">
        <v>102</v>
      </c>
      <c r="F3420">
        <v>5</v>
      </c>
      <c r="G3420" t="s">
        <v>8607</v>
      </c>
      <c r="H3420">
        <v>37</v>
      </c>
      <c r="I3420" t="s">
        <v>9306</v>
      </c>
      <c r="J3420" t="str">
        <f t="shared" si="53"/>
        <v>13F-HR-5.37.C11</v>
      </c>
      <c r="K3420" s="5" t="s">
        <v>8643</v>
      </c>
      <c r="L3420" t="s">
        <v>241</v>
      </c>
      <c r="M3420" t="s">
        <v>8644</v>
      </c>
      <c r="N3420" t="s">
        <v>8645</v>
      </c>
      <c r="Q3420" s="28">
        <v>0</v>
      </c>
    </row>
    <row r="3421" spans="1:17" x14ac:dyDescent="0.35">
      <c r="A3421" t="s">
        <v>8520</v>
      </c>
      <c r="B3421" s="3" t="s">
        <v>102</v>
      </c>
      <c r="F3421">
        <v>5</v>
      </c>
      <c r="G3421" t="s">
        <v>8607</v>
      </c>
      <c r="H3421">
        <v>38</v>
      </c>
      <c r="I3421" t="s">
        <v>9307</v>
      </c>
      <c r="J3421" t="str">
        <f t="shared" si="53"/>
        <v>13F-HR-5.38.C12</v>
      </c>
      <c r="K3421" s="5" t="s">
        <v>8646</v>
      </c>
      <c r="L3421" t="s">
        <v>241</v>
      </c>
      <c r="M3421" t="s">
        <v>8647</v>
      </c>
      <c r="N3421" t="s">
        <v>8648</v>
      </c>
      <c r="Q3421" s="28">
        <v>24907</v>
      </c>
    </row>
    <row r="3422" spans="1:17" x14ac:dyDescent="0.35">
      <c r="A3422" t="s">
        <v>8520</v>
      </c>
      <c r="B3422" s="3" t="s">
        <v>102</v>
      </c>
      <c r="F3422">
        <v>5</v>
      </c>
      <c r="G3422" t="s">
        <v>8607</v>
      </c>
      <c r="H3422">
        <v>27</v>
      </c>
      <c r="I3422" t="s">
        <v>9296</v>
      </c>
      <c r="J3422" t="str">
        <f t="shared" si="53"/>
        <v>13F-HR-5.27.C1</v>
      </c>
      <c r="K3422" s="5" t="s">
        <v>8608</v>
      </c>
      <c r="L3422" t="s">
        <v>229</v>
      </c>
      <c r="M3422" t="s">
        <v>8609</v>
      </c>
      <c r="N3422" t="s">
        <v>8610</v>
      </c>
      <c r="Q3422" s="28" t="s">
        <v>9086</v>
      </c>
    </row>
    <row r="3423" spans="1:17" x14ac:dyDescent="0.35">
      <c r="A3423" t="s">
        <v>8520</v>
      </c>
      <c r="B3423" s="3" t="s">
        <v>102</v>
      </c>
      <c r="F3423">
        <v>5</v>
      </c>
      <c r="G3423" t="s">
        <v>8607</v>
      </c>
      <c r="H3423">
        <v>28</v>
      </c>
      <c r="I3423" t="s">
        <v>9297</v>
      </c>
      <c r="J3423" t="str">
        <f t="shared" si="53"/>
        <v>13F-HR-5.28.C2</v>
      </c>
      <c r="K3423" s="5" t="s">
        <v>8612</v>
      </c>
      <c r="L3423" t="s">
        <v>229</v>
      </c>
      <c r="M3423" t="s">
        <v>8613</v>
      </c>
      <c r="N3423" t="s">
        <v>8614</v>
      </c>
      <c r="Q3423" s="28" t="s">
        <v>9087</v>
      </c>
    </row>
    <row r="3424" spans="1:17" x14ac:dyDescent="0.35">
      <c r="A3424" t="s">
        <v>8520</v>
      </c>
      <c r="B3424" s="3" t="s">
        <v>102</v>
      </c>
      <c r="F3424">
        <v>5</v>
      </c>
      <c r="G3424" t="s">
        <v>8607</v>
      </c>
      <c r="H3424">
        <v>29</v>
      </c>
      <c r="I3424" t="s">
        <v>9298</v>
      </c>
      <c r="J3424" t="str">
        <f t="shared" si="53"/>
        <v>13F-HR-5.29.C3</v>
      </c>
      <c r="K3424" s="5" t="s">
        <v>8616</v>
      </c>
      <c r="L3424" t="s">
        <v>229</v>
      </c>
      <c r="M3424" t="s">
        <v>7927</v>
      </c>
      <c r="N3424" t="s">
        <v>8617</v>
      </c>
      <c r="Q3424" s="28" t="s">
        <v>9088</v>
      </c>
    </row>
    <row r="3425" spans="1:17" x14ac:dyDescent="0.35">
      <c r="A3425" t="s">
        <v>8520</v>
      </c>
      <c r="B3425" s="3" t="s">
        <v>102</v>
      </c>
      <c r="F3425">
        <v>5</v>
      </c>
      <c r="G3425" t="s">
        <v>8607</v>
      </c>
      <c r="H3425">
        <v>30</v>
      </c>
      <c r="I3425" t="s">
        <v>9299</v>
      </c>
      <c r="J3425" t="str">
        <f t="shared" si="53"/>
        <v>13F-HR-5.30.C4</v>
      </c>
      <c r="K3425" s="5" t="s">
        <v>8618</v>
      </c>
      <c r="L3425" t="s">
        <v>8619</v>
      </c>
      <c r="M3425" t="s">
        <v>8620</v>
      </c>
      <c r="N3425" t="s">
        <v>8621</v>
      </c>
      <c r="Q3425" s="28">
        <v>10723589</v>
      </c>
    </row>
    <row r="3426" spans="1:17" x14ac:dyDescent="0.35">
      <c r="A3426" t="s">
        <v>8520</v>
      </c>
      <c r="B3426" s="3" t="s">
        <v>102</v>
      </c>
      <c r="F3426">
        <v>5</v>
      </c>
      <c r="G3426" t="s">
        <v>8607</v>
      </c>
      <c r="H3426">
        <v>31</v>
      </c>
      <c r="I3426" t="s">
        <v>9300</v>
      </c>
      <c r="J3426" t="str">
        <f t="shared" si="53"/>
        <v>13F-HR-5.31.C5</v>
      </c>
      <c r="K3426" s="5" t="s">
        <v>8622</v>
      </c>
      <c r="L3426" t="s">
        <v>241</v>
      </c>
      <c r="M3426" t="s">
        <v>8623</v>
      </c>
      <c r="N3426" t="s">
        <v>8624</v>
      </c>
      <c r="Q3426" s="28">
        <v>111495</v>
      </c>
    </row>
    <row r="3427" spans="1:17" x14ac:dyDescent="0.35">
      <c r="A3427" t="s">
        <v>8520</v>
      </c>
      <c r="B3427" s="3" t="s">
        <v>102</v>
      </c>
      <c r="F3427">
        <v>5</v>
      </c>
      <c r="G3427" t="s">
        <v>8607</v>
      </c>
      <c r="H3427">
        <v>32</v>
      </c>
      <c r="I3427" t="s">
        <v>9301</v>
      </c>
      <c r="J3427" t="str">
        <f t="shared" si="53"/>
        <v>13F-HR-5.32.C6</v>
      </c>
      <c r="K3427" s="5" t="s">
        <v>8625</v>
      </c>
      <c r="L3427" t="s">
        <v>229</v>
      </c>
      <c r="M3427" t="s">
        <v>8626</v>
      </c>
      <c r="N3427" t="s">
        <v>8627</v>
      </c>
      <c r="Q3427" s="28" t="s">
        <v>8628</v>
      </c>
    </row>
    <row r="3428" spans="1:17" x14ac:dyDescent="0.35">
      <c r="A3428" t="s">
        <v>8520</v>
      </c>
      <c r="B3428" s="3" t="s">
        <v>102</v>
      </c>
      <c r="F3428">
        <v>5</v>
      </c>
      <c r="G3428" t="s">
        <v>8607</v>
      </c>
      <c r="H3428">
        <v>33</v>
      </c>
      <c r="I3428" t="s">
        <v>9302</v>
      </c>
      <c r="J3428" t="str">
        <f t="shared" si="53"/>
        <v>13F-HR-5.33.C7</v>
      </c>
      <c r="K3428" s="5" t="s">
        <v>8629</v>
      </c>
      <c r="L3428" t="s">
        <v>229</v>
      </c>
      <c r="M3428" t="s">
        <v>8630</v>
      </c>
      <c r="N3428" t="s">
        <v>8631</v>
      </c>
      <c r="Q3428" s="28" t="s">
        <v>8685</v>
      </c>
    </row>
    <row r="3429" spans="1:17" x14ac:dyDescent="0.35">
      <c r="A3429" t="s">
        <v>8520</v>
      </c>
      <c r="B3429" s="3" t="s">
        <v>102</v>
      </c>
      <c r="F3429">
        <v>5</v>
      </c>
      <c r="G3429" t="s">
        <v>8607</v>
      </c>
      <c r="H3429">
        <v>34</v>
      </c>
      <c r="I3429" t="s">
        <v>9303</v>
      </c>
      <c r="J3429" t="str">
        <f t="shared" si="53"/>
        <v>13F-HR-5.34.C8</v>
      </c>
      <c r="K3429" s="5" t="s">
        <v>8633</v>
      </c>
      <c r="L3429" t="s">
        <v>4735</v>
      </c>
      <c r="M3429" t="s">
        <v>8634</v>
      </c>
      <c r="N3429" t="s">
        <v>8635</v>
      </c>
      <c r="Q3429" s="28" t="s">
        <v>8632</v>
      </c>
    </row>
    <row r="3430" spans="1:17" x14ac:dyDescent="0.35">
      <c r="A3430" t="s">
        <v>8520</v>
      </c>
      <c r="B3430" s="3" t="s">
        <v>102</v>
      </c>
      <c r="F3430">
        <v>5</v>
      </c>
      <c r="G3430" t="s">
        <v>8607</v>
      </c>
      <c r="H3430">
        <v>35</v>
      </c>
      <c r="I3430" t="s">
        <v>9304</v>
      </c>
      <c r="J3430" t="str">
        <f t="shared" si="53"/>
        <v>13F-HR-5.35.C9</v>
      </c>
      <c r="K3430" s="5" t="s">
        <v>8637</v>
      </c>
      <c r="L3430" t="s">
        <v>229</v>
      </c>
      <c r="M3430" t="s">
        <v>8638</v>
      </c>
      <c r="N3430" t="s">
        <v>8639</v>
      </c>
      <c r="Q3430" s="28" t="s">
        <v>8636</v>
      </c>
    </row>
    <row r="3431" spans="1:17" x14ac:dyDescent="0.35">
      <c r="A3431" t="s">
        <v>8520</v>
      </c>
      <c r="B3431" s="3" t="s">
        <v>102</v>
      </c>
      <c r="F3431">
        <v>5</v>
      </c>
      <c r="G3431" t="s">
        <v>8607</v>
      </c>
      <c r="H3431">
        <v>36</v>
      </c>
      <c r="I3431" t="s">
        <v>9305</v>
      </c>
      <c r="J3431" t="str">
        <f t="shared" si="53"/>
        <v>13F-HR-5.36.C10</v>
      </c>
      <c r="K3431" s="5" t="s">
        <v>8640</v>
      </c>
      <c r="L3431" t="s">
        <v>241</v>
      </c>
      <c r="M3431" t="s">
        <v>8641</v>
      </c>
      <c r="N3431" t="s">
        <v>8642</v>
      </c>
      <c r="Q3431" s="28">
        <v>110261</v>
      </c>
    </row>
    <row r="3432" spans="1:17" x14ac:dyDescent="0.35">
      <c r="A3432" t="s">
        <v>8520</v>
      </c>
      <c r="B3432" s="3" t="s">
        <v>102</v>
      </c>
      <c r="F3432">
        <v>5</v>
      </c>
      <c r="G3432" t="s">
        <v>8607</v>
      </c>
      <c r="H3432">
        <v>37</v>
      </c>
      <c r="I3432" t="s">
        <v>9306</v>
      </c>
      <c r="J3432" t="str">
        <f t="shared" si="53"/>
        <v>13F-HR-5.37.C11</v>
      </c>
      <c r="K3432" s="5" t="s">
        <v>8643</v>
      </c>
      <c r="L3432" t="s">
        <v>241</v>
      </c>
      <c r="M3432" t="s">
        <v>8644</v>
      </c>
      <c r="N3432" t="s">
        <v>8645</v>
      </c>
      <c r="Q3432" s="28">
        <v>0</v>
      </c>
    </row>
    <row r="3433" spans="1:17" x14ac:dyDescent="0.35">
      <c r="A3433" t="s">
        <v>8520</v>
      </c>
      <c r="B3433" s="3" t="s">
        <v>102</v>
      </c>
      <c r="F3433">
        <v>5</v>
      </c>
      <c r="G3433" t="s">
        <v>8607</v>
      </c>
      <c r="H3433">
        <v>38</v>
      </c>
      <c r="I3433" t="s">
        <v>9307</v>
      </c>
      <c r="J3433" t="str">
        <f t="shared" si="53"/>
        <v>13F-HR-5.38.C12</v>
      </c>
      <c r="K3433" s="5" t="s">
        <v>8646</v>
      </c>
      <c r="L3433" t="s">
        <v>241</v>
      </c>
      <c r="M3433" t="s">
        <v>8647</v>
      </c>
      <c r="N3433" t="s">
        <v>8648</v>
      </c>
      <c r="Q3433" s="28">
        <v>1234</v>
      </c>
    </row>
    <row r="3434" spans="1:17" x14ac:dyDescent="0.35">
      <c r="A3434" t="s">
        <v>8520</v>
      </c>
      <c r="B3434" s="3" t="s">
        <v>102</v>
      </c>
      <c r="F3434">
        <v>5</v>
      </c>
      <c r="G3434" t="s">
        <v>8607</v>
      </c>
      <c r="H3434">
        <v>27</v>
      </c>
      <c r="I3434" t="s">
        <v>9296</v>
      </c>
      <c r="J3434" t="str">
        <f t="shared" si="53"/>
        <v>13F-HR-5.27.C1</v>
      </c>
      <c r="K3434" s="5" t="s">
        <v>8608</v>
      </c>
      <c r="L3434" t="s">
        <v>229</v>
      </c>
      <c r="M3434" t="s">
        <v>8609</v>
      </c>
      <c r="N3434" t="s">
        <v>8610</v>
      </c>
      <c r="Q3434" s="28" t="s">
        <v>9089</v>
      </c>
    </row>
    <row r="3435" spans="1:17" x14ac:dyDescent="0.35">
      <c r="A3435" t="s">
        <v>8520</v>
      </c>
      <c r="B3435" s="3" t="s">
        <v>102</v>
      </c>
      <c r="F3435">
        <v>5</v>
      </c>
      <c r="G3435" t="s">
        <v>8607</v>
      </c>
      <c r="H3435">
        <v>28</v>
      </c>
      <c r="I3435" t="s">
        <v>9297</v>
      </c>
      <c r="J3435" t="str">
        <f t="shared" si="53"/>
        <v>13F-HR-5.28.C2</v>
      </c>
      <c r="K3435" s="5" t="s">
        <v>8612</v>
      </c>
      <c r="L3435" t="s">
        <v>229</v>
      </c>
      <c r="M3435" t="s">
        <v>8613</v>
      </c>
      <c r="N3435" t="s">
        <v>8614</v>
      </c>
      <c r="Q3435" s="28" t="s">
        <v>8771</v>
      </c>
    </row>
    <row r="3436" spans="1:17" x14ac:dyDescent="0.35">
      <c r="A3436" t="s">
        <v>8520</v>
      </c>
      <c r="B3436" s="3" t="s">
        <v>102</v>
      </c>
      <c r="F3436">
        <v>5</v>
      </c>
      <c r="G3436" t="s">
        <v>8607</v>
      </c>
      <c r="H3436">
        <v>29</v>
      </c>
      <c r="I3436" t="s">
        <v>9298</v>
      </c>
      <c r="J3436" t="str">
        <f t="shared" si="53"/>
        <v>13F-HR-5.29.C3</v>
      </c>
      <c r="K3436" s="5" t="s">
        <v>8616</v>
      </c>
      <c r="L3436" t="s">
        <v>229</v>
      </c>
      <c r="M3436" t="s">
        <v>7927</v>
      </c>
      <c r="N3436" t="s">
        <v>8617</v>
      </c>
      <c r="Q3436" s="28" t="s">
        <v>9090</v>
      </c>
    </row>
    <row r="3437" spans="1:17" x14ac:dyDescent="0.35">
      <c r="A3437" t="s">
        <v>8520</v>
      </c>
      <c r="B3437" s="3" t="s">
        <v>102</v>
      </c>
      <c r="F3437">
        <v>5</v>
      </c>
      <c r="G3437" t="s">
        <v>8607</v>
      </c>
      <c r="H3437">
        <v>30</v>
      </c>
      <c r="I3437" t="s">
        <v>9299</v>
      </c>
      <c r="J3437" t="str">
        <f t="shared" si="53"/>
        <v>13F-HR-5.30.C4</v>
      </c>
      <c r="K3437" s="5" t="s">
        <v>8618</v>
      </c>
      <c r="L3437" t="s">
        <v>8619</v>
      </c>
      <c r="M3437" t="s">
        <v>8620</v>
      </c>
      <c r="N3437" t="s">
        <v>8621</v>
      </c>
      <c r="Q3437" s="28">
        <v>38053497</v>
      </c>
    </row>
    <row r="3438" spans="1:17" x14ac:dyDescent="0.35">
      <c r="A3438" t="s">
        <v>8520</v>
      </c>
      <c r="B3438" s="3" t="s">
        <v>102</v>
      </c>
      <c r="F3438">
        <v>5</v>
      </c>
      <c r="G3438" t="s">
        <v>8607</v>
      </c>
      <c r="H3438">
        <v>31</v>
      </c>
      <c r="I3438" t="s">
        <v>9300</v>
      </c>
      <c r="J3438" t="str">
        <f t="shared" si="53"/>
        <v>13F-HR-5.31.C5</v>
      </c>
      <c r="K3438" s="5" t="s">
        <v>8622</v>
      </c>
      <c r="L3438" t="s">
        <v>241</v>
      </c>
      <c r="M3438" t="s">
        <v>8623</v>
      </c>
      <c r="N3438" t="s">
        <v>8624</v>
      </c>
      <c r="Q3438" s="28">
        <v>1426293</v>
      </c>
    </row>
    <row r="3439" spans="1:17" x14ac:dyDescent="0.35">
      <c r="A3439" t="s">
        <v>8520</v>
      </c>
      <c r="B3439" s="3" t="s">
        <v>102</v>
      </c>
      <c r="F3439">
        <v>5</v>
      </c>
      <c r="G3439" t="s">
        <v>8607</v>
      </c>
      <c r="H3439">
        <v>32</v>
      </c>
      <c r="I3439" t="s">
        <v>9301</v>
      </c>
      <c r="J3439" t="str">
        <f t="shared" si="53"/>
        <v>13F-HR-5.32.C6</v>
      </c>
      <c r="K3439" s="5" t="s">
        <v>8625</v>
      </c>
      <c r="L3439" t="s">
        <v>229</v>
      </c>
      <c r="M3439" t="s">
        <v>8626</v>
      </c>
      <c r="N3439" t="s">
        <v>8627</v>
      </c>
      <c r="Q3439" s="28" t="s">
        <v>8628</v>
      </c>
    </row>
    <row r="3440" spans="1:17" x14ac:dyDescent="0.35">
      <c r="A3440" t="s">
        <v>8520</v>
      </c>
      <c r="B3440" s="3" t="s">
        <v>102</v>
      </c>
      <c r="F3440">
        <v>5</v>
      </c>
      <c r="G3440" t="s">
        <v>8607</v>
      </c>
      <c r="H3440">
        <v>33</v>
      </c>
      <c r="I3440" t="s">
        <v>9302</v>
      </c>
      <c r="J3440" t="str">
        <f t="shared" si="53"/>
        <v>13F-HR-5.33.C7</v>
      </c>
      <c r="K3440" s="5" t="s">
        <v>8629</v>
      </c>
      <c r="L3440" t="s">
        <v>229</v>
      </c>
      <c r="M3440" t="s">
        <v>8630</v>
      </c>
      <c r="N3440" t="s">
        <v>8631</v>
      </c>
      <c r="Q3440" s="28" t="s">
        <v>8685</v>
      </c>
    </row>
    <row r="3441" spans="1:17" x14ac:dyDescent="0.35">
      <c r="A3441" t="s">
        <v>8520</v>
      </c>
      <c r="B3441" s="3" t="s">
        <v>102</v>
      </c>
      <c r="F3441">
        <v>5</v>
      </c>
      <c r="G3441" t="s">
        <v>8607</v>
      </c>
      <c r="H3441">
        <v>34</v>
      </c>
      <c r="I3441" t="s">
        <v>9303</v>
      </c>
      <c r="J3441" t="str">
        <f t="shared" si="53"/>
        <v>13F-HR-5.34.C8</v>
      </c>
      <c r="K3441" s="5" t="s">
        <v>8633</v>
      </c>
      <c r="L3441" t="s">
        <v>4735</v>
      </c>
      <c r="M3441" t="s">
        <v>8634</v>
      </c>
      <c r="N3441" t="s">
        <v>8635</v>
      </c>
      <c r="Q3441" s="28" t="s">
        <v>8632</v>
      </c>
    </row>
    <row r="3442" spans="1:17" x14ac:dyDescent="0.35">
      <c r="A3442" t="s">
        <v>8520</v>
      </c>
      <c r="B3442" s="3" t="s">
        <v>102</v>
      </c>
      <c r="F3442">
        <v>5</v>
      </c>
      <c r="G3442" t="s">
        <v>8607</v>
      </c>
      <c r="H3442">
        <v>35</v>
      </c>
      <c r="I3442" t="s">
        <v>9304</v>
      </c>
      <c r="J3442" t="str">
        <f t="shared" si="53"/>
        <v>13F-HR-5.35.C9</v>
      </c>
      <c r="K3442" s="5" t="s">
        <v>8637</v>
      </c>
      <c r="L3442" t="s">
        <v>229</v>
      </c>
      <c r="M3442" t="s">
        <v>8638</v>
      </c>
      <c r="N3442" t="s">
        <v>8639</v>
      </c>
      <c r="Q3442" s="28" t="s">
        <v>8636</v>
      </c>
    </row>
    <row r="3443" spans="1:17" x14ac:dyDescent="0.35">
      <c r="A3443" t="s">
        <v>8520</v>
      </c>
      <c r="B3443" s="3" t="s">
        <v>102</v>
      </c>
      <c r="F3443">
        <v>5</v>
      </c>
      <c r="G3443" t="s">
        <v>8607</v>
      </c>
      <c r="H3443">
        <v>36</v>
      </c>
      <c r="I3443" t="s">
        <v>9305</v>
      </c>
      <c r="J3443" t="str">
        <f t="shared" si="53"/>
        <v>13F-HR-5.36.C10</v>
      </c>
      <c r="K3443" s="5" t="s">
        <v>8640</v>
      </c>
      <c r="L3443" t="s">
        <v>241</v>
      </c>
      <c r="M3443" t="s">
        <v>8641</v>
      </c>
      <c r="N3443" t="s">
        <v>8642</v>
      </c>
      <c r="Q3443" s="28">
        <v>1426293</v>
      </c>
    </row>
    <row r="3444" spans="1:17" x14ac:dyDescent="0.35">
      <c r="A3444" t="s">
        <v>8520</v>
      </c>
      <c r="B3444" s="3" t="s">
        <v>102</v>
      </c>
      <c r="F3444">
        <v>5</v>
      </c>
      <c r="G3444" t="s">
        <v>8607</v>
      </c>
      <c r="H3444">
        <v>37</v>
      </c>
      <c r="I3444" t="s">
        <v>9306</v>
      </c>
      <c r="J3444" t="str">
        <f t="shared" si="53"/>
        <v>13F-HR-5.37.C11</v>
      </c>
      <c r="K3444" s="5" t="s">
        <v>8643</v>
      </c>
      <c r="L3444" t="s">
        <v>241</v>
      </c>
      <c r="M3444" t="s">
        <v>8644</v>
      </c>
      <c r="N3444" t="s">
        <v>8645</v>
      </c>
      <c r="Q3444" s="28">
        <v>0</v>
      </c>
    </row>
    <row r="3445" spans="1:17" x14ac:dyDescent="0.35">
      <c r="A3445" t="s">
        <v>8520</v>
      </c>
      <c r="B3445" s="3" t="s">
        <v>102</v>
      </c>
      <c r="F3445">
        <v>5</v>
      </c>
      <c r="G3445" t="s">
        <v>8607</v>
      </c>
      <c r="H3445">
        <v>38</v>
      </c>
      <c r="I3445" t="s">
        <v>9307</v>
      </c>
      <c r="J3445" t="str">
        <f t="shared" si="53"/>
        <v>13F-HR-5.38.C12</v>
      </c>
      <c r="K3445" s="5" t="s">
        <v>8646</v>
      </c>
      <c r="L3445" t="s">
        <v>241</v>
      </c>
      <c r="M3445" t="s">
        <v>8647</v>
      </c>
      <c r="N3445" t="s">
        <v>8648</v>
      </c>
      <c r="Q3445" s="28">
        <v>0</v>
      </c>
    </row>
    <row r="3446" spans="1:17" x14ac:dyDescent="0.35">
      <c r="A3446" t="s">
        <v>8520</v>
      </c>
      <c r="B3446" s="3" t="s">
        <v>102</v>
      </c>
      <c r="F3446">
        <v>5</v>
      </c>
      <c r="G3446" t="s">
        <v>8607</v>
      </c>
      <c r="H3446">
        <v>27</v>
      </c>
      <c r="I3446" t="s">
        <v>9296</v>
      </c>
      <c r="J3446" t="str">
        <f t="shared" si="53"/>
        <v>13F-HR-5.27.C1</v>
      </c>
      <c r="K3446" s="5" t="s">
        <v>8608</v>
      </c>
      <c r="L3446" t="s">
        <v>229</v>
      </c>
      <c r="M3446" t="s">
        <v>8609</v>
      </c>
      <c r="N3446" t="s">
        <v>8610</v>
      </c>
      <c r="Q3446" s="28" t="s">
        <v>9091</v>
      </c>
    </row>
    <row r="3447" spans="1:17" x14ac:dyDescent="0.35">
      <c r="A3447" t="s">
        <v>8520</v>
      </c>
      <c r="B3447" s="3" t="s">
        <v>102</v>
      </c>
      <c r="F3447">
        <v>5</v>
      </c>
      <c r="G3447" t="s">
        <v>8607</v>
      </c>
      <c r="H3447">
        <v>28</v>
      </c>
      <c r="I3447" t="s">
        <v>9297</v>
      </c>
      <c r="J3447" t="str">
        <f t="shared" si="53"/>
        <v>13F-HR-5.28.C2</v>
      </c>
      <c r="K3447" s="5" t="s">
        <v>8612</v>
      </c>
      <c r="L3447" t="s">
        <v>229</v>
      </c>
      <c r="M3447" t="s">
        <v>8613</v>
      </c>
      <c r="N3447" t="s">
        <v>8614</v>
      </c>
      <c r="Q3447" s="28" t="s">
        <v>9092</v>
      </c>
    </row>
    <row r="3448" spans="1:17" x14ac:dyDescent="0.35">
      <c r="A3448" t="s">
        <v>8520</v>
      </c>
      <c r="B3448" s="3" t="s">
        <v>102</v>
      </c>
      <c r="F3448">
        <v>5</v>
      </c>
      <c r="G3448" t="s">
        <v>8607</v>
      </c>
      <c r="H3448">
        <v>29</v>
      </c>
      <c r="I3448" t="s">
        <v>9298</v>
      </c>
      <c r="J3448" t="str">
        <f t="shared" si="53"/>
        <v>13F-HR-5.29.C3</v>
      </c>
      <c r="K3448" s="5" t="s">
        <v>8616</v>
      </c>
      <c r="L3448" t="s">
        <v>229</v>
      </c>
      <c r="M3448" t="s">
        <v>7927</v>
      </c>
      <c r="N3448" t="s">
        <v>8617</v>
      </c>
      <c r="Q3448" s="28" t="s">
        <v>9093</v>
      </c>
    </row>
    <row r="3449" spans="1:17" x14ac:dyDescent="0.35">
      <c r="A3449" t="s">
        <v>8520</v>
      </c>
      <c r="B3449" s="3" t="s">
        <v>102</v>
      </c>
      <c r="F3449">
        <v>5</v>
      </c>
      <c r="G3449" t="s">
        <v>8607</v>
      </c>
      <c r="H3449">
        <v>30</v>
      </c>
      <c r="I3449" t="s">
        <v>9299</v>
      </c>
      <c r="J3449" t="str">
        <f t="shared" si="53"/>
        <v>13F-HR-5.30.C4</v>
      </c>
      <c r="K3449" s="5" t="s">
        <v>8618</v>
      </c>
      <c r="L3449" t="s">
        <v>8619</v>
      </c>
      <c r="M3449" t="s">
        <v>8620</v>
      </c>
      <c r="N3449" t="s">
        <v>8621</v>
      </c>
      <c r="Q3449" s="28">
        <v>19784272</v>
      </c>
    </row>
    <row r="3450" spans="1:17" x14ac:dyDescent="0.35">
      <c r="A3450" t="s">
        <v>8520</v>
      </c>
      <c r="B3450" s="3" t="s">
        <v>102</v>
      </c>
      <c r="F3450">
        <v>5</v>
      </c>
      <c r="G3450" t="s">
        <v>8607</v>
      </c>
      <c r="H3450">
        <v>31</v>
      </c>
      <c r="I3450" t="s">
        <v>9300</v>
      </c>
      <c r="J3450" t="str">
        <f t="shared" si="53"/>
        <v>13F-HR-5.31.C5</v>
      </c>
      <c r="K3450" s="5" t="s">
        <v>8622</v>
      </c>
      <c r="L3450" t="s">
        <v>241</v>
      </c>
      <c r="M3450" t="s">
        <v>8623</v>
      </c>
      <c r="N3450" t="s">
        <v>8624</v>
      </c>
      <c r="Q3450" s="28">
        <v>63403</v>
      </c>
    </row>
    <row r="3451" spans="1:17" x14ac:dyDescent="0.35">
      <c r="A3451" t="s">
        <v>8520</v>
      </c>
      <c r="B3451" s="3" t="s">
        <v>102</v>
      </c>
      <c r="F3451">
        <v>5</v>
      </c>
      <c r="G3451" t="s">
        <v>8607</v>
      </c>
      <c r="H3451">
        <v>32</v>
      </c>
      <c r="I3451" t="s">
        <v>9301</v>
      </c>
      <c r="J3451" t="str">
        <f t="shared" si="53"/>
        <v>13F-HR-5.32.C6</v>
      </c>
      <c r="K3451" s="5" t="s">
        <v>8625</v>
      </c>
      <c r="L3451" t="s">
        <v>229</v>
      </c>
      <c r="M3451" t="s">
        <v>8626</v>
      </c>
      <c r="N3451" t="s">
        <v>8627</v>
      </c>
      <c r="Q3451" s="28" t="s">
        <v>8628</v>
      </c>
    </row>
    <row r="3452" spans="1:17" x14ac:dyDescent="0.35">
      <c r="A3452" t="s">
        <v>8520</v>
      </c>
      <c r="B3452" s="3" t="s">
        <v>102</v>
      </c>
      <c r="F3452">
        <v>5</v>
      </c>
      <c r="G3452" t="s">
        <v>8607</v>
      </c>
      <c r="H3452">
        <v>33</v>
      </c>
      <c r="I3452" t="s">
        <v>9302</v>
      </c>
      <c r="J3452" t="str">
        <f t="shared" si="53"/>
        <v>13F-HR-5.33.C7</v>
      </c>
      <c r="K3452" s="5" t="s">
        <v>8629</v>
      </c>
      <c r="L3452" t="s">
        <v>229</v>
      </c>
      <c r="M3452" t="s">
        <v>8630</v>
      </c>
      <c r="N3452" t="s">
        <v>8631</v>
      </c>
      <c r="Q3452" s="28" t="s">
        <v>8685</v>
      </c>
    </row>
    <row r="3453" spans="1:17" x14ac:dyDescent="0.35">
      <c r="A3453" t="s">
        <v>8520</v>
      </c>
      <c r="B3453" s="3" t="s">
        <v>102</v>
      </c>
      <c r="F3453">
        <v>5</v>
      </c>
      <c r="G3453" t="s">
        <v>8607</v>
      </c>
      <c r="H3453">
        <v>34</v>
      </c>
      <c r="I3453" t="s">
        <v>9303</v>
      </c>
      <c r="J3453" t="str">
        <f t="shared" si="53"/>
        <v>13F-HR-5.34.C8</v>
      </c>
      <c r="K3453" s="5" t="s">
        <v>8633</v>
      </c>
      <c r="L3453" t="s">
        <v>4735</v>
      </c>
      <c r="M3453" t="s">
        <v>8634</v>
      </c>
      <c r="N3453" t="s">
        <v>8635</v>
      </c>
      <c r="Q3453" s="28" t="s">
        <v>8632</v>
      </c>
    </row>
    <row r="3454" spans="1:17" x14ac:dyDescent="0.35">
      <c r="A3454" t="s">
        <v>8520</v>
      </c>
      <c r="B3454" s="3" t="s">
        <v>102</v>
      </c>
      <c r="F3454">
        <v>5</v>
      </c>
      <c r="G3454" t="s">
        <v>8607</v>
      </c>
      <c r="H3454">
        <v>35</v>
      </c>
      <c r="I3454" t="s">
        <v>9304</v>
      </c>
      <c r="J3454" t="str">
        <f t="shared" si="53"/>
        <v>13F-HR-5.35.C9</v>
      </c>
      <c r="K3454" s="5" t="s">
        <v>8637</v>
      </c>
      <c r="L3454" t="s">
        <v>229</v>
      </c>
      <c r="M3454" t="s">
        <v>8638</v>
      </c>
      <c r="N3454" t="s">
        <v>8639</v>
      </c>
      <c r="Q3454" s="28" t="s">
        <v>8636</v>
      </c>
    </row>
    <row r="3455" spans="1:17" x14ac:dyDescent="0.35">
      <c r="A3455" t="s">
        <v>8520</v>
      </c>
      <c r="B3455" s="3" t="s">
        <v>102</v>
      </c>
      <c r="F3455">
        <v>5</v>
      </c>
      <c r="G3455" t="s">
        <v>8607</v>
      </c>
      <c r="H3455">
        <v>36</v>
      </c>
      <c r="I3455" t="s">
        <v>9305</v>
      </c>
      <c r="J3455" t="str">
        <f t="shared" si="53"/>
        <v>13F-HR-5.36.C10</v>
      </c>
      <c r="K3455" s="5" t="s">
        <v>8640</v>
      </c>
      <c r="L3455" t="s">
        <v>241</v>
      </c>
      <c r="M3455" t="s">
        <v>8641</v>
      </c>
      <c r="N3455" t="s">
        <v>8642</v>
      </c>
      <c r="Q3455" s="28">
        <v>44035</v>
      </c>
    </row>
    <row r="3456" spans="1:17" x14ac:dyDescent="0.35">
      <c r="A3456" t="s">
        <v>8520</v>
      </c>
      <c r="B3456" s="3" t="s">
        <v>102</v>
      </c>
      <c r="F3456">
        <v>5</v>
      </c>
      <c r="G3456" t="s">
        <v>8607</v>
      </c>
      <c r="H3456">
        <v>37</v>
      </c>
      <c r="I3456" t="s">
        <v>9306</v>
      </c>
      <c r="J3456" t="str">
        <f t="shared" si="53"/>
        <v>13F-HR-5.37.C11</v>
      </c>
      <c r="K3456" s="5" t="s">
        <v>8643</v>
      </c>
      <c r="L3456" t="s">
        <v>241</v>
      </c>
      <c r="M3456" t="s">
        <v>8644</v>
      </c>
      <c r="N3456" t="s">
        <v>8645</v>
      </c>
      <c r="Q3456" s="28">
        <v>0</v>
      </c>
    </row>
    <row r="3457" spans="1:17" x14ac:dyDescent="0.35">
      <c r="A3457" t="s">
        <v>8520</v>
      </c>
      <c r="B3457" s="3" t="s">
        <v>102</v>
      </c>
      <c r="F3457">
        <v>5</v>
      </c>
      <c r="G3457" t="s">
        <v>8607</v>
      </c>
      <c r="H3457">
        <v>38</v>
      </c>
      <c r="I3457" t="s">
        <v>9307</v>
      </c>
      <c r="J3457" t="str">
        <f t="shared" si="53"/>
        <v>13F-HR-5.38.C12</v>
      </c>
      <c r="K3457" s="5" t="s">
        <v>8646</v>
      </c>
      <c r="L3457" t="s">
        <v>241</v>
      </c>
      <c r="M3457" t="s">
        <v>8647</v>
      </c>
      <c r="N3457" t="s">
        <v>8648</v>
      </c>
      <c r="Q3457" s="28">
        <v>19368</v>
      </c>
    </row>
    <row r="3458" spans="1:17" x14ac:dyDescent="0.35">
      <c r="A3458" t="s">
        <v>8520</v>
      </c>
      <c r="B3458" s="3" t="s">
        <v>102</v>
      </c>
      <c r="F3458">
        <v>5</v>
      </c>
      <c r="G3458" t="s">
        <v>8607</v>
      </c>
      <c r="H3458">
        <v>27</v>
      </c>
      <c r="I3458" t="s">
        <v>9296</v>
      </c>
      <c r="J3458" t="str">
        <f t="shared" si="53"/>
        <v>13F-HR-5.27.C1</v>
      </c>
      <c r="K3458" s="5" t="s">
        <v>8608</v>
      </c>
      <c r="L3458" t="s">
        <v>229</v>
      </c>
      <c r="M3458" t="s">
        <v>8609</v>
      </c>
      <c r="N3458" t="s">
        <v>8610</v>
      </c>
      <c r="Q3458" s="28" t="s">
        <v>9094</v>
      </c>
    </row>
    <row r="3459" spans="1:17" x14ac:dyDescent="0.35">
      <c r="A3459" t="s">
        <v>8520</v>
      </c>
      <c r="B3459" s="3" t="s">
        <v>102</v>
      </c>
      <c r="F3459">
        <v>5</v>
      </c>
      <c r="G3459" t="s">
        <v>8607</v>
      </c>
      <c r="H3459">
        <v>28</v>
      </c>
      <c r="I3459" t="s">
        <v>9297</v>
      </c>
      <c r="J3459" t="str">
        <f t="shared" ref="J3459:J3522" si="54">_xlfn.CONCAT(A3459,"-",F3459,".",H3459,".",I3459)</f>
        <v>13F-HR-5.28.C2</v>
      </c>
      <c r="K3459" s="5" t="s">
        <v>8612</v>
      </c>
      <c r="L3459" t="s">
        <v>229</v>
      </c>
      <c r="M3459" t="s">
        <v>8613</v>
      </c>
      <c r="N3459" t="s">
        <v>8614</v>
      </c>
      <c r="Q3459" s="28" t="s">
        <v>9095</v>
      </c>
    </row>
    <row r="3460" spans="1:17" x14ac:dyDescent="0.35">
      <c r="A3460" t="s">
        <v>8520</v>
      </c>
      <c r="B3460" s="3" t="s">
        <v>102</v>
      </c>
      <c r="F3460">
        <v>5</v>
      </c>
      <c r="G3460" t="s">
        <v>8607</v>
      </c>
      <c r="H3460">
        <v>29</v>
      </c>
      <c r="I3460" t="s">
        <v>9298</v>
      </c>
      <c r="J3460" t="str">
        <f t="shared" si="54"/>
        <v>13F-HR-5.29.C3</v>
      </c>
      <c r="K3460" s="5" t="s">
        <v>8616</v>
      </c>
      <c r="L3460" t="s">
        <v>229</v>
      </c>
      <c r="M3460" t="s">
        <v>7927</v>
      </c>
      <c r="N3460" t="s">
        <v>8617</v>
      </c>
      <c r="Q3460" s="28" t="s">
        <v>9096</v>
      </c>
    </row>
    <row r="3461" spans="1:17" x14ac:dyDescent="0.35">
      <c r="A3461" t="s">
        <v>8520</v>
      </c>
      <c r="B3461" s="3" t="s">
        <v>102</v>
      </c>
      <c r="F3461">
        <v>5</v>
      </c>
      <c r="G3461" t="s">
        <v>8607</v>
      </c>
      <c r="H3461">
        <v>30</v>
      </c>
      <c r="I3461" t="s">
        <v>9299</v>
      </c>
      <c r="J3461" t="str">
        <f t="shared" si="54"/>
        <v>13F-HR-5.30.C4</v>
      </c>
      <c r="K3461" s="5" t="s">
        <v>8618</v>
      </c>
      <c r="L3461" t="s">
        <v>8619</v>
      </c>
      <c r="M3461" t="s">
        <v>8620</v>
      </c>
      <c r="N3461" t="s">
        <v>8621</v>
      </c>
      <c r="Q3461" s="28">
        <v>7287107</v>
      </c>
    </row>
    <row r="3462" spans="1:17" x14ac:dyDescent="0.35">
      <c r="A3462" t="s">
        <v>8520</v>
      </c>
      <c r="B3462" s="3" t="s">
        <v>102</v>
      </c>
      <c r="F3462">
        <v>5</v>
      </c>
      <c r="G3462" t="s">
        <v>8607</v>
      </c>
      <c r="H3462">
        <v>31</v>
      </c>
      <c r="I3462" t="s">
        <v>9300</v>
      </c>
      <c r="J3462" t="str">
        <f t="shared" si="54"/>
        <v>13F-HR-5.31.C5</v>
      </c>
      <c r="K3462" s="5" t="s">
        <v>8622</v>
      </c>
      <c r="L3462" t="s">
        <v>241</v>
      </c>
      <c r="M3462" t="s">
        <v>8623</v>
      </c>
      <c r="N3462" t="s">
        <v>8624</v>
      </c>
      <c r="Q3462" s="28">
        <v>3327446</v>
      </c>
    </row>
    <row r="3463" spans="1:17" x14ac:dyDescent="0.35">
      <c r="A3463" t="s">
        <v>8520</v>
      </c>
      <c r="B3463" s="3" t="s">
        <v>102</v>
      </c>
      <c r="F3463">
        <v>5</v>
      </c>
      <c r="G3463" t="s">
        <v>8607</v>
      </c>
      <c r="H3463">
        <v>32</v>
      </c>
      <c r="I3463" t="s">
        <v>9301</v>
      </c>
      <c r="J3463" t="str">
        <f t="shared" si="54"/>
        <v>13F-HR-5.32.C6</v>
      </c>
      <c r="K3463" s="5" t="s">
        <v>8625</v>
      </c>
      <c r="L3463" t="s">
        <v>229</v>
      </c>
      <c r="M3463" t="s">
        <v>8626</v>
      </c>
      <c r="N3463" t="s">
        <v>8627</v>
      </c>
      <c r="Q3463" s="28" t="s">
        <v>8628</v>
      </c>
    </row>
    <row r="3464" spans="1:17" x14ac:dyDescent="0.35">
      <c r="A3464" t="s">
        <v>8520</v>
      </c>
      <c r="B3464" s="3" t="s">
        <v>102</v>
      </c>
      <c r="F3464">
        <v>5</v>
      </c>
      <c r="G3464" t="s">
        <v>8607</v>
      </c>
      <c r="H3464">
        <v>33</v>
      </c>
      <c r="I3464" t="s">
        <v>9302</v>
      </c>
      <c r="J3464" t="str">
        <f t="shared" si="54"/>
        <v>13F-HR-5.33.C7</v>
      </c>
      <c r="K3464" s="5" t="s">
        <v>8629</v>
      </c>
      <c r="L3464" t="s">
        <v>229</v>
      </c>
      <c r="M3464" t="s">
        <v>8630</v>
      </c>
      <c r="N3464" t="s">
        <v>8631</v>
      </c>
      <c r="Q3464" s="28" t="s">
        <v>8685</v>
      </c>
    </row>
    <row r="3465" spans="1:17" x14ac:dyDescent="0.35">
      <c r="A3465" t="s">
        <v>8520</v>
      </c>
      <c r="B3465" s="3" t="s">
        <v>102</v>
      </c>
      <c r="F3465">
        <v>5</v>
      </c>
      <c r="G3465" t="s">
        <v>8607</v>
      </c>
      <c r="H3465">
        <v>34</v>
      </c>
      <c r="I3465" t="s">
        <v>9303</v>
      </c>
      <c r="J3465" t="str">
        <f t="shared" si="54"/>
        <v>13F-HR-5.34.C8</v>
      </c>
      <c r="K3465" s="5" t="s">
        <v>8633</v>
      </c>
      <c r="L3465" t="s">
        <v>4735</v>
      </c>
      <c r="M3465" t="s">
        <v>8634</v>
      </c>
      <c r="N3465" t="s">
        <v>8635</v>
      </c>
      <c r="Q3465" s="28" t="s">
        <v>8632</v>
      </c>
    </row>
    <row r="3466" spans="1:17" x14ac:dyDescent="0.35">
      <c r="A3466" t="s">
        <v>8520</v>
      </c>
      <c r="B3466" s="3" t="s">
        <v>102</v>
      </c>
      <c r="F3466">
        <v>5</v>
      </c>
      <c r="G3466" t="s">
        <v>8607</v>
      </c>
      <c r="H3466">
        <v>35</v>
      </c>
      <c r="I3466" t="s">
        <v>9304</v>
      </c>
      <c r="J3466" t="str">
        <f t="shared" si="54"/>
        <v>13F-HR-5.35.C9</v>
      </c>
      <c r="K3466" s="5" t="s">
        <v>8637</v>
      </c>
      <c r="L3466" t="s">
        <v>229</v>
      </c>
      <c r="M3466" t="s">
        <v>8638</v>
      </c>
      <c r="N3466" t="s">
        <v>8639</v>
      </c>
      <c r="Q3466" s="28" t="s">
        <v>8636</v>
      </c>
    </row>
    <row r="3467" spans="1:17" x14ac:dyDescent="0.35">
      <c r="A3467" t="s">
        <v>8520</v>
      </c>
      <c r="B3467" s="3" t="s">
        <v>102</v>
      </c>
      <c r="F3467">
        <v>5</v>
      </c>
      <c r="G3467" t="s">
        <v>8607</v>
      </c>
      <c r="H3467">
        <v>36</v>
      </c>
      <c r="I3467" t="s">
        <v>9305</v>
      </c>
      <c r="J3467" t="str">
        <f t="shared" si="54"/>
        <v>13F-HR-5.36.C10</v>
      </c>
      <c r="K3467" s="5" t="s">
        <v>8640</v>
      </c>
      <c r="L3467" t="s">
        <v>241</v>
      </c>
      <c r="M3467" t="s">
        <v>8641</v>
      </c>
      <c r="N3467" t="s">
        <v>8642</v>
      </c>
      <c r="Q3467" s="28">
        <v>3327446</v>
      </c>
    </row>
    <row r="3468" spans="1:17" x14ac:dyDescent="0.35">
      <c r="A3468" t="s">
        <v>8520</v>
      </c>
      <c r="B3468" s="3" t="s">
        <v>102</v>
      </c>
      <c r="F3468">
        <v>5</v>
      </c>
      <c r="G3468" t="s">
        <v>8607</v>
      </c>
      <c r="H3468">
        <v>37</v>
      </c>
      <c r="I3468" t="s">
        <v>9306</v>
      </c>
      <c r="J3468" t="str">
        <f t="shared" si="54"/>
        <v>13F-HR-5.37.C11</v>
      </c>
      <c r="K3468" s="5" t="s">
        <v>8643</v>
      </c>
      <c r="L3468" t="s">
        <v>241</v>
      </c>
      <c r="M3468" t="s">
        <v>8644</v>
      </c>
      <c r="N3468" t="s">
        <v>8645</v>
      </c>
      <c r="Q3468" s="28">
        <v>0</v>
      </c>
    </row>
    <row r="3469" spans="1:17" x14ac:dyDescent="0.35">
      <c r="A3469" t="s">
        <v>8520</v>
      </c>
      <c r="B3469" s="3" t="s">
        <v>102</v>
      </c>
      <c r="F3469">
        <v>5</v>
      </c>
      <c r="G3469" t="s">
        <v>8607</v>
      </c>
      <c r="H3469">
        <v>38</v>
      </c>
      <c r="I3469" t="s">
        <v>9307</v>
      </c>
      <c r="J3469" t="str">
        <f t="shared" si="54"/>
        <v>13F-HR-5.38.C12</v>
      </c>
      <c r="K3469" s="5" t="s">
        <v>8646</v>
      </c>
      <c r="L3469" t="s">
        <v>241</v>
      </c>
      <c r="M3469" t="s">
        <v>8647</v>
      </c>
      <c r="N3469" t="s">
        <v>8648</v>
      </c>
      <c r="Q3469" s="28">
        <v>0</v>
      </c>
    </row>
    <row r="3470" spans="1:17" x14ac:dyDescent="0.35">
      <c r="A3470" t="s">
        <v>8520</v>
      </c>
      <c r="B3470" s="3" t="s">
        <v>102</v>
      </c>
      <c r="F3470">
        <v>5</v>
      </c>
      <c r="G3470" t="s">
        <v>8607</v>
      </c>
      <c r="H3470">
        <v>27</v>
      </c>
      <c r="I3470" t="s">
        <v>9296</v>
      </c>
      <c r="J3470" t="str">
        <f t="shared" si="54"/>
        <v>13F-HR-5.27.C1</v>
      </c>
      <c r="K3470" s="5" t="s">
        <v>8608</v>
      </c>
      <c r="L3470" t="s">
        <v>229</v>
      </c>
      <c r="M3470" t="s">
        <v>8609</v>
      </c>
      <c r="N3470" t="s">
        <v>8610</v>
      </c>
      <c r="Q3470" s="28" t="s">
        <v>9097</v>
      </c>
    </row>
    <row r="3471" spans="1:17" x14ac:dyDescent="0.35">
      <c r="A3471" t="s">
        <v>8520</v>
      </c>
      <c r="B3471" s="3" t="s">
        <v>102</v>
      </c>
      <c r="F3471">
        <v>5</v>
      </c>
      <c r="G3471" t="s">
        <v>8607</v>
      </c>
      <c r="H3471">
        <v>28</v>
      </c>
      <c r="I3471" t="s">
        <v>9297</v>
      </c>
      <c r="J3471" t="str">
        <f t="shared" si="54"/>
        <v>13F-HR-5.28.C2</v>
      </c>
      <c r="K3471" s="5" t="s">
        <v>8612</v>
      </c>
      <c r="L3471" t="s">
        <v>229</v>
      </c>
      <c r="M3471" t="s">
        <v>8613</v>
      </c>
      <c r="N3471" t="s">
        <v>8614</v>
      </c>
      <c r="Q3471" s="28" t="s">
        <v>9095</v>
      </c>
    </row>
    <row r="3472" spans="1:17" x14ac:dyDescent="0.35">
      <c r="A3472" t="s">
        <v>8520</v>
      </c>
      <c r="B3472" s="3" t="s">
        <v>102</v>
      </c>
      <c r="F3472">
        <v>5</v>
      </c>
      <c r="G3472" t="s">
        <v>8607</v>
      </c>
      <c r="H3472">
        <v>29</v>
      </c>
      <c r="I3472" t="s">
        <v>9298</v>
      </c>
      <c r="J3472" t="str">
        <f t="shared" si="54"/>
        <v>13F-HR-5.29.C3</v>
      </c>
      <c r="K3472" s="5" t="s">
        <v>8616</v>
      </c>
      <c r="L3472" t="s">
        <v>229</v>
      </c>
      <c r="M3472" t="s">
        <v>7927</v>
      </c>
      <c r="N3472" t="s">
        <v>8617</v>
      </c>
      <c r="Q3472" s="28" t="s">
        <v>9098</v>
      </c>
    </row>
    <row r="3473" spans="1:17" x14ac:dyDescent="0.35">
      <c r="A3473" t="s">
        <v>8520</v>
      </c>
      <c r="B3473" s="3" t="s">
        <v>102</v>
      </c>
      <c r="F3473">
        <v>5</v>
      </c>
      <c r="G3473" t="s">
        <v>8607</v>
      </c>
      <c r="H3473">
        <v>30</v>
      </c>
      <c r="I3473" t="s">
        <v>9299</v>
      </c>
      <c r="J3473" t="str">
        <f t="shared" si="54"/>
        <v>13F-HR-5.30.C4</v>
      </c>
      <c r="K3473" s="5" t="s">
        <v>8618</v>
      </c>
      <c r="L3473" t="s">
        <v>8619</v>
      </c>
      <c r="M3473" t="s">
        <v>8620</v>
      </c>
      <c r="N3473" t="s">
        <v>8621</v>
      </c>
      <c r="Q3473" s="28">
        <v>1127279</v>
      </c>
    </row>
    <row r="3474" spans="1:17" x14ac:dyDescent="0.35">
      <c r="A3474" t="s">
        <v>8520</v>
      </c>
      <c r="B3474" s="3" t="s">
        <v>102</v>
      </c>
      <c r="F3474">
        <v>5</v>
      </c>
      <c r="G3474" t="s">
        <v>8607</v>
      </c>
      <c r="H3474">
        <v>31</v>
      </c>
      <c r="I3474" t="s">
        <v>9300</v>
      </c>
      <c r="J3474" t="str">
        <f t="shared" si="54"/>
        <v>13F-HR-5.31.C5</v>
      </c>
      <c r="K3474" s="5" t="s">
        <v>8622</v>
      </c>
      <c r="L3474" t="s">
        <v>241</v>
      </c>
      <c r="M3474" t="s">
        <v>8623</v>
      </c>
      <c r="N3474" t="s">
        <v>8624</v>
      </c>
      <c r="Q3474" s="28">
        <v>4147</v>
      </c>
    </row>
    <row r="3475" spans="1:17" x14ac:dyDescent="0.35">
      <c r="A3475" t="s">
        <v>8520</v>
      </c>
      <c r="B3475" s="3" t="s">
        <v>102</v>
      </c>
      <c r="F3475">
        <v>5</v>
      </c>
      <c r="G3475" t="s">
        <v>8607</v>
      </c>
      <c r="H3475">
        <v>32</v>
      </c>
      <c r="I3475" t="s">
        <v>9301</v>
      </c>
      <c r="J3475" t="str">
        <f t="shared" si="54"/>
        <v>13F-HR-5.32.C6</v>
      </c>
      <c r="K3475" s="5" t="s">
        <v>8625</v>
      </c>
      <c r="L3475" t="s">
        <v>229</v>
      </c>
      <c r="M3475" t="s">
        <v>8626</v>
      </c>
      <c r="N3475" t="s">
        <v>8627</v>
      </c>
      <c r="Q3475" s="28" t="s">
        <v>8628</v>
      </c>
    </row>
    <row r="3476" spans="1:17" x14ac:dyDescent="0.35">
      <c r="A3476" t="s">
        <v>8520</v>
      </c>
      <c r="B3476" s="3" t="s">
        <v>102</v>
      </c>
      <c r="F3476">
        <v>5</v>
      </c>
      <c r="G3476" t="s">
        <v>8607</v>
      </c>
      <c r="H3476">
        <v>33</v>
      </c>
      <c r="I3476" t="s">
        <v>9302</v>
      </c>
      <c r="J3476" t="str">
        <f t="shared" si="54"/>
        <v>13F-HR-5.33.C7</v>
      </c>
      <c r="K3476" s="5" t="s">
        <v>8629</v>
      </c>
      <c r="L3476" t="s">
        <v>229</v>
      </c>
      <c r="M3476" t="s">
        <v>8630</v>
      </c>
      <c r="N3476" t="s">
        <v>8631</v>
      </c>
      <c r="Q3476" s="28" t="s">
        <v>8685</v>
      </c>
    </row>
    <row r="3477" spans="1:17" x14ac:dyDescent="0.35">
      <c r="A3477" t="s">
        <v>8520</v>
      </c>
      <c r="B3477" s="3" t="s">
        <v>102</v>
      </c>
      <c r="F3477">
        <v>5</v>
      </c>
      <c r="G3477" t="s">
        <v>8607</v>
      </c>
      <c r="H3477">
        <v>34</v>
      </c>
      <c r="I3477" t="s">
        <v>9303</v>
      </c>
      <c r="J3477" t="str">
        <f t="shared" si="54"/>
        <v>13F-HR-5.34.C8</v>
      </c>
      <c r="K3477" s="5" t="s">
        <v>8633</v>
      </c>
      <c r="L3477" t="s">
        <v>4735</v>
      </c>
      <c r="M3477" t="s">
        <v>8634</v>
      </c>
      <c r="N3477" t="s">
        <v>8635</v>
      </c>
      <c r="Q3477" s="28" t="s">
        <v>8632</v>
      </c>
    </row>
    <row r="3478" spans="1:17" x14ac:dyDescent="0.35">
      <c r="A3478" t="s">
        <v>8520</v>
      </c>
      <c r="B3478" s="3" t="s">
        <v>102</v>
      </c>
      <c r="F3478">
        <v>5</v>
      </c>
      <c r="G3478" t="s">
        <v>8607</v>
      </c>
      <c r="H3478">
        <v>35</v>
      </c>
      <c r="I3478" t="s">
        <v>9304</v>
      </c>
      <c r="J3478" t="str">
        <f t="shared" si="54"/>
        <v>13F-HR-5.35.C9</v>
      </c>
      <c r="K3478" s="5" t="s">
        <v>8637</v>
      </c>
      <c r="L3478" t="s">
        <v>229</v>
      </c>
      <c r="M3478" t="s">
        <v>8638</v>
      </c>
      <c r="N3478" t="s">
        <v>8639</v>
      </c>
      <c r="Q3478" s="28" t="s">
        <v>8636</v>
      </c>
    </row>
    <row r="3479" spans="1:17" x14ac:dyDescent="0.35">
      <c r="A3479" t="s">
        <v>8520</v>
      </c>
      <c r="B3479" s="3" t="s">
        <v>102</v>
      </c>
      <c r="F3479">
        <v>5</v>
      </c>
      <c r="G3479" t="s">
        <v>8607</v>
      </c>
      <c r="H3479">
        <v>36</v>
      </c>
      <c r="I3479" t="s">
        <v>9305</v>
      </c>
      <c r="J3479" t="str">
        <f t="shared" si="54"/>
        <v>13F-HR-5.36.C10</v>
      </c>
      <c r="K3479" s="5" t="s">
        <v>8640</v>
      </c>
      <c r="L3479" t="s">
        <v>241</v>
      </c>
      <c r="M3479" t="s">
        <v>8641</v>
      </c>
      <c r="N3479" t="s">
        <v>8642</v>
      </c>
      <c r="Q3479" s="28">
        <v>160</v>
      </c>
    </row>
    <row r="3480" spans="1:17" x14ac:dyDescent="0.35">
      <c r="A3480" t="s">
        <v>8520</v>
      </c>
      <c r="B3480" s="3" t="s">
        <v>102</v>
      </c>
      <c r="F3480">
        <v>5</v>
      </c>
      <c r="G3480" t="s">
        <v>8607</v>
      </c>
      <c r="H3480">
        <v>37</v>
      </c>
      <c r="I3480" t="s">
        <v>9306</v>
      </c>
      <c r="J3480" t="str">
        <f t="shared" si="54"/>
        <v>13F-HR-5.37.C11</v>
      </c>
      <c r="K3480" s="5" t="s">
        <v>8643</v>
      </c>
      <c r="L3480" t="s">
        <v>241</v>
      </c>
      <c r="M3480" t="s">
        <v>8644</v>
      </c>
      <c r="N3480" t="s">
        <v>8645</v>
      </c>
      <c r="Q3480" s="28">
        <v>0</v>
      </c>
    </row>
    <row r="3481" spans="1:17" x14ac:dyDescent="0.35">
      <c r="A3481" t="s">
        <v>8520</v>
      </c>
      <c r="B3481" s="3" t="s">
        <v>102</v>
      </c>
      <c r="F3481">
        <v>5</v>
      </c>
      <c r="G3481" t="s">
        <v>8607</v>
      </c>
      <c r="H3481">
        <v>38</v>
      </c>
      <c r="I3481" t="s">
        <v>9307</v>
      </c>
      <c r="J3481" t="str">
        <f t="shared" si="54"/>
        <v>13F-HR-5.38.C12</v>
      </c>
      <c r="K3481" s="5" t="s">
        <v>8646</v>
      </c>
      <c r="L3481" t="s">
        <v>241</v>
      </c>
      <c r="M3481" t="s">
        <v>8647</v>
      </c>
      <c r="N3481" t="s">
        <v>8648</v>
      </c>
      <c r="Q3481" s="28">
        <v>3987</v>
      </c>
    </row>
    <row r="3482" spans="1:17" x14ac:dyDescent="0.35">
      <c r="A3482" t="s">
        <v>8520</v>
      </c>
      <c r="B3482" s="3" t="s">
        <v>102</v>
      </c>
      <c r="F3482">
        <v>5</v>
      </c>
      <c r="G3482" t="s">
        <v>8607</v>
      </c>
      <c r="H3482">
        <v>27</v>
      </c>
      <c r="I3482" t="s">
        <v>9296</v>
      </c>
      <c r="J3482" t="str">
        <f t="shared" si="54"/>
        <v>13F-HR-5.27.C1</v>
      </c>
      <c r="K3482" s="5" t="s">
        <v>8608</v>
      </c>
      <c r="L3482" t="s">
        <v>229</v>
      </c>
      <c r="M3482" t="s">
        <v>8609</v>
      </c>
      <c r="N3482" t="s">
        <v>8610</v>
      </c>
      <c r="Q3482" s="28" t="s">
        <v>9099</v>
      </c>
    </row>
    <row r="3483" spans="1:17" x14ac:dyDescent="0.35">
      <c r="A3483" t="s">
        <v>8520</v>
      </c>
      <c r="B3483" s="3" t="s">
        <v>102</v>
      </c>
      <c r="F3483">
        <v>5</v>
      </c>
      <c r="G3483" t="s">
        <v>8607</v>
      </c>
      <c r="H3483">
        <v>28</v>
      </c>
      <c r="I3483" t="s">
        <v>9297</v>
      </c>
      <c r="J3483" t="str">
        <f t="shared" si="54"/>
        <v>13F-HR-5.28.C2</v>
      </c>
      <c r="K3483" s="5" t="s">
        <v>8612</v>
      </c>
      <c r="L3483" t="s">
        <v>229</v>
      </c>
      <c r="M3483" t="s">
        <v>8613</v>
      </c>
      <c r="N3483" t="s">
        <v>8614</v>
      </c>
      <c r="Q3483" s="28" t="s">
        <v>9095</v>
      </c>
    </row>
    <row r="3484" spans="1:17" x14ac:dyDescent="0.35">
      <c r="A3484" t="s">
        <v>8520</v>
      </c>
      <c r="B3484" s="3" t="s">
        <v>102</v>
      </c>
      <c r="F3484">
        <v>5</v>
      </c>
      <c r="G3484" t="s">
        <v>8607</v>
      </c>
      <c r="H3484">
        <v>29</v>
      </c>
      <c r="I3484" t="s">
        <v>9298</v>
      </c>
      <c r="J3484" t="str">
        <f t="shared" si="54"/>
        <v>13F-HR-5.29.C3</v>
      </c>
      <c r="K3484" s="5" t="s">
        <v>8616</v>
      </c>
      <c r="L3484" t="s">
        <v>229</v>
      </c>
      <c r="M3484" t="s">
        <v>7927</v>
      </c>
      <c r="N3484" t="s">
        <v>8617</v>
      </c>
      <c r="Q3484" s="28" t="s">
        <v>9100</v>
      </c>
    </row>
    <row r="3485" spans="1:17" x14ac:dyDescent="0.35">
      <c r="A3485" t="s">
        <v>8520</v>
      </c>
      <c r="B3485" s="3" t="s">
        <v>102</v>
      </c>
      <c r="F3485">
        <v>5</v>
      </c>
      <c r="G3485" t="s">
        <v>8607</v>
      </c>
      <c r="H3485">
        <v>30</v>
      </c>
      <c r="I3485" t="s">
        <v>9299</v>
      </c>
      <c r="J3485" t="str">
        <f t="shared" si="54"/>
        <v>13F-HR-5.30.C4</v>
      </c>
      <c r="K3485" s="5" t="s">
        <v>8618</v>
      </c>
      <c r="L3485" t="s">
        <v>8619</v>
      </c>
      <c r="M3485" t="s">
        <v>8620</v>
      </c>
      <c r="N3485" t="s">
        <v>8621</v>
      </c>
      <c r="Q3485" s="28">
        <v>50482884</v>
      </c>
    </row>
    <row r="3486" spans="1:17" x14ac:dyDescent="0.35">
      <c r="A3486" t="s">
        <v>8520</v>
      </c>
      <c r="B3486" s="3" t="s">
        <v>102</v>
      </c>
      <c r="F3486">
        <v>5</v>
      </c>
      <c r="G3486" t="s">
        <v>8607</v>
      </c>
      <c r="H3486">
        <v>31</v>
      </c>
      <c r="I3486" t="s">
        <v>9300</v>
      </c>
      <c r="J3486" t="str">
        <f t="shared" si="54"/>
        <v>13F-HR-5.31.C5</v>
      </c>
      <c r="K3486" s="5" t="s">
        <v>8622</v>
      </c>
      <c r="L3486" t="s">
        <v>241</v>
      </c>
      <c r="M3486" t="s">
        <v>8623</v>
      </c>
      <c r="N3486" t="s">
        <v>8624</v>
      </c>
      <c r="Q3486" s="28">
        <v>227863</v>
      </c>
    </row>
    <row r="3487" spans="1:17" x14ac:dyDescent="0.35">
      <c r="A3487" t="s">
        <v>8520</v>
      </c>
      <c r="B3487" s="3" t="s">
        <v>102</v>
      </c>
      <c r="F3487">
        <v>5</v>
      </c>
      <c r="G3487" t="s">
        <v>8607</v>
      </c>
      <c r="H3487">
        <v>32</v>
      </c>
      <c r="I3487" t="s">
        <v>9301</v>
      </c>
      <c r="J3487" t="str">
        <f t="shared" si="54"/>
        <v>13F-HR-5.32.C6</v>
      </c>
      <c r="K3487" s="5" t="s">
        <v>8625</v>
      </c>
      <c r="L3487" t="s">
        <v>229</v>
      </c>
      <c r="M3487" t="s">
        <v>8626</v>
      </c>
      <c r="N3487" t="s">
        <v>8627</v>
      </c>
      <c r="Q3487" s="28" t="s">
        <v>8628</v>
      </c>
    </row>
    <row r="3488" spans="1:17" x14ac:dyDescent="0.35">
      <c r="A3488" t="s">
        <v>8520</v>
      </c>
      <c r="B3488" s="3" t="s">
        <v>102</v>
      </c>
      <c r="F3488">
        <v>5</v>
      </c>
      <c r="G3488" t="s">
        <v>8607</v>
      </c>
      <c r="H3488">
        <v>33</v>
      </c>
      <c r="I3488" t="s">
        <v>9302</v>
      </c>
      <c r="J3488" t="str">
        <f t="shared" si="54"/>
        <v>13F-HR-5.33.C7</v>
      </c>
      <c r="K3488" s="5" t="s">
        <v>8629</v>
      </c>
      <c r="L3488" t="s">
        <v>229</v>
      </c>
      <c r="M3488" t="s">
        <v>8630</v>
      </c>
      <c r="N3488" t="s">
        <v>8631</v>
      </c>
      <c r="Q3488" s="28" t="s">
        <v>8685</v>
      </c>
    </row>
    <row r="3489" spans="1:17" x14ac:dyDescent="0.35">
      <c r="A3489" t="s">
        <v>8520</v>
      </c>
      <c r="B3489" s="3" t="s">
        <v>102</v>
      </c>
      <c r="F3489">
        <v>5</v>
      </c>
      <c r="G3489" t="s">
        <v>8607</v>
      </c>
      <c r="H3489">
        <v>34</v>
      </c>
      <c r="I3489" t="s">
        <v>9303</v>
      </c>
      <c r="J3489" t="str">
        <f t="shared" si="54"/>
        <v>13F-HR-5.34.C8</v>
      </c>
      <c r="K3489" s="5" t="s">
        <v>8633</v>
      </c>
      <c r="L3489" t="s">
        <v>4735</v>
      </c>
      <c r="M3489" t="s">
        <v>8634</v>
      </c>
      <c r="N3489" t="s">
        <v>8635</v>
      </c>
      <c r="Q3489" s="28" t="s">
        <v>8632</v>
      </c>
    </row>
    <row r="3490" spans="1:17" x14ac:dyDescent="0.35">
      <c r="A3490" t="s">
        <v>8651</v>
      </c>
      <c r="B3490" s="3" t="s">
        <v>102</v>
      </c>
      <c r="F3490">
        <v>5</v>
      </c>
      <c r="G3490" t="s">
        <v>8607</v>
      </c>
      <c r="H3490">
        <v>35</v>
      </c>
      <c r="I3490" t="s">
        <v>9304</v>
      </c>
      <c r="J3490" t="str">
        <f t="shared" si="54"/>
        <v>135-HR-5.35.C9</v>
      </c>
      <c r="K3490" s="5" t="s">
        <v>8637</v>
      </c>
      <c r="L3490" t="s">
        <v>229</v>
      </c>
      <c r="M3490" t="s">
        <v>8638</v>
      </c>
      <c r="N3490" t="s">
        <v>8639</v>
      </c>
      <c r="Q3490" s="28" t="s">
        <v>8636</v>
      </c>
    </row>
    <row r="3491" spans="1:17" x14ac:dyDescent="0.35">
      <c r="A3491" t="s">
        <v>8520</v>
      </c>
      <c r="B3491" s="3" t="s">
        <v>102</v>
      </c>
      <c r="F3491">
        <v>5</v>
      </c>
      <c r="G3491" t="s">
        <v>8607</v>
      </c>
      <c r="H3491">
        <v>36</v>
      </c>
      <c r="I3491" t="s">
        <v>9305</v>
      </c>
      <c r="J3491" t="str">
        <f t="shared" si="54"/>
        <v>13F-HR-5.36.C10</v>
      </c>
      <c r="K3491" s="5" t="s">
        <v>8640</v>
      </c>
      <c r="L3491" t="s">
        <v>241</v>
      </c>
      <c r="M3491" t="s">
        <v>8641</v>
      </c>
      <c r="N3491" t="s">
        <v>8642</v>
      </c>
      <c r="Q3491" s="28">
        <v>197184</v>
      </c>
    </row>
    <row r="3492" spans="1:17" x14ac:dyDescent="0.35">
      <c r="A3492" t="s">
        <v>8520</v>
      </c>
      <c r="B3492" s="3" t="s">
        <v>102</v>
      </c>
      <c r="F3492">
        <v>5</v>
      </c>
      <c r="G3492" t="s">
        <v>8607</v>
      </c>
      <c r="H3492">
        <v>37</v>
      </c>
      <c r="I3492" t="s">
        <v>9306</v>
      </c>
      <c r="J3492" t="str">
        <f t="shared" si="54"/>
        <v>13F-HR-5.37.C11</v>
      </c>
      <c r="K3492" s="5" t="s">
        <v>8643</v>
      </c>
      <c r="L3492" t="s">
        <v>241</v>
      </c>
      <c r="M3492" t="s">
        <v>8644</v>
      </c>
      <c r="N3492" t="s">
        <v>8645</v>
      </c>
      <c r="Q3492" s="28">
        <v>0</v>
      </c>
    </row>
    <row r="3493" spans="1:17" x14ac:dyDescent="0.35">
      <c r="A3493" t="s">
        <v>8520</v>
      </c>
      <c r="B3493" s="3" t="s">
        <v>102</v>
      </c>
      <c r="F3493">
        <v>5</v>
      </c>
      <c r="G3493" t="s">
        <v>8607</v>
      </c>
      <c r="H3493">
        <v>38</v>
      </c>
      <c r="I3493" t="s">
        <v>9307</v>
      </c>
      <c r="J3493" t="str">
        <f t="shared" si="54"/>
        <v>13F-HR-5.38.C12</v>
      </c>
      <c r="K3493" s="5" t="s">
        <v>8646</v>
      </c>
      <c r="L3493" t="s">
        <v>241</v>
      </c>
      <c r="M3493" t="s">
        <v>8647</v>
      </c>
      <c r="N3493" t="s">
        <v>8648</v>
      </c>
      <c r="Q3493" s="28">
        <v>30679</v>
      </c>
    </row>
    <row r="3494" spans="1:17" x14ac:dyDescent="0.35">
      <c r="A3494" t="s">
        <v>8520</v>
      </c>
      <c r="B3494" s="3" t="s">
        <v>102</v>
      </c>
      <c r="F3494">
        <v>5</v>
      </c>
      <c r="G3494" t="s">
        <v>8607</v>
      </c>
      <c r="H3494">
        <v>27</v>
      </c>
      <c r="I3494" t="s">
        <v>9296</v>
      </c>
      <c r="J3494" t="str">
        <f t="shared" si="54"/>
        <v>13F-HR-5.27.C1</v>
      </c>
      <c r="K3494" s="5" t="s">
        <v>8608</v>
      </c>
      <c r="L3494" t="s">
        <v>229</v>
      </c>
      <c r="M3494" t="s">
        <v>8609</v>
      </c>
      <c r="N3494" t="s">
        <v>8610</v>
      </c>
      <c r="Q3494" s="28" t="s">
        <v>9101</v>
      </c>
    </row>
    <row r="3495" spans="1:17" x14ac:dyDescent="0.35">
      <c r="A3495" t="s">
        <v>8520</v>
      </c>
      <c r="B3495" s="3" t="s">
        <v>102</v>
      </c>
      <c r="F3495">
        <v>5</v>
      </c>
      <c r="G3495" t="s">
        <v>8607</v>
      </c>
      <c r="H3495">
        <v>28</v>
      </c>
      <c r="I3495" t="s">
        <v>9297</v>
      </c>
      <c r="J3495" t="str">
        <f t="shared" si="54"/>
        <v>13F-HR-5.28.C2</v>
      </c>
      <c r="K3495" s="5" t="s">
        <v>8612</v>
      </c>
      <c r="L3495" t="s">
        <v>229</v>
      </c>
      <c r="M3495" t="s">
        <v>8613</v>
      </c>
      <c r="N3495" t="s">
        <v>8614</v>
      </c>
      <c r="Q3495" s="28" t="s">
        <v>9095</v>
      </c>
    </row>
    <row r="3496" spans="1:17" x14ac:dyDescent="0.35">
      <c r="A3496" t="s">
        <v>8520</v>
      </c>
      <c r="B3496" s="3" t="s">
        <v>102</v>
      </c>
      <c r="F3496">
        <v>5</v>
      </c>
      <c r="G3496" t="s">
        <v>8607</v>
      </c>
      <c r="H3496">
        <v>29</v>
      </c>
      <c r="I3496" t="s">
        <v>9298</v>
      </c>
      <c r="J3496" t="str">
        <f t="shared" si="54"/>
        <v>13F-HR-5.29.C3</v>
      </c>
      <c r="K3496" s="5" t="s">
        <v>8616</v>
      </c>
      <c r="L3496" t="s">
        <v>229</v>
      </c>
      <c r="M3496" t="s">
        <v>7927</v>
      </c>
      <c r="N3496" t="s">
        <v>8617</v>
      </c>
      <c r="Q3496" s="28" t="s">
        <v>9102</v>
      </c>
    </row>
    <row r="3497" spans="1:17" x14ac:dyDescent="0.35">
      <c r="A3497" t="s">
        <v>8520</v>
      </c>
      <c r="B3497" s="3" t="s">
        <v>102</v>
      </c>
      <c r="F3497">
        <v>5</v>
      </c>
      <c r="G3497" t="s">
        <v>8607</v>
      </c>
      <c r="H3497">
        <v>30</v>
      </c>
      <c r="I3497" t="s">
        <v>9299</v>
      </c>
      <c r="J3497" t="str">
        <f t="shared" si="54"/>
        <v>13F-HR-5.30.C4</v>
      </c>
      <c r="K3497" s="5" t="s">
        <v>8618</v>
      </c>
      <c r="L3497" t="s">
        <v>8619</v>
      </c>
      <c r="M3497" t="s">
        <v>8620</v>
      </c>
      <c r="N3497" t="s">
        <v>8621</v>
      </c>
      <c r="Q3497" s="28">
        <v>20959133</v>
      </c>
    </row>
    <row r="3498" spans="1:17" x14ac:dyDescent="0.35">
      <c r="A3498" t="s">
        <v>8520</v>
      </c>
      <c r="B3498" s="3" t="s">
        <v>102</v>
      </c>
      <c r="F3498">
        <v>5</v>
      </c>
      <c r="G3498" t="s">
        <v>8607</v>
      </c>
      <c r="H3498">
        <v>31</v>
      </c>
      <c r="I3498" t="s">
        <v>9300</v>
      </c>
      <c r="J3498" t="str">
        <f t="shared" si="54"/>
        <v>13F-HR-5.31.C5</v>
      </c>
      <c r="K3498" s="5" t="s">
        <v>8622</v>
      </c>
      <c r="L3498" t="s">
        <v>241</v>
      </c>
      <c r="M3498" t="s">
        <v>8623</v>
      </c>
      <c r="N3498" t="s">
        <v>8624</v>
      </c>
      <c r="Q3498" s="28">
        <v>188770</v>
      </c>
    </row>
    <row r="3499" spans="1:17" x14ac:dyDescent="0.35">
      <c r="A3499" t="s">
        <v>8520</v>
      </c>
      <c r="B3499" s="3" t="s">
        <v>102</v>
      </c>
      <c r="F3499">
        <v>5</v>
      </c>
      <c r="G3499" t="s">
        <v>8607</v>
      </c>
      <c r="H3499">
        <v>32</v>
      </c>
      <c r="I3499" t="s">
        <v>9301</v>
      </c>
      <c r="J3499" t="str">
        <f t="shared" si="54"/>
        <v>13F-HR-5.32.C6</v>
      </c>
      <c r="K3499" s="5" t="s">
        <v>8625</v>
      </c>
      <c r="L3499" t="s">
        <v>229</v>
      </c>
      <c r="M3499" t="s">
        <v>8626</v>
      </c>
      <c r="N3499" t="s">
        <v>8627</v>
      </c>
      <c r="Q3499" s="28" t="s">
        <v>8628</v>
      </c>
    </row>
    <row r="3500" spans="1:17" x14ac:dyDescent="0.35">
      <c r="A3500" t="s">
        <v>8520</v>
      </c>
      <c r="B3500" s="3" t="s">
        <v>102</v>
      </c>
      <c r="F3500">
        <v>5</v>
      </c>
      <c r="G3500" t="s">
        <v>8607</v>
      </c>
      <c r="H3500">
        <v>33</v>
      </c>
      <c r="I3500" t="s">
        <v>9302</v>
      </c>
      <c r="J3500" t="str">
        <f t="shared" si="54"/>
        <v>13F-HR-5.33.C7</v>
      </c>
      <c r="K3500" s="5" t="s">
        <v>8629</v>
      </c>
      <c r="L3500" t="s">
        <v>229</v>
      </c>
      <c r="M3500" t="s">
        <v>8630</v>
      </c>
      <c r="N3500" t="s">
        <v>8631</v>
      </c>
      <c r="Q3500" s="28" t="s">
        <v>8685</v>
      </c>
    </row>
    <row r="3501" spans="1:17" x14ac:dyDescent="0.35">
      <c r="A3501" t="s">
        <v>8520</v>
      </c>
      <c r="B3501" s="3" t="s">
        <v>102</v>
      </c>
      <c r="F3501">
        <v>5</v>
      </c>
      <c r="G3501" t="s">
        <v>8607</v>
      </c>
      <c r="H3501">
        <v>34</v>
      </c>
      <c r="I3501" t="s">
        <v>9303</v>
      </c>
      <c r="J3501" t="str">
        <f t="shared" si="54"/>
        <v>13F-HR-5.34.C8</v>
      </c>
      <c r="K3501" s="5" t="s">
        <v>8633</v>
      </c>
      <c r="L3501" t="s">
        <v>4735</v>
      </c>
      <c r="M3501" t="s">
        <v>8634</v>
      </c>
      <c r="N3501" t="s">
        <v>8635</v>
      </c>
      <c r="Q3501" s="28" t="s">
        <v>8632</v>
      </c>
    </row>
    <row r="3502" spans="1:17" x14ac:dyDescent="0.35">
      <c r="A3502" t="s">
        <v>8651</v>
      </c>
      <c r="B3502" s="3" t="s">
        <v>102</v>
      </c>
      <c r="F3502">
        <v>5</v>
      </c>
      <c r="G3502" t="s">
        <v>8607</v>
      </c>
      <c r="H3502">
        <v>35</v>
      </c>
      <c r="I3502" t="s">
        <v>9304</v>
      </c>
      <c r="J3502" t="str">
        <f t="shared" si="54"/>
        <v>135-HR-5.35.C9</v>
      </c>
      <c r="K3502" s="5" t="s">
        <v>8637</v>
      </c>
      <c r="L3502" t="s">
        <v>229</v>
      </c>
      <c r="M3502" t="s">
        <v>8638</v>
      </c>
      <c r="N3502" t="s">
        <v>8639</v>
      </c>
      <c r="Q3502" s="28" t="s">
        <v>8636</v>
      </c>
    </row>
    <row r="3503" spans="1:17" x14ac:dyDescent="0.35">
      <c r="A3503" t="s">
        <v>8520</v>
      </c>
      <c r="B3503" s="3" t="s">
        <v>102</v>
      </c>
      <c r="F3503">
        <v>5</v>
      </c>
      <c r="G3503" t="s">
        <v>8607</v>
      </c>
      <c r="H3503">
        <v>36</v>
      </c>
      <c r="I3503" t="s">
        <v>9305</v>
      </c>
      <c r="J3503" t="str">
        <f t="shared" si="54"/>
        <v>13F-HR-5.36.C10</v>
      </c>
      <c r="K3503" s="5" t="s">
        <v>8640</v>
      </c>
      <c r="L3503" t="s">
        <v>241</v>
      </c>
      <c r="M3503" t="s">
        <v>8641</v>
      </c>
      <c r="N3503" t="s">
        <v>8642</v>
      </c>
      <c r="Q3503" s="28">
        <v>188270</v>
      </c>
    </row>
    <row r="3504" spans="1:17" x14ac:dyDescent="0.35">
      <c r="A3504" t="s">
        <v>8520</v>
      </c>
      <c r="B3504" s="3" t="s">
        <v>102</v>
      </c>
      <c r="F3504">
        <v>5</v>
      </c>
      <c r="G3504" t="s">
        <v>8607</v>
      </c>
      <c r="H3504">
        <v>37</v>
      </c>
      <c r="I3504" t="s">
        <v>9306</v>
      </c>
      <c r="J3504" t="str">
        <f t="shared" si="54"/>
        <v>13F-HR-5.37.C11</v>
      </c>
      <c r="K3504" s="5" t="s">
        <v>8643</v>
      </c>
      <c r="L3504" t="s">
        <v>241</v>
      </c>
      <c r="M3504" t="s">
        <v>8644</v>
      </c>
      <c r="N3504" t="s">
        <v>8645</v>
      </c>
      <c r="Q3504" s="28">
        <v>0</v>
      </c>
    </row>
    <row r="3505" spans="1:17" x14ac:dyDescent="0.35">
      <c r="A3505" t="s">
        <v>8520</v>
      </c>
      <c r="B3505" s="3" t="s">
        <v>102</v>
      </c>
      <c r="F3505">
        <v>5</v>
      </c>
      <c r="G3505" t="s">
        <v>8607</v>
      </c>
      <c r="H3505">
        <v>38</v>
      </c>
      <c r="I3505" t="s">
        <v>9307</v>
      </c>
      <c r="J3505" t="str">
        <f t="shared" si="54"/>
        <v>13F-HR-5.38.C12</v>
      </c>
      <c r="K3505" s="5" t="s">
        <v>8646</v>
      </c>
      <c r="L3505" t="s">
        <v>241</v>
      </c>
      <c r="M3505" t="s">
        <v>8647</v>
      </c>
      <c r="N3505" t="s">
        <v>8648</v>
      </c>
      <c r="Q3505" s="28">
        <v>500</v>
      </c>
    </row>
    <row r="3506" spans="1:17" x14ac:dyDescent="0.35">
      <c r="A3506" t="s">
        <v>8520</v>
      </c>
      <c r="B3506" s="3" t="s">
        <v>102</v>
      </c>
      <c r="F3506">
        <v>5</v>
      </c>
      <c r="G3506" t="s">
        <v>8607</v>
      </c>
      <c r="H3506">
        <v>27</v>
      </c>
      <c r="I3506" t="s">
        <v>9296</v>
      </c>
      <c r="J3506" t="str">
        <f t="shared" si="54"/>
        <v>13F-HR-5.27.C1</v>
      </c>
      <c r="K3506" s="5" t="s">
        <v>8608</v>
      </c>
      <c r="L3506" t="s">
        <v>229</v>
      </c>
      <c r="M3506" t="s">
        <v>8609</v>
      </c>
      <c r="N3506" t="s">
        <v>8610</v>
      </c>
      <c r="Q3506" s="28" t="s">
        <v>9103</v>
      </c>
    </row>
    <row r="3507" spans="1:17" x14ac:dyDescent="0.35">
      <c r="A3507" t="s">
        <v>8520</v>
      </c>
      <c r="B3507" s="3" t="s">
        <v>102</v>
      </c>
      <c r="F3507">
        <v>5</v>
      </c>
      <c r="G3507" t="s">
        <v>8607</v>
      </c>
      <c r="H3507">
        <v>28</v>
      </c>
      <c r="I3507" t="s">
        <v>9297</v>
      </c>
      <c r="J3507" t="str">
        <f t="shared" si="54"/>
        <v>13F-HR-5.28.C2</v>
      </c>
      <c r="K3507" s="5" t="s">
        <v>8612</v>
      </c>
      <c r="L3507" t="s">
        <v>229</v>
      </c>
      <c r="M3507" t="s">
        <v>8613</v>
      </c>
      <c r="N3507" t="s">
        <v>8614</v>
      </c>
      <c r="Q3507" s="28" t="s">
        <v>9095</v>
      </c>
    </row>
    <row r="3508" spans="1:17" x14ac:dyDescent="0.35">
      <c r="A3508" t="s">
        <v>8520</v>
      </c>
      <c r="B3508" s="3" t="s">
        <v>102</v>
      </c>
      <c r="F3508">
        <v>5</v>
      </c>
      <c r="G3508" t="s">
        <v>8607</v>
      </c>
      <c r="H3508">
        <v>29</v>
      </c>
      <c r="I3508" t="s">
        <v>9298</v>
      </c>
      <c r="J3508" t="str">
        <f t="shared" si="54"/>
        <v>13F-HR-5.29.C3</v>
      </c>
      <c r="K3508" s="5" t="s">
        <v>8616</v>
      </c>
      <c r="L3508" t="s">
        <v>229</v>
      </c>
      <c r="M3508" t="s">
        <v>7927</v>
      </c>
      <c r="N3508" t="s">
        <v>8617</v>
      </c>
      <c r="Q3508" s="28" t="s">
        <v>9104</v>
      </c>
    </row>
    <row r="3509" spans="1:17" x14ac:dyDescent="0.35">
      <c r="A3509" t="s">
        <v>8520</v>
      </c>
      <c r="B3509" s="3" t="s">
        <v>102</v>
      </c>
      <c r="F3509">
        <v>5</v>
      </c>
      <c r="G3509" t="s">
        <v>8607</v>
      </c>
      <c r="H3509">
        <v>30</v>
      </c>
      <c r="I3509" t="s">
        <v>9299</v>
      </c>
      <c r="J3509" t="str">
        <f t="shared" si="54"/>
        <v>13F-HR-5.30.C4</v>
      </c>
      <c r="K3509" s="5" t="s">
        <v>8618</v>
      </c>
      <c r="L3509" t="s">
        <v>8619</v>
      </c>
      <c r="M3509" t="s">
        <v>8620</v>
      </c>
      <c r="N3509" t="s">
        <v>8621</v>
      </c>
      <c r="Q3509" s="28">
        <v>16262563</v>
      </c>
    </row>
    <row r="3510" spans="1:17" x14ac:dyDescent="0.35">
      <c r="A3510" t="s">
        <v>8520</v>
      </c>
      <c r="B3510" s="3" t="s">
        <v>102</v>
      </c>
      <c r="F3510">
        <v>5</v>
      </c>
      <c r="G3510" t="s">
        <v>8607</v>
      </c>
      <c r="H3510">
        <v>31</v>
      </c>
      <c r="I3510" t="s">
        <v>9300</v>
      </c>
      <c r="J3510" t="str">
        <f t="shared" si="54"/>
        <v>13F-HR-5.31.C5</v>
      </c>
      <c r="K3510" s="5" t="s">
        <v>8622</v>
      </c>
      <c r="L3510" t="s">
        <v>241</v>
      </c>
      <c r="M3510" t="s">
        <v>8623</v>
      </c>
      <c r="N3510" t="s">
        <v>8624</v>
      </c>
      <c r="Q3510" s="28">
        <v>322798</v>
      </c>
    </row>
    <row r="3511" spans="1:17" x14ac:dyDescent="0.35">
      <c r="A3511" t="s">
        <v>8520</v>
      </c>
      <c r="B3511" s="3" t="s">
        <v>102</v>
      </c>
      <c r="F3511">
        <v>5</v>
      </c>
      <c r="G3511" t="s">
        <v>8607</v>
      </c>
      <c r="H3511">
        <v>32</v>
      </c>
      <c r="I3511" t="s">
        <v>9301</v>
      </c>
      <c r="J3511" t="str">
        <f t="shared" si="54"/>
        <v>13F-HR-5.32.C6</v>
      </c>
      <c r="K3511" s="5" t="s">
        <v>8625</v>
      </c>
      <c r="L3511" t="s">
        <v>229</v>
      </c>
      <c r="M3511" t="s">
        <v>8626</v>
      </c>
      <c r="N3511" t="s">
        <v>8627</v>
      </c>
      <c r="Q3511" s="28" t="s">
        <v>8628</v>
      </c>
    </row>
    <row r="3512" spans="1:17" x14ac:dyDescent="0.35">
      <c r="A3512" t="s">
        <v>8520</v>
      </c>
      <c r="B3512" s="3" t="s">
        <v>102</v>
      </c>
      <c r="F3512">
        <v>5</v>
      </c>
      <c r="G3512" t="s">
        <v>8607</v>
      </c>
      <c r="H3512">
        <v>33</v>
      </c>
      <c r="I3512" t="s">
        <v>9302</v>
      </c>
      <c r="J3512" t="str">
        <f t="shared" si="54"/>
        <v>13F-HR-5.33.C7</v>
      </c>
      <c r="K3512" s="5" t="s">
        <v>8629</v>
      </c>
      <c r="L3512" t="s">
        <v>229</v>
      </c>
      <c r="M3512" t="s">
        <v>8630</v>
      </c>
      <c r="N3512" t="s">
        <v>8631</v>
      </c>
      <c r="Q3512" s="28" t="s">
        <v>8685</v>
      </c>
    </row>
    <row r="3513" spans="1:17" x14ac:dyDescent="0.35">
      <c r="A3513" t="s">
        <v>8520</v>
      </c>
      <c r="B3513" s="3" t="s">
        <v>102</v>
      </c>
      <c r="F3513">
        <v>5</v>
      </c>
      <c r="G3513" t="s">
        <v>8607</v>
      </c>
      <c r="H3513">
        <v>34</v>
      </c>
      <c r="I3513" t="s">
        <v>9303</v>
      </c>
      <c r="J3513" t="str">
        <f t="shared" si="54"/>
        <v>13F-HR-5.34.C8</v>
      </c>
      <c r="K3513" s="5" t="s">
        <v>8633</v>
      </c>
      <c r="L3513" t="s">
        <v>4735</v>
      </c>
      <c r="M3513" t="s">
        <v>8634</v>
      </c>
      <c r="N3513" t="s">
        <v>8635</v>
      </c>
      <c r="Q3513" s="28" t="s">
        <v>8632</v>
      </c>
    </row>
    <row r="3514" spans="1:17" x14ac:dyDescent="0.35">
      <c r="A3514" t="s">
        <v>8651</v>
      </c>
      <c r="B3514" s="3" t="s">
        <v>102</v>
      </c>
      <c r="F3514">
        <v>5</v>
      </c>
      <c r="G3514" t="s">
        <v>8607</v>
      </c>
      <c r="H3514">
        <v>35</v>
      </c>
      <c r="I3514" t="s">
        <v>9304</v>
      </c>
      <c r="J3514" t="str">
        <f t="shared" si="54"/>
        <v>135-HR-5.35.C9</v>
      </c>
      <c r="K3514" s="5" t="s">
        <v>8637</v>
      </c>
      <c r="L3514" t="s">
        <v>229</v>
      </c>
      <c r="M3514" t="s">
        <v>8638</v>
      </c>
      <c r="N3514" t="s">
        <v>8639</v>
      </c>
      <c r="Q3514" s="28" t="s">
        <v>8636</v>
      </c>
    </row>
    <row r="3515" spans="1:17" x14ac:dyDescent="0.35">
      <c r="A3515" t="s">
        <v>8520</v>
      </c>
      <c r="B3515" s="3" t="s">
        <v>102</v>
      </c>
      <c r="F3515">
        <v>5</v>
      </c>
      <c r="G3515" t="s">
        <v>8607</v>
      </c>
      <c r="H3515">
        <v>36</v>
      </c>
      <c r="I3515" t="s">
        <v>9305</v>
      </c>
      <c r="J3515" t="str">
        <f t="shared" si="54"/>
        <v>13F-HR-5.36.C10</v>
      </c>
      <c r="K3515" s="5" t="s">
        <v>8640</v>
      </c>
      <c r="L3515" t="s">
        <v>241</v>
      </c>
      <c r="M3515" t="s">
        <v>8641</v>
      </c>
      <c r="N3515" t="s">
        <v>8642</v>
      </c>
      <c r="Q3515" s="28">
        <v>322798</v>
      </c>
    </row>
    <row r="3516" spans="1:17" x14ac:dyDescent="0.35">
      <c r="A3516" t="s">
        <v>8520</v>
      </c>
      <c r="B3516" s="3" t="s">
        <v>102</v>
      </c>
      <c r="F3516">
        <v>5</v>
      </c>
      <c r="G3516" t="s">
        <v>8607</v>
      </c>
      <c r="H3516">
        <v>37</v>
      </c>
      <c r="I3516" t="s">
        <v>9306</v>
      </c>
      <c r="J3516" t="str">
        <f t="shared" si="54"/>
        <v>13F-HR-5.37.C11</v>
      </c>
      <c r="K3516" s="5" t="s">
        <v>8643</v>
      </c>
      <c r="L3516" t="s">
        <v>241</v>
      </c>
      <c r="M3516" t="s">
        <v>8644</v>
      </c>
      <c r="N3516" t="s">
        <v>8645</v>
      </c>
      <c r="Q3516" s="28">
        <v>0</v>
      </c>
    </row>
    <row r="3517" spans="1:17" x14ac:dyDescent="0.35">
      <c r="A3517" t="s">
        <v>8520</v>
      </c>
      <c r="B3517" s="3" t="s">
        <v>102</v>
      </c>
      <c r="F3517">
        <v>5</v>
      </c>
      <c r="G3517" t="s">
        <v>8607</v>
      </c>
      <c r="H3517">
        <v>38</v>
      </c>
      <c r="I3517" t="s">
        <v>9307</v>
      </c>
      <c r="J3517" t="str">
        <f t="shared" si="54"/>
        <v>13F-HR-5.38.C12</v>
      </c>
      <c r="K3517" s="5" t="s">
        <v>8646</v>
      </c>
      <c r="L3517" t="s">
        <v>241</v>
      </c>
      <c r="M3517" t="s">
        <v>8647</v>
      </c>
      <c r="N3517" t="s">
        <v>8648</v>
      </c>
      <c r="Q3517" s="28">
        <v>0</v>
      </c>
    </row>
    <row r="3518" spans="1:17" x14ac:dyDescent="0.35">
      <c r="A3518" t="s">
        <v>8520</v>
      </c>
      <c r="B3518" s="3" t="s">
        <v>102</v>
      </c>
      <c r="F3518">
        <v>5</v>
      </c>
      <c r="G3518" t="s">
        <v>8607</v>
      </c>
      <c r="H3518">
        <v>27</v>
      </c>
      <c r="I3518" t="s">
        <v>9296</v>
      </c>
      <c r="J3518" t="str">
        <f t="shared" si="54"/>
        <v>13F-HR-5.27.C1</v>
      </c>
      <c r="K3518" s="5" t="s">
        <v>8608</v>
      </c>
      <c r="L3518" t="s">
        <v>229</v>
      </c>
      <c r="M3518" t="s">
        <v>8609</v>
      </c>
      <c r="N3518" t="s">
        <v>8610</v>
      </c>
      <c r="Q3518" s="28" t="s">
        <v>9105</v>
      </c>
    </row>
    <row r="3519" spans="1:17" x14ac:dyDescent="0.35">
      <c r="A3519" t="s">
        <v>8520</v>
      </c>
      <c r="B3519" s="3" t="s">
        <v>102</v>
      </c>
      <c r="F3519">
        <v>5</v>
      </c>
      <c r="G3519" t="s">
        <v>8607</v>
      </c>
      <c r="H3519">
        <v>28</v>
      </c>
      <c r="I3519" t="s">
        <v>9297</v>
      </c>
      <c r="J3519" t="str">
        <f t="shared" si="54"/>
        <v>13F-HR-5.28.C2</v>
      </c>
      <c r="K3519" s="5" t="s">
        <v>8612</v>
      </c>
      <c r="L3519" t="s">
        <v>229</v>
      </c>
      <c r="M3519" t="s">
        <v>8613</v>
      </c>
      <c r="N3519" t="s">
        <v>8614</v>
      </c>
      <c r="Q3519" s="28" t="s">
        <v>9095</v>
      </c>
    </row>
    <row r="3520" spans="1:17" x14ac:dyDescent="0.35">
      <c r="A3520" t="s">
        <v>8520</v>
      </c>
      <c r="B3520" s="3" t="s">
        <v>102</v>
      </c>
      <c r="F3520">
        <v>5</v>
      </c>
      <c r="G3520" t="s">
        <v>8607</v>
      </c>
      <c r="H3520">
        <v>29</v>
      </c>
      <c r="I3520" t="s">
        <v>9298</v>
      </c>
      <c r="J3520" t="str">
        <f t="shared" si="54"/>
        <v>13F-HR-5.29.C3</v>
      </c>
      <c r="K3520" s="5" t="s">
        <v>8616</v>
      </c>
      <c r="L3520" t="s">
        <v>229</v>
      </c>
      <c r="M3520" t="s">
        <v>7927</v>
      </c>
      <c r="N3520" t="s">
        <v>8617</v>
      </c>
      <c r="Q3520" s="28" t="s">
        <v>9106</v>
      </c>
    </row>
    <row r="3521" spans="1:17" x14ac:dyDescent="0.35">
      <c r="A3521" t="s">
        <v>8520</v>
      </c>
      <c r="B3521" s="3" t="s">
        <v>102</v>
      </c>
      <c r="F3521">
        <v>5</v>
      </c>
      <c r="G3521" t="s">
        <v>8607</v>
      </c>
      <c r="H3521">
        <v>30</v>
      </c>
      <c r="I3521" t="s">
        <v>9299</v>
      </c>
      <c r="J3521" t="str">
        <f t="shared" si="54"/>
        <v>13F-HR-5.30.C4</v>
      </c>
      <c r="K3521" s="5" t="s">
        <v>8618</v>
      </c>
      <c r="L3521" t="s">
        <v>8619</v>
      </c>
      <c r="M3521" t="s">
        <v>8620</v>
      </c>
      <c r="N3521" t="s">
        <v>8621</v>
      </c>
      <c r="Q3521" s="28">
        <v>2924015</v>
      </c>
    </row>
    <row r="3522" spans="1:17" x14ac:dyDescent="0.35">
      <c r="A3522" t="s">
        <v>8520</v>
      </c>
      <c r="B3522" s="3" t="s">
        <v>102</v>
      </c>
      <c r="F3522">
        <v>5</v>
      </c>
      <c r="G3522" t="s">
        <v>8607</v>
      </c>
      <c r="H3522">
        <v>31</v>
      </c>
      <c r="I3522" t="s">
        <v>9300</v>
      </c>
      <c r="J3522" t="str">
        <f t="shared" si="54"/>
        <v>13F-HR-5.31.C5</v>
      </c>
      <c r="K3522" s="5" t="s">
        <v>8622</v>
      </c>
      <c r="L3522" t="s">
        <v>241</v>
      </c>
      <c r="M3522" t="s">
        <v>8623</v>
      </c>
      <c r="N3522" t="s">
        <v>8624</v>
      </c>
      <c r="Q3522" s="28">
        <v>36500</v>
      </c>
    </row>
    <row r="3523" spans="1:17" x14ac:dyDescent="0.35">
      <c r="A3523" t="s">
        <v>8520</v>
      </c>
      <c r="B3523" s="3" t="s">
        <v>102</v>
      </c>
      <c r="F3523">
        <v>5</v>
      </c>
      <c r="G3523" t="s">
        <v>8607</v>
      </c>
      <c r="H3523">
        <v>32</v>
      </c>
      <c r="I3523" t="s">
        <v>9301</v>
      </c>
      <c r="J3523" t="str">
        <f t="shared" ref="J3523:J3586" si="55">_xlfn.CONCAT(A3523,"-",F3523,".",H3523,".",I3523)</f>
        <v>13F-HR-5.32.C6</v>
      </c>
      <c r="K3523" s="5" t="s">
        <v>8625</v>
      </c>
      <c r="L3523" t="s">
        <v>229</v>
      </c>
      <c r="M3523" t="s">
        <v>8626</v>
      </c>
      <c r="N3523" t="s">
        <v>8627</v>
      </c>
      <c r="Q3523" s="28" t="s">
        <v>8628</v>
      </c>
    </row>
    <row r="3524" spans="1:17" x14ac:dyDescent="0.35">
      <c r="A3524" t="s">
        <v>8520</v>
      </c>
      <c r="B3524" s="3" t="s">
        <v>102</v>
      </c>
      <c r="F3524">
        <v>5</v>
      </c>
      <c r="G3524" t="s">
        <v>8607</v>
      </c>
      <c r="H3524">
        <v>33</v>
      </c>
      <c r="I3524" t="s">
        <v>9302</v>
      </c>
      <c r="J3524" t="str">
        <f t="shared" si="55"/>
        <v>13F-HR-5.33.C7</v>
      </c>
      <c r="K3524" s="5" t="s">
        <v>8629</v>
      </c>
      <c r="L3524" t="s">
        <v>229</v>
      </c>
      <c r="M3524" t="s">
        <v>8630</v>
      </c>
      <c r="N3524" t="s">
        <v>8631</v>
      </c>
      <c r="Q3524" s="28" t="s">
        <v>8685</v>
      </c>
    </row>
    <row r="3525" spans="1:17" x14ac:dyDescent="0.35">
      <c r="A3525" t="s">
        <v>8520</v>
      </c>
      <c r="B3525" s="3" t="s">
        <v>102</v>
      </c>
      <c r="F3525">
        <v>5</v>
      </c>
      <c r="G3525" t="s">
        <v>8607</v>
      </c>
      <c r="H3525">
        <v>34</v>
      </c>
      <c r="I3525" t="s">
        <v>9303</v>
      </c>
      <c r="J3525" t="str">
        <f t="shared" si="55"/>
        <v>13F-HR-5.34.C8</v>
      </c>
      <c r="K3525" s="5" t="s">
        <v>8633</v>
      </c>
      <c r="L3525" t="s">
        <v>4735</v>
      </c>
      <c r="M3525" t="s">
        <v>8634</v>
      </c>
      <c r="N3525" t="s">
        <v>8635</v>
      </c>
      <c r="Q3525" s="28" t="s">
        <v>8632</v>
      </c>
    </row>
    <row r="3526" spans="1:17" x14ac:dyDescent="0.35">
      <c r="A3526" t="s">
        <v>8651</v>
      </c>
      <c r="B3526" s="3" t="s">
        <v>102</v>
      </c>
      <c r="F3526">
        <v>5</v>
      </c>
      <c r="G3526" t="s">
        <v>8607</v>
      </c>
      <c r="H3526">
        <v>35</v>
      </c>
      <c r="I3526" t="s">
        <v>9304</v>
      </c>
      <c r="J3526" t="str">
        <f t="shared" si="55"/>
        <v>135-HR-5.35.C9</v>
      </c>
      <c r="K3526" s="5" t="s">
        <v>8637</v>
      </c>
      <c r="L3526" t="s">
        <v>229</v>
      </c>
      <c r="M3526" t="s">
        <v>8638</v>
      </c>
      <c r="N3526" t="s">
        <v>8639</v>
      </c>
      <c r="Q3526" s="28" t="s">
        <v>8636</v>
      </c>
    </row>
    <row r="3527" spans="1:17" x14ac:dyDescent="0.35">
      <c r="A3527" t="s">
        <v>8520</v>
      </c>
      <c r="B3527" s="3" t="s">
        <v>102</v>
      </c>
      <c r="F3527">
        <v>5</v>
      </c>
      <c r="G3527" t="s">
        <v>8607</v>
      </c>
      <c r="H3527">
        <v>36</v>
      </c>
      <c r="I3527" t="s">
        <v>9305</v>
      </c>
      <c r="J3527" t="str">
        <f t="shared" si="55"/>
        <v>13F-HR-5.36.C10</v>
      </c>
      <c r="K3527" s="5" t="s">
        <v>8640</v>
      </c>
      <c r="L3527" t="s">
        <v>241</v>
      </c>
      <c r="M3527" t="s">
        <v>8641</v>
      </c>
      <c r="N3527" t="s">
        <v>8642</v>
      </c>
      <c r="Q3527" s="28">
        <v>0</v>
      </c>
    </row>
    <row r="3528" spans="1:17" x14ac:dyDescent="0.35">
      <c r="A3528" t="s">
        <v>8520</v>
      </c>
      <c r="B3528" s="3" t="s">
        <v>102</v>
      </c>
      <c r="F3528">
        <v>5</v>
      </c>
      <c r="G3528" t="s">
        <v>8607</v>
      </c>
      <c r="H3528">
        <v>37</v>
      </c>
      <c r="I3528" t="s">
        <v>9306</v>
      </c>
      <c r="J3528" t="str">
        <f t="shared" si="55"/>
        <v>13F-HR-5.37.C11</v>
      </c>
      <c r="K3528" s="5" t="s">
        <v>8643</v>
      </c>
      <c r="L3528" t="s">
        <v>241</v>
      </c>
      <c r="M3528" t="s">
        <v>8644</v>
      </c>
      <c r="N3528" t="s">
        <v>8645</v>
      </c>
      <c r="Q3528" s="28">
        <v>0</v>
      </c>
    </row>
    <row r="3529" spans="1:17" x14ac:dyDescent="0.35">
      <c r="A3529" t="s">
        <v>8520</v>
      </c>
      <c r="B3529" s="3" t="s">
        <v>102</v>
      </c>
      <c r="F3529">
        <v>5</v>
      </c>
      <c r="G3529" t="s">
        <v>8607</v>
      </c>
      <c r="H3529">
        <v>38</v>
      </c>
      <c r="I3529" t="s">
        <v>9307</v>
      </c>
      <c r="J3529" t="str">
        <f t="shared" si="55"/>
        <v>13F-HR-5.38.C12</v>
      </c>
      <c r="K3529" s="5" t="s">
        <v>8646</v>
      </c>
      <c r="L3529" t="s">
        <v>241</v>
      </c>
      <c r="M3529" t="s">
        <v>8647</v>
      </c>
      <c r="N3529" t="s">
        <v>8648</v>
      </c>
      <c r="Q3529" s="28">
        <v>36500</v>
      </c>
    </row>
    <row r="3530" spans="1:17" x14ac:dyDescent="0.35">
      <c r="A3530" t="s">
        <v>8520</v>
      </c>
      <c r="B3530" s="3" t="s">
        <v>102</v>
      </c>
      <c r="F3530">
        <v>5</v>
      </c>
      <c r="G3530" t="s">
        <v>8607</v>
      </c>
      <c r="H3530">
        <v>27</v>
      </c>
      <c r="I3530" t="s">
        <v>9296</v>
      </c>
      <c r="J3530" t="str">
        <f t="shared" si="55"/>
        <v>13F-HR-5.27.C1</v>
      </c>
      <c r="K3530" s="5" t="s">
        <v>8608</v>
      </c>
      <c r="L3530" t="s">
        <v>229</v>
      </c>
      <c r="M3530" t="s">
        <v>8609</v>
      </c>
      <c r="N3530" t="s">
        <v>8610</v>
      </c>
      <c r="Q3530" s="28" t="s">
        <v>9107</v>
      </c>
    </row>
    <row r="3531" spans="1:17" x14ac:dyDescent="0.35">
      <c r="A3531" t="s">
        <v>8520</v>
      </c>
      <c r="B3531" s="3" t="s">
        <v>102</v>
      </c>
      <c r="F3531">
        <v>5</v>
      </c>
      <c r="G3531" t="s">
        <v>8607</v>
      </c>
      <c r="H3531">
        <v>28</v>
      </c>
      <c r="I3531" t="s">
        <v>9297</v>
      </c>
      <c r="J3531" t="str">
        <f t="shared" si="55"/>
        <v>13F-HR-5.28.C2</v>
      </c>
      <c r="K3531" s="5" t="s">
        <v>8612</v>
      </c>
      <c r="L3531" t="s">
        <v>229</v>
      </c>
      <c r="M3531" t="s">
        <v>8613</v>
      </c>
      <c r="N3531" t="s">
        <v>8614</v>
      </c>
      <c r="Q3531" s="28" t="s">
        <v>9095</v>
      </c>
    </row>
    <row r="3532" spans="1:17" x14ac:dyDescent="0.35">
      <c r="A3532" t="s">
        <v>8520</v>
      </c>
      <c r="B3532" s="3" t="s">
        <v>102</v>
      </c>
      <c r="F3532">
        <v>5</v>
      </c>
      <c r="G3532" t="s">
        <v>8607</v>
      </c>
      <c r="H3532">
        <v>29</v>
      </c>
      <c r="I3532" t="s">
        <v>9298</v>
      </c>
      <c r="J3532" t="str">
        <f t="shared" si="55"/>
        <v>13F-HR-5.29.C3</v>
      </c>
      <c r="K3532" s="5" t="s">
        <v>8616</v>
      </c>
      <c r="L3532" t="s">
        <v>229</v>
      </c>
      <c r="M3532" t="s">
        <v>7927</v>
      </c>
      <c r="N3532" t="s">
        <v>8617</v>
      </c>
      <c r="Q3532" s="28" t="s">
        <v>9108</v>
      </c>
    </row>
    <row r="3533" spans="1:17" x14ac:dyDescent="0.35">
      <c r="A3533" t="s">
        <v>8520</v>
      </c>
      <c r="B3533" s="3" t="s">
        <v>102</v>
      </c>
      <c r="F3533">
        <v>5</v>
      </c>
      <c r="G3533" t="s">
        <v>8607</v>
      </c>
      <c r="H3533">
        <v>30</v>
      </c>
      <c r="I3533" t="s">
        <v>9299</v>
      </c>
      <c r="J3533" t="str">
        <f t="shared" si="55"/>
        <v>13F-HR-5.30.C4</v>
      </c>
      <c r="K3533" s="5" t="s">
        <v>8618</v>
      </c>
      <c r="L3533" t="s">
        <v>8619</v>
      </c>
      <c r="M3533" t="s">
        <v>8620</v>
      </c>
      <c r="N3533" t="s">
        <v>8621</v>
      </c>
      <c r="Q3533" s="28">
        <v>61977615</v>
      </c>
    </row>
    <row r="3534" spans="1:17" x14ac:dyDescent="0.35">
      <c r="A3534" t="s">
        <v>8520</v>
      </c>
      <c r="B3534" s="3" t="s">
        <v>102</v>
      </c>
      <c r="F3534">
        <v>5</v>
      </c>
      <c r="G3534" t="s">
        <v>8607</v>
      </c>
      <c r="H3534">
        <v>31</v>
      </c>
      <c r="I3534" t="s">
        <v>9300</v>
      </c>
      <c r="J3534" t="str">
        <f t="shared" si="55"/>
        <v>13F-HR-5.31.C5</v>
      </c>
      <c r="K3534" s="5" t="s">
        <v>8622</v>
      </c>
      <c r="L3534" t="s">
        <v>241</v>
      </c>
      <c r="M3534" t="s">
        <v>8623</v>
      </c>
      <c r="N3534" t="s">
        <v>8624</v>
      </c>
      <c r="Q3534" s="28">
        <v>133102</v>
      </c>
    </row>
    <row r="3535" spans="1:17" x14ac:dyDescent="0.35">
      <c r="A3535" t="s">
        <v>8520</v>
      </c>
      <c r="B3535" s="3" t="s">
        <v>102</v>
      </c>
      <c r="F3535">
        <v>5</v>
      </c>
      <c r="G3535" t="s">
        <v>8607</v>
      </c>
      <c r="H3535">
        <v>32</v>
      </c>
      <c r="I3535" t="s">
        <v>9301</v>
      </c>
      <c r="J3535" t="str">
        <f t="shared" si="55"/>
        <v>13F-HR-5.32.C6</v>
      </c>
      <c r="K3535" s="5" t="s">
        <v>8625</v>
      </c>
      <c r="L3535" t="s">
        <v>229</v>
      </c>
      <c r="M3535" t="s">
        <v>8626</v>
      </c>
      <c r="N3535" t="s">
        <v>8627</v>
      </c>
      <c r="Q3535" s="28" t="s">
        <v>8628</v>
      </c>
    </row>
    <row r="3536" spans="1:17" x14ac:dyDescent="0.35">
      <c r="A3536" t="s">
        <v>8520</v>
      </c>
      <c r="B3536" s="3" t="s">
        <v>102</v>
      </c>
      <c r="F3536">
        <v>5</v>
      </c>
      <c r="G3536" t="s">
        <v>8607</v>
      </c>
      <c r="H3536">
        <v>33</v>
      </c>
      <c r="I3536" t="s">
        <v>9302</v>
      </c>
      <c r="J3536" t="str">
        <f t="shared" si="55"/>
        <v>13F-HR-5.33.C7</v>
      </c>
      <c r="K3536" s="5" t="s">
        <v>8629</v>
      </c>
      <c r="L3536" t="s">
        <v>229</v>
      </c>
      <c r="M3536" t="s">
        <v>8630</v>
      </c>
      <c r="N3536" t="s">
        <v>8631</v>
      </c>
      <c r="Q3536" s="28" t="s">
        <v>8685</v>
      </c>
    </row>
    <row r="3537" spans="1:17" x14ac:dyDescent="0.35">
      <c r="A3537" t="s">
        <v>8520</v>
      </c>
      <c r="B3537" s="3" t="s">
        <v>102</v>
      </c>
      <c r="F3537">
        <v>5</v>
      </c>
      <c r="G3537" t="s">
        <v>8607</v>
      </c>
      <c r="H3537">
        <v>34</v>
      </c>
      <c r="I3537" t="s">
        <v>9303</v>
      </c>
      <c r="J3537" t="str">
        <f t="shared" si="55"/>
        <v>13F-HR-5.34.C8</v>
      </c>
      <c r="K3537" s="5" t="s">
        <v>8633</v>
      </c>
      <c r="L3537" t="s">
        <v>4735</v>
      </c>
      <c r="M3537" t="s">
        <v>8634</v>
      </c>
      <c r="N3537" t="s">
        <v>8635</v>
      </c>
      <c r="Q3537" s="28" t="s">
        <v>8632</v>
      </c>
    </row>
    <row r="3538" spans="1:17" x14ac:dyDescent="0.35">
      <c r="A3538" t="s">
        <v>8651</v>
      </c>
      <c r="B3538" s="3" t="s">
        <v>102</v>
      </c>
      <c r="F3538">
        <v>5</v>
      </c>
      <c r="G3538" t="s">
        <v>8607</v>
      </c>
      <c r="H3538">
        <v>35</v>
      </c>
      <c r="I3538" t="s">
        <v>9304</v>
      </c>
      <c r="J3538" t="str">
        <f t="shared" si="55"/>
        <v>135-HR-5.35.C9</v>
      </c>
      <c r="K3538" s="5" t="s">
        <v>8637</v>
      </c>
      <c r="L3538" t="s">
        <v>229</v>
      </c>
      <c r="M3538" t="s">
        <v>8638</v>
      </c>
      <c r="N3538" t="s">
        <v>8639</v>
      </c>
      <c r="Q3538" s="28" t="s">
        <v>8636</v>
      </c>
    </row>
    <row r="3539" spans="1:17" x14ac:dyDescent="0.35">
      <c r="A3539" t="s">
        <v>8520</v>
      </c>
      <c r="B3539" s="3" t="s">
        <v>102</v>
      </c>
      <c r="F3539">
        <v>5</v>
      </c>
      <c r="G3539" t="s">
        <v>8607</v>
      </c>
      <c r="H3539">
        <v>36</v>
      </c>
      <c r="I3539" t="s">
        <v>9305</v>
      </c>
      <c r="J3539" t="str">
        <f t="shared" si="55"/>
        <v>13F-HR-5.36.C10</v>
      </c>
      <c r="K3539" s="5" t="s">
        <v>8640</v>
      </c>
      <c r="L3539" t="s">
        <v>241</v>
      </c>
      <c r="M3539" t="s">
        <v>8641</v>
      </c>
      <c r="N3539" t="s">
        <v>8642</v>
      </c>
      <c r="Q3539" s="28">
        <v>87209</v>
      </c>
    </row>
    <row r="3540" spans="1:17" x14ac:dyDescent="0.35">
      <c r="A3540" t="s">
        <v>8520</v>
      </c>
      <c r="B3540" s="3" t="s">
        <v>102</v>
      </c>
      <c r="F3540">
        <v>5</v>
      </c>
      <c r="G3540" t="s">
        <v>8607</v>
      </c>
      <c r="H3540">
        <v>37</v>
      </c>
      <c r="I3540" t="s">
        <v>9306</v>
      </c>
      <c r="J3540" t="str">
        <f t="shared" si="55"/>
        <v>13F-HR-5.37.C11</v>
      </c>
      <c r="K3540" s="5" t="s">
        <v>8643</v>
      </c>
      <c r="L3540" t="s">
        <v>241</v>
      </c>
      <c r="M3540" t="s">
        <v>8644</v>
      </c>
      <c r="N3540" t="s">
        <v>8645</v>
      </c>
      <c r="Q3540" s="28">
        <v>0</v>
      </c>
    </row>
    <row r="3541" spans="1:17" x14ac:dyDescent="0.35">
      <c r="A3541" t="s">
        <v>8520</v>
      </c>
      <c r="B3541" s="3" t="s">
        <v>102</v>
      </c>
      <c r="F3541">
        <v>5</v>
      </c>
      <c r="G3541" t="s">
        <v>8607</v>
      </c>
      <c r="H3541">
        <v>38</v>
      </c>
      <c r="I3541" t="s">
        <v>9307</v>
      </c>
      <c r="J3541" t="str">
        <f t="shared" si="55"/>
        <v>13F-HR-5.38.C12</v>
      </c>
      <c r="K3541" s="5" t="s">
        <v>8646</v>
      </c>
      <c r="L3541" t="s">
        <v>241</v>
      </c>
      <c r="M3541" t="s">
        <v>8647</v>
      </c>
      <c r="N3541" t="s">
        <v>8648</v>
      </c>
      <c r="Q3541" s="28">
        <v>45893</v>
      </c>
    </row>
    <row r="3542" spans="1:17" x14ac:dyDescent="0.35">
      <c r="A3542" t="s">
        <v>8520</v>
      </c>
      <c r="B3542" s="3" t="s">
        <v>102</v>
      </c>
      <c r="F3542">
        <v>5</v>
      </c>
      <c r="G3542" t="s">
        <v>8607</v>
      </c>
      <c r="H3542">
        <v>27</v>
      </c>
      <c r="I3542" t="s">
        <v>9296</v>
      </c>
      <c r="J3542" t="str">
        <f t="shared" si="55"/>
        <v>13F-HR-5.27.C1</v>
      </c>
      <c r="K3542" s="5" t="s">
        <v>8608</v>
      </c>
      <c r="L3542" t="s">
        <v>229</v>
      </c>
      <c r="M3542" t="s">
        <v>8609</v>
      </c>
      <c r="N3542" t="s">
        <v>8610</v>
      </c>
      <c r="Q3542" s="28" t="s">
        <v>9109</v>
      </c>
    </row>
    <row r="3543" spans="1:17" x14ac:dyDescent="0.35">
      <c r="A3543" t="s">
        <v>8520</v>
      </c>
      <c r="B3543" s="3" t="s">
        <v>102</v>
      </c>
      <c r="F3543">
        <v>5</v>
      </c>
      <c r="G3543" t="s">
        <v>8607</v>
      </c>
      <c r="H3543">
        <v>28</v>
      </c>
      <c r="I3543" t="s">
        <v>9297</v>
      </c>
      <c r="J3543" t="str">
        <f t="shared" si="55"/>
        <v>13F-HR-5.28.C2</v>
      </c>
      <c r="K3543" s="5" t="s">
        <v>8612</v>
      </c>
      <c r="L3543" t="s">
        <v>229</v>
      </c>
      <c r="M3543" t="s">
        <v>8613</v>
      </c>
      <c r="N3543" t="s">
        <v>8614</v>
      </c>
      <c r="Q3543" s="28" t="s">
        <v>9110</v>
      </c>
    </row>
    <row r="3544" spans="1:17" x14ac:dyDescent="0.35">
      <c r="A3544" t="s">
        <v>8520</v>
      </c>
      <c r="B3544" s="3" t="s">
        <v>102</v>
      </c>
      <c r="F3544">
        <v>5</v>
      </c>
      <c r="G3544" t="s">
        <v>8607</v>
      </c>
      <c r="H3544">
        <v>29</v>
      </c>
      <c r="I3544" t="s">
        <v>9298</v>
      </c>
      <c r="J3544" t="str">
        <f t="shared" si="55"/>
        <v>13F-HR-5.29.C3</v>
      </c>
      <c r="K3544" s="5" t="s">
        <v>8616</v>
      </c>
      <c r="L3544" t="s">
        <v>229</v>
      </c>
      <c r="M3544" t="s">
        <v>7927</v>
      </c>
      <c r="N3544" t="s">
        <v>8617</v>
      </c>
      <c r="Q3544" s="28" t="s">
        <v>9111</v>
      </c>
    </row>
    <row r="3545" spans="1:17" x14ac:dyDescent="0.35">
      <c r="A3545" t="s">
        <v>8520</v>
      </c>
      <c r="B3545" s="3" t="s">
        <v>102</v>
      </c>
      <c r="F3545">
        <v>5</v>
      </c>
      <c r="G3545" t="s">
        <v>8607</v>
      </c>
      <c r="H3545">
        <v>30</v>
      </c>
      <c r="I3545" t="s">
        <v>9299</v>
      </c>
      <c r="J3545" t="str">
        <f t="shared" si="55"/>
        <v>13F-HR-5.30.C4</v>
      </c>
      <c r="K3545" s="5" t="s">
        <v>8618</v>
      </c>
      <c r="L3545" t="s">
        <v>8619</v>
      </c>
      <c r="M3545" t="s">
        <v>8620</v>
      </c>
      <c r="N3545" t="s">
        <v>8621</v>
      </c>
      <c r="Q3545" s="28">
        <v>8678390</v>
      </c>
    </row>
    <row r="3546" spans="1:17" x14ac:dyDescent="0.35">
      <c r="A3546" t="s">
        <v>8520</v>
      </c>
      <c r="B3546" s="3" t="s">
        <v>102</v>
      </c>
      <c r="F3546">
        <v>5</v>
      </c>
      <c r="G3546" t="s">
        <v>8607</v>
      </c>
      <c r="H3546">
        <v>31</v>
      </c>
      <c r="I3546" t="s">
        <v>9300</v>
      </c>
      <c r="J3546" t="str">
        <f t="shared" si="55"/>
        <v>13F-HR-5.31.C5</v>
      </c>
      <c r="K3546" s="5" t="s">
        <v>8622</v>
      </c>
      <c r="L3546" t="s">
        <v>241</v>
      </c>
      <c r="M3546" t="s">
        <v>8623</v>
      </c>
      <c r="N3546" t="s">
        <v>8624</v>
      </c>
      <c r="Q3546" s="28">
        <v>847499</v>
      </c>
    </row>
    <row r="3547" spans="1:17" x14ac:dyDescent="0.35">
      <c r="A3547" t="s">
        <v>8520</v>
      </c>
      <c r="B3547" s="3" t="s">
        <v>102</v>
      </c>
      <c r="F3547">
        <v>5</v>
      </c>
      <c r="G3547" t="s">
        <v>8607</v>
      </c>
      <c r="H3547">
        <v>32</v>
      </c>
      <c r="I3547" t="s">
        <v>9301</v>
      </c>
      <c r="J3547" t="str">
        <f t="shared" si="55"/>
        <v>13F-HR-5.32.C6</v>
      </c>
      <c r="K3547" s="5" t="s">
        <v>8625</v>
      </c>
      <c r="L3547" t="s">
        <v>229</v>
      </c>
      <c r="M3547" t="s">
        <v>8626</v>
      </c>
      <c r="N3547" t="s">
        <v>8627</v>
      </c>
      <c r="Q3547" s="28" t="s">
        <v>8628</v>
      </c>
    </row>
    <row r="3548" spans="1:17" x14ac:dyDescent="0.35">
      <c r="A3548" t="s">
        <v>8520</v>
      </c>
      <c r="B3548" s="3" t="s">
        <v>102</v>
      </c>
      <c r="F3548">
        <v>5</v>
      </c>
      <c r="G3548" t="s">
        <v>8607</v>
      </c>
      <c r="H3548">
        <v>33</v>
      </c>
      <c r="I3548" t="s">
        <v>9302</v>
      </c>
      <c r="J3548" t="str">
        <f t="shared" si="55"/>
        <v>13F-HR-5.33.C7</v>
      </c>
      <c r="K3548" s="5" t="s">
        <v>8629</v>
      </c>
      <c r="L3548" t="s">
        <v>229</v>
      </c>
      <c r="M3548" t="s">
        <v>8630</v>
      </c>
      <c r="N3548" t="s">
        <v>8631</v>
      </c>
      <c r="Q3548" s="28" t="s">
        <v>8685</v>
      </c>
    </row>
    <row r="3549" spans="1:17" x14ac:dyDescent="0.35">
      <c r="A3549" t="s">
        <v>8520</v>
      </c>
      <c r="B3549" s="3" t="s">
        <v>102</v>
      </c>
      <c r="F3549">
        <v>5</v>
      </c>
      <c r="G3549" t="s">
        <v>8607</v>
      </c>
      <c r="H3549">
        <v>34</v>
      </c>
      <c r="I3549" t="s">
        <v>9303</v>
      </c>
      <c r="J3549" t="str">
        <f t="shared" si="55"/>
        <v>13F-HR-5.34.C8</v>
      </c>
      <c r="K3549" s="5" t="s">
        <v>8633</v>
      </c>
      <c r="L3549" t="s">
        <v>4735</v>
      </c>
      <c r="M3549" t="s">
        <v>8634</v>
      </c>
      <c r="N3549" t="s">
        <v>8635</v>
      </c>
      <c r="Q3549" s="28" t="s">
        <v>8632</v>
      </c>
    </row>
    <row r="3550" spans="1:17" x14ac:dyDescent="0.35">
      <c r="A3550" t="s">
        <v>8651</v>
      </c>
      <c r="B3550" s="3" t="s">
        <v>102</v>
      </c>
      <c r="F3550">
        <v>5</v>
      </c>
      <c r="G3550" t="s">
        <v>8607</v>
      </c>
      <c r="H3550">
        <v>35</v>
      </c>
      <c r="I3550" t="s">
        <v>9304</v>
      </c>
      <c r="J3550" t="str">
        <f t="shared" si="55"/>
        <v>135-HR-5.35.C9</v>
      </c>
      <c r="K3550" s="5" t="s">
        <v>8637</v>
      </c>
      <c r="L3550" t="s">
        <v>229</v>
      </c>
      <c r="M3550" t="s">
        <v>8638</v>
      </c>
      <c r="N3550" t="s">
        <v>8639</v>
      </c>
      <c r="Q3550" s="28" t="s">
        <v>8636</v>
      </c>
    </row>
    <row r="3551" spans="1:17" x14ac:dyDescent="0.35">
      <c r="A3551" t="s">
        <v>8520</v>
      </c>
      <c r="B3551" s="3" t="s">
        <v>102</v>
      </c>
      <c r="F3551">
        <v>5</v>
      </c>
      <c r="G3551" t="s">
        <v>8607</v>
      </c>
      <c r="H3551">
        <v>36</v>
      </c>
      <c r="I3551" t="s">
        <v>9305</v>
      </c>
      <c r="J3551" t="str">
        <f t="shared" si="55"/>
        <v>13F-HR-5.36.C10</v>
      </c>
      <c r="K3551" s="5" t="s">
        <v>8640</v>
      </c>
      <c r="L3551" t="s">
        <v>241</v>
      </c>
      <c r="M3551" t="s">
        <v>8641</v>
      </c>
      <c r="N3551" t="s">
        <v>8642</v>
      </c>
      <c r="Q3551" s="28">
        <v>847499</v>
      </c>
    </row>
    <row r="3552" spans="1:17" x14ac:dyDescent="0.35">
      <c r="A3552" t="s">
        <v>8520</v>
      </c>
      <c r="B3552" s="3" t="s">
        <v>102</v>
      </c>
      <c r="F3552">
        <v>5</v>
      </c>
      <c r="G3552" t="s">
        <v>8607</v>
      </c>
      <c r="H3552">
        <v>37</v>
      </c>
      <c r="I3552" t="s">
        <v>9306</v>
      </c>
      <c r="J3552" t="str">
        <f t="shared" si="55"/>
        <v>13F-HR-5.37.C11</v>
      </c>
      <c r="K3552" s="5" t="s">
        <v>8643</v>
      </c>
      <c r="L3552" t="s">
        <v>241</v>
      </c>
      <c r="M3552" t="s">
        <v>8644</v>
      </c>
      <c r="N3552" t="s">
        <v>8645</v>
      </c>
      <c r="Q3552" s="28">
        <v>0</v>
      </c>
    </row>
    <row r="3553" spans="1:17" x14ac:dyDescent="0.35">
      <c r="A3553" t="s">
        <v>8520</v>
      </c>
      <c r="B3553" s="3" t="s">
        <v>102</v>
      </c>
      <c r="F3553">
        <v>5</v>
      </c>
      <c r="G3553" t="s">
        <v>8607</v>
      </c>
      <c r="H3553">
        <v>38</v>
      </c>
      <c r="I3553" t="s">
        <v>9307</v>
      </c>
      <c r="J3553" t="str">
        <f t="shared" si="55"/>
        <v>13F-HR-5.38.C12</v>
      </c>
      <c r="K3553" s="5" t="s">
        <v>8646</v>
      </c>
      <c r="L3553" t="s">
        <v>241</v>
      </c>
      <c r="M3553" t="s">
        <v>8647</v>
      </c>
      <c r="N3553" t="s">
        <v>8648</v>
      </c>
      <c r="Q3553" s="28">
        <v>0</v>
      </c>
    </row>
    <row r="3554" spans="1:17" x14ac:dyDescent="0.35">
      <c r="A3554" t="s">
        <v>8520</v>
      </c>
      <c r="B3554" s="3" t="s">
        <v>102</v>
      </c>
      <c r="F3554">
        <v>5</v>
      </c>
      <c r="G3554" t="s">
        <v>8607</v>
      </c>
      <c r="H3554">
        <v>27</v>
      </c>
      <c r="I3554" t="s">
        <v>9296</v>
      </c>
      <c r="J3554" t="str">
        <f t="shared" si="55"/>
        <v>13F-HR-5.27.C1</v>
      </c>
      <c r="K3554" s="5" t="s">
        <v>8608</v>
      </c>
      <c r="L3554" t="s">
        <v>229</v>
      </c>
      <c r="M3554" t="s">
        <v>8609</v>
      </c>
      <c r="N3554" t="s">
        <v>8610</v>
      </c>
      <c r="Q3554" s="28" t="s">
        <v>9112</v>
      </c>
    </row>
    <row r="3555" spans="1:17" x14ac:dyDescent="0.35">
      <c r="A3555" t="s">
        <v>8520</v>
      </c>
      <c r="B3555" s="3" t="s">
        <v>102</v>
      </c>
      <c r="F3555">
        <v>5</v>
      </c>
      <c r="G3555" t="s">
        <v>8607</v>
      </c>
      <c r="H3555">
        <v>28</v>
      </c>
      <c r="I3555" t="s">
        <v>9297</v>
      </c>
      <c r="J3555" t="str">
        <f t="shared" si="55"/>
        <v>13F-HR-5.28.C2</v>
      </c>
      <c r="K3555" s="5" t="s">
        <v>8612</v>
      </c>
      <c r="L3555" t="s">
        <v>229</v>
      </c>
      <c r="M3555" t="s">
        <v>8613</v>
      </c>
      <c r="N3555" t="s">
        <v>8614</v>
      </c>
      <c r="Q3555" s="28" t="s">
        <v>8800</v>
      </c>
    </row>
    <row r="3556" spans="1:17" x14ac:dyDescent="0.35">
      <c r="A3556" t="s">
        <v>8520</v>
      </c>
      <c r="B3556" s="3" t="s">
        <v>102</v>
      </c>
      <c r="F3556">
        <v>5</v>
      </c>
      <c r="G3556" t="s">
        <v>8607</v>
      </c>
      <c r="H3556">
        <v>29</v>
      </c>
      <c r="I3556" t="s">
        <v>9298</v>
      </c>
      <c r="J3556" t="str">
        <f t="shared" si="55"/>
        <v>13F-HR-5.29.C3</v>
      </c>
      <c r="K3556" s="5" t="s">
        <v>8616</v>
      </c>
      <c r="L3556" t="s">
        <v>229</v>
      </c>
      <c r="M3556" t="s">
        <v>7927</v>
      </c>
      <c r="N3556" t="s">
        <v>8617</v>
      </c>
      <c r="Q3556" s="28" t="s">
        <v>9113</v>
      </c>
    </row>
    <row r="3557" spans="1:17" x14ac:dyDescent="0.35">
      <c r="A3557" t="s">
        <v>8520</v>
      </c>
      <c r="B3557" s="3" t="s">
        <v>102</v>
      </c>
      <c r="F3557">
        <v>5</v>
      </c>
      <c r="G3557" t="s">
        <v>8607</v>
      </c>
      <c r="H3557">
        <v>30</v>
      </c>
      <c r="I3557" t="s">
        <v>9299</v>
      </c>
      <c r="J3557" t="str">
        <f t="shared" si="55"/>
        <v>13F-HR-5.30.C4</v>
      </c>
      <c r="K3557" s="5" t="s">
        <v>8618</v>
      </c>
      <c r="L3557" t="s">
        <v>8619</v>
      </c>
      <c r="M3557" t="s">
        <v>8620</v>
      </c>
      <c r="N3557" t="s">
        <v>8621</v>
      </c>
      <c r="Q3557" s="28">
        <v>3456706</v>
      </c>
    </row>
    <row r="3558" spans="1:17" x14ac:dyDescent="0.35">
      <c r="A3558" t="s">
        <v>8520</v>
      </c>
      <c r="B3558" s="3" t="s">
        <v>102</v>
      </c>
      <c r="F3558">
        <v>5</v>
      </c>
      <c r="G3558" t="s">
        <v>8607</v>
      </c>
      <c r="H3558">
        <v>31</v>
      </c>
      <c r="I3558" t="s">
        <v>9300</v>
      </c>
      <c r="J3558" t="str">
        <f t="shared" si="55"/>
        <v>13F-HR-5.31.C5</v>
      </c>
      <c r="K3558" s="5" t="s">
        <v>8622</v>
      </c>
      <c r="L3558" t="s">
        <v>241</v>
      </c>
      <c r="M3558" t="s">
        <v>8623</v>
      </c>
      <c r="N3558" t="s">
        <v>8624</v>
      </c>
      <c r="Q3558" s="28">
        <v>45233</v>
      </c>
    </row>
    <row r="3559" spans="1:17" x14ac:dyDescent="0.35">
      <c r="A3559" t="s">
        <v>8520</v>
      </c>
      <c r="B3559" s="3" t="s">
        <v>102</v>
      </c>
      <c r="F3559">
        <v>5</v>
      </c>
      <c r="G3559" t="s">
        <v>8607</v>
      </c>
      <c r="H3559">
        <v>32</v>
      </c>
      <c r="I3559" t="s">
        <v>9301</v>
      </c>
      <c r="J3559" t="str">
        <f t="shared" si="55"/>
        <v>13F-HR-5.32.C6</v>
      </c>
      <c r="K3559" s="5" t="s">
        <v>8625</v>
      </c>
      <c r="L3559" t="s">
        <v>229</v>
      </c>
      <c r="M3559" t="s">
        <v>8626</v>
      </c>
      <c r="N3559" t="s">
        <v>8627</v>
      </c>
      <c r="Q3559" s="28" t="s">
        <v>8628</v>
      </c>
    </row>
    <row r="3560" spans="1:17" x14ac:dyDescent="0.35">
      <c r="A3560" t="s">
        <v>8520</v>
      </c>
      <c r="B3560" s="3" t="s">
        <v>102</v>
      </c>
      <c r="F3560">
        <v>5</v>
      </c>
      <c r="G3560" t="s">
        <v>8607</v>
      </c>
      <c r="H3560">
        <v>33</v>
      </c>
      <c r="I3560" t="s">
        <v>9302</v>
      </c>
      <c r="J3560" t="str">
        <f t="shared" si="55"/>
        <v>13F-HR-5.33.C7</v>
      </c>
      <c r="K3560" s="5" t="s">
        <v>8629</v>
      </c>
      <c r="L3560" t="s">
        <v>229</v>
      </c>
      <c r="M3560" t="s">
        <v>8630</v>
      </c>
      <c r="N3560" t="s">
        <v>8631</v>
      </c>
      <c r="Q3560" s="28" t="s">
        <v>8685</v>
      </c>
    </row>
    <row r="3561" spans="1:17" x14ac:dyDescent="0.35">
      <c r="A3561" t="s">
        <v>8520</v>
      </c>
      <c r="B3561" s="3" t="s">
        <v>102</v>
      </c>
      <c r="F3561">
        <v>5</v>
      </c>
      <c r="G3561" t="s">
        <v>8607</v>
      </c>
      <c r="H3561">
        <v>34</v>
      </c>
      <c r="I3561" t="s">
        <v>9303</v>
      </c>
      <c r="J3561" t="str">
        <f t="shared" si="55"/>
        <v>13F-HR-5.34.C8</v>
      </c>
      <c r="K3561" s="5" t="s">
        <v>8633</v>
      </c>
      <c r="L3561" t="s">
        <v>4735</v>
      </c>
      <c r="M3561" t="s">
        <v>8634</v>
      </c>
      <c r="N3561" t="s">
        <v>8635</v>
      </c>
      <c r="Q3561" s="28" t="s">
        <v>8632</v>
      </c>
    </row>
    <row r="3562" spans="1:17" x14ac:dyDescent="0.35">
      <c r="A3562" t="s">
        <v>8651</v>
      </c>
      <c r="B3562" s="3" t="s">
        <v>102</v>
      </c>
      <c r="F3562">
        <v>5</v>
      </c>
      <c r="G3562" t="s">
        <v>8607</v>
      </c>
      <c r="H3562">
        <v>35</v>
      </c>
      <c r="I3562" t="s">
        <v>9304</v>
      </c>
      <c r="J3562" t="str">
        <f t="shared" si="55"/>
        <v>135-HR-5.35.C9</v>
      </c>
      <c r="K3562" s="5" t="s">
        <v>8637</v>
      </c>
      <c r="L3562" t="s">
        <v>229</v>
      </c>
      <c r="M3562" t="s">
        <v>8638</v>
      </c>
      <c r="N3562" t="s">
        <v>8639</v>
      </c>
      <c r="Q3562" s="28" t="s">
        <v>8636</v>
      </c>
    </row>
    <row r="3563" spans="1:17" x14ac:dyDescent="0.35">
      <c r="A3563" t="s">
        <v>8520</v>
      </c>
      <c r="B3563" s="3" t="s">
        <v>102</v>
      </c>
      <c r="F3563">
        <v>5</v>
      </c>
      <c r="G3563" t="s">
        <v>8607</v>
      </c>
      <c r="H3563">
        <v>36</v>
      </c>
      <c r="I3563" t="s">
        <v>9305</v>
      </c>
      <c r="J3563" t="str">
        <f t="shared" si="55"/>
        <v>13F-HR-5.36.C10</v>
      </c>
      <c r="K3563" s="5" t="s">
        <v>8640</v>
      </c>
      <c r="L3563" t="s">
        <v>241</v>
      </c>
      <c r="M3563" t="s">
        <v>8641</v>
      </c>
      <c r="N3563" t="s">
        <v>8642</v>
      </c>
      <c r="Q3563" s="28">
        <v>25806</v>
      </c>
    </row>
    <row r="3564" spans="1:17" x14ac:dyDescent="0.35">
      <c r="A3564" t="s">
        <v>8520</v>
      </c>
      <c r="B3564" s="3" t="s">
        <v>102</v>
      </c>
      <c r="F3564">
        <v>5</v>
      </c>
      <c r="G3564" t="s">
        <v>8607</v>
      </c>
      <c r="H3564">
        <v>37</v>
      </c>
      <c r="I3564" t="s">
        <v>9306</v>
      </c>
      <c r="J3564" t="str">
        <f t="shared" si="55"/>
        <v>13F-HR-5.37.C11</v>
      </c>
      <c r="K3564" s="5" t="s">
        <v>8643</v>
      </c>
      <c r="L3564" t="s">
        <v>241</v>
      </c>
      <c r="M3564" t="s">
        <v>8644</v>
      </c>
      <c r="N3564" t="s">
        <v>8645</v>
      </c>
      <c r="Q3564" s="28">
        <v>0</v>
      </c>
    </row>
    <row r="3565" spans="1:17" x14ac:dyDescent="0.35">
      <c r="A3565" t="s">
        <v>8520</v>
      </c>
      <c r="B3565" s="3" t="s">
        <v>102</v>
      </c>
      <c r="F3565">
        <v>5</v>
      </c>
      <c r="G3565" t="s">
        <v>8607</v>
      </c>
      <c r="H3565">
        <v>38</v>
      </c>
      <c r="I3565" t="s">
        <v>9307</v>
      </c>
      <c r="J3565" t="str">
        <f t="shared" si="55"/>
        <v>13F-HR-5.38.C12</v>
      </c>
      <c r="K3565" s="5" t="s">
        <v>8646</v>
      </c>
      <c r="L3565" t="s">
        <v>241</v>
      </c>
      <c r="M3565" t="s">
        <v>8647</v>
      </c>
      <c r="N3565" t="s">
        <v>8648</v>
      </c>
      <c r="Q3565" s="28">
        <v>19427</v>
      </c>
    </row>
    <row r="3566" spans="1:17" x14ac:dyDescent="0.35">
      <c r="A3566" t="s">
        <v>8520</v>
      </c>
      <c r="B3566" s="3" t="s">
        <v>102</v>
      </c>
      <c r="F3566">
        <v>5</v>
      </c>
      <c r="G3566" t="s">
        <v>8607</v>
      </c>
      <c r="H3566">
        <v>27</v>
      </c>
      <c r="I3566" t="s">
        <v>9296</v>
      </c>
      <c r="J3566" t="str">
        <f t="shared" si="55"/>
        <v>13F-HR-5.27.C1</v>
      </c>
      <c r="K3566" s="5" t="s">
        <v>8608</v>
      </c>
      <c r="L3566" t="s">
        <v>229</v>
      </c>
      <c r="M3566" t="s">
        <v>8609</v>
      </c>
      <c r="N3566" t="s">
        <v>8610</v>
      </c>
      <c r="Q3566" s="28" t="s">
        <v>9114</v>
      </c>
    </row>
    <row r="3567" spans="1:17" x14ac:dyDescent="0.35">
      <c r="A3567" t="s">
        <v>8520</v>
      </c>
      <c r="B3567" s="3" t="s">
        <v>102</v>
      </c>
      <c r="F3567">
        <v>5</v>
      </c>
      <c r="G3567" t="s">
        <v>8607</v>
      </c>
      <c r="H3567">
        <v>28</v>
      </c>
      <c r="I3567" t="s">
        <v>9297</v>
      </c>
      <c r="J3567" t="str">
        <f t="shared" si="55"/>
        <v>13F-HR-5.28.C2</v>
      </c>
      <c r="K3567" s="5" t="s">
        <v>8612</v>
      </c>
      <c r="L3567" t="s">
        <v>229</v>
      </c>
      <c r="M3567" t="s">
        <v>8613</v>
      </c>
      <c r="N3567" t="s">
        <v>8614</v>
      </c>
      <c r="Q3567" s="28" t="s">
        <v>8615</v>
      </c>
    </row>
    <row r="3568" spans="1:17" x14ac:dyDescent="0.35">
      <c r="A3568" t="s">
        <v>8520</v>
      </c>
      <c r="B3568" s="3" t="s">
        <v>102</v>
      </c>
      <c r="F3568">
        <v>5</v>
      </c>
      <c r="G3568" t="s">
        <v>8607</v>
      </c>
      <c r="H3568">
        <v>29</v>
      </c>
      <c r="I3568" t="s">
        <v>9298</v>
      </c>
      <c r="J3568" t="str">
        <f t="shared" si="55"/>
        <v>13F-HR-5.29.C3</v>
      </c>
      <c r="K3568" s="5" t="s">
        <v>8616</v>
      </c>
      <c r="L3568" t="s">
        <v>229</v>
      </c>
      <c r="M3568" t="s">
        <v>7927</v>
      </c>
      <c r="N3568" t="s">
        <v>8617</v>
      </c>
      <c r="Q3568" s="28" t="s">
        <v>9115</v>
      </c>
    </row>
    <row r="3569" spans="1:17" x14ac:dyDescent="0.35">
      <c r="A3569" t="s">
        <v>8520</v>
      </c>
      <c r="B3569" s="3" t="s">
        <v>102</v>
      </c>
      <c r="F3569">
        <v>5</v>
      </c>
      <c r="G3569" t="s">
        <v>8607</v>
      </c>
      <c r="H3569">
        <v>30</v>
      </c>
      <c r="I3569" t="s">
        <v>9299</v>
      </c>
      <c r="J3569" t="str">
        <f t="shared" si="55"/>
        <v>13F-HR-5.30.C4</v>
      </c>
      <c r="K3569" s="5" t="s">
        <v>8618</v>
      </c>
      <c r="L3569" t="s">
        <v>8619</v>
      </c>
      <c r="M3569" t="s">
        <v>8620</v>
      </c>
      <c r="N3569" t="s">
        <v>8621</v>
      </c>
      <c r="Q3569" s="28">
        <v>53756636</v>
      </c>
    </row>
    <row r="3570" spans="1:17" x14ac:dyDescent="0.35">
      <c r="A3570" t="s">
        <v>8520</v>
      </c>
      <c r="B3570" s="3" t="s">
        <v>102</v>
      </c>
      <c r="F3570">
        <v>5</v>
      </c>
      <c r="G3570" t="s">
        <v>8607</v>
      </c>
      <c r="H3570">
        <v>31</v>
      </c>
      <c r="I3570" t="s">
        <v>9300</v>
      </c>
      <c r="J3570" t="str">
        <f t="shared" si="55"/>
        <v>13F-HR-5.31.C5</v>
      </c>
      <c r="K3570" s="5" t="s">
        <v>8622</v>
      </c>
      <c r="L3570" t="s">
        <v>241</v>
      </c>
      <c r="M3570" t="s">
        <v>8623</v>
      </c>
      <c r="N3570" t="s">
        <v>8624</v>
      </c>
      <c r="Q3570" s="28">
        <v>178008</v>
      </c>
    </row>
    <row r="3571" spans="1:17" x14ac:dyDescent="0.35">
      <c r="A3571" t="s">
        <v>8520</v>
      </c>
      <c r="B3571" s="3" t="s">
        <v>102</v>
      </c>
      <c r="F3571">
        <v>5</v>
      </c>
      <c r="G3571" t="s">
        <v>8607</v>
      </c>
      <c r="H3571">
        <v>32</v>
      </c>
      <c r="I3571" t="s">
        <v>9301</v>
      </c>
      <c r="J3571" t="str">
        <f t="shared" si="55"/>
        <v>13F-HR-5.32.C6</v>
      </c>
      <c r="K3571" s="5" t="s">
        <v>8625</v>
      </c>
      <c r="L3571" t="s">
        <v>229</v>
      </c>
      <c r="M3571" t="s">
        <v>8626</v>
      </c>
      <c r="N3571" t="s">
        <v>8627</v>
      </c>
      <c r="Q3571" s="28" t="s">
        <v>8628</v>
      </c>
    </row>
    <row r="3572" spans="1:17" x14ac:dyDescent="0.35">
      <c r="A3572" t="s">
        <v>8520</v>
      </c>
      <c r="B3572" s="3" t="s">
        <v>102</v>
      </c>
      <c r="F3572">
        <v>5</v>
      </c>
      <c r="G3572" t="s">
        <v>8607</v>
      </c>
      <c r="H3572">
        <v>33</v>
      </c>
      <c r="I3572" t="s">
        <v>9302</v>
      </c>
      <c r="J3572" t="str">
        <f t="shared" si="55"/>
        <v>13F-HR-5.33.C7</v>
      </c>
      <c r="K3572" s="5" t="s">
        <v>8629</v>
      </c>
      <c r="L3572" t="s">
        <v>229</v>
      </c>
      <c r="M3572" t="s">
        <v>8630</v>
      </c>
      <c r="N3572" t="s">
        <v>8631</v>
      </c>
      <c r="Q3572" s="28" t="s">
        <v>8685</v>
      </c>
    </row>
    <row r="3573" spans="1:17" x14ac:dyDescent="0.35">
      <c r="A3573" t="s">
        <v>8520</v>
      </c>
      <c r="B3573" s="3" t="s">
        <v>102</v>
      </c>
      <c r="F3573">
        <v>5</v>
      </c>
      <c r="G3573" t="s">
        <v>8607</v>
      </c>
      <c r="H3573">
        <v>34</v>
      </c>
      <c r="I3573" t="s">
        <v>9303</v>
      </c>
      <c r="J3573" t="str">
        <f t="shared" si="55"/>
        <v>13F-HR-5.34.C8</v>
      </c>
      <c r="K3573" s="5" t="s">
        <v>8633</v>
      </c>
      <c r="L3573" t="s">
        <v>4735</v>
      </c>
      <c r="M3573" t="s">
        <v>8634</v>
      </c>
      <c r="N3573" t="s">
        <v>8635</v>
      </c>
      <c r="Q3573" s="28" t="s">
        <v>8632</v>
      </c>
    </row>
    <row r="3574" spans="1:17" x14ac:dyDescent="0.35">
      <c r="A3574" t="s">
        <v>8651</v>
      </c>
      <c r="B3574" s="3" t="s">
        <v>102</v>
      </c>
      <c r="F3574">
        <v>5</v>
      </c>
      <c r="G3574" t="s">
        <v>8607</v>
      </c>
      <c r="H3574">
        <v>35</v>
      </c>
      <c r="I3574" t="s">
        <v>9304</v>
      </c>
      <c r="J3574" t="str">
        <f t="shared" si="55"/>
        <v>135-HR-5.35.C9</v>
      </c>
      <c r="K3574" s="5" t="s">
        <v>8637</v>
      </c>
      <c r="L3574" t="s">
        <v>229</v>
      </c>
      <c r="M3574" t="s">
        <v>8638</v>
      </c>
      <c r="N3574" t="s">
        <v>8639</v>
      </c>
      <c r="Q3574" s="28" t="s">
        <v>8636</v>
      </c>
    </row>
    <row r="3575" spans="1:17" x14ac:dyDescent="0.35">
      <c r="A3575" t="s">
        <v>8520</v>
      </c>
      <c r="B3575" s="3" t="s">
        <v>102</v>
      </c>
      <c r="F3575">
        <v>5</v>
      </c>
      <c r="G3575" t="s">
        <v>8607</v>
      </c>
      <c r="H3575">
        <v>36</v>
      </c>
      <c r="I3575" t="s">
        <v>9305</v>
      </c>
      <c r="J3575" t="str">
        <f t="shared" si="55"/>
        <v>13F-HR-5.36.C10</v>
      </c>
      <c r="K3575" s="5" t="s">
        <v>8640</v>
      </c>
      <c r="L3575" t="s">
        <v>241</v>
      </c>
      <c r="M3575" t="s">
        <v>8641</v>
      </c>
      <c r="N3575" t="s">
        <v>8642</v>
      </c>
      <c r="Q3575" s="28">
        <v>82499</v>
      </c>
    </row>
    <row r="3576" spans="1:17" x14ac:dyDescent="0.35">
      <c r="A3576" t="s">
        <v>8520</v>
      </c>
      <c r="B3576" s="3" t="s">
        <v>102</v>
      </c>
      <c r="F3576">
        <v>5</v>
      </c>
      <c r="G3576" t="s">
        <v>8607</v>
      </c>
      <c r="H3576">
        <v>37</v>
      </c>
      <c r="I3576" t="s">
        <v>9306</v>
      </c>
      <c r="J3576" t="str">
        <f t="shared" si="55"/>
        <v>13F-HR-5.37.C11</v>
      </c>
      <c r="K3576" s="5" t="s">
        <v>8643</v>
      </c>
      <c r="L3576" t="s">
        <v>241</v>
      </c>
      <c r="M3576" t="s">
        <v>8644</v>
      </c>
      <c r="N3576" t="s">
        <v>8645</v>
      </c>
      <c r="Q3576" s="28">
        <v>0</v>
      </c>
    </row>
    <row r="3577" spans="1:17" x14ac:dyDescent="0.35">
      <c r="A3577" t="s">
        <v>8520</v>
      </c>
      <c r="B3577" s="3" t="s">
        <v>102</v>
      </c>
      <c r="F3577">
        <v>5</v>
      </c>
      <c r="G3577" t="s">
        <v>8607</v>
      </c>
      <c r="H3577">
        <v>38</v>
      </c>
      <c r="I3577" t="s">
        <v>9307</v>
      </c>
      <c r="J3577" t="str">
        <f t="shared" si="55"/>
        <v>13F-HR-5.38.C12</v>
      </c>
      <c r="K3577" s="5" t="s">
        <v>8646</v>
      </c>
      <c r="L3577" t="s">
        <v>241</v>
      </c>
      <c r="M3577" t="s">
        <v>8647</v>
      </c>
      <c r="N3577" t="s">
        <v>8648</v>
      </c>
      <c r="Q3577" s="28">
        <v>95509</v>
      </c>
    </row>
    <row r="3578" spans="1:17" x14ac:dyDescent="0.35">
      <c r="A3578" t="s">
        <v>8520</v>
      </c>
      <c r="B3578" s="3" t="s">
        <v>102</v>
      </c>
      <c r="F3578">
        <v>5</v>
      </c>
      <c r="G3578" t="s">
        <v>8607</v>
      </c>
      <c r="H3578">
        <v>27</v>
      </c>
      <c r="I3578" t="s">
        <v>9296</v>
      </c>
      <c r="J3578" t="str">
        <f t="shared" si="55"/>
        <v>13F-HR-5.27.C1</v>
      </c>
      <c r="K3578" s="5" t="s">
        <v>8608</v>
      </c>
      <c r="L3578" t="s">
        <v>229</v>
      </c>
      <c r="M3578" t="s">
        <v>8609</v>
      </c>
      <c r="N3578" t="s">
        <v>8610</v>
      </c>
      <c r="Q3578" s="28" t="s">
        <v>9116</v>
      </c>
    </row>
    <row r="3579" spans="1:17" x14ac:dyDescent="0.35">
      <c r="A3579" t="s">
        <v>8520</v>
      </c>
      <c r="B3579" s="3" t="s">
        <v>102</v>
      </c>
      <c r="F3579">
        <v>5</v>
      </c>
      <c r="G3579" t="s">
        <v>8607</v>
      </c>
      <c r="H3579">
        <v>28</v>
      </c>
      <c r="I3579" t="s">
        <v>9297</v>
      </c>
      <c r="J3579" t="str">
        <f t="shared" si="55"/>
        <v>13F-HR-5.28.C2</v>
      </c>
      <c r="K3579" s="5" t="s">
        <v>8612</v>
      </c>
      <c r="L3579" t="s">
        <v>229</v>
      </c>
      <c r="M3579" t="s">
        <v>8613</v>
      </c>
      <c r="N3579" t="s">
        <v>8614</v>
      </c>
      <c r="Q3579" s="28" t="s">
        <v>9081</v>
      </c>
    </row>
    <row r="3580" spans="1:17" x14ac:dyDescent="0.35">
      <c r="A3580" t="s">
        <v>8520</v>
      </c>
      <c r="B3580" s="3" t="s">
        <v>102</v>
      </c>
      <c r="F3580">
        <v>5</v>
      </c>
      <c r="G3580" t="s">
        <v>8607</v>
      </c>
      <c r="H3580">
        <v>29</v>
      </c>
      <c r="I3580" t="s">
        <v>9298</v>
      </c>
      <c r="J3580" t="str">
        <f t="shared" si="55"/>
        <v>13F-HR-5.29.C3</v>
      </c>
      <c r="K3580" s="5" t="s">
        <v>8616</v>
      </c>
      <c r="L3580" t="s">
        <v>229</v>
      </c>
      <c r="M3580" t="s">
        <v>7927</v>
      </c>
      <c r="N3580" t="s">
        <v>8617</v>
      </c>
      <c r="Q3580" s="28" t="s">
        <v>9117</v>
      </c>
    </row>
    <row r="3581" spans="1:17" x14ac:dyDescent="0.35">
      <c r="A3581" t="s">
        <v>8520</v>
      </c>
      <c r="B3581" s="3" t="s">
        <v>102</v>
      </c>
      <c r="F3581">
        <v>5</v>
      </c>
      <c r="G3581" t="s">
        <v>8607</v>
      </c>
      <c r="H3581">
        <v>30</v>
      </c>
      <c r="I3581" t="s">
        <v>9299</v>
      </c>
      <c r="J3581" t="str">
        <f t="shared" si="55"/>
        <v>13F-HR-5.30.C4</v>
      </c>
      <c r="K3581" s="5" t="s">
        <v>8618</v>
      </c>
      <c r="L3581" t="s">
        <v>8619</v>
      </c>
      <c r="M3581" t="s">
        <v>8620</v>
      </c>
      <c r="N3581" t="s">
        <v>8621</v>
      </c>
      <c r="Q3581" s="28">
        <v>2431341</v>
      </c>
    </row>
    <row r="3582" spans="1:17" x14ac:dyDescent="0.35">
      <c r="A3582" t="s">
        <v>8520</v>
      </c>
      <c r="B3582" s="3" t="s">
        <v>102</v>
      </c>
      <c r="F3582">
        <v>5</v>
      </c>
      <c r="G3582" t="s">
        <v>8607</v>
      </c>
      <c r="H3582">
        <v>31</v>
      </c>
      <c r="I3582" t="s">
        <v>9300</v>
      </c>
      <c r="J3582" t="str">
        <f t="shared" si="55"/>
        <v>13F-HR-5.31.C5</v>
      </c>
      <c r="K3582" s="5" t="s">
        <v>8622</v>
      </c>
      <c r="L3582" t="s">
        <v>241</v>
      </c>
      <c r="M3582" t="s">
        <v>8623</v>
      </c>
      <c r="N3582" t="s">
        <v>8624</v>
      </c>
      <c r="Q3582" s="28">
        <v>71447</v>
      </c>
    </row>
    <row r="3583" spans="1:17" x14ac:dyDescent="0.35">
      <c r="A3583" t="s">
        <v>8520</v>
      </c>
      <c r="B3583" s="3" t="s">
        <v>102</v>
      </c>
      <c r="F3583">
        <v>5</v>
      </c>
      <c r="G3583" t="s">
        <v>8607</v>
      </c>
      <c r="H3583">
        <v>32</v>
      </c>
      <c r="I3583" t="s">
        <v>9301</v>
      </c>
      <c r="J3583" t="str">
        <f t="shared" si="55"/>
        <v>13F-HR-5.32.C6</v>
      </c>
      <c r="K3583" s="5" t="s">
        <v>8625</v>
      </c>
      <c r="L3583" t="s">
        <v>229</v>
      </c>
      <c r="M3583" t="s">
        <v>8626</v>
      </c>
      <c r="N3583" t="s">
        <v>8627</v>
      </c>
      <c r="Q3583" s="28" t="s">
        <v>8628</v>
      </c>
    </row>
    <row r="3584" spans="1:17" x14ac:dyDescent="0.35">
      <c r="A3584" t="s">
        <v>8520</v>
      </c>
      <c r="B3584" s="3" t="s">
        <v>102</v>
      </c>
      <c r="F3584">
        <v>5</v>
      </c>
      <c r="G3584" t="s">
        <v>8607</v>
      </c>
      <c r="H3584">
        <v>33</v>
      </c>
      <c r="I3584" t="s">
        <v>9302</v>
      </c>
      <c r="J3584" t="str">
        <f t="shared" si="55"/>
        <v>13F-HR-5.33.C7</v>
      </c>
      <c r="K3584" s="5" t="s">
        <v>8629</v>
      </c>
      <c r="L3584" t="s">
        <v>229</v>
      </c>
      <c r="M3584" t="s">
        <v>8630</v>
      </c>
      <c r="N3584" t="s">
        <v>8631</v>
      </c>
      <c r="Q3584" s="28" t="s">
        <v>8685</v>
      </c>
    </row>
    <row r="3585" spans="1:17" x14ac:dyDescent="0.35">
      <c r="A3585" t="s">
        <v>8520</v>
      </c>
      <c r="B3585" s="3" t="s">
        <v>102</v>
      </c>
      <c r="F3585">
        <v>5</v>
      </c>
      <c r="G3585" t="s">
        <v>8607</v>
      </c>
      <c r="H3585">
        <v>34</v>
      </c>
      <c r="I3585" t="s">
        <v>9303</v>
      </c>
      <c r="J3585" t="str">
        <f t="shared" si="55"/>
        <v>13F-HR-5.34.C8</v>
      </c>
      <c r="K3585" s="5" t="s">
        <v>8633</v>
      </c>
      <c r="L3585" t="s">
        <v>4735</v>
      </c>
      <c r="M3585" t="s">
        <v>8634</v>
      </c>
      <c r="N3585" t="s">
        <v>8635</v>
      </c>
      <c r="Q3585" s="28" t="s">
        <v>8632</v>
      </c>
    </row>
    <row r="3586" spans="1:17" x14ac:dyDescent="0.35">
      <c r="A3586" t="s">
        <v>8651</v>
      </c>
      <c r="B3586" s="3" t="s">
        <v>102</v>
      </c>
      <c r="F3586">
        <v>5</v>
      </c>
      <c r="G3586" t="s">
        <v>8607</v>
      </c>
      <c r="H3586">
        <v>35</v>
      </c>
      <c r="I3586" t="s">
        <v>9304</v>
      </c>
      <c r="J3586" t="str">
        <f t="shared" si="55"/>
        <v>135-HR-5.35.C9</v>
      </c>
      <c r="K3586" s="5" t="s">
        <v>8637</v>
      </c>
      <c r="L3586" t="s">
        <v>229</v>
      </c>
      <c r="M3586" t="s">
        <v>8638</v>
      </c>
      <c r="N3586" t="s">
        <v>8639</v>
      </c>
      <c r="Q3586" s="28" t="s">
        <v>8636</v>
      </c>
    </row>
    <row r="3587" spans="1:17" x14ac:dyDescent="0.35">
      <c r="A3587" t="s">
        <v>8520</v>
      </c>
      <c r="B3587" s="3" t="s">
        <v>102</v>
      </c>
      <c r="F3587">
        <v>5</v>
      </c>
      <c r="G3587" t="s">
        <v>8607</v>
      </c>
      <c r="H3587">
        <v>36</v>
      </c>
      <c r="I3587" t="s">
        <v>9305</v>
      </c>
      <c r="J3587" t="str">
        <f t="shared" ref="J3587:J3650" si="56">_xlfn.CONCAT(A3587,"-",F3587,".",H3587,".",I3587)</f>
        <v>13F-HR-5.36.C10</v>
      </c>
      <c r="K3587" s="5" t="s">
        <v>8640</v>
      </c>
      <c r="L3587" t="s">
        <v>241</v>
      </c>
      <c r="M3587" t="s">
        <v>8641</v>
      </c>
      <c r="N3587" t="s">
        <v>8642</v>
      </c>
      <c r="Q3587" s="28">
        <v>69805</v>
      </c>
    </row>
    <row r="3588" spans="1:17" x14ac:dyDescent="0.35">
      <c r="A3588" t="s">
        <v>8520</v>
      </c>
      <c r="B3588" s="3" t="s">
        <v>102</v>
      </c>
      <c r="F3588">
        <v>5</v>
      </c>
      <c r="G3588" t="s">
        <v>8607</v>
      </c>
      <c r="H3588">
        <v>37</v>
      </c>
      <c r="I3588" t="s">
        <v>9306</v>
      </c>
      <c r="J3588" t="str">
        <f t="shared" si="56"/>
        <v>13F-HR-5.37.C11</v>
      </c>
      <c r="K3588" s="5" t="s">
        <v>8643</v>
      </c>
      <c r="L3588" t="s">
        <v>241</v>
      </c>
      <c r="M3588" t="s">
        <v>8644</v>
      </c>
      <c r="N3588" t="s">
        <v>8645</v>
      </c>
      <c r="Q3588" s="28">
        <v>0</v>
      </c>
    </row>
    <row r="3589" spans="1:17" x14ac:dyDescent="0.35">
      <c r="A3589" t="s">
        <v>8520</v>
      </c>
      <c r="B3589" s="3" t="s">
        <v>102</v>
      </c>
      <c r="F3589">
        <v>5</v>
      </c>
      <c r="G3589" t="s">
        <v>8607</v>
      </c>
      <c r="H3589">
        <v>38</v>
      </c>
      <c r="I3589" t="s">
        <v>9307</v>
      </c>
      <c r="J3589" t="str">
        <f t="shared" si="56"/>
        <v>13F-HR-5.38.C12</v>
      </c>
      <c r="K3589" s="5" t="s">
        <v>8646</v>
      </c>
      <c r="L3589" t="s">
        <v>241</v>
      </c>
      <c r="M3589" t="s">
        <v>8647</v>
      </c>
      <c r="N3589" t="s">
        <v>8648</v>
      </c>
      <c r="Q3589" s="28">
        <v>1642</v>
      </c>
    </row>
    <row r="3590" spans="1:17" x14ac:dyDescent="0.35">
      <c r="A3590" t="s">
        <v>8520</v>
      </c>
      <c r="B3590" s="3" t="s">
        <v>102</v>
      </c>
      <c r="F3590">
        <v>5</v>
      </c>
      <c r="G3590" t="s">
        <v>8607</v>
      </c>
      <c r="H3590">
        <v>27</v>
      </c>
      <c r="I3590" t="s">
        <v>9296</v>
      </c>
      <c r="J3590" t="str">
        <f t="shared" si="56"/>
        <v>13F-HR-5.27.C1</v>
      </c>
      <c r="K3590" s="5" t="s">
        <v>8608</v>
      </c>
      <c r="L3590" t="s">
        <v>229</v>
      </c>
      <c r="M3590" t="s">
        <v>8609</v>
      </c>
      <c r="N3590" t="s">
        <v>8610</v>
      </c>
      <c r="Q3590" s="28" t="s">
        <v>9118</v>
      </c>
    </row>
    <row r="3591" spans="1:17" x14ac:dyDescent="0.35">
      <c r="A3591" t="s">
        <v>8520</v>
      </c>
      <c r="B3591" s="3" t="s">
        <v>102</v>
      </c>
      <c r="F3591">
        <v>5</v>
      </c>
      <c r="G3591" t="s">
        <v>8607</v>
      </c>
      <c r="H3591">
        <v>28</v>
      </c>
      <c r="I3591" t="s">
        <v>9297</v>
      </c>
      <c r="J3591" t="str">
        <f t="shared" si="56"/>
        <v>13F-HR-5.28.C2</v>
      </c>
      <c r="K3591" s="5" t="s">
        <v>8612</v>
      </c>
      <c r="L3591" t="s">
        <v>229</v>
      </c>
      <c r="M3591" t="s">
        <v>8613</v>
      </c>
      <c r="N3591" t="s">
        <v>8614</v>
      </c>
      <c r="Q3591" s="28" t="s">
        <v>8615</v>
      </c>
    </row>
    <row r="3592" spans="1:17" x14ac:dyDescent="0.35">
      <c r="A3592" t="s">
        <v>8520</v>
      </c>
      <c r="B3592" s="3" t="s">
        <v>102</v>
      </c>
      <c r="F3592">
        <v>5</v>
      </c>
      <c r="G3592" t="s">
        <v>8607</v>
      </c>
      <c r="H3592">
        <v>29</v>
      </c>
      <c r="I3592" t="s">
        <v>9298</v>
      </c>
      <c r="J3592" t="str">
        <f t="shared" si="56"/>
        <v>13F-HR-5.29.C3</v>
      </c>
      <c r="K3592" s="5" t="s">
        <v>8616</v>
      </c>
      <c r="L3592" t="s">
        <v>229</v>
      </c>
      <c r="M3592" t="s">
        <v>7927</v>
      </c>
      <c r="N3592" t="s">
        <v>8617</v>
      </c>
      <c r="Q3592" s="28" t="s">
        <v>9119</v>
      </c>
    </row>
    <row r="3593" spans="1:17" x14ac:dyDescent="0.35">
      <c r="A3593" t="s">
        <v>8520</v>
      </c>
      <c r="B3593" s="3" t="s">
        <v>102</v>
      </c>
      <c r="F3593">
        <v>5</v>
      </c>
      <c r="G3593" t="s">
        <v>8607</v>
      </c>
      <c r="H3593">
        <v>30</v>
      </c>
      <c r="I3593" t="s">
        <v>9299</v>
      </c>
      <c r="J3593" t="str">
        <f t="shared" si="56"/>
        <v>13F-HR-5.30.C4</v>
      </c>
      <c r="K3593" s="5" t="s">
        <v>8618</v>
      </c>
      <c r="L3593" t="s">
        <v>8619</v>
      </c>
      <c r="M3593" t="s">
        <v>8620</v>
      </c>
      <c r="N3593" t="s">
        <v>8621</v>
      </c>
      <c r="Q3593" s="28">
        <v>8891627</v>
      </c>
    </row>
    <row r="3594" spans="1:17" x14ac:dyDescent="0.35">
      <c r="A3594" t="s">
        <v>8520</v>
      </c>
      <c r="B3594" s="3" t="s">
        <v>102</v>
      </c>
      <c r="F3594">
        <v>5</v>
      </c>
      <c r="G3594" t="s">
        <v>8607</v>
      </c>
      <c r="H3594">
        <v>31</v>
      </c>
      <c r="I3594" t="s">
        <v>9300</v>
      </c>
      <c r="J3594" t="str">
        <f t="shared" si="56"/>
        <v>13F-HR-5.31.C5</v>
      </c>
      <c r="K3594" s="5" t="s">
        <v>8622</v>
      </c>
      <c r="L3594" t="s">
        <v>241</v>
      </c>
      <c r="M3594" t="s">
        <v>8623</v>
      </c>
      <c r="N3594" t="s">
        <v>8624</v>
      </c>
      <c r="Q3594" s="28">
        <v>75532</v>
      </c>
    </row>
    <row r="3595" spans="1:17" x14ac:dyDescent="0.35">
      <c r="A3595" t="s">
        <v>8520</v>
      </c>
      <c r="B3595" s="3" t="s">
        <v>102</v>
      </c>
      <c r="F3595">
        <v>5</v>
      </c>
      <c r="G3595" t="s">
        <v>8607</v>
      </c>
      <c r="H3595">
        <v>32</v>
      </c>
      <c r="I3595" t="s">
        <v>9301</v>
      </c>
      <c r="J3595" t="str">
        <f t="shared" si="56"/>
        <v>13F-HR-5.32.C6</v>
      </c>
      <c r="K3595" s="5" t="s">
        <v>8625</v>
      </c>
      <c r="L3595" t="s">
        <v>229</v>
      </c>
      <c r="M3595" t="s">
        <v>8626</v>
      </c>
      <c r="N3595" t="s">
        <v>8627</v>
      </c>
      <c r="Q3595" s="28" t="s">
        <v>8628</v>
      </c>
    </row>
    <row r="3596" spans="1:17" x14ac:dyDescent="0.35">
      <c r="A3596" t="s">
        <v>8520</v>
      </c>
      <c r="B3596" s="3" t="s">
        <v>102</v>
      </c>
      <c r="F3596">
        <v>5</v>
      </c>
      <c r="G3596" t="s">
        <v>8607</v>
      </c>
      <c r="H3596">
        <v>33</v>
      </c>
      <c r="I3596" t="s">
        <v>9302</v>
      </c>
      <c r="J3596" t="str">
        <f t="shared" si="56"/>
        <v>13F-HR-5.33.C7</v>
      </c>
      <c r="K3596" s="5" t="s">
        <v>8629</v>
      </c>
      <c r="L3596" t="s">
        <v>229</v>
      </c>
      <c r="M3596" t="s">
        <v>8630</v>
      </c>
      <c r="N3596" t="s">
        <v>8631</v>
      </c>
      <c r="Q3596" s="28" t="s">
        <v>8685</v>
      </c>
    </row>
    <row r="3597" spans="1:17" x14ac:dyDescent="0.35">
      <c r="A3597" t="s">
        <v>8520</v>
      </c>
      <c r="B3597" s="3" t="s">
        <v>102</v>
      </c>
      <c r="F3597">
        <v>5</v>
      </c>
      <c r="G3597" t="s">
        <v>8607</v>
      </c>
      <c r="H3597">
        <v>34</v>
      </c>
      <c r="I3597" t="s">
        <v>9303</v>
      </c>
      <c r="J3597" t="str">
        <f t="shared" si="56"/>
        <v>13F-HR-5.34.C8</v>
      </c>
      <c r="K3597" s="5" t="s">
        <v>8633</v>
      </c>
      <c r="L3597" t="s">
        <v>4735</v>
      </c>
      <c r="M3597" t="s">
        <v>8634</v>
      </c>
      <c r="N3597" t="s">
        <v>8635</v>
      </c>
      <c r="Q3597" s="28" t="s">
        <v>8632</v>
      </c>
    </row>
    <row r="3598" spans="1:17" x14ac:dyDescent="0.35">
      <c r="A3598" t="s">
        <v>8651</v>
      </c>
      <c r="B3598" s="3" t="s">
        <v>102</v>
      </c>
      <c r="F3598">
        <v>5</v>
      </c>
      <c r="G3598" t="s">
        <v>8607</v>
      </c>
      <c r="H3598">
        <v>35</v>
      </c>
      <c r="I3598" t="s">
        <v>9304</v>
      </c>
      <c r="J3598" t="str">
        <f t="shared" si="56"/>
        <v>135-HR-5.35.C9</v>
      </c>
      <c r="K3598" s="5" t="s">
        <v>8637</v>
      </c>
      <c r="L3598" t="s">
        <v>229</v>
      </c>
      <c r="M3598" t="s">
        <v>8638</v>
      </c>
      <c r="N3598" t="s">
        <v>8639</v>
      </c>
      <c r="Q3598" s="28" t="s">
        <v>8636</v>
      </c>
    </row>
    <row r="3599" spans="1:17" x14ac:dyDescent="0.35">
      <c r="A3599" t="s">
        <v>8520</v>
      </c>
      <c r="B3599" s="3" t="s">
        <v>102</v>
      </c>
      <c r="F3599">
        <v>5</v>
      </c>
      <c r="G3599" t="s">
        <v>8607</v>
      </c>
      <c r="H3599">
        <v>36</v>
      </c>
      <c r="I3599" t="s">
        <v>9305</v>
      </c>
      <c r="J3599" t="str">
        <f t="shared" si="56"/>
        <v>13F-HR-5.36.C10</v>
      </c>
      <c r="K3599" s="5" t="s">
        <v>8640</v>
      </c>
      <c r="L3599" t="s">
        <v>241</v>
      </c>
      <c r="M3599" t="s">
        <v>8641</v>
      </c>
      <c r="N3599" t="s">
        <v>8642</v>
      </c>
      <c r="Q3599" s="28">
        <v>71122</v>
      </c>
    </row>
    <row r="3600" spans="1:17" x14ac:dyDescent="0.35">
      <c r="A3600" t="s">
        <v>8520</v>
      </c>
      <c r="B3600" s="3" t="s">
        <v>102</v>
      </c>
      <c r="F3600">
        <v>5</v>
      </c>
      <c r="G3600" t="s">
        <v>8607</v>
      </c>
      <c r="H3600">
        <v>37</v>
      </c>
      <c r="I3600" t="s">
        <v>9306</v>
      </c>
      <c r="J3600" t="str">
        <f t="shared" si="56"/>
        <v>13F-HR-5.37.C11</v>
      </c>
      <c r="K3600" s="5" t="s">
        <v>8643</v>
      </c>
      <c r="L3600" t="s">
        <v>241</v>
      </c>
      <c r="M3600" t="s">
        <v>8644</v>
      </c>
      <c r="N3600" t="s">
        <v>8645</v>
      </c>
      <c r="Q3600" s="28">
        <v>0</v>
      </c>
    </row>
    <row r="3601" spans="1:17" x14ac:dyDescent="0.35">
      <c r="A3601" t="s">
        <v>8520</v>
      </c>
      <c r="B3601" s="3" t="s">
        <v>102</v>
      </c>
      <c r="F3601">
        <v>5</v>
      </c>
      <c r="G3601" t="s">
        <v>8607</v>
      </c>
      <c r="H3601">
        <v>38</v>
      </c>
      <c r="I3601" t="s">
        <v>9307</v>
      </c>
      <c r="J3601" t="str">
        <f t="shared" si="56"/>
        <v>13F-HR-5.38.C12</v>
      </c>
      <c r="K3601" s="5" t="s">
        <v>8646</v>
      </c>
      <c r="L3601" t="s">
        <v>241</v>
      </c>
      <c r="M3601" t="s">
        <v>8647</v>
      </c>
      <c r="N3601" t="s">
        <v>8648</v>
      </c>
      <c r="Q3601" s="28">
        <v>4410</v>
      </c>
    </row>
    <row r="3602" spans="1:17" x14ac:dyDescent="0.35">
      <c r="A3602" t="s">
        <v>8520</v>
      </c>
      <c r="B3602" s="3" t="s">
        <v>102</v>
      </c>
      <c r="F3602">
        <v>5</v>
      </c>
      <c r="G3602" t="s">
        <v>8607</v>
      </c>
      <c r="H3602">
        <v>27</v>
      </c>
      <c r="I3602" t="s">
        <v>9296</v>
      </c>
      <c r="J3602" t="str">
        <f t="shared" si="56"/>
        <v>13F-HR-5.27.C1</v>
      </c>
      <c r="K3602" s="5" t="s">
        <v>8608</v>
      </c>
      <c r="L3602" t="s">
        <v>229</v>
      </c>
      <c r="M3602" t="s">
        <v>8609</v>
      </c>
      <c r="N3602" t="s">
        <v>8610</v>
      </c>
      <c r="Q3602" s="28" t="s">
        <v>9120</v>
      </c>
    </row>
    <row r="3603" spans="1:17" x14ac:dyDescent="0.35">
      <c r="A3603" t="s">
        <v>8520</v>
      </c>
      <c r="B3603" s="3" t="s">
        <v>102</v>
      </c>
      <c r="F3603">
        <v>5</v>
      </c>
      <c r="G3603" t="s">
        <v>8607</v>
      </c>
      <c r="H3603">
        <v>28</v>
      </c>
      <c r="I3603" t="s">
        <v>9297</v>
      </c>
      <c r="J3603" t="str">
        <f t="shared" si="56"/>
        <v>13F-HR-5.28.C2</v>
      </c>
      <c r="K3603" s="5" t="s">
        <v>8612</v>
      </c>
      <c r="L3603" t="s">
        <v>229</v>
      </c>
      <c r="M3603" t="s">
        <v>8613</v>
      </c>
      <c r="N3603" t="s">
        <v>8614</v>
      </c>
      <c r="Q3603" s="28" t="s">
        <v>9095</v>
      </c>
    </row>
    <row r="3604" spans="1:17" x14ac:dyDescent="0.35">
      <c r="A3604" t="s">
        <v>8520</v>
      </c>
      <c r="B3604" s="3" t="s">
        <v>102</v>
      </c>
      <c r="F3604">
        <v>5</v>
      </c>
      <c r="G3604" t="s">
        <v>8607</v>
      </c>
      <c r="H3604">
        <v>29</v>
      </c>
      <c r="I3604" t="s">
        <v>9298</v>
      </c>
      <c r="J3604" t="str">
        <f t="shared" si="56"/>
        <v>13F-HR-5.29.C3</v>
      </c>
      <c r="K3604" s="5" t="s">
        <v>8616</v>
      </c>
      <c r="L3604" t="s">
        <v>229</v>
      </c>
      <c r="M3604" t="s">
        <v>7927</v>
      </c>
      <c r="N3604" t="s">
        <v>8617</v>
      </c>
      <c r="Q3604" s="28" t="s">
        <v>9121</v>
      </c>
    </row>
    <row r="3605" spans="1:17" x14ac:dyDescent="0.35">
      <c r="A3605" t="s">
        <v>8520</v>
      </c>
      <c r="B3605" s="3" t="s">
        <v>102</v>
      </c>
      <c r="F3605">
        <v>5</v>
      </c>
      <c r="G3605" t="s">
        <v>8607</v>
      </c>
      <c r="H3605">
        <v>30</v>
      </c>
      <c r="I3605" t="s">
        <v>9299</v>
      </c>
      <c r="J3605" t="str">
        <f t="shared" si="56"/>
        <v>13F-HR-5.30.C4</v>
      </c>
      <c r="K3605" s="5" t="s">
        <v>8618</v>
      </c>
      <c r="L3605" t="s">
        <v>8619</v>
      </c>
      <c r="M3605" t="s">
        <v>8620</v>
      </c>
      <c r="N3605" t="s">
        <v>8621</v>
      </c>
      <c r="Q3605" s="28">
        <v>4115324</v>
      </c>
    </row>
    <row r="3606" spans="1:17" x14ac:dyDescent="0.35">
      <c r="A3606" t="s">
        <v>8520</v>
      </c>
      <c r="B3606" s="3" t="s">
        <v>102</v>
      </c>
      <c r="F3606">
        <v>5</v>
      </c>
      <c r="G3606" t="s">
        <v>8607</v>
      </c>
      <c r="H3606">
        <v>31</v>
      </c>
      <c r="I3606" t="s">
        <v>9300</v>
      </c>
      <c r="J3606" t="str">
        <f t="shared" si="56"/>
        <v>13F-HR-5.31.C5</v>
      </c>
      <c r="K3606" s="5" t="s">
        <v>8622</v>
      </c>
      <c r="L3606" t="s">
        <v>241</v>
      </c>
      <c r="M3606" t="s">
        <v>8623</v>
      </c>
      <c r="N3606" t="s">
        <v>8624</v>
      </c>
      <c r="Q3606" s="28">
        <v>7482</v>
      </c>
    </row>
    <row r="3607" spans="1:17" x14ac:dyDescent="0.35">
      <c r="A3607" t="s">
        <v>8520</v>
      </c>
      <c r="B3607" s="3" t="s">
        <v>102</v>
      </c>
      <c r="F3607">
        <v>5</v>
      </c>
      <c r="G3607" t="s">
        <v>8607</v>
      </c>
      <c r="H3607">
        <v>32</v>
      </c>
      <c r="I3607" t="s">
        <v>9301</v>
      </c>
      <c r="J3607" t="str">
        <f t="shared" si="56"/>
        <v>13F-HR-5.32.C6</v>
      </c>
      <c r="K3607" s="5" t="s">
        <v>8625</v>
      </c>
      <c r="L3607" t="s">
        <v>229</v>
      </c>
      <c r="M3607" t="s">
        <v>8626</v>
      </c>
      <c r="N3607" t="s">
        <v>8627</v>
      </c>
      <c r="Q3607" s="28" t="s">
        <v>8628</v>
      </c>
    </row>
    <row r="3608" spans="1:17" x14ac:dyDescent="0.35">
      <c r="A3608" t="s">
        <v>8520</v>
      </c>
      <c r="B3608" s="3" t="s">
        <v>102</v>
      </c>
      <c r="F3608">
        <v>5</v>
      </c>
      <c r="G3608" t="s">
        <v>8607</v>
      </c>
      <c r="H3608">
        <v>33</v>
      </c>
      <c r="I3608" t="s">
        <v>9302</v>
      </c>
      <c r="J3608" t="str">
        <f t="shared" si="56"/>
        <v>13F-HR-5.33.C7</v>
      </c>
      <c r="K3608" s="5" t="s">
        <v>8629</v>
      </c>
      <c r="L3608" t="s">
        <v>229</v>
      </c>
      <c r="M3608" t="s">
        <v>8630</v>
      </c>
      <c r="N3608" t="s">
        <v>8631</v>
      </c>
      <c r="Q3608" s="28" t="s">
        <v>8685</v>
      </c>
    </row>
    <row r="3609" spans="1:17" x14ac:dyDescent="0.35">
      <c r="A3609" t="s">
        <v>8520</v>
      </c>
      <c r="B3609" s="3" t="s">
        <v>102</v>
      </c>
      <c r="F3609">
        <v>5</v>
      </c>
      <c r="G3609" t="s">
        <v>8607</v>
      </c>
      <c r="H3609">
        <v>34</v>
      </c>
      <c r="I3609" t="s">
        <v>9303</v>
      </c>
      <c r="J3609" t="str">
        <f t="shared" si="56"/>
        <v>13F-HR-5.34.C8</v>
      </c>
      <c r="K3609" s="5" t="s">
        <v>8633</v>
      </c>
      <c r="L3609" t="s">
        <v>4735</v>
      </c>
      <c r="M3609" t="s">
        <v>8634</v>
      </c>
      <c r="N3609" t="s">
        <v>8635</v>
      </c>
      <c r="Q3609" s="28" t="s">
        <v>8632</v>
      </c>
    </row>
    <row r="3610" spans="1:17" x14ac:dyDescent="0.35">
      <c r="A3610" t="s">
        <v>8651</v>
      </c>
      <c r="B3610" s="3" t="s">
        <v>102</v>
      </c>
      <c r="F3610">
        <v>5</v>
      </c>
      <c r="G3610" t="s">
        <v>8607</v>
      </c>
      <c r="H3610">
        <v>35</v>
      </c>
      <c r="I3610" t="s">
        <v>9304</v>
      </c>
      <c r="J3610" t="str">
        <f t="shared" si="56"/>
        <v>135-HR-5.35.C9</v>
      </c>
      <c r="K3610" s="5" t="s">
        <v>8637</v>
      </c>
      <c r="L3610" t="s">
        <v>229</v>
      </c>
      <c r="M3610" t="s">
        <v>8638</v>
      </c>
      <c r="N3610" t="s">
        <v>8639</v>
      </c>
      <c r="Q3610" s="28" t="s">
        <v>8636</v>
      </c>
    </row>
    <row r="3611" spans="1:17" x14ac:dyDescent="0.35">
      <c r="A3611" t="s">
        <v>8520</v>
      </c>
      <c r="B3611" s="3" t="s">
        <v>102</v>
      </c>
      <c r="F3611">
        <v>5</v>
      </c>
      <c r="G3611" t="s">
        <v>8607</v>
      </c>
      <c r="H3611">
        <v>36</v>
      </c>
      <c r="I3611" t="s">
        <v>9305</v>
      </c>
      <c r="J3611" t="str">
        <f t="shared" si="56"/>
        <v>13F-HR-5.36.C10</v>
      </c>
      <c r="K3611" s="5" t="s">
        <v>8640</v>
      </c>
      <c r="L3611" t="s">
        <v>241</v>
      </c>
      <c r="M3611" t="s">
        <v>8641</v>
      </c>
      <c r="N3611" t="s">
        <v>8642</v>
      </c>
      <c r="Q3611" s="28">
        <v>4240</v>
      </c>
    </row>
    <row r="3612" spans="1:17" x14ac:dyDescent="0.35">
      <c r="A3612" t="s">
        <v>8520</v>
      </c>
      <c r="B3612" s="3" t="s">
        <v>102</v>
      </c>
      <c r="F3612">
        <v>5</v>
      </c>
      <c r="G3612" t="s">
        <v>8607</v>
      </c>
      <c r="H3612">
        <v>37</v>
      </c>
      <c r="I3612" t="s">
        <v>9306</v>
      </c>
      <c r="J3612" t="str">
        <f t="shared" si="56"/>
        <v>13F-HR-5.37.C11</v>
      </c>
      <c r="K3612" s="5" t="s">
        <v>8643</v>
      </c>
      <c r="L3612" t="s">
        <v>241</v>
      </c>
      <c r="M3612" t="s">
        <v>8644</v>
      </c>
      <c r="N3612" t="s">
        <v>8645</v>
      </c>
      <c r="Q3612" s="28">
        <v>0</v>
      </c>
    </row>
    <row r="3613" spans="1:17" x14ac:dyDescent="0.35">
      <c r="A3613" t="s">
        <v>8520</v>
      </c>
      <c r="B3613" s="3" t="s">
        <v>102</v>
      </c>
      <c r="F3613">
        <v>5</v>
      </c>
      <c r="G3613" t="s">
        <v>8607</v>
      </c>
      <c r="H3613">
        <v>38</v>
      </c>
      <c r="I3613" t="s">
        <v>9307</v>
      </c>
      <c r="J3613" t="str">
        <f t="shared" si="56"/>
        <v>13F-HR-5.38.C12</v>
      </c>
      <c r="K3613" s="5" t="s">
        <v>8646</v>
      </c>
      <c r="L3613" t="s">
        <v>241</v>
      </c>
      <c r="M3613" t="s">
        <v>8647</v>
      </c>
      <c r="N3613" t="s">
        <v>8648</v>
      </c>
      <c r="Q3613" s="28">
        <v>3242</v>
      </c>
    </row>
    <row r="3614" spans="1:17" x14ac:dyDescent="0.35">
      <c r="A3614" t="s">
        <v>8520</v>
      </c>
      <c r="B3614" s="3" t="s">
        <v>102</v>
      </c>
      <c r="F3614">
        <v>5</v>
      </c>
      <c r="G3614" t="s">
        <v>8607</v>
      </c>
      <c r="H3614">
        <v>27</v>
      </c>
      <c r="I3614" t="s">
        <v>9296</v>
      </c>
      <c r="J3614" t="str">
        <f t="shared" si="56"/>
        <v>13F-HR-5.27.C1</v>
      </c>
      <c r="K3614" s="5" t="s">
        <v>8608</v>
      </c>
      <c r="L3614" t="s">
        <v>229</v>
      </c>
      <c r="M3614" t="s">
        <v>8609</v>
      </c>
      <c r="N3614" t="s">
        <v>8610</v>
      </c>
      <c r="Q3614" s="28" t="s">
        <v>9122</v>
      </c>
    </row>
    <row r="3615" spans="1:17" x14ac:dyDescent="0.35">
      <c r="A3615" t="s">
        <v>8520</v>
      </c>
      <c r="B3615" s="3" t="s">
        <v>102</v>
      </c>
      <c r="F3615">
        <v>5</v>
      </c>
      <c r="G3615" t="s">
        <v>8607</v>
      </c>
      <c r="H3615">
        <v>28</v>
      </c>
      <c r="I3615" t="s">
        <v>9297</v>
      </c>
      <c r="J3615" t="str">
        <f t="shared" si="56"/>
        <v>13F-HR-5.28.C2</v>
      </c>
      <c r="K3615" s="5" t="s">
        <v>8612</v>
      </c>
      <c r="L3615" t="s">
        <v>229</v>
      </c>
      <c r="M3615" t="s">
        <v>8613</v>
      </c>
      <c r="N3615" t="s">
        <v>8614</v>
      </c>
      <c r="Q3615" s="28" t="s">
        <v>9123</v>
      </c>
    </row>
    <row r="3616" spans="1:17" x14ac:dyDescent="0.35">
      <c r="A3616" t="s">
        <v>8520</v>
      </c>
      <c r="B3616" s="3" t="s">
        <v>102</v>
      </c>
      <c r="F3616">
        <v>5</v>
      </c>
      <c r="G3616" t="s">
        <v>8607</v>
      </c>
      <c r="H3616">
        <v>29</v>
      </c>
      <c r="I3616" t="s">
        <v>9298</v>
      </c>
      <c r="J3616" t="str">
        <f t="shared" si="56"/>
        <v>13F-HR-5.29.C3</v>
      </c>
      <c r="K3616" s="5" t="s">
        <v>8616</v>
      </c>
      <c r="L3616" t="s">
        <v>229</v>
      </c>
      <c r="M3616" t="s">
        <v>7927</v>
      </c>
      <c r="N3616" t="s">
        <v>8617</v>
      </c>
      <c r="Q3616" s="28" t="s">
        <v>9124</v>
      </c>
    </row>
    <row r="3617" spans="1:17" x14ac:dyDescent="0.35">
      <c r="A3617" t="s">
        <v>8520</v>
      </c>
      <c r="B3617" s="3" t="s">
        <v>102</v>
      </c>
      <c r="F3617">
        <v>5</v>
      </c>
      <c r="G3617" t="s">
        <v>8607</v>
      </c>
      <c r="H3617">
        <v>30</v>
      </c>
      <c r="I3617" t="s">
        <v>9299</v>
      </c>
      <c r="J3617" t="str">
        <f t="shared" si="56"/>
        <v>13F-HR-5.30.C4</v>
      </c>
      <c r="K3617" s="5" t="s">
        <v>8618</v>
      </c>
      <c r="L3617" t="s">
        <v>8619</v>
      </c>
      <c r="M3617" t="s">
        <v>8620</v>
      </c>
      <c r="N3617" t="s">
        <v>8621</v>
      </c>
      <c r="Q3617" s="28">
        <v>63996143</v>
      </c>
    </row>
    <row r="3618" spans="1:17" x14ac:dyDescent="0.35">
      <c r="A3618" t="s">
        <v>8520</v>
      </c>
      <c r="B3618" s="3" t="s">
        <v>102</v>
      </c>
      <c r="F3618">
        <v>5</v>
      </c>
      <c r="G3618" t="s">
        <v>8607</v>
      </c>
      <c r="H3618">
        <v>31</v>
      </c>
      <c r="I3618" t="s">
        <v>9300</v>
      </c>
      <c r="J3618" t="str">
        <f t="shared" si="56"/>
        <v>13F-HR-5.31.C5</v>
      </c>
      <c r="K3618" s="5" t="s">
        <v>8622</v>
      </c>
      <c r="L3618" t="s">
        <v>241</v>
      </c>
      <c r="M3618" t="s">
        <v>8623</v>
      </c>
      <c r="N3618" t="s">
        <v>8624</v>
      </c>
      <c r="Q3618" s="28">
        <v>96579</v>
      </c>
    </row>
    <row r="3619" spans="1:17" x14ac:dyDescent="0.35">
      <c r="A3619" t="s">
        <v>8520</v>
      </c>
      <c r="B3619" s="3" t="s">
        <v>102</v>
      </c>
      <c r="F3619">
        <v>5</v>
      </c>
      <c r="G3619" t="s">
        <v>8607</v>
      </c>
      <c r="H3619">
        <v>32</v>
      </c>
      <c r="I3619" t="s">
        <v>9301</v>
      </c>
      <c r="J3619" t="str">
        <f t="shared" si="56"/>
        <v>13F-HR-5.32.C6</v>
      </c>
      <c r="K3619" s="5" t="s">
        <v>8625</v>
      </c>
      <c r="L3619" t="s">
        <v>229</v>
      </c>
      <c r="M3619" t="s">
        <v>8626</v>
      </c>
      <c r="N3619" t="s">
        <v>8627</v>
      </c>
      <c r="Q3619" s="28" t="s">
        <v>8628</v>
      </c>
    </row>
    <row r="3620" spans="1:17" x14ac:dyDescent="0.35">
      <c r="A3620" t="s">
        <v>8520</v>
      </c>
      <c r="B3620" s="3" t="s">
        <v>102</v>
      </c>
      <c r="F3620">
        <v>5</v>
      </c>
      <c r="G3620" t="s">
        <v>8607</v>
      </c>
      <c r="H3620">
        <v>33</v>
      </c>
      <c r="I3620" t="s">
        <v>9302</v>
      </c>
      <c r="J3620" t="str">
        <f t="shared" si="56"/>
        <v>13F-HR-5.33.C7</v>
      </c>
      <c r="K3620" s="5" t="s">
        <v>8629</v>
      </c>
      <c r="L3620" t="s">
        <v>229</v>
      </c>
      <c r="M3620" t="s">
        <v>8630</v>
      </c>
      <c r="N3620" t="s">
        <v>8631</v>
      </c>
      <c r="Q3620" s="28" t="s">
        <v>8685</v>
      </c>
    </row>
    <row r="3621" spans="1:17" x14ac:dyDescent="0.35">
      <c r="A3621" t="s">
        <v>8520</v>
      </c>
      <c r="B3621" s="3" t="s">
        <v>102</v>
      </c>
      <c r="F3621">
        <v>5</v>
      </c>
      <c r="G3621" t="s">
        <v>8607</v>
      </c>
      <c r="H3621">
        <v>34</v>
      </c>
      <c r="I3621" t="s">
        <v>9303</v>
      </c>
      <c r="J3621" t="str">
        <f t="shared" si="56"/>
        <v>13F-HR-5.34.C8</v>
      </c>
      <c r="K3621" s="5" t="s">
        <v>8633</v>
      </c>
      <c r="L3621" t="s">
        <v>4735</v>
      </c>
      <c r="M3621" t="s">
        <v>8634</v>
      </c>
      <c r="N3621" t="s">
        <v>8635</v>
      </c>
      <c r="Q3621" s="28" t="s">
        <v>8632</v>
      </c>
    </row>
    <row r="3622" spans="1:17" x14ac:dyDescent="0.35">
      <c r="A3622" t="s">
        <v>8651</v>
      </c>
      <c r="B3622" s="3" t="s">
        <v>102</v>
      </c>
      <c r="F3622">
        <v>5</v>
      </c>
      <c r="G3622" t="s">
        <v>8607</v>
      </c>
      <c r="H3622">
        <v>35</v>
      </c>
      <c r="I3622" t="s">
        <v>9304</v>
      </c>
      <c r="J3622" t="str">
        <f t="shared" si="56"/>
        <v>135-HR-5.35.C9</v>
      </c>
      <c r="K3622" s="5" t="s">
        <v>8637</v>
      </c>
      <c r="L3622" t="s">
        <v>229</v>
      </c>
      <c r="M3622" t="s">
        <v>8638</v>
      </c>
      <c r="N3622" t="s">
        <v>8639</v>
      </c>
      <c r="Q3622" s="28" t="s">
        <v>8636</v>
      </c>
    </row>
    <row r="3623" spans="1:17" x14ac:dyDescent="0.35">
      <c r="A3623" t="s">
        <v>8520</v>
      </c>
      <c r="B3623" s="3" t="s">
        <v>102</v>
      </c>
      <c r="F3623">
        <v>5</v>
      </c>
      <c r="G3623" t="s">
        <v>8607</v>
      </c>
      <c r="H3623">
        <v>36</v>
      </c>
      <c r="I3623" t="s">
        <v>9305</v>
      </c>
      <c r="J3623" t="str">
        <f t="shared" si="56"/>
        <v>13F-HR-5.36.C10</v>
      </c>
      <c r="K3623" s="5" t="s">
        <v>8640</v>
      </c>
      <c r="L3623" t="s">
        <v>241</v>
      </c>
      <c r="M3623" t="s">
        <v>8641</v>
      </c>
      <c r="N3623" t="s">
        <v>8642</v>
      </c>
      <c r="Q3623" s="28">
        <v>55107</v>
      </c>
    </row>
    <row r="3624" spans="1:17" x14ac:dyDescent="0.35">
      <c r="A3624" t="s">
        <v>8520</v>
      </c>
      <c r="B3624" s="3" t="s">
        <v>102</v>
      </c>
      <c r="F3624">
        <v>5</v>
      </c>
      <c r="G3624" t="s">
        <v>8607</v>
      </c>
      <c r="H3624">
        <v>37</v>
      </c>
      <c r="I3624" t="s">
        <v>9306</v>
      </c>
      <c r="J3624" t="str">
        <f t="shared" si="56"/>
        <v>13F-HR-5.37.C11</v>
      </c>
      <c r="K3624" s="5" t="s">
        <v>8643</v>
      </c>
      <c r="L3624" t="s">
        <v>241</v>
      </c>
      <c r="M3624" t="s">
        <v>8644</v>
      </c>
      <c r="N3624" t="s">
        <v>8645</v>
      </c>
      <c r="Q3624" s="28">
        <v>0</v>
      </c>
    </row>
    <row r="3625" spans="1:17" x14ac:dyDescent="0.35">
      <c r="A3625" t="s">
        <v>8520</v>
      </c>
      <c r="B3625" s="3" t="s">
        <v>102</v>
      </c>
      <c r="F3625">
        <v>5</v>
      </c>
      <c r="G3625" t="s">
        <v>8607</v>
      </c>
      <c r="H3625">
        <v>38</v>
      </c>
      <c r="I3625" t="s">
        <v>9307</v>
      </c>
      <c r="J3625" t="str">
        <f t="shared" si="56"/>
        <v>13F-HR-5.38.C12</v>
      </c>
      <c r="K3625" s="5" t="s">
        <v>8646</v>
      </c>
      <c r="L3625" t="s">
        <v>241</v>
      </c>
      <c r="M3625" t="s">
        <v>8647</v>
      </c>
      <c r="N3625" t="s">
        <v>8648</v>
      </c>
      <c r="Q3625" s="28">
        <v>41472</v>
      </c>
    </row>
    <row r="3626" spans="1:17" x14ac:dyDescent="0.35">
      <c r="A3626" t="s">
        <v>8520</v>
      </c>
      <c r="B3626" s="3" t="s">
        <v>102</v>
      </c>
      <c r="F3626">
        <v>5</v>
      </c>
      <c r="G3626" t="s">
        <v>8607</v>
      </c>
      <c r="H3626">
        <v>27</v>
      </c>
      <c r="I3626" t="s">
        <v>9296</v>
      </c>
      <c r="J3626" t="str">
        <f t="shared" si="56"/>
        <v>13F-HR-5.27.C1</v>
      </c>
      <c r="K3626" s="5" t="s">
        <v>8608</v>
      </c>
      <c r="L3626" t="s">
        <v>229</v>
      </c>
      <c r="M3626" t="s">
        <v>8609</v>
      </c>
      <c r="N3626" t="s">
        <v>8610</v>
      </c>
      <c r="Q3626" s="28" t="s">
        <v>9125</v>
      </c>
    </row>
    <row r="3627" spans="1:17" x14ac:dyDescent="0.35">
      <c r="A3627" t="s">
        <v>8520</v>
      </c>
      <c r="B3627" s="3" t="s">
        <v>102</v>
      </c>
      <c r="F3627">
        <v>5</v>
      </c>
      <c r="G3627" t="s">
        <v>8607</v>
      </c>
      <c r="H3627">
        <v>28</v>
      </c>
      <c r="I3627" t="s">
        <v>9297</v>
      </c>
      <c r="J3627" t="str">
        <f t="shared" si="56"/>
        <v>13F-HR-5.28.C2</v>
      </c>
      <c r="K3627" s="5" t="s">
        <v>8612</v>
      </c>
      <c r="L3627" t="s">
        <v>229</v>
      </c>
      <c r="M3627" t="s">
        <v>8613</v>
      </c>
      <c r="N3627" t="s">
        <v>8614</v>
      </c>
      <c r="Q3627" s="28" t="s">
        <v>8615</v>
      </c>
    </row>
    <row r="3628" spans="1:17" x14ac:dyDescent="0.35">
      <c r="A3628" t="s">
        <v>8520</v>
      </c>
      <c r="B3628" s="3" t="s">
        <v>102</v>
      </c>
      <c r="F3628">
        <v>5</v>
      </c>
      <c r="G3628" t="s">
        <v>8607</v>
      </c>
      <c r="H3628">
        <v>29</v>
      </c>
      <c r="I3628" t="s">
        <v>9298</v>
      </c>
      <c r="J3628" t="str">
        <f t="shared" si="56"/>
        <v>13F-HR-5.29.C3</v>
      </c>
      <c r="K3628" s="5" t="s">
        <v>8616</v>
      </c>
      <c r="L3628" t="s">
        <v>229</v>
      </c>
      <c r="M3628" t="s">
        <v>7927</v>
      </c>
      <c r="N3628" t="s">
        <v>8617</v>
      </c>
      <c r="Q3628" s="28" t="s">
        <v>9126</v>
      </c>
    </row>
    <row r="3629" spans="1:17" x14ac:dyDescent="0.35">
      <c r="A3629" t="s">
        <v>8520</v>
      </c>
      <c r="B3629" s="3" t="s">
        <v>102</v>
      </c>
      <c r="F3629">
        <v>5</v>
      </c>
      <c r="G3629" t="s">
        <v>8607</v>
      </c>
      <c r="H3629">
        <v>30</v>
      </c>
      <c r="I3629" t="s">
        <v>9299</v>
      </c>
      <c r="J3629" t="str">
        <f t="shared" si="56"/>
        <v>13F-HR-5.30.C4</v>
      </c>
      <c r="K3629" s="5" t="s">
        <v>8618</v>
      </c>
      <c r="L3629" t="s">
        <v>8619</v>
      </c>
      <c r="M3629" t="s">
        <v>8620</v>
      </c>
      <c r="N3629" t="s">
        <v>8621</v>
      </c>
      <c r="Q3629" s="28">
        <v>96665148</v>
      </c>
    </row>
    <row r="3630" spans="1:17" x14ac:dyDescent="0.35">
      <c r="A3630" t="s">
        <v>8520</v>
      </c>
      <c r="B3630" s="3" t="s">
        <v>102</v>
      </c>
      <c r="F3630">
        <v>5</v>
      </c>
      <c r="G3630" t="s">
        <v>8607</v>
      </c>
      <c r="H3630">
        <v>31</v>
      </c>
      <c r="I3630" t="s">
        <v>9300</v>
      </c>
      <c r="J3630" t="str">
        <f t="shared" si="56"/>
        <v>13F-HR-5.31.C5</v>
      </c>
      <c r="K3630" s="5" t="s">
        <v>8622</v>
      </c>
      <c r="L3630" t="s">
        <v>241</v>
      </c>
      <c r="M3630" t="s">
        <v>8623</v>
      </c>
      <c r="N3630" t="s">
        <v>8624</v>
      </c>
      <c r="Q3630" s="28">
        <v>227677</v>
      </c>
    </row>
    <row r="3631" spans="1:17" x14ac:dyDescent="0.35">
      <c r="A3631" t="s">
        <v>8520</v>
      </c>
      <c r="B3631" s="3" t="s">
        <v>102</v>
      </c>
      <c r="F3631">
        <v>5</v>
      </c>
      <c r="G3631" t="s">
        <v>8607</v>
      </c>
      <c r="H3631">
        <v>32</v>
      </c>
      <c r="I3631" t="s">
        <v>9301</v>
      </c>
      <c r="J3631" t="str">
        <f t="shared" si="56"/>
        <v>13F-HR-5.32.C6</v>
      </c>
      <c r="K3631" s="5" t="s">
        <v>8625</v>
      </c>
      <c r="L3631" t="s">
        <v>229</v>
      </c>
      <c r="M3631" t="s">
        <v>8626</v>
      </c>
      <c r="N3631" t="s">
        <v>8627</v>
      </c>
      <c r="Q3631" s="28" t="s">
        <v>8628</v>
      </c>
    </row>
    <row r="3632" spans="1:17" x14ac:dyDescent="0.35">
      <c r="A3632" t="s">
        <v>8520</v>
      </c>
      <c r="B3632" s="3" t="s">
        <v>102</v>
      </c>
      <c r="F3632">
        <v>5</v>
      </c>
      <c r="G3632" t="s">
        <v>8607</v>
      </c>
      <c r="H3632">
        <v>33</v>
      </c>
      <c r="I3632" t="s">
        <v>9302</v>
      </c>
      <c r="J3632" t="str">
        <f t="shared" si="56"/>
        <v>13F-HR-5.33.C7</v>
      </c>
      <c r="K3632" s="5" t="s">
        <v>8629</v>
      </c>
      <c r="L3632" t="s">
        <v>229</v>
      </c>
      <c r="M3632" t="s">
        <v>8630</v>
      </c>
      <c r="N3632" t="s">
        <v>8631</v>
      </c>
      <c r="Q3632" s="28" t="s">
        <v>8685</v>
      </c>
    </row>
    <row r="3633" spans="1:17" x14ac:dyDescent="0.35">
      <c r="A3633" t="s">
        <v>8520</v>
      </c>
      <c r="B3633" s="3" t="s">
        <v>102</v>
      </c>
      <c r="F3633">
        <v>5</v>
      </c>
      <c r="G3633" t="s">
        <v>8607</v>
      </c>
      <c r="H3633">
        <v>34</v>
      </c>
      <c r="I3633" t="s">
        <v>9303</v>
      </c>
      <c r="J3633" t="str">
        <f t="shared" si="56"/>
        <v>13F-HR-5.34.C8</v>
      </c>
      <c r="K3633" s="5" t="s">
        <v>8633</v>
      </c>
      <c r="L3633" t="s">
        <v>4735</v>
      </c>
      <c r="M3633" t="s">
        <v>8634</v>
      </c>
      <c r="N3633" t="s">
        <v>8635</v>
      </c>
      <c r="Q3633" s="28" t="s">
        <v>8632</v>
      </c>
    </row>
    <row r="3634" spans="1:17" x14ac:dyDescent="0.35">
      <c r="A3634" t="s">
        <v>8651</v>
      </c>
      <c r="B3634" s="3" t="s">
        <v>102</v>
      </c>
      <c r="F3634">
        <v>5</v>
      </c>
      <c r="G3634" t="s">
        <v>8607</v>
      </c>
      <c r="H3634">
        <v>35</v>
      </c>
      <c r="I3634" t="s">
        <v>9304</v>
      </c>
      <c r="J3634" t="str">
        <f t="shared" si="56"/>
        <v>135-HR-5.35.C9</v>
      </c>
      <c r="K3634" s="5" t="s">
        <v>8637</v>
      </c>
      <c r="L3634" t="s">
        <v>229</v>
      </c>
      <c r="M3634" t="s">
        <v>8638</v>
      </c>
      <c r="N3634" t="s">
        <v>8639</v>
      </c>
      <c r="Q3634" s="28" t="s">
        <v>8636</v>
      </c>
    </row>
    <row r="3635" spans="1:17" x14ac:dyDescent="0.35">
      <c r="A3635" t="s">
        <v>8520</v>
      </c>
      <c r="B3635" s="3" t="s">
        <v>102</v>
      </c>
      <c r="F3635">
        <v>5</v>
      </c>
      <c r="G3635" t="s">
        <v>8607</v>
      </c>
      <c r="H3635">
        <v>36</v>
      </c>
      <c r="I3635" t="s">
        <v>9305</v>
      </c>
      <c r="J3635" t="str">
        <f t="shared" si="56"/>
        <v>13F-HR-5.36.C10</v>
      </c>
      <c r="K3635" s="5" t="s">
        <v>8640</v>
      </c>
      <c r="L3635" t="s">
        <v>241</v>
      </c>
      <c r="M3635" t="s">
        <v>8641</v>
      </c>
      <c r="N3635" t="s">
        <v>8642</v>
      </c>
      <c r="Q3635" s="28">
        <v>183642</v>
      </c>
    </row>
    <row r="3636" spans="1:17" x14ac:dyDescent="0.35">
      <c r="A3636" t="s">
        <v>8520</v>
      </c>
      <c r="B3636" s="3" t="s">
        <v>102</v>
      </c>
      <c r="F3636">
        <v>5</v>
      </c>
      <c r="G3636" t="s">
        <v>8607</v>
      </c>
      <c r="H3636">
        <v>37</v>
      </c>
      <c r="I3636" t="s">
        <v>9306</v>
      </c>
      <c r="J3636" t="str">
        <f t="shared" si="56"/>
        <v>13F-HR-5.37.C11</v>
      </c>
      <c r="K3636" s="5" t="s">
        <v>8643</v>
      </c>
      <c r="L3636" t="s">
        <v>241</v>
      </c>
      <c r="M3636" t="s">
        <v>8644</v>
      </c>
      <c r="N3636" t="s">
        <v>8645</v>
      </c>
      <c r="Q3636" s="28">
        <v>0</v>
      </c>
    </row>
    <row r="3637" spans="1:17" x14ac:dyDescent="0.35">
      <c r="A3637" t="s">
        <v>8520</v>
      </c>
      <c r="B3637" s="3" t="s">
        <v>102</v>
      </c>
      <c r="F3637">
        <v>5</v>
      </c>
      <c r="G3637" t="s">
        <v>8607</v>
      </c>
      <c r="H3637">
        <v>38</v>
      </c>
      <c r="I3637" t="s">
        <v>9307</v>
      </c>
      <c r="J3637" t="str">
        <f t="shared" si="56"/>
        <v>13F-HR-5.38.C12</v>
      </c>
      <c r="K3637" s="5" t="s">
        <v>8646</v>
      </c>
      <c r="L3637" t="s">
        <v>241</v>
      </c>
      <c r="M3637" t="s">
        <v>8647</v>
      </c>
      <c r="N3637" t="s">
        <v>8648</v>
      </c>
      <c r="Q3637" s="28">
        <v>44035</v>
      </c>
    </row>
    <row r="3638" spans="1:17" x14ac:dyDescent="0.35">
      <c r="A3638" t="s">
        <v>8520</v>
      </c>
      <c r="B3638" s="3" t="s">
        <v>102</v>
      </c>
      <c r="F3638">
        <v>5</v>
      </c>
      <c r="G3638" t="s">
        <v>8607</v>
      </c>
      <c r="H3638">
        <v>27</v>
      </c>
      <c r="I3638" t="s">
        <v>9296</v>
      </c>
      <c r="J3638" t="str">
        <f t="shared" si="56"/>
        <v>13F-HR-5.27.C1</v>
      </c>
      <c r="K3638" s="5" t="s">
        <v>8608</v>
      </c>
      <c r="L3638" t="s">
        <v>229</v>
      </c>
      <c r="M3638" t="s">
        <v>8609</v>
      </c>
      <c r="N3638" t="s">
        <v>8610</v>
      </c>
      <c r="Q3638" s="28" t="s">
        <v>9127</v>
      </c>
    </row>
    <row r="3639" spans="1:17" x14ac:dyDescent="0.35">
      <c r="A3639" t="s">
        <v>8520</v>
      </c>
      <c r="B3639" s="3" t="s">
        <v>102</v>
      </c>
      <c r="F3639">
        <v>5</v>
      </c>
      <c r="G3639" t="s">
        <v>8607</v>
      </c>
      <c r="H3639">
        <v>28</v>
      </c>
      <c r="I3639" t="s">
        <v>9297</v>
      </c>
      <c r="J3639" t="str">
        <f t="shared" si="56"/>
        <v>13F-HR-5.28.C2</v>
      </c>
      <c r="K3639" s="5" t="s">
        <v>8612</v>
      </c>
      <c r="L3639" t="s">
        <v>229</v>
      </c>
      <c r="M3639" t="s">
        <v>8613</v>
      </c>
      <c r="N3639" t="s">
        <v>8614</v>
      </c>
      <c r="Q3639" s="28" t="s">
        <v>9128</v>
      </c>
    </row>
    <row r="3640" spans="1:17" x14ac:dyDescent="0.35">
      <c r="A3640" t="s">
        <v>8520</v>
      </c>
      <c r="B3640" s="3" t="s">
        <v>102</v>
      </c>
      <c r="F3640">
        <v>5</v>
      </c>
      <c r="G3640" t="s">
        <v>8607</v>
      </c>
      <c r="H3640">
        <v>29</v>
      </c>
      <c r="I3640" t="s">
        <v>9298</v>
      </c>
      <c r="J3640" t="str">
        <f t="shared" si="56"/>
        <v>13F-HR-5.29.C3</v>
      </c>
      <c r="K3640" s="5" t="s">
        <v>8616</v>
      </c>
      <c r="L3640" t="s">
        <v>229</v>
      </c>
      <c r="M3640" t="s">
        <v>7927</v>
      </c>
      <c r="N3640" t="s">
        <v>8617</v>
      </c>
      <c r="Q3640" s="28" t="s">
        <v>9129</v>
      </c>
    </row>
    <row r="3641" spans="1:17" x14ac:dyDescent="0.35">
      <c r="A3641" t="s">
        <v>8520</v>
      </c>
      <c r="B3641" s="3" t="s">
        <v>102</v>
      </c>
      <c r="F3641">
        <v>5</v>
      </c>
      <c r="G3641" t="s">
        <v>8607</v>
      </c>
      <c r="H3641">
        <v>30</v>
      </c>
      <c r="I3641" t="s">
        <v>9299</v>
      </c>
      <c r="J3641" t="str">
        <f t="shared" si="56"/>
        <v>13F-HR-5.30.C4</v>
      </c>
      <c r="K3641" s="5" t="s">
        <v>8618</v>
      </c>
      <c r="L3641" t="s">
        <v>8619</v>
      </c>
      <c r="M3641" t="s">
        <v>8620</v>
      </c>
      <c r="N3641" t="s">
        <v>8621</v>
      </c>
      <c r="Q3641" s="28">
        <v>2561715</v>
      </c>
    </row>
    <row r="3642" spans="1:17" x14ac:dyDescent="0.35">
      <c r="A3642" t="s">
        <v>8520</v>
      </c>
      <c r="B3642" s="3" t="s">
        <v>102</v>
      </c>
      <c r="F3642">
        <v>5</v>
      </c>
      <c r="G3642" t="s">
        <v>8607</v>
      </c>
      <c r="H3642">
        <v>31</v>
      </c>
      <c r="I3642" t="s">
        <v>9300</v>
      </c>
      <c r="J3642" t="str">
        <f t="shared" si="56"/>
        <v>13F-HR-5.31.C5</v>
      </c>
      <c r="K3642" s="5" t="s">
        <v>8622</v>
      </c>
      <c r="L3642" t="s">
        <v>241</v>
      </c>
      <c r="M3642" t="s">
        <v>8623</v>
      </c>
      <c r="N3642" t="s">
        <v>8624</v>
      </c>
      <c r="Q3642" s="28">
        <v>36388</v>
      </c>
    </row>
    <row r="3643" spans="1:17" x14ac:dyDescent="0.35">
      <c r="A3643" t="s">
        <v>8520</v>
      </c>
      <c r="B3643" s="3" t="s">
        <v>102</v>
      </c>
      <c r="F3643">
        <v>5</v>
      </c>
      <c r="G3643" t="s">
        <v>8607</v>
      </c>
      <c r="H3643">
        <v>32</v>
      </c>
      <c r="I3643" t="s">
        <v>9301</v>
      </c>
      <c r="J3643" t="str">
        <f t="shared" si="56"/>
        <v>13F-HR-5.32.C6</v>
      </c>
      <c r="K3643" s="5" t="s">
        <v>8625</v>
      </c>
      <c r="L3643" t="s">
        <v>229</v>
      </c>
      <c r="M3643" t="s">
        <v>8626</v>
      </c>
      <c r="N3643" t="s">
        <v>8627</v>
      </c>
      <c r="Q3643" s="28" t="s">
        <v>8628</v>
      </c>
    </row>
    <row r="3644" spans="1:17" x14ac:dyDescent="0.35">
      <c r="A3644" t="s">
        <v>8520</v>
      </c>
      <c r="B3644" s="3" t="s">
        <v>102</v>
      </c>
      <c r="F3644">
        <v>5</v>
      </c>
      <c r="G3644" t="s">
        <v>8607</v>
      </c>
      <c r="H3644">
        <v>33</v>
      </c>
      <c r="I3644" t="s">
        <v>9302</v>
      </c>
      <c r="J3644" t="str">
        <f t="shared" si="56"/>
        <v>13F-HR-5.33.C7</v>
      </c>
      <c r="K3644" s="5" t="s">
        <v>8629</v>
      </c>
      <c r="L3644" t="s">
        <v>229</v>
      </c>
      <c r="M3644" t="s">
        <v>8630</v>
      </c>
      <c r="N3644" t="s">
        <v>8631</v>
      </c>
      <c r="Q3644" s="28" t="s">
        <v>8685</v>
      </c>
    </row>
    <row r="3645" spans="1:17" x14ac:dyDescent="0.35">
      <c r="A3645" t="s">
        <v>8520</v>
      </c>
      <c r="B3645" s="3" t="s">
        <v>102</v>
      </c>
      <c r="F3645">
        <v>5</v>
      </c>
      <c r="G3645" t="s">
        <v>8607</v>
      </c>
      <c r="H3645">
        <v>34</v>
      </c>
      <c r="I3645" t="s">
        <v>9303</v>
      </c>
      <c r="J3645" t="str">
        <f t="shared" si="56"/>
        <v>13F-HR-5.34.C8</v>
      </c>
      <c r="K3645" s="5" t="s">
        <v>8633</v>
      </c>
      <c r="L3645" t="s">
        <v>4735</v>
      </c>
      <c r="M3645" t="s">
        <v>8634</v>
      </c>
      <c r="N3645" t="s">
        <v>8635</v>
      </c>
      <c r="Q3645" s="28" t="s">
        <v>8632</v>
      </c>
    </row>
    <row r="3646" spans="1:17" x14ac:dyDescent="0.35">
      <c r="A3646" t="s">
        <v>8651</v>
      </c>
      <c r="B3646" s="3" t="s">
        <v>102</v>
      </c>
      <c r="F3646">
        <v>5</v>
      </c>
      <c r="G3646" t="s">
        <v>8607</v>
      </c>
      <c r="H3646">
        <v>35</v>
      </c>
      <c r="I3646" t="s">
        <v>9304</v>
      </c>
      <c r="J3646" t="str">
        <f t="shared" si="56"/>
        <v>135-HR-5.35.C9</v>
      </c>
      <c r="K3646" s="5" t="s">
        <v>8637</v>
      </c>
      <c r="L3646" t="s">
        <v>229</v>
      </c>
      <c r="M3646" t="s">
        <v>8638</v>
      </c>
      <c r="N3646" t="s">
        <v>8639</v>
      </c>
      <c r="Q3646" s="28" t="s">
        <v>8636</v>
      </c>
    </row>
    <row r="3647" spans="1:17" x14ac:dyDescent="0.35">
      <c r="A3647" t="s">
        <v>8520</v>
      </c>
      <c r="B3647" s="3" t="s">
        <v>102</v>
      </c>
      <c r="F3647">
        <v>5</v>
      </c>
      <c r="G3647" t="s">
        <v>8607</v>
      </c>
      <c r="H3647">
        <v>36</v>
      </c>
      <c r="I3647" t="s">
        <v>9305</v>
      </c>
      <c r="J3647" t="str">
        <f t="shared" si="56"/>
        <v>13F-HR-5.36.C10</v>
      </c>
      <c r="K3647" s="5" t="s">
        <v>8640</v>
      </c>
      <c r="L3647" t="s">
        <v>241</v>
      </c>
      <c r="M3647" t="s">
        <v>8641</v>
      </c>
      <c r="N3647" t="s">
        <v>8642</v>
      </c>
      <c r="Q3647" s="28">
        <v>0</v>
      </c>
    </row>
    <row r="3648" spans="1:17" x14ac:dyDescent="0.35">
      <c r="A3648" t="s">
        <v>8520</v>
      </c>
      <c r="B3648" s="3" t="s">
        <v>102</v>
      </c>
      <c r="F3648">
        <v>5</v>
      </c>
      <c r="G3648" t="s">
        <v>8607</v>
      </c>
      <c r="H3648">
        <v>37</v>
      </c>
      <c r="I3648" t="s">
        <v>9306</v>
      </c>
      <c r="J3648" t="str">
        <f t="shared" si="56"/>
        <v>13F-HR-5.37.C11</v>
      </c>
      <c r="K3648" s="5" t="s">
        <v>8643</v>
      </c>
      <c r="L3648" t="s">
        <v>241</v>
      </c>
      <c r="M3648" t="s">
        <v>8644</v>
      </c>
      <c r="N3648" t="s">
        <v>8645</v>
      </c>
      <c r="Q3648" s="28">
        <v>0</v>
      </c>
    </row>
    <row r="3649" spans="1:17" x14ac:dyDescent="0.35">
      <c r="A3649" t="s">
        <v>8520</v>
      </c>
      <c r="B3649" s="3" t="s">
        <v>102</v>
      </c>
      <c r="F3649">
        <v>5</v>
      </c>
      <c r="G3649" t="s">
        <v>8607</v>
      </c>
      <c r="H3649">
        <v>38</v>
      </c>
      <c r="I3649" t="s">
        <v>9307</v>
      </c>
      <c r="J3649" t="str">
        <f t="shared" si="56"/>
        <v>13F-HR-5.38.C12</v>
      </c>
      <c r="K3649" s="5" t="s">
        <v>8646</v>
      </c>
      <c r="L3649" t="s">
        <v>241</v>
      </c>
      <c r="M3649" t="s">
        <v>8647</v>
      </c>
      <c r="N3649" t="s">
        <v>8648</v>
      </c>
      <c r="Q3649" s="28">
        <v>36388</v>
      </c>
    </row>
    <row r="3650" spans="1:17" x14ac:dyDescent="0.35">
      <c r="A3650" t="s">
        <v>8520</v>
      </c>
      <c r="B3650" s="3" t="s">
        <v>102</v>
      </c>
      <c r="F3650">
        <v>5</v>
      </c>
      <c r="G3650" t="s">
        <v>8607</v>
      </c>
      <c r="H3650">
        <v>27</v>
      </c>
      <c r="I3650" t="s">
        <v>9296</v>
      </c>
      <c r="J3650" t="str">
        <f t="shared" si="56"/>
        <v>13F-HR-5.27.C1</v>
      </c>
      <c r="K3650" s="5" t="s">
        <v>8608</v>
      </c>
      <c r="L3650" t="s">
        <v>229</v>
      </c>
      <c r="M3650" t="s">
        <v>8609</v>
      </c>
      <c r="N3650" t="s">
        <v>8610</v>
      </c>
      <c r="Q3650" s="28" t="s">
        <v>9130</v>
      </c>
    </row>
    <row r="3651" spans="1:17" x14ac:dyDescent="0.35">
      <c r="A3651" t="s">
        <v>8520</v>
      </c>
      <c r="B3651" s="3" t="s">
        <v>102</v>
      </c>
      <c r="F3651">
        <v>5</v>
      </c>
      <c r="G3651" t="s">
        <v>8607</v>
      </c>
      <c r="H3651">
        <v>28</v>
      </c>
      <c r="I3651" t="s">
        <v>9297</v>
      </c>
      <c r="J3651" t="str">
        <f t="shared" ref="J3651:J3685" si="57">_xlfn.CONCAT(A3651,"-",F3651,".",H3651,".",I3651)</f>
        <v>13F-HR-5.28.C2</v>
      </c>
      <c r="K3651" s="5" t="s">
        <v>8612</v>
      </c>
      <c r="L3651" t="s">
        <v>229</v>
      </c>
      <c r="M3651" t="s">
        <v>8613</v>
      </c>
      <c r="N3651" t="s">
        <v>8614</v>
      </c>
      <c r="Q3651" s="28" t="s">
        <v>9095</v>
      </c>
    </row>
    <row r="3652" spans="1:17" x14ac:dyDescent="0.35">
      <c r="A3652" t="s">
        <v>8520</v>
      </c>
      <c r="B3652" s="3" t="s">
        <v>102</v>
      </c>
      <c r="F3652">
        <v>5</v>
      </c>
      <c r="G3652" t="s">
        <v>8607</v>
      </c>
      <c r="H3652">
        <v>29</v>
      </c>
      <c r="I3652" t="s">
        <v>9298</v>
      </c>
      <c r="J3652" t="str">
        <f t="shared" si="57"/>
        <v>13F-HR-5.29.C3</v>
      </c>
      <c r="K3652" s="5" t="s">
        <v>8616</v>
      </c>
      <c r="L3652" t="s">
        <v>229</v>
      </c>
      <c r="M3652" t="s">
        <v>7927</v>
      </c>
      <c r="N3652" t="s">
        <v>8617</v>
      </c>
      <c r="Q3652" s="28" t="s">
        <v>9131</v>
      </c>
    </row>
    <row r="3653" spans="1:17" x14ac:dyDescent="0.35">
      <c r="A3653" t="s">
        <v>8520</v>
      </c>
      <c r="B3653" s="3" t="s">
        <v>102</v>
      </c>
      <c r="F3653">
        <v>5</v>
      </c>
      <c r="G3653" t="s">
        <v>8607</v>
      </c>
      <c r="H3653">
        <v>30</v>
      </c>
      <c r="I3653" t="s">
        <v>9299</v>
      </c>
      <c r="J3653" t="str">
        <f t="shared" si="57"/>
        <v>13F-HR-5.30.C4</v>
      </c>
      <c r="K3653" s="5" t="s">
        <v>8618</v>
      </c>
      <c r="L3653" t="s">
        <v>8619</v>
      </c>
      <c r="M3653" t="s">
        <v>8620</v>
      </c>
      <c r="N3653" t="s">
        <v>8621</v>
      </c>
      <c r="Q3653" s="28">
        <v>22116865</v>
      </c>
    </row>
    <row r="3654" spans="1:17" x14ac:dyDescent="0.35">
      <c r="A3654" t="s">
        <v>8520</v>
      </c>
      <c r="B3654" s="3" t="s">
        <v>102</v>
      </c>
      <c r="F3654">
        <v>5</v>
      </c>
      <c r="G3654" t="s">
        <v>8607</v>
      </c>
      <c r="H3654">
        <v>31</v>
      </c>
      <c r="I3654" t="s">
        <v>9300</v>
      </c>
      <c r="J3654" t="str">
        <f t="shared" si="57"/>
        <v>13F-HR-5.31.C5</v>
      </c>
      <c r="K3654" s="5" t="s">
        <v>8622</v>
      </c>
      <c r="L3654" t="s">
        <v>241</v>
      </c>
      <c r="M3654" t="s">
        <v>8623</v>
      </c>
      <c r="N3654" t="s">
        <v>8624</v>
      </c>
      <c r="Q3654" s="28">
        <v>1990003</v>
      </c>
    </row>
    <row r="3655" spans="1:17" x14ac:dyDescent="0.35">
      <c r="A3655" t="s">
        <v>8520</v>
      </c>
      <c r="B3655" s="3" t="s">
        <v>102</v>
      </c>
      <c r="F3655">
        <v>5</v>
      </c>
      <c r="G3655" t="s">
        <v>8607</v>
      </c>
      <c r="H3655">
        <v>32</v>
      </c>
      <c r="I3655" t="s">
        <v>9301</v>
      </c>
      <c r="J3655" t="str">
        <f t="shared" si="57"/>
        <v>13F-HR-5.32.C6</v>
      </c>
      <c r="K3655" s="5" t="s">
        <v>8625</v>
      </c>
      <c r="L3655" t="s">
        <v>229</v>
      </c>
      <c r="M3655" t="s">
        <v>8626</v>
      </c>
      <c r="N3655" t="s">
        <v>8627</v>
      </c>
      <c r="Q3655" s="28" t="s">
        <v>8628</v>
      </c>
    </row>
    <row r="3656" spans="1:17" x14ac:dyDescent="0.35">
      <c r="A3656" t="s">
        <v>8520</v>
      </c>
      <c r="B3656" s="3" t="s">
        <v>102</v>
      </c>
      <c r="F3656">
        <v>5</v>
      </c>
      <c r="G3656" t="s">
        <v>8607</v>
      </c>
      <c r="H3656">
        <v>33</v>
      </c>
      <c r="I3656" t="s">
        <v>9302</v>
      </c>
      <c r="J3656" t="str">
        <f t="shared" si="57"/>
        <v>13F-HR-5.33.C7</v>
      </c>
      <c r="K3656" s="5" t="s">
        <v>8629</v>
      </c>
      <c r="L3656" t="s">
        <v>229</v>
      </c>
      <c r="M3656" t="s">
        <v>8630</v>
      </c>
      <c r="N3656" t="s">
        <v>8631</v>
      </c>
      <c r="Q3656" s="28" t="s">
        <v>8685</v>
      </c>
    </row>
    <row r="3657" spans="1:17" x14ac:dyDescent="0.35">
      <c r="A3657" t="s">
        <v>8520</v>
      </c>
      <c r="B3657" s="3" t="s">
        <v>102</v>
      </c>
      <c r="F3657">
        <v>5</v>
      </c>
      <c r="G3657" t="s">
        <v>8607</v>
      </c>
      <c r="H3657">
        <v>34</v>
      </c>
      <c r="I3657" t="s">
        <v>9303</v>
      </c>
      <c r="J3657" t="str">
        <f t="shared" si="57"/>
        <v>13F-HR-5.34.C8</v>
      </c>
      <c r="K3657" s="5" t="s">
        <v>8633</v>
      </c>
      <c r="L3657" t="s">
        <v>4735</v>
      </c>
      <c r="M3657" t="s">
        <v>8634</v>
      </c>
      <c r="N3657" t="s">
        <v>8635</v>
      </c>
      <c r="Q3657" s="28" t="s">
        <v>8632</v>
      </c>
    </row>
    <row r="3658" spans="1:17" x14ac:dyDescent="0.35">
      <c r="A3658" t="s">
        <v>8651</v>
      </c>
      <c r="B3658" s="3" t="s">
        <v>102</v>
      </c>
      <c r="F3658">
        <v>5</v>
      </c>
      <c r="G3658" t="s">
        <v>8607</v>
      </c>
      <c r="H3658">
        <v>35</v>
      </c>
      <c r="I3658" t="s">
        <v>9304</v>
      </c>
      <c r="J3658" t="str">
        <f t="shared" si="57"/>
        <v>135-HR-5.35.C9</v>
      </c>
      <c r="K3658" s="5" t="s">
        <v>8637</v>
      </c>
      <c r="L3658" t="s">
        <v>229</v>
      </c>
      <c r="M3658" t="s">
        <v>8638</v>
      </c>
      <c r="N3658" t="s">
        <v>8639</v>
      </c>
      <c r="Q3658" s="28" t="s">
        <v>8636</v>
      </c>
    </row>
    <row r="3659" spans="1:17" x14ac:dyDescent="0.35">
      <c r="A3659" t="s">
        <v>8520</v>
      </c>
      <c r="B3659" s="3" t="s">
        <v>102</v>
      </c>
      <c r="F3659">
        <v>5</v>
      </c>
      <c r="G3659" t="s">
        <v>8607</v>
      </c>
      <c r="H3659">
        <v>36</v>
      </c>
      <c r="I3659" t="s">
        <v>9305</v>
      </c>
      <c r="J3659" t="str">
        <f t="shared" si="57"/>
        <v>13F-HR-5.36.C10</v>
      </c>
      <c r="K3659" s="5" t="s">
        <v>8640</v>
      </c>
      <c r="L3659" t="s">
        <v>241</v>
      </c>
      <c r="M3659" t="s">
        <v>8641</v>
      </c>
      <c r="N3659" t="s">
        <v>8642</v>
      </c>
      <c r="Q3659" s="28">
        <v>1631551</v>
      </c>
    </row>
    <row r="3660" spans="1:17" x14ac:dyDescent="0.35">
      <c r="A3660" t="s">
        <v>8520</v>
      </c>
      <c r="B3660" s="3" t="s">
        <v>102</v>
      </c>
      <c r="F3660">
        <v>5</v>
      </c>
      <c r="G3660" t="s">
        <v>8607</v>
      </c>
      <c r="H3660">
        <v>37</v>
      </c>
      <c r="I3660" t="s">
        <v>9306</v>
      </c>
      <c r="J3660" t="str">
        <f t="shared" si="57"/>
        <v>13F-HR-5.37.C11</v>
      </c>
      <c r="K3660" s="5" t="s">
        <v>8643</v>
      </c>
      <c r="L3660" t="s">
        <v>241</v>
      </c>
      <c r="M3660" t="s">
        <v>8644</v>
      </c>
      <c r="N3660" t="s">
        <v>8645</v>
      </c>
      <c r="Q3660" s="28">
        <v>0</v>
      </c>
    </row>
    <row r="3661" spans="1:17" x14ac:dyDescent="0.35">
      <c r="A3661" t="s">
        <v>8520</v>
      </c>
      <c r="B3661" s="3" t="s">
        <v>102</v>
      </c>
      <c r="F3661">
        <v>5</v>
      </c>
      <c r="G3661" t="s">
        <v>8607</v>
      </c>
      <c r="H3661">
        <v>38</v>
      </c>
      <c r="I3661" t="s">
        <v>9307</v>
      </c>
      <c r="J3661" t="str">
        <f t="shared" si="57"/>
        <v>13F-HR-5.38.C12</v>
      </c>
      <c r="K3661" s="5" t="s">
        <v>8646</v>
      </c>
      <c r="L3661" t="s">
        <v>241</v>
      </c>
      <c r="M3661" t="s">
        <v>8647</v>
      </c>
      <c r="N3661" t="s">
        <v>8648</v>
      </c>
      <c r="Q3661" s="28">
        <v>358452</v>
      </c>
    </row>
    <row r="3662" spans="1:17" x14ac:dyDescent="0.35">
      <c r="A3662" t="s">
        <v>8520</v>
      </c>
      <c r="B3662" s="3" t="s">
        <v>102</v>
      </c>
      <c r="F3662">
        <v>5</v>
      </c>
      <c r="G3662" t="s">
        <v>8607</v>
      </c>
      <c r="H3662">
        <v>27</v>
      </c>
      <c r="I3662" t="s">
        <v>9296</v>
      </c>
      <c r="J3662" t="str">
        <f t="shared" si="57"/>
        <v>13F-HR-5.27.C1</v>
      </c>
      <c r="K3662" s="5" t="s">
        <v>8608</v>
      </c>
      <c r="L3662" t="s">
        <v>229</v>
      </c>
      <c r="M3662" t="s">
        <v>8609</v>
      </c>
      <c r="N3662" t="s">
        <v>8610</v>
      </c>
      <c r="Q3662" s="28" t="s">
        <v>9132</v>
      </c>
    </row>
    <row r="3663" spans="1:17" x14ac:dyDescent="0.35">
      <c r="A3663" t="s">
        <v>8520</v>
      </c>
      <c r="B3663" s="3" t="s">
        <v>102</v>
      </c>
      <c r="F3663">
        <v>5</v>
      </c>
      <c r="G3663" t="s">
        <v>8607</v>
      </c>
      <c r="H3663">
        <v>28</v>
      </c>
      <c r="I3663" t="s">
        <v>9297</v>
      </c>
      <c r="J3663" t="str">
        <f t="shared" si="57"/>
        <v>13F-HR-5.28.C2</v>
      </c>
      <c r="K3663" s="5" t="s">
        <v>8612</v>
      </c>
      <c r="L3663" t="s">
        <v>229</v>
      </c>
      <c r="M3663" t="s">
        <v>8613</v>
      </c>
      <c r="N3663" t="s">
        <v>8614</v>
      </c>
      <c r="Q3663" s="28" t="s">
        <v>9095</v>
      </c>
    </row>
    <row r="3664" spans="1:17" x14ac:dyDescent="0.35">
      <c r="A3664" t="s">
        <v>8520</v>
      </c>
      <c r="B3664" s="3" t="s">
        <v>102</v>
      </c>
      <c r="F3664">
        <v>5</v>
      </c>
      <c r="G3664" t="s">
        <v>8607</v>
      </c>
      <c r="H3664">
        <v>29</v>
      </c>
      <c r="I3664" t="s">
        <v>9298</v>
      </c>
      <c r="J3664" t="str">
        <f t="shared" si="57"/>
        <v>13F-HR-5.29.C3</v>
      </c>
      <c r="K3664" s="5" t="s">
        <v>8616</v>
      </c>
      <c r="L3664" t="s">
        <v>229</v>
      </c>
      <c r="M3664" t="s">
        <v>7927</v>
      </c>
      <c r="N3664" t="s">
        <v>8617</v>
      </c>
      <c r="Q3664" s="28" t="s">
        <v>9133</v>
      </c>
    </row>
    <row r="3665" spans="1:17" x14ac:dyDescent="0.35">
      <c r="A3665" t="s">
        <v>8520</v>
      </c>
      <c r="B3665" s="3" t="s">
        <v>102</v>
      </c>
      <c r="F3665">
        <v>5</v>
      </c>
      <c r="G3665" t="s">
        <v>8607</v>
      </c>
      <c r="H3665">
        <v>30</v>
      </c>
      <c r="I3665" t="s">
        <v>9299</v>
      </c>
      <c r="J3665" t="str">
        <f t="shared" si="57"/>
        <v>13F-HR-5.30.C4</v>
      </c>
      <c r="K3665" s="5" t="s">
        <v>8618</v>
      </c>
      <c r="L3665" t="s">
        <v>8619</v>
      </c>
      <c r="M3665" t="s">
        <v>8620</v>
      </c>
      <c r="N3665" t="s">
        <v>8621</v>
      </c>
      <c r="Q3665" s="28">
        <v>37349966</v>
      </c>
    </row>
    <row r="3666" spans="1:17" x14ac:dyDescent="0.35">
      <c r="A3666" t="s">
        <v>8520</v>
      </c>
      <c r="B3666" s="3" t="s">
        <v>102</v>
      </c>
      <c r="F3666">
        <v>5</v>
      </c>
      <c r="G3666" t="s">
        <v>8607</v>
      </c>
      <c r="H3666">
        <v>31</v>
      </c>
      <c r="I3666" t="s">
        <v>9300</v>
      </c>
      <c r="J3666" t="str">
        <f t="shared" si="57"/>
        <v>13F-HR-5.31.C5</v>
      </c>
      <c r="K3666" s="5" t="s">
        <v>8622</v>
      </c>
      <c r="L3666" t="s">
        <v>241</v>
      </c>
      <c r="M3666" t="s">
        <v>8623</v>
      </c>
      <c r="N3666" t="s">
        <v>8624</v>
      </c>
      <c r="Q3666" s="28">
        <v>381161</v>
      </c>
    </row>
    <row r="3667" spans="1:17" x14ac:dyDescent="0.35">
      <c r="A3667" t="s">
        <v>8520</v>
      </c>
      <c r="B3667" s="3" t="s">
        <v>102</v>
      </c>
      <c r="F3667">
        <v>5</v>
      </c>
      <c r="G3667" t="s">
        <v>8607</v>
      </c>
      <c r="H3667">
        <v>32</v>
      </c>
      <c r="I3667" t="s">
        <v>9301</v>
      </c>
      <c r="J3667" t="str">
        <f t="shared" si="57"/>
        <v>13F-HR-5.32.C6</v>
      </c>
      <c r="K3667" s="5" t="s">
        <v>8625</v>
      </c>
      <c r="L3667" t="s">
        <v>229</v>
      </c>
      <c r="M3667" t="s">
        <v>8626</v>
      </c>
      <c r="N3667" t="s">
        <v>8627</v>
      </c>
      <c r="Q3667" s="28" t="s">
        <v>8628</v>
      </c>
    </row>
    <row r="3668" spans="1:17" x14ac:dyDescent="0.35">
      <c r="A3668" t="s">
        <v>8520</v>
      </c>
      <c r="B3668" s="3" t="s">
        <v>102</v>
      </c>
      <c r="F3668">
        <v>5</v>
      </c>
      <c r="G3668" t="s">
        <v>8607</v>
      </c>
      <c r="H3668">
        <v>33</v>
      </c>
      <c r="I3668" t="s">
        <v>9302</v>
      </c>
      <c r="J3668" t="str">
        <f t="shared" si="57"/>
        <v>13F-HR-5.33.C7</v>
      </c>
      <c r="K3668" s="5" t="s">
        <v>8629</v>
      </c>
      <c r="L3668" t="s">
        <v>229</v>
      </c>
      <c r="M3668" t="s">
        <v>8630</v>
      </c>
      <c r="N3668" t="s">
        <v>8631</v>
      </c>
      <c r="Q3668" s="28" t="s">
        <v>8685</v>
      </c>
    </row>
    <row r="3669" spans="1:17" x14ac:dyDescent="0.35">
      <c r="A3669" t="s">
        <v>8520</v>
      </c>
      <c r="B3669" s="3" t="s">
        <v>102</v>
      </c>
      <c r="F3669">
        <v>5</v>
      </c>
      <c r="G3669" t="s">
        <v>8607</v>
      </c>
      <c r="H3669">
        <v>34</v>
      </c>
      <c r="I3669" t="s">
        <v>9303</v>
      </c>
      <c r="J3669" t="str">
        <f t="shared" si="57"/>
        <v>13F-HR-5.34.C8</v>
      </c>
      <c r="K3669" s="5" t="s">
        <v>8633</v>
      </c>
      <c r="L3669" t="s">
        <v>4735</v>
      </c>
      <c r="M3669" t="s">
        <v>8634</v>
      </c>
      <c r="N3669" t="s">
        <v>8635</v>
      </c>
      <c r="Q3669" s="28" t="s">
        <v>8632</v>
      </c>
    </row>
    <row r="3670" spans="1:17" x14ac:dyDescent="0.35">
      <c r="A3670" t="s">
        <v>8651</v>
      </c>
      <c r="B3670" s="3" t="s">
        <v>102</v>
      </c>
      <c r="F3670">
        <v>5</v>
      </c>
      <c r="G3670" t="s">
        <v>8607</v>
      </c>
      <c r="H3670">
        <v>35</v>
      </c>
      <c r="I3670" t="s">
        <v>9304</v>
      </c>
      <c r="J3670" t="str">
        <f t="shared" si="57"/>
        <v>135-HR-5.35.C9</v>
      </c>
      <c r="K3670" s="5" t="s">
        <v>8637</v>
      </c>
      <c r="L3670" t="s">
        <v>229</v>
      </c>
      <c r="M3670" t="s">
        <v>8638</v>
      </c>
      <c r="N3670" t="s">
        <v>8639</v>
      </c>
      <c r="Q3670" s="28" t="s">
        <v>8636</v>
      </c>
    </row>
    <row r="3671" spans="1:17" x14ac:dyDescent="0.35">
      <c r="A3671" t="s">
        <v>8520</v>
      </c>
      <c r="B3671" s="3" t="s">
        <v>102</v>
      </c>
      <c r="F3671">
        <v>5</v>
      </c>
      <c r="G3671" t="s">
        <v>8607</v>
      </c>
      <c r="H3671">
        <v>36</v>
      </c>
      <c r="I3671" t="s">
        <v>9305</v>
      </c>
      <c r="J3671" t="str">
        <f t="shared" si="57"/>
        <v>13F-HR-5.36.C10</v>
      </c>
      <c r="K3671" s="5" t="s">
        <v>8640</v>
      </c>
      <c r="L3671" t="s">
        <v>241</v>
      </c>
      <c r="M3671" t="s">
        <v>8641</v>
      </c>
      <c r="N3671" t="s">
        <v>8642</v>
      </c>
      <c r="Q3671" s="28">
        <v>381161</v>
      </c>
    </row>
    <row r="3672" spans="1:17" x14ac:dyDescent="0.35">
      <c r="A3672" t="s">
        <v>8520</v>
      </c>
      <c r="B3672" s="3" t="s">
        <v>102</v>
      </c>
      <c r="F3672">
        <v>5</v>
      </c>
      <c r="G3672" t="s">
        <v>8607</v>
      </c>
      <c r="H3672">
        <v>37</v>
      </c>
      <c r="I3672" t="s">
        <v>9306</v>
      </c>
      <c r="J3672" t="str">
        <f t="shared" si="57"/>
        <v>13F-HR-5.37.C11</v>
      </c>
      <c r="K3672" s="5" t="s">
        <v>8643</v>
      </c>
      <c r="L3672" t="s">
        <v>241</v>
      </c>
      <c r="M3672" t="s">
        <v>8644</v>
      </c>
      <c r="N3672" t="s">
        <v>8645</v>
      </c>
      <c r="Q3672" s="28">
        <v>0</v>
      </c>
    </row>
    <row r="3673" spans="1:17" x14ac:dyDescent="0.35">
      <c r="A3673" t="s">
        <v>8520</v>
      </c>
      <c r="B3673" s="3" t="s">
        <v>102</v>
      </c>
      <c r="F3673">
        <v>5</v>
      </c>
      <c r="G3673" t="s">
        <v>8607</v>
      </c>
      <c r="H3673">
        <v>38</v>
      </c>
      <c r="I3673" t="s">
        <v>9307</v>
      </c>
      <c r="J3673" t="str">
        <f t="shared" si="57"/>
        <v>13F-HR-5.38.C12</v>
      </c>
      <c r="K3673" s="5" t="s">
        <v>8646</v>
      </c>
      <c r="L3673" t="s">
        <v>241</v>
      </c>
      <c r="M3673" t="s">
        <v>8647</v>
      </c>
      <c r="N3673" t="s">
        <v>8648</v>
      </c>
      <c r="Q3673" s="28">
        <v>0</v>
      </c>
    </row>
    <row r="3674" spans="1:17" x14ac:dyDescent="0.35">
      <c r="A3674" t="s">
        <v>8520</v>
      </c>
      <c r="B3674" s="3" t="s">
        <v>102</v>
      </c>
      <c r="F3674">
        <v>5</v>
      </c>
      <c r="G3674" t="s">
        <v>8607</v>
      </c>
      <c r="H3674">
        <v>27</v>
      </c>
      <c r="I3674" t="s">
        <v>9296</v>
      </c>
      <c r="J3674" t="str">
        <f t="shared" si="57"/>
        <v>13F-HR-5.27.C1</v>
      </c>
      <c r="K3674" s="5" t="s">
        <v>8608</v>
      </c>
      <c r="L3674" t="s">
        <v>229</v>
      </c>
      <c r="M3674" t="s">
        <v>8609</v>
      </c>
      <c r="N3674" t="s">
        <v>8610</v>
      </c>
      <c r="Q3674" s="28" t="s">
        <v>9134</v>
      </c>
    </row>
    <row r="3675" spans="1:17" x14ac:dyDescent="0.35">
      <c r="A3675" t="s">
        <v>8520</v>
      </c>
      <c r="B3675" s="3" t="s">
        <v>102</v>
      </c>
      <c r="F3675">
        <v>5</v>
      </c>
      <c r="G3675" t="s">
        <v>8607</v>
      </c>
      <c r="H3675">
        <v>28</v>
      </c>
      <c r="I3675" t="s">
        <v>9297</v>
      </c>
      <c r="J3675" t="str">
        <f t="shared" si="57"/>
        <v>13F-HR-5.28.C2</v>
      </c>
      <c r="K3675" s="5" t="s">
        <v>8612</v>
      </c>
      <c r="L3675" t="s">
        <v>229</v>
      </c>
      <c r="M3675" t="s">
        <v>8613</v>
      </c>
      <c r="N3675" t="s">
        <v>8614</v>
      </c>
      <c r="Q3675" s="28" t="s">
        <v>8615</v>
      </c>
    </row>
    <row r="3676" spans="1:17" x14ac:dyDescent="0.35">
      <c r="A3676" t="s">
        <v>8520</v>
      </c>
      <c r="B3676" s="3" t="s">
        <v>102</v>
      </c>
      <c r="F3676">
        <v>5</v>
      </c>
      <c r="G3676" t="s">
        <v>8607</v>
      </c>
      <c r="H3676">
        <v>29</v>
      </c>
      <c r="I3676" t="s">
        <v>9298</v>
      </c>
      <c r="J3676" t="str">
        <f t="shared" si="57"/>
        <v>13F-HR-5.29.C3</v>
      </c>
      <c r="K3676" s="5" t="s">
        <v>8616</v>
      </c>
      <c r="L3676" t="s">
        <v>229</v>
      </c>
      <c r="M3676" t="s">
        <v>7927</v>
      </c>
      <c r="N3676" t="s">
        <v>8617</v>
      </c>
      <c r="Q3676" s="28" t="s">
        <v>9135</v>
      </c>
    </row>
    <row r="3677" spans="1:17" x14ac:dyDescent="0.35">
      <c r="A3677" t="s">
        <v>8520</v>
      </c>
      <c r="B3677" s="3" t="s">
        <v>102</v>
      </c>
      <c r="F3677">
        <v>5</v>
      </c>
      <c r="G3677" t="s">
        <v>8607</v>
      </c>
      <c r="H3677">
        <v>30</v>
      </c>
      <c r="I3677" t="s">
        <v>9299</v>
      </c>
      <c r="J3677" t="str">
        <f t="shared" si="57"/>
        <v>13F-HR-5.30.C4</v>
      </c>
      <c r="K3677" s="5" t="s">
        <v>8618</v>
      </c>
      <c r="L3677" t="s">
        <v>8619</v>
      </c>
      <c r="M3677" t="s">
        <v>8620</v>
      </c>
      <c r="N3677" t="s">
        <v>8621</v>
      </c>
      <c r="Q3677" s="28">
        <v>106311091</v>
      </c>
    </row>
    <row r="3678" spans="1:17" x14ac:dyDescent="0.35">
      <c r="A3678" t="s">
        <v>8520</v>
      </c>
      <c r="B3678" s="3" t="s">
        <v>102</v>
      </c>
      <c r="F3678">
        <v>5</v>
      </c>
      <c r="G3678" t="s">
        <v>8607</v>
      </c>
      <c r="H3678">
        <v>31</v>
      </c>
      <c r="I3678" t="s">
        <v>9300</v>
      </c>
      <c r="J3678" t="str">
        <f t="shared" si="57"/>
        <v>13F-HR-5.31.C5</v>
      </c>
      <c r="K3678" s="5" t="s">
        <v>8622</v>
      </c>
      <c r="L3678" t="s">
        <v>241</v>
      </c>
      <c r="M3678" t="s">
        <v>8623</v>
      </c>
      <c r="N3678" t="s">
        <v>8624</v>
      </c>
      <c r="Q3678" s="28">
        <v>517480</v>
      </c>
    </row>
    <row r="3679" spans="1:17" x14ac:dyDescent="0.35">
      <c r="A3679" t="s">
        <v>8520</v>
      </c>
      <c r="B3679" s="3" t="s">
        <v>102</v>
      </c>
      <c r="F3679">
        <v>5</v>
      </c>
      <c r="G3679" t="s">
        <v>8607</v>
      </c>
      <c r="H3679">
        <v>32</v>
      </c>
      <c r="I3679" t="s">
        <v>9301</v>
      </c>
      <c r="J3679" t="str">
        <f t="shared" si="57"/>
        <v>13F-HR-5.32.C6</v>
      </c>
      <c r="K3679" s="5" t="s">
        <v>8625</v>
      </c>
      <c r="L3679" t="s">
        <v>229</v>
      </c>
      <c r="M3679" t="s">
        <v>8626</v>
      </c>
      <c r="N3679" t="s">
        <v>8627</v>
      </c>
      <c r="Q3679" s="28" t="s">
        <v>8628</v>
      </c>
    </row>
    <row r="3680" spans="1:17" x14ac:dyDescent="0.35">
      <c r="A3680" t="s">
        <v>8520</v>
      </c>
      <c r="B3680" s="3" t="s">
        <v>102</v>
      </c>
      <c r="F3680">
        <v>5</v>
      </c>
      <c r="G3680" t="s">
        <v>8607</v>
      </c>
      <c r="H3680">
        <v>33</v>
      </c>
      <c r="I3680" t="s">
        <v>9302</v>
      </c>
      <c r="J3680" t="str">
        <f t="shared" si="57"/>
        <v>13F-HR-5.33.C7</v>
      </c>
      <c r="K3680" s="5" t="s">
        <v>8629</v>
      </c>
      <c r="L3680" t="s">
        <v>229</v>
      </c>
      <c r="M3680" t="s">
        <v>8630</v>
      </c>
      <c r="N3680" t="s">
        <v>8631</v>
      </c>
      <c r="Q3680" s="28">
        <v>0</v>
      </c>
    </row>
    <row r="3681" spans="1:17" x14ac:dyDescent="0.35">
      <c r="A3681" t="s">
        <v>8520</v>
      </c>
      <c r="B3681" s="3" t="s">
        <v>102</v>
      </c>
      <c r="F3681">
        <v>5</v>
      </c>
      <c r="G3681" t="s">
        <v>8607</v>
      </c>
      <c r="H3681">
        <v>34</v>
      </c>
      <c r="I3681" t="s">
        <v>9303</v>
      </c>
      <c r="J3681" t="str">
        <f t="shared" si="57"/>
        <v>13F-HR-5.34.C8</v>
      </c>
      <c r="K3681" s="5" t="s">
        <v>8633</v>
      </c>
      <c r="L3681" t="s">
        <v>4735</v>
      </c>
      <c r="M3681" t="s">
        <v>8634</v>
      </c>
      <c r="N3681" t="s">
        <v>8635</v>
      </c>
      <c r="Q3681" s="28" t="s">
        <v>8632</v>
      </c>
    </row>
    <row r="3682" spans="1:17" x14ac:dyDescent="0.35">
      <c r="A3682" t="s">
        <v>8651</v>
      </c>
      <c r="B3682" s="3" t="s">
        <v>102</v>
      </c>
      <c r="F3682">
        <v>5</v>
      </c>
      <c r="G3682" t="s">
        <v>8607</v>
      </c>
      <c r="H3682">
        <v>35</v>
      </c>
      <c r="I3682" t="s">
        <v>9304</v>
      </c>
      <c r="J3682" t="str">
        <f t="shared" si="57"/>
        <v>135-HR-5.35.C9</v>
      </c>
      <c r="K3682" s="5" t="s">
        <v>8637</v>
      </c>
      <c r="L3682" t="s">
        <v>229</v>
      </c>
      <c r="M3682" t="s">
        <v>8638</v>
      </c>
      <c r="N3682" t="s">
        <v>8639</v>
      </c>
      <c r="Q3682" s="28" t="s">
        <v>8636</v>
      </c>
    </row>
    <row r="3683" spans="1:17" x14ac:dyDescent="0.35">
      <c r="A3683" t="s">
        <v>8520</v>
      </c>
      <c r="B3683" s="3" t="s">
        <v>102</v>
      </c>
      <c r="F3683">
        <v>5</v>
      </c>
      <c r="G3683" t="s">
        <v>8607</v>
      </c>
      <c r="H3683">
        <v>36</v>
      </c>
      <c r="I3683" t="s">
        <v>9305</v>
      </c>
      <c r="J3683" t="str">
        <f t="shared" si="57"/>
        <v>13F-HR-5.36.C10</v>
      </c>
      <c r="K3683" s="5" t="s">
        <v>8640</v>
      </c>
      <c r="L3683" t="s">
        <v>241</v>
      </c>
      <c r="M3683" t="s">
        <v>8641</v>
      </c>
      <c r="N3683" t="s">
        <v>8642</v>
      </c>
      <c r="Q3683" s="28">
        <v>375837</v>
      </c>
    </row>
    <row r="3684" spans="1:17" x14ac:dyDescent="0.35">
      <c r="A3684" t="s">
        <v>8520</v>
      </c>
      <c r="B3684" s="3" t="s">
        <v>102</v>
      </c>
      <c r="F3684">
        <v>5</v>
      </c>
      <c r="G3684" t="s">
        <v>8607</v>
      </c>
      <c r="H3684">
        <v>37</v>
      </c>
      <c r="I3684" t="s">
        <v>9306</v>
      </c>
      <c r="J3684" t="str">
        <f t="shared" si="57"/>
        <v>13F-HR-5.37.C11</v>
      </c>
      <c r="K3684" s="5" t="s">
        <v>8643</v>
      </c>
      <c r="L3684" t="s">
        <v>241</v>
      </c>
      <c r="M3684" t="s">
        <v>8644</v>
      </c>
      <c r="N3684" t="s">
        <v>8645</v>
      </c>
      <c r="Q3684" s="28">
        <v>0</v>
      </c>
    </row>
    <row r="3685" spans="1:17" x14ac:dyDescent="0.35">
      <c r="A3685" t="s">
        <v>8520</v>
      </c>
      <c r="B3685" s="3" t="s">
        <v>102</v>
      </c>
      <c r="F3685">
        <v>5</v>
      </c>
      <c r="G3685" t="s">
        <v>8607</v>
      </c>
      <c r="H3685">
        <v>38</v>
      </c>
      <c r="I3685" t="s">
        <v>9307</v>
      </c>
      <c r="J3685" t="str">
        <f t="shared" si="57"/>
        <v>13F-HR-5.38.C12</v>
      </c>
      <c r="K3685" s="5" t="s">
        <v>8646</v>
      </c>
      <c r="L3685" t="s">
        <v>241</v>
      </c>
      <c r="M3685" t="s">
        <v>8647</v>
      </c>
      <c r="N3685" t="s">
        <v>8648</v>
      </c>
      <c r="Q3685" s="28">
        <v>141643</v>
      </c>
    </row>
  </sheetData>
  <phoneticPr fontId="8"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B9B4-AAFF-4B96-B855-8C05BA6E4105}">
  <dimension ref="A1:Q1039"/>
  <sheetViews>
    <sheetView zoomScale="96" zoomScaleNormal="96" workbookViewId="0">
      <pane ySplit="1" topLeftCell="A126" activePane="bottomLeft" state="frozen"/>
      <selection activeCell="J634" sqref="J634"/>
      <selection pane="bottomLeft" activeCell="S167" sqref="S167"/>
    </sheetView>
  </sheetViews>
  <sheetFormatPr defaultRowHeight="14.5" x14ac:dyDescent="0.35"/>
  <cols>
    <col min="1" max="1" width="14.54296875" customWidth="1"/>
    <col min="2" max="2" width="14" customWidth="1"/>
    <col min="3" max="3" width="8" hidden="1" customWidth="1"/>
    <col min="4" max="5" width="7" hidden="1" customWidth="1"/>
    <col min="6" max="6" width="7.81640625" bestFit="1" customWidth="1"/>
    <col min="7" max="7" width="17" hidden="1" customWidth="1"/>
    <col min="8" max="8" width="12.1796875" customWidth="1"/>
    <col min="9" max="9" width="15.81640625" hidden="1" customWidth="1"/>
    <col min="10" max="10" width="23.7265625" bestFit="1" customWidth="1"/>
    <col min="11" max="11" width="67.81640625" customWidth="1"/>
    <col min="12" max="12" width="28.1796875" customWidth="1"/>
    <col min="13" max="13" width="50.7265625" bestFit="1" customWidth="1"/>
    <col min="14" max="14" width="81.453125" customWidth="1"/>
    <col min="15" max="15" width="6.453125" hidden="1" customWidth="1"/>
    <col min="16" max="16" width="27.81640625" hidden="1" customWidth="1"/>
    <col min="17" max="17" width="31" style="18" customWidth="1"/>
  </cols>
  <sheetData>
    <row r="1" spans="1:17" x14ac:dyDescent="0.35">
      <c r="A1" s="1" t="s">
        <v>211</v>
      </c>
      <c r="B1" s="1" t="s">
        <v>8</v>
      </c>
      <c r="C1" s="1" t="s">
        <v>212</v>
      </c>
      <c r="D1" s="1" t="s">
        <v>213</v>
      </c>
      <c r="E1" s="1" t="s">
        <v>214</v>
      </c>
      <c r="F1" s="1" t="s">
        <v>215</v>
      </c>
      <c r="G1" s="1" t="s">
        <v>216</v>
      </c>
      <c r="H1" s="1" t="s">
        <v>217</v>
      </c>
      <c r="I1" s="1" t="s">
        <v>218</v>
      </c>
      <c r="J1" s="37" t="s">
        <v>9308</v>
      </c>
      <c r="K1" s="1" t="s">
        <v>219</v>
      </c>
      <c r="L1" s="2" t="s">
        <v>220</v>
      </c>
      <c r="M1" s="1" t="s">
        <v>221</v>
      </c>
      <c r="N1" s="1" t="s">
        <v>222</v>
      </c>
      <c r="O1" s="1" t="s">
        <v>223</v>
      </c>
      <c r="P1" s="1" t="s">
        <v>224</v>
      </c>
      <c r="Q1" s="23" t="s">
        <v>225</v>
      </c>
    </row>
    <row r="2" spans="1:17" x14ac:dyDescent="0.35">
      <c r="A2" t="s">
        <v>1334</v>
      </c>
      <c r="B2" s="3" t="s">
        <v>102</v>
      </c>
      <c r="C2" s="3"/>
      <c r="D2" s="3"/>
      <c r="E2" s="3"/>
      <c r="F2" t="s">
        <v>378</v>
      </c>
      <c r="H2" t="s">
        <v>1303</v>
      </c>
      <c r="J2" t="str">
        <f>_xlfn.CONCAT(A2,"-",H2)</f>
        <v>FORM N-PORT-A.1</v>
      </c>
      <c r="K2" t="s">
        <v>1304</v>
      </c>
      <c r="L2" t="s">
        <v>229</v>
      </c>
      <c r="M2" t="s">
        <v>1015</v>
      </c>
      <c r="N2" t="s">
        <v>1305</v>
      </c>
      <c r="O2" s="1"/>
      <c r="P2" s="1"/>
      <c r="Q2" s="24" t="s">
        <v>9136</v>
      </c>
    </row>
    <row r="3" spans="1:17" x14ac:dyDescent="0.35">
      <c r="A3" t="s">
        <v>1334</v>
      </c>
      <c r="B3" s="3" t="s">
        <v>102</v>
      </c>
      <c r="C3" s="3"/>
      <c r="D3" s="3"/>
      <c r="E3" s="3"/>
      <c r="F3" t="s">
        <v>378</v>
      </c>
      <c r="H3" t="s">
        <v>1303</v>
      </c>
      <c r="J3" t="str">
        <f t="shared" ref="J3:J66" si="0">_xlfn.CONCAT(A3,"-",H3)</f>
        <v>FORM N-PORT-A.1</v>
      </c>
      <c r="K3" t="s">
        <v>1306</v>
      </c>
      <c r="L3" t="s">
        <v>241</v>
      </c>
      <c r="M3" t="s">
        <v>1307</v>
      </c>
      <c r="N3" t="s">
        <v>1308</v>
      </c>
      <c r="O3" s="1"/>
      <c r="P3" s="1"/>
      <c r="Q3" s="25" t="s">
        <v>9137</v>
      </c>
    </row>
    <row r="4" spans="1:17" x14ac:dyDescent="0.35">
      <c r="A4" t="s">
        <v>1334</v>
      </c>
      <c r="B4" s="3" t="s">
        <v>102</v>
      </c>
      <c r="C4" s="3"/>
      <c r="D4" s="3"/>
      <c r="E4" s="3"/>
      <c r="F4" t="s">
        <v>378</v>
      </c>
      <c r="H4" t="s">
        <v>1303</v>
      </c>
      <c r="J4" t="str">
        <f t="shared" si="0"/>
        <v>FORM N-PORT-A.1</v>
      </c>
      <c r="K4" t="s">
        <v>1309</v>
      </c>
      <c r="L4" t="s">
        <v>241</v>
      </c>
      <c r="M4" t="s">
        <v>1310</v>
      </c>
      <c r="N4" t="s">
        <v>1311</v>
      </c>
      <c r="O4" s="1"/>
      <c r="P4" s="1"/>
      <c r="Q4" s="26" t="s">
        <v>9138</v>
      </c>
    </row>
    <row r="5" spans="1:17" x14ac:dyDescent="0.35">
      <c r="A5" t="s">
        <v>1334</v>
      </c>
      <c r="B5" s="3" t="s">
        <v>102</v>
      </c>
      <c r="C5" s="3"/>
      <c r="D5" s="3"/>
      <c r="E5" s="3"/>
      <c r="F5" t="s">
        <v>378</v>
      </c>
      <c r="H5" t="s">
        <v>1303</v>
      </c>
      <c r="J5" t="str">
        <f t="shared" si="0"/>
        <v>FORM N-PORT-A.1</v>
      </c>
      <c r="K5" t="s">
        <v>1312</v>
      </c>
      <c r="L5" t="s">
        <v>1313</v>
      </c>
      <c r="M5" t="s">
        <v>1314</v>
      </c>
      <c r="N5" t="s">
        <v>1315</v>
      </c>
      <c r="O5" s="1"/>
      <c r="P5" s="1"/>
      <c r="Q5" s="25" t="s">
        <v>9139</v>
      </c>
    </row>
    <row r="6" spans="1:17" x14ac:dyDescent="0.35">
      <c r="A6" t="s">
        <v>1334</v>
      </c>
      <c r="B6" s="3" t="s">
        <v>102</v>
      </c>
      <c r="C6" s="3"/>
      <c r="D6" s="3"/>
      <c r="E6" s="3"/>
      <c r="F6" t="s">
        <v>378</v>
      </c>
      <c r="H6" t="s">
        <v>1303</v>
      </c>
      <c r="J6" t="str">
        <f t="shared" si="0"/>
        <v>FORM N-PORT-A.1</v>
      </c>
      <c r="K6" t="s">
        <v>1316</v>
      </c>
      <c r="L6" t="s">
        <v>229</v>
      </c>
      <c r="M6" t="s">
        <v>1317</v>
      </c>
      <c r="N6" t="s">
        <v>1318</v>
      </c>
      <c r="O6" s="1"/>
      <c r="P6" s="1"/>
      <c r="Q6" s="18" t="s">
        <v>9140</v>
      </c>
    </row>
    <row r="7" spans="1:17" x14ac:dyDescent="0.35">
      <c r="A7" t="s">
        <v>1334</v>
      </c>
      <c r="B7" s="3" t="s">
        <v>102</v>
      </c>
      <c r="C7" s="3"/>
      <c r="D7" s="3"/>
      <c r="E7" s="3"/>
      <c r="F7" t="s">
        <v>378</v>
      </c>
      <c r="H7" t="s">
        <v>1319</v>
      </c>
      <c r="J7" t="str">
        <f t="shared" si="0"/>
        <v>FORM N-PORT-A.2</v>
      </c>
      <c r="K7" t="s">
        <v>1320</v>
      </c>
      <c r="L7" t="s">
        <v>229</v>
      </c>
      <c r="M7" t="s">
        <v>1321</v>
      </c>
      <c r="N7" t="s">
        <v>1322</v>
      </c>
      <c r="O7" s="1"/>
      <c r="P7" s="1"/>
      <c r="Q7" s="25" t="s">
        <v>9136</v>
      </c>
    </row>
    <row r="8" spans="1:17" x14ac:dyDescent="0.35">
      <c r="A8" t="s">
        <v>1334</v>
      </c>
      <c r="B8" s="3" t="s">
        <v>102</v>
      </c>
      <c r="C8" s="3"/>
      <c r="D8" s="3"/>
      <c r="E8" s="3"/>
      <c r="F8" t="s">
        <v>378</v>
      </c>
      <c r="H8" t="s">
        <v>1319</v>
      </c>
      <c r="J8" t="str">
        <f t="shared" si="0"/>
        <v>FORM N-PORT-A.2</v>
      </c>
      <c r="K8" t="s">
        <v>1323</v>
      </c>
      <c r="L8" t="s">
        <v>241</v>
      </c>
      <c r="M8" t="s">
        <v>1324</v>
      </c>
      <c r="N8" t="s">
        <v>1325</v>
      </c>
      <c r="O8" s="1"/>
      <c r="P8" s="1"/>
      <c r="Q8" s="25" t="s">
        <v>9141</v>
      </c>
    </row>
    <row r="9" spans="1:17" x14ac:dyDescent="0.35">
      <c r="A9" t="s">
        <v>1334</v>
      </c>
      <c r="B9" s="3" t="s">
        <v>102</v>
      </c>
      <c r="C9" s="3"/>
      <c r="D9" s="3"/>
      <c r="E9" s="3"/>
      <c r="F9" t="s">
        <v>378</v>
      </c>
      <c r="H9" t="s">
        <v>1319</v>
      </c>
      <c r="J9" t="str">
        <f t="shared" si="0"/>
        <v>FORM N-PORT-A.2</v>
      </c>
      <c r="K9" t="s">
        <v>1326</v>
      </c>
      <c r="L9" t="s">
        <v>1313</v>
      </c>
      <c r="M9" t="s">
        <v>1327</v>
      </c>
      <c r="N9" t="s">
        <v>1328</v>
      </c>
      <c r="O9" s="1"/>
      <c r="P9" s="1"/>
      <c r="Q9" s="25" t="s">
        <v>9139</v>
      </c>
    </row>
    <row r="10" spans="1:17" x14ac:dyDescent="0.35">
      <c r="A10" t="s">
        <v>1334</v>
      </c>
      <c r="B10" s="3" t="s">
        <v>102</v>
      </c>
      <c r="C10" s="3"/>
      <c r="D10" s="3"/>
      <c r="E10" s="3"/>
      <c r="F10" t="s">
        <v>378</v>
      </c>
      <c r="H10" t="s">
        <v>1329</v>
      </c>
      <c r="J10" t="str">
        <f t="shared" si="0"/>
        <v>FORM N-PORT-A.3</v>
      </c>
      <c r="K10" t="s">
        <v>1330</v>
      </c>
      <c r="L10" t="s">
        <v>1331</v>
      </c>
      <c r="M10" t="s">
        <v>1332</v>
      </c>
      <c r="N10" t="s">
        <v>1333</v>
      </c>
      <c r="O10" s="1"/>
      <c r="P10" s="1"/>
      <c r="Q10" s="27">
        <v>46022</v>
      </c>
    </row>
    <row r="11" spans="1:17" x14ac:dyDescent="0.35">
      <c r="A11" t="s">
        <v>1334</v>
      </c>
      <c r="B11" s="3" t="s">
        <v>102</v>
      </c>
      <c r="C11" s="3"/>
      <c r="D11" s="3"/>
      <c r="E11" s="3"/>
      <c r="F11" t="s">
        <v>378</v>
      </c>
      <c r="H11" t="s">
        <v>1329</v>
      </c>
      <c r="J11" t="str">
        <f t="shared" si="0"/>
        <v>FORM N-PORT-A.3</v>
      </c>
      <c r="K11" t="s">
        <v>1335</v>
      </c>
      <c r="L11" t="s">
        <v>1331</v>
      </c>
      <c r="M11" t="s">
        <v>1336</v>
      </c>
      <c r="N11" t="s">
        <v>1337</v>
      </c>
      <c r="Q11" s="17">
        <v>45747</v>
      </c>
    </row>
    <row r="12" spans="1:17" x14ac:dyDescent="0.35">
      <c r="A12" t="s">
        <v>1334</v>
      </c>
      <c r="B12" s="3" t="s">
        <v>102</v>
      </c>
      <c r="C12" s="3"/>
      <c r="D12" s="3"/>
      <c r="E12" s="3"/>
      <c r="F12" t="s">
        <v>378</v>
      </c>
      <c r="H12" t="s">
        <v>1338</v>
      </c>
      <c r="J12" t="str">
        <f t="shared" si="0"/>
        <v>FORM N-PORT-A.4</v>
      </c>
      <c r="K12" t="s">
        <v>1339</v>
      </c>
      <c r="L12" t="s">
        <v>1187</v>
      </c>
      <c r="M12" t="s">
        <v>258</v>
      </c>
      <c r="N12" t="s">
        <v>1340</v>
      </c>
      <c r="Q12" s="18" t="s">
        <v>1341</v>
      </c>
    </row>
    <row r="13" spans="1:17" x14ac:dyDescent="0.35">
      <c r="A13" t="s">
        <v>1334</v>
      </c>
      <c r="B13" s="3" t="s">
        <v>102</v>
      </c>
      <c r="C13" s="3"/>
      <c r="D13" s="3"/>
      <c r="E13" s="3"/>
      <c r="F13" t="s">
        <v>515</v>
      </c>
      <c r="H13" t="s">
        <v>577</v>
      </c>
      <c r="J13" t="str">
        <f t="shared" si="0"/>
        <v>FORM N-PORT-B.1</v>
      </c>
      <c r="K13" t="s">
        <v>1342</v>
      </c>
      <c r="L13" t="s">
        <v>783</v>
      </c>
      <c r="M13" t="s">
        <v>1343</v>
      </c>
      <c r="N13" t="s">
        <v>1344</v>
      </c>
      <c r="Q13" s="18">
        <v>251009104300.94</v>
      </c>
    </row>
    <row r="14" spans="1:17" x14ac:dyDescent="0.35">
      <c r="A14" t="s">
        <v>1334</v>
      </c>
      <c r="B14" s="3" t="s">
        <v>102</v>
      </c>
      <c r="C14" s="3"/>
      <c r="D14" s="3"/>
      <c r="E14" s="3"/>
      <c r="F14" t="s">
        <v>515</v>
      </c>
      <c r="H14" t="s">
        <v>577</v>
      </c>
      <c r="J14" t="str">
        <f t="shared" si="0"/>
        <v>FORM N-PORT-B.1</v>
      </c>
      <c r="K14" t="s">
        <v>1345</v>
      </c>
      <c r="L14" t="s">
        <v>783</v>
      </c>
      <c r="M14" t="s">
        <v>1346</v>
      </c>
      <c r="N14" t="s">
        <v>1347</v>
      </c>
      <c r="Q14" s="18">
        <v>17471645870.639999</v>
      </c>
    </row>
    <row r="15" spans="1:17" x14ac:dyDescent="0.35">
      <c r="A15" t="s">
        <v>1334</v>
      </c>
      <c r="B15" s="3" t="s">
        <v>102</v>
      </c>
      <c r="C15" s="3"/>
      <c r="D15" s="3"/>
      <c r="E15" s="3"/>
      <c r="F15" t="s">
        <v>515</v>
      </c>
      <c r="H15" t="s">
        <v>577</v>
      </c>
      <c r="J15" t="str">
        <f t="shared" si="0"/>
        <v>FORM N-PORT-B.1</v>
      </c>
      <c r="K15" t="s">
        <v>1348</v>
      </c>
      <c r="L15" t="s">
        <v>783</v>
      </c>
      <c r="M15" t="s">
        <v>1349</v>
      </c>
      <c r="N15" t="s">
        <v>1350</v>
      </c>
      <c r="Q15" s="18">
        <v>233537458430.29999</v>
      </c>
    </row>
    <row r="16" spans="1:17" x14ac:dyDescent="0.35">
      <c r="A16" t="s">
        <v>1334</v>
      </c>
      <c r="B16" s="3" t="s">
        <v>102</v>
      </c>
      <c r="C16" s="3"/>
      <c r="D16" s="3"/>
      <c r="E16" s="3"/>
      <c r="F16" t="s">
        <v>515</v>
      </c>
      <c r="H16" t="s">
        <v>581</v>
      </c>
      <c r="J16" t="str">
        <f t="shared" si="0"/>
        <v>FORM N-PORT-B.2</v>
      </c>
      <c r="K16" t="s">
        <v>1351</v>
      </c>
      <c r="L16" t="s">
        <v>783</v>
      </c>
      <c r="M16" t="s">
        <v>1352</v>
      </c>
      <c r="N16" t="s">
        <v>1353</v>
      </c>
      <c r="Q16" s="18">
        <v>0</v>
      </c>
    </row>
    <row r="17" spans="1:17" x14ac:dyDescent="0.35">
      <c r="A17" t="s">
        <v>1334</v>
      </c>
      <c r="B17" s="3" t="s">
        <v>102</v>
      </c>
      <c r="C17" s="3"/>
      <c r="D17" s="3"/>
      <c r="E17" s="3"/>
      <c r="F17" t="s">
        <v>515</v>
      </c>
      <c r="H17" t="s">
        <v>581</v>
      </c>
      <c r="J17" t="str">
        <f t="shared" si="0"/>
        <v>FORM N-PORT-B.2</v>
      </c>
      <c r="K17" t="s">
        <v>1354</v>
      </c>
      <c r="L17" t="s">
        <v>783</v>
      </c>
      <c r="M17" t="s">
        <v>1355</v>
      </c>
      <c r="N17" t="s">
        <v>1356</v>
      </c>
      <c r="Q17" s="18">
        <v>0</v>
      </c>
    </row>
    <row r="18" spans="1:17" x14ac:dyDescent="0.35">
      <c r="A18" t="s">
        <v>1334</v>
      </c>
      <c r="B18" s="3" t="s">
        <v>102</v>
      </c>
      <c r="C18" s="3"/>
      <c r="D18" s="3"/>
      <c r="E18" s="3"/>
      <c r="F18" t="s">
        <v>515</v>
      </c>
      <c r="H18" t="s">
        <v>581</v>
      </c>
      <c r="J18" t="str">
        <f t="shared" si="0"/>
        <v>FORM N-PORT-B.2</v>
      </c>
      <c r="K18" t="s">
        <v>1357</v>
      </c>
      <c r="L18" t="s">
        <v>783</v>
      </c>
      <c r="M18" t="s">
        <v>1358</v>
      </c>
      <c r="N18" t="s">
        <v>1359</v>
      </c>
      <c r="Q18" s="18">
        <v>0</v>
      </c>
    </row>
    <row r="19" spans="1:17" x14ac:dyDescent="0.35">
      <c r="A19" t="s">
        <v>1334</v>
      </c>
      <c r="B19" s="3" t="s">
        <v>102</v>
      </c>
      <c r="C19" s="3"/>
      <c r="D19" s="3"/>
      <c r="E19" s="3"/>
      <c r="F19" t="s">
        <v>515</v>
      </c>
      <c r="H19" t="s">
        <v>581</v>
      </c>
      <c r="J19" t="str">
        <f t="shared" si="0"/>
        <v>FORM N-PORT-B.2</v>
      </c>
      <c r="K19" t="s">
        <v>1360</v>
      </c>
      <c r="L19" t="s">
        <v>783</v>
      </c>
      <c r="M19" t="s">
        <v>1361</v>
      </c>
      <c r="N19" t="s">
        <v>1362</v>
      </c>
      <c r="Q19" s="18">
        <v>0</v>
      </c>
    </row>
    <row r="20" spans="1:17" x14ac:dyDescent="0.35">
      <c r="A20" t="s">
        <v>1334</v>
      </c>
      <c r="B20" s="3" t="s">
        <v>102</v>
      </c>
      <c r="C20" s="3"/>
      <c r="D20" s="3"/>
      <c r="E20" s="3"/>
      <c r="F20" t="s">
        <v>515</v>
      </c>
      <c r="H20" t="s">
        <v>581</v>
      </c>
      <c r="J20" t="str">
        <f t="shared" si="0"/>
        <v>FORM N-PORT-B.2</v>
      </c>
      <c r="K20" t="s">
        <v>1363</v>
      </c>
      <c r="L20" t="s">
        <v>783</v>
      </c>
      <c r="M20" t="s">
        <v>1364</v>
      </c>
      <c r="N20" t="s">
        <v>1365</v>
      </c>
      <c r="Q20" s="18">
        <v>0</v>
      </c>
    </row>
    <row r="21" spans="1:17" x14ac:dyDescent="0.35">
      <c r="A21" t="s">
        <v>1334</v>
      </c>
      <c r="B21" s="3" t="s">
        <v>102</v>
      </c>
      <c r="C21" s="3"/>
      <c r="D21" s="3"/>
      <c r="E21" s="3"/>
      <c r="F21" t="s">
        <v>515</v>
      </c>
      <c r="H21" t="s">
        <v>581</v>
      </c>
      <c r="J21" t="str">
        <f t="shared" si="0"/>
        <v>FORM N-PORT-B.2</v>
      </c>
      <c r="K21" t="s">
        <v>1366</v>
      </c>
      <c r="L21" t="s">
        <v>783</v>
      </c>
      <c r="M21" t="s">
        <v>1367</v>
      </c>
      <c r="N21" t="s">
        <v>1368</v>
      </c>
      <c r="Q21" s="18">
        <v>0</v>
      </c>
    </row>
    <row r="22" spans="1:17" x14ac:dyDescent="0.35">
      <c r="A22" t="s">
        <v>1334</v>
      </c>
      <c r="B22" s="3" t="s">
        <v>102</v>
      </c>
      <c r="C22" s="3"/>
      <c r="D22" s="3"/>
      <c r="E22" s="3"/>
      <c r="F22" t="s">
        <v>515</v>
      </c>
      <c r="H22" t="s">
        <v>1369</v>
      </c>
      <c r="J22" t="str">
        <f t="shared" si="0"/>
        <v>FORM N-PORT-B.3.a</v>
      </c>
      <c r="K22" t="s">
        <v>1370</v>
      </c>
      <c r="L22" t="s">
        <v>783</v>
      </c>
      <c r="M22" t="s">
        <v>1371</v>
      </c>
      <c r="N22" t="s">
        <v>1372</v>
      </c>
      <c r="Q22" s="18" t="s">
        <v>1373</v>
      </c>
    </row>
    <row r="23" spans="1:17" x14ac:dyDescent="0.35">
      <c r="A23" t="s">
        <v>1334</v>
      </c>
      <c r="B23" s="3" t="s">
        <v>102</v>
      </c>
      <c r="C23" s="3"/>
      <c r="D23" s="3"/>
      <c r="E23" s="3"/>
      <c r="F23" t="s">
        <v>515</v>
      </c>
      <c r="H23" t="s">
        <v>1374</v>
      </c>
      <c r="J23" t="str">
        <f t="shared" si="0"/>
        <v>FORM N-PORT-B.3.b</v>
      </c>
      <c r="K23" t="s">
        <v>1375</v>
      </c>
      <c r="L23" t="s">
        <v>783</v>
      </c>
      <c r="M23" t="s">
        <v>1376</v>
      </c>
      <c r="N23" t="s">
        <v>1377</v>
      </c>
      <c r="Q23" s="18" t="s">
        <v>1378</v>
      </c>
    </row>
    <row r="24" spans="1:17" x14ac:dyDescent="0.35">
      <c r="A24" t="s">
        <v>1334</v>
      </c>
      <c r="B24" s="3" t="s">
        <v>102</v>
      </c>
      <c r="C24" s="3"/>
      <c r="D24" s="3"/>
      <c r="E24" s="3"/>
      <c r="F24" t="s">
        <v>515</v>
      </c>
      <c r="H24" t="s">
        <v>1379</v>
      </c>
      <c r="J24" t="str">
        <f t="shared" si="0"/>
        <v>FORM N-PORT-B.3.c</v>
      </c>
      <c r="K24" t="s">
        <v>1380</v>
      </c>
      <c r="L24" t="s">
        <v>783</v>
      </c>
      <c r="M24" t="s">
        <v>1381</v>
      </c>
      <c r="N24" t="s">
        <v>1382</v>
      </c>
      <c r="Q24" s="18" t="s">
        <v>1383</v>
      </c>
    </row>
    <row r="25" spans="1:17" x14ac:dyDescent="0.35">
      <c r="A25" t="s">
        <v>1334</v>
      </c>
      <c r="B25" s="3" t="s">
        <v>102</v>
      </c>
      <c r="C25" s="3"/>
      <c r="D25" s="3"/>
      <c r="E25" s="3"/>
      <c r="F25" t="s">
        <v>515</v>
      </c>
      <c r="H25" t="s">
        <v>1384</v>
      </c>
      <c r="J25" t="str">
        <f t="shared" si="0"/>
        <v>FORM N-PORT-B.4.a</v>
      </c>
      <c r="K25" t="s">
        <v>1385</v>
      </c>
      <c r="L25" t="s">
        <v>229</v>
      </c>
      <c r="M25" t="s">
        <v>1386</v>
      </c>
      <c r="N25" t="s">
        <v>1387</v>
      </c>
      <c r="Q25" s="18" t="s">
        <v>1388</v>
      </c>
    </row>
    <row r="26" spans="1:17" x14ac:dyDescent="0.35">
      <c r="A26" t="s">
        <v>1334</v>
      </c>
      <c r="B26" s="3" t="s">
        <v>102</v>
      </c>
      <c r="C26" s="3"/>
      <c r="D26" s="3"/>
      <c r="E26" s="3"/>
      <c r="F26" t="s">
        <v>515</v>
      </c>
      <c r="H26" t="s">
        <v>1384</v>
      </c>
      <c r="J26" t="str">
        <f t="shared" si="0"/>
        <v>FORM N-PORT-B.4.a</v>
      </c>
      <c r="K26" t="s">
        <v>1389</v>
      </c>
      <c r="L26" t="s">
        <v>1313</v>
      </c>
      <c r="M26" t="s">
        <v>1390</v>
      </c>
      <c r="N26" t="s">
        <v>1391</v>
      </c>
      <c r="Q26" s="18" t="s">
        <v>1392</v>
      </c>
    </row>
    <row r="27" spans="1:17" x14ac:dyDescent="0.35">
      <c r="A27" t="s">
        <v>1334</v>
      </c>
      <c r="B27" s="3" t="s">
        <v>102</v>
      </c>
      <c r="C27" s="3"/>
      <c r="D27" s="3"/>
      <c r="E27" s="3"/>
      <c r="F27" t="s">
        <v>515</v>
      </c>
      <c r="H27" t="s">
        <v>1384</v>
      </c>
      <c r="J27" t="str">
        <f t="shared" si="0"/>
        <v>FORM N-PORT-B.4.a</v>
      </c>
      <c r="K27" t="s">
        <v>1393</v>
      </c>
      <c r="L27" t="s">
        <v>783</v>
      </c>
      <c r="M27" t="s">
        <v>1394</v>
      </c>
      <c r="N27" t="s">
        <v>1395</v>
      </c>
      <c r="Q27" s="18">
        <v>132694963</v>
      </c>
    </row>
    <row r="28" spans="1:17" x14ac:dyDescent="0.35">
      <c r="A28" t="s">
        <v>1334</v>
      </c>
      <c r="B28" s="3" t="s">
        <v>102</v>
      </c>
      <c r="C28" s="3"/>
      <c r="D28" s="3"/>
      <c r="E28" s="3"/>
      <c r="F28" t="s">
        <v>515</v>
      </c>
      <c r="H28" t="s">
        <v>1384</v>
      </c>
      <c r="J28" t="str">
        <f t="shared" si="0"/>
        <v>FORM N-PORT-B.4.a</v>
      </c>
      <c r="K28" t="s">
        <v>1385</v>
      </c>
      <c r="L28" t="s">
        <v>229</v>
      </c>
      <c r="M28" t="s">
        <v>1386</v>
      </c>
      <c r="N28" t="s">
        <v>1387</v>
      </c>
      <c r="Q28" s="18" t="s">
        <v>1396</v>
      </c>
    </row>
    <row r="29" spans="1:17" x14ac:dyDescent="0.35">
      <c r="A29" t="s">
        <v>1334</v>
      </c>
      <c r="B29" s="3" t="s">
        <v>102</v>
      </c>
      <c r="C29" s="3"/>
      <c r="D29" s="3"/>
      <c r="E29" s="3"/>
      <c r="F29" t="s">
        <v>515</v>
      </c>
      <c r="H29" t="s">
        <v>1384</v>
      </c>
      <c r="J29" t="str">
        <f t="shared" si="0"/>
        <v>FORM N-PORT-B.4.a</v>
      </c>
      <c r="K29" t="s">
        <v>1389</v>
      </c>
      <c r="L29" t="s">
        <v>1313</v>
      </c>
      <c r="M29" t="s">
        <v>1390</v>
      </c>
      <c r="N29" t="s">
        <v>1391</v>
      </c>
      <c r="Q29" s="18" t="s">
        <v>1397</v>
      </c>
    </row>
    <row r="30" spans="1:17" x14ac:dyDescent="0.35">
      <c r="A30" t="s">
        <v>1334</v>
      </c>
      <c r="B30" s="3" t="s">
        <v>102</v>
      </c>
      <c r="C30" s="3"/>
      <c r="D30" s="3"/>
      <c r="E30" s="3"/>
      <c r="F30" t="s">
        <v>515</v>
      </c>
      <c r="H30" t="s">
        <v>1384</v>
      </c>
      <c r="J30" t="str">
        <f t="shared" si="0"/>
        <v>FORM N-PORT-B.4.a</v>
      </c>
      <c r="K30" t="s">
        <v>1393</v>
      </c>
      <c r="L30" t="s">
        <v>783</v>
      </c>
      <c r="M30" t="s">
        <v>1394</v>
      </c>
      <c r="N30" t="s">
        <v>1395</v>
      </c>
      <c r="Q30" s="18">
        <v>9886808</v>
      </c>
    </row>
    <row r="31" spans="1:17" x14ac:dyDescent="0.35">
      <c r="A31" t="s">
        <v>1334</v>
      </c>
      <c r="B31" s="3" t="s">
        <v>102</v>
      </c>
      <c r="C31" s="3"/>
      <c r="D31" s="3"/>
      <c r="E31" s="3"/>
      <c r="F31" t="s">
        <v>515</v>
      </c>
      <c r="H31" t="s">
        <v>1384</v>
      </c>
      <c r="J31" t="str">
        <f t="shared" si="0"/>
        <v>FORM N-PORT-B.4.a</v>
      </c>
      <c r="K31" t="s">
        <v>1385</v>
      </c>
      <c r="L31" t="s">
        <v>229</v>
      </c>
      <c r="M31" t="s">
        <v>1386</v>
      </c>
      <c r="N31" t="s">
        <v>1387</v>
      </c>
      <c r="Q31" s="18" t="s">
        <v>1398</v>
      </c>
    </row>
    <row r="32" spans="1:17" x14ac:dyDescent="0.35">
      <c r="A32" t="s">
        <v>1334</v>
      </c>
      <c r="B32" s="3" t="s">
        <v>102</v>
      </c>
      <c r="C32" s="3"/>
      <c r="D32" s="3"/>
      <c r="E32" s="3"/>
      <c r="F32" t="s">
        <v>515</v>
      </c>
      <c r="H32" t="s">
        <v>1384</v>
      </c>
      <c r="J32" t="str">
        <f t="shared" si="0"/>
        <v>FORM N-PORT-B.4.a</v>
      </c>
      <c r="K32" t="s">
        <v>1389</v>
      </c>
      <c r="L32" t="s">
        <v>1313</v>
      </c>
      <c r="M32" t="s">
        <v>1390</v>
      </c>
      <c r="N32" t="s">
        <v>1391</v>
      </c>
      <c r="Q32" s="18" t="s">
        <v>1399</v>
      </c>
    </row>
    <row r="33" spans="1:17" x14ac:dyDescent="0.35">
      <c r="A33" t="s">
        <v>1334</v>
      </c>
      <c r="B33" s="3" t="s">
        <v>102</v>
      </c>
      <c r="C33" s="3"/>
      <c r="D33" s="3"/>
      <c r="E33" s="3"/>
      <c r="F33" t="s">
        <v>515</v>
      </c>
      <c r="H33" t="s">
        <v>1384</v>
      </c>
      <c r="J33" t="str">
        <f t="shared" si="0"/>
        <v>FORM N-PORT-B.4.a</v>
      </c>
      <c r="K33" t="s">
        <v>1393</v>
      </c>
      <c r="L33" t="s">
        <v>783</v>
      </c>
      <c r="M33" t="s">
        <v>1394</v>
      </c>
      <c r="N33" t="s">
        <v>1395</v>
      </c>
      <c r="Q33" s="18">
        <v>23258361.280000001</v>
      </c>
    </row>
    <row r="34" spans="1:17" x14ac:dyDescent="0.35">
      <c r="A34" t="s">
        <v>1334</v>
      </c>
      <c r="B34" s="3" t="s">
        <v>102</v>
      </c>
      <c r="C34" s="3"/>
      <c r="D34" s="3"/>
      <c r="E34" s="3"/>
      <c r="F34" t="s">
        <v>515</v>
      </c>
      <c r="H34" t="s">
        <v>1384</v>
      </c>
      <c r="J34" t="str">
        <f t="shared" si="0"/>
        <v>FORM N-PORT-B.4.a</v>
      </c>
      <c r="K34" t="s">
        <v>1385</v>
      </c>
      <c r="L34" t="s">
        <v>229</v>
      </c>
      <c r="M34" t="s">
        <v>1386</v>
      </c>
      <c r="N34" t="s">
        <v>1387</v>
      </c>
      <c r="Q34" s="18" t="s">
        <v>1400</v>
      </c>
    </row>
    <row r="35" spans="1:17" x14ac:dyDescent="0.35">
      <c r="A35" t="s">
        <v>1334</v>
      </c>
      <c r="B35" s="3" t="s">
        <v>102</v>
      </c>
      <c r="C35" s="3"/>
      <c r="D35" s="3"/>
      <c r="E35" s="3"/>
      <c r="F35" t="s">
        <v>515</v>
      </c>
      <c r="H35" t="s">
        <v>1384</v>
      </c>
      <c r="J35" t="str">
        <f t="shared" si="0"/>
        <v>FORM N-PORT-B.4.a</v>
      </c>
      <c r="K35" t="s">
        <v>1389</v>
      </c>
      <c r="L35" t="s">
        <v>1313</v>
      </c>
      <c r="M35" t="s">
        <v>1390</v>
      </c>
      <c r="N35" t="s">
        <v>1391</v>
      </c>
      <c r="Q35" s="18" t="s">
        <v>1401</v>
      </c>
    </row>
    <row r="36" spans="1:17" x14ac:dyDescent="0.35">
      <c r="A36" t="s">
        <v>1334</v>
      </c>
      <c r="B36" s="3" t="s">
        <v>102</v>
      </c>
      <c r="C36" s="3"/>
      <c r="D36" s="3"/>
      <c r="E36" s="3"/>
      <c r="F36" t="s">
        <v>515</v>
      </c>
      <c r="H36" t="s">
        <v>1384</v>
      </c>
      <c r="J36" t="str">
        <f t="shared" si="0"/>
        <v>FORM N-PORT-B.4.a</v>
      </c>
      <c r="K36" t="s">
        <v>1393</v>
      </c>
      <c r="L36" t="s">
        <v>783</v>
      </c>
      <c r="M36" t="s">
        <v>1394</v>
      </c>
      <c r="N36" t="s">
        <v>1395</v>
      </c>
      <c r="Q36" s="18">
        <v>57007596</v>
      </c>
    </row>
    <row r="37" spans="1:17" x14ac:dyDescent="0.35">
      <c r="A37" t="s">
        <v>1334</v>
      </c>
      <c r="B37" s="3" t="s">
        <v>102</v>
      </c>
      <c r="C37" s="3"/>
      <c r="D37" s="3"/>
      <c r="E37" s="3"/>
      <c r="F37" t="s">
        <v>515</v>
      </c>
      <c r="H37" t="s">
        <v>1384</v>
      </c>
      <c r="J37" t="str">
        <f t="shared" si="0"/>
        <v>FORM N-PORT-B.4.a</v>
      </c>
      <c r="K37" t="s">
        <v>1385</v>
      </c>
      <c r="L37" t="s">
        <v>229</v>
      </c>
      <c r="M37" t="s">
        <v>1386</v>
      </c>
      <c r="N37" t="s">
        <v>1387</v>
      </c>
      <c r="Q37" s="18" t="s">
        <v>1402</v>
      </c>
    </row>
    <row r="38" spans="1:17" x14ac:dyDescent="0.35">
      <c r="A38" t="s">
        <v>1334</v>
      </c>
      <c r="B38" s="3" t="s">
        <v>102</v>
      </c>
      <c r="C38" s="3"/>
      <c r="D38" s="3"/>
      <c r="E38" s="3"/>
      <c r="F38" t="s">
        <v>515</v>
      </c>
      <c r="H38" t="s">
        <v>1384</v>
      </c>
      <c r="J38" t="str">
        <f t="shared" si="0"/>
        <v>FORM N-PORT-B.4.a</v>
      </c>
      <c r="K38" t="s">
        <v>1389</v>
      </c>
      <c r="L38" t="s">
        <v>1313</v>
      </c>
      <c r="M38" t="s">
        <v>1390</v>
      </c>
      <c r="N38" t="s">
        <v>1391</v>
      </c>
      <c r="Q38" s="18" t="s">
        <v>1403</v>
      </c>
    </row>
    <row r="39" spans="1:17" x14ac:dyDescent="0.35">
      <c r="A39" t="s">
        <v>1334</v>
      </c>
      <c r="B39" s="3" t="s">
        <v>102</v>
      </c>
      <c r="C39" s="3"/>
      <c r="D39" s="3"/>
      <c r="E39" s="3"/>
      <c r="F39" t="s">
        <v>515</v>
      </c>
      <c r="H39" t="s">
        <v>1384</v>
      </c>
      <c r="J39" t="str">
        <f t="shared" si="0"/>
        <v>FORM N-PORT-B.4.a</v>
      </c>
      <c r="K39" t="s">
        <v>1393</v>
      </c>
      <c r="L39" t="s">
        <v>783</v>
      </c>
      <c r="M39" t="s">
        <v>1394</v>
      </c>
      <c r="N39" t="s">
        <v>1395</v>
      </c>
      <c r="Q39" s="18">
        <v>61935130.499009997</v>
      </c>
    </row>
    <row r="40" spans="1:17" x14ac:dyDescent="0.35">
      <c r="A40" t="s">
        <v>1334</v>
      </c>
      <c r="B40" s="3" t="s">
        <v>102</v>
      </c>
      <c r="C40" s="3"/>
      <c r="D40" s="3"/>
      <c r="E40" s="3"/>
      <c r="F40" t="s">
        <v>515</v>
      </c>
      <c r="H40" t="s">
        <v>1384</v>
      </c>
      <c r="J40" t="str">
        <f t="shared" si="0"/>
        <v>FORM N-PORT-B.4.a</v>
      </c>
      <c r="K40" t="s">
        <v>1385</v>
      </c>
      <c r="L40" t="s">
        <v>229</v>
      </c>
      <c r="M40" t="s">
        <v>1386</v>
      </c>
      <c r="N40" t="s">
        <v>1387</v>
      </c>
      <c r="Q40" s="18" t="s">
        <v>1404</v>
      </c>
    </row>
    <row r="41" spans="1:17" x14ac:dyDescent="0.35">
      <c r="A41" t="s">
        <v>1334</v>
      </c>
      <c r="B41" s="3" t="s">
        <v>102</v>
      </c>
      <c r="C41" s="3"/>
      <c r="D41" s="3"/>
      <c r="E41" s="3"/>
      <c r="F41" t="s">
        <v>515</v>
      </c>
      <c r="H41" t="s">
        <v>1384</v>
      </c>
      <c r="J41" t="str">
        <f t="shared" si="0"/>
        <v>FORM N-PORT-B.4.a</v>
      </c>
      <c r="K41" t="s">
        <v>1389</v>
      </c>
      <c r="L41" t="s">
        <v>1313</v>
      </c>
      <c r="M41" t="s">
        <v>1390</v>
      </c>
      <c r="N41" t="s">
        <v>1391</v>
      </c>
      <c r="Q41" s="18" t="s">
        <v>1405</v>
      </c>
    </row>
    <row r="42" spans="1:17" x14ac:dyDescent="0.35">
      <c r="A42" t="s">
        <v>1334</v>
      </c>
      <c r="B42" s="3" t="s">
        <v>102</v>
      </c>
      <c r="C42" s="3"/>
      <c r="D42" s="3"/>
      <c r="E42" s="3"/>
      <c r="F42" t="s">
        <v>515</v>
      </c>
      <c r="H42" t="s">
        <v>1384</v>
      </c>
      <c r="J42" t="str">
        <f t="shared" si="0"/>
        <v>FORM N-PORT-B.4.a</v>
      </c>
      <c r="K42" t="s">
        <v>1393</v>
      </c>
      <c r="L42" t="s">
        <v>783</v>
      </c>
      <c r="M42" t="s">
        <v>1394</v>
      </c>
      <c r="N42" t="s">
        <v>1395</v>
      </c>
      <c r="Q42" s="18">
        <v>30301397.259477999</v>
      </c>
    </row>
    <row r="43" spans="1:17" x14ac:dyDescent="0.35">
      <c r="A43" t="s">
        <v>1334</v>
      </c>
      <c r="B43" s="3" t="s">
        <v>102</v>
      </c>
      <c r="C43" s="3"/>
      <c r="D43" s="3"/>
      <c r="E43" s="3"/>
      <c r="F43" t="s">
        <v>515</v>
      </c>
      <c r="H43" t="s">
        <v>1384</v>
      </c>
      <c r="J43" t="str">
        <f t="shared" si="0"/>
        <v>FORM N-PORT-B.4.a</v>
      </c>
      <c r="K43" t="s">
        <v>1385</v>
      </c>
      <c r="L43" t="s">
        <v>229</v>
      </c>
      <c r="M43" t="s">
        <v>1386</v>
      </c>
      <c r="N43" t="s">
        <v>1387</v>
      </c>
      <c r="Q43" s="18" t="s">
        <v>1406</v>
      </c>
    </row>
    <row r="44" spans="1:17" x14ac:dyDescent="0.35">
      <c r="A44" t="s">
        <v>1334</v>
      </c>
      <c r="B44" s="3" t="s">
        <v>102</v>
      </c>
      <c r="C44" s="3"/>
      <c r="D44" s="3"/>
      <c r="E44" s="3"/>
      <c r="F44" t="s">
        <v>515</v>
      </c>
      <c r="H44" t="s">
        <v>1384</v>
      </c>
      <c r="J44" t="str">
        <f t="shared" si="0"/>
        <v>FORM N-PORT-B.4.a</v>
      </c>
      <c r="K44" t="s">
        <v>1389</v>
      </c>
      <c r="L44" t="s">
        <v>1313</v>
      </c>
      <c r="M44" t="s">
        <v>1390</v>
      </c>
      <c r="N44" t="s">
        <v>1391</v>
      </c>
      <c r="Q44" s="18" t="s">
        <v>1407</v>
      </c>
    </row>
    <row r="45" spans="1:17" x14ac:dyDescent="0.35">
      <c r="A45" t="s">
        <v>1334</v>
      </c>
      <c r="B45" s="3" t="s">
        <v>102</v>
      </c>
      <c r="C45" s="3"/>
      <c r="D45" s="3"/>
      <c r="E45" s="3"/>
      <c r="F45" t="s">
        <v>515</v>
      </c>
      <c r="H45" t="s">
        <v>1384</v>
      </c>
      <c r="J45" t="str">
        <f t="shared" si="0"/>
        <v>FORM N-PORT-B.4.a</v>
      </c>
      <c r="K45" t="s">
        <v>1393</v>
      </c>
      <c r="L45" t="s">
        <v>783</v>
      </c>
      <c r="M45" t="s">
        <v>1394</v>
      </c>
      <c r="N45" t="s">
        <v>1395</v>
      </c>
      <c r="Q45" s="18">
        <v>471716988.36000001</v>
      </c>
    </row>
    <row r="46" spans="1:17" x14ac:dyDescent="0.35">
      <c r="A46" t="s">
        <v>1334</v>
      </c>
      <c r="B46" s="3" t="s">
        <v>102</v>
      </c>
      <c r="C46" s="3"/>
      <c r="D46" s="3"/>
      <c r="E46" s="3"/>
      <c r="F46" t="s">
        <v>515</v>
      </c>
      <c r="H46" t="s">
        <v>1408</v>
      </c>
      <c r="J46" t="str">
        <f t="shared" si="0"/>
        <v>FORM N-PORT-B.4.b</v>
      </c>
      <c r="K46" t="s">
        <v>1409</v>
      </c>
      <c r="L46" t="s">
        <v>1187</v>
      </c>
      <c r="M46" t="s">
        <v>1410</v>
      </c>
      <c r="N46" t="s">
        <v>1411</v>
      </c>
      <c r="Q46" s="18" t="s">
        <v>27</v>
      </c>
    </row>
    <row r="47" spans="1:17" x14ac:dyDescent="0.35">
      <c r="A47" t="s">
        <v>1334</v>
      </c>
      <c r="B47" s="3" t="s">
        <v>102</v>
      </c>
      <c r="C47" s="3"/>
      <c r="D47" s="3"/>
      <c r="E47" s="3"/>
      <c r="F47" t="s">
        <v>515</v>
      </c>
      <c r="H47" t="s">
        <v>1412</v>
      </c>
      <c r="J47" t="str">
        <f t="shared" si="0"/>
        <v>FORM N-PORT-B.4.b.i</v>
      </c>
      <c r="K47" t="s">
        <v>1413</v>
      </c>
      <c r="L47" t="s">
        <v>783</v>
      </c>
      <c r="M47" t="s">
        <v>1414</v>
      </c>
      <c r="N47" t="s">
        <v>1415</v>
      </c>
      <c r="Q47" s="18">
        <v>502585179.20569998</v>
      </c>
    </row>
    <row r="48" spans="1:17" x14ac:dyDescent="0.35">
      <c r="A48" t="s">
        <v>1334</v>
      </c>
      <c r="B48" s="3" t="s">
        <v>102</v>
      </c>
      <c r="C48" s="3"/>
      <c r="D48" s="3"/>
      <c r="E48" s="3"/>
      <c r="F48" t="s">
        <v>515</v>
      </c>
      <c r="H48" t="s">
        <v>1416</v>
      </c>
      <c r="J48" t="str">
        <f t="shared" si="0"/>
        <v>FORM N-PORT-B.4.b.ii</v>
      </c>
      <c r="K48" t="s">
        <v>1417</v>
      </c>
      <c r="L48" t="s">
        <v>783</v>
      </c>
      <c r="M48" t="s">
        <v>1418</v>
      </c>
      <c r="N48" t="s">
        <v>1419</v>
      </c>
      <c r="Q48" s="18">
        <v>508803415.12779999</v>
      </c>
    </row>
    <row r="49" spans="1:17" x14ac:dyDescent="0.35">
      <c r="A49" t="s">
        <v>1334</v>
      </c>
      <c r="B49" s="3" t="s">
        <v>102</v>
      </c>
      <c r="C49" s="3"/>
      <c r="D49" s="3"/>
      <c r="E49" s="3"/>
      <c r="F49" t="s">
        <v>515</v>
      </c>
      <c r="H49" t="s">
        <v>1420</v>
      </c>
      <c r="J49" t="str">
        <f t="shared" si="0"/>
        <v>FORM N-PORT-B.4.b.iii</v>
      </c>
      <c r="K49" t="s">
        <v>1421</v>
      </c>
      <c r="L49" t="s">
        <v>229</v>
      </c>
      <c r="M49" t="s">
        <v>1422</v>
      </c>
      <c r="N49" t="s">
        <v>1423</v>
      </c>
      <c r="Q49" s="18" t="s">
        <v>1424</v>
      </c>
    </row>
    <row r="50" spans="1:17" x14ac:dyDescent="0.35">
      <c r="A50" t="s">
        <v>1334</v>
      </c>
      <c r="B50" s="3" t="s">
        <v>102</v>
      </c>
      <c r="C50" s="3"/>
      <c r="D50" s="3"/>
      <c r="E50" s="3"/>
      <c r="F50" t="s">
        <v>515</v>
      </c>
      <c r="H50" t="s">
        <v>1425</v>
      </c>
      <c r="J50" t="str">
        <f t="shared" si="0"/>
        <v>FORM N-PORT-B.5.a</v>
      </c>
      <c r="K50" t="s">
        <v>1426</v>
      </c>
      <c r="L50" t="s">
        <v>1198</v>
      </c>
      <c r="M50" t="s">
        <v>1427</v>
      </c>
      <c r="N50" t="s">
        <v>1428</v>
      </c>
      <c r="Q50" s="18">
        <v>-2.805685</v>
      </c>
    </row>
    <row r="51" spans="1:17" x14ac:dyDescent="0.35">
      <c r="A51" t="s">
        <v>1334</v>
      </c>
      <c r="B51" s="3" t="s">
        <v>102</v>
      </c>
      <c r="C51" s="3"/>
      <c r="D51" s="3"/>
      <c r="E51" s="3"/>
      <c r="F51" t="s">
        <v>515</v>
      </c>
      <c r="H51" t="s">
        <v>1429</v>
      </c>
      <c r="J51" t="str">
        <f t="shared" si="0"/>
        <v>FORM N-PORT-B.5.b</v>
      </c>
      <c r="K51" t="s">
        <v>1430</v>
      </c>
      <c r="L51" t="s">
        <v>241</v>
      </c>
      <c r="M51" t="s">
        <v>1431</v>
      </c>
      <c r="N51" t="s">
        <v>1432</v>
      </c>
      <c r="Q51" s="18" t="s">
        <v>1433</v>
      </c>
    </row>
    <row r="52" spans="1:17" x14ac:dyDescent="0.35">
      <c r="A52" t="s">
        <v>1334</v>
      </c>
      <c r="B52" s="3" t="s">
        <v>102</v>
      </c>
      <c r="C52" s="3"/>
      <c r="D52" s="3"/>
      <c r="E52" s="3"/>
      <c r="F52" t="s">
        <v>515</v>
      </c>
      <c r="H52" t="s">
        <v>1434</v>
      </c>
      <c r="J52" t="str">
        <f t="shared" si="0"/>
        <v>FORM N-PORT-B.5.c</v>
      </c>
      <c r="K52" t="s">
        <v>1435</v>
      </c>
      <c r="L52" t="s">
        <v>783</v>
      </c>
      <c r="M52" t="s">
        <v>1436</v>
      </c>
      <c r="N52" t="s">
        <v>1437</v>
      </c>
      <c r="Q52" s="18" t="s">
        <v>1438</v>
      </c>
    </row>
    <row r="53" spans="1:17" x14ac:dyDescent="0.35">
      <c r="A53" t="s">
        <v>1334</v>
      </c>
      <c r="B53" s="3" t="s">
        <v>102</v>
      </c>
      <c r="C53" s="3"/>
      <c r="D53" s="3"/>
      <c r="E53" s="3"/>
      <c r="F53" t="s">
        <v>515</v>
      </c>
      <c r="H53" t="s">
        <v>1439</v>
      </c>
      <c r="J53" t="str">
        <f t="shared" si="0"/>
        <v>FORM N-PORT-B.5.d</v>
      </c>
      <c r="K53" t="s">
        <v>1440</v>
      </c>
      <c r="L53" t="s">
        <v>783</v>
      </c>
      <c r="M53" t="s">
        <v>1436</v>
      </c>
      <c r="N53" t="s">
        <v>1441</v>
      </c>
      <c r="Q53" s="18" t="s">
        <v>1442</v>
      </c>
    </row>
    <row r="54" spans="1:17" x14ac:dyDescent="0.35">
      <c r="A54" t="s">
        <v>1334</v>
      </c>
      <c r="B54" s="3" t="s">
        <v>102</v>
      </c>
      <c r="C54" s="3"/>
      <c r="D54" s="3"/>
      <c r="E54" s="3"/>
      <c r="F54" t="s">
        <v>515</v>
      </c>
      <c r="H54" t="s">
        <v>1443</v>
      </c>
      <c r="J54" t="str">
        <f t="shared" si="0"/>
        <v>FORM N-PORT-B.6.a</v>
      </c>
      <c r="K54" t="s">
        <v>1444</v>
      </c>
      <c r="L54" t="s">
        <v>783</v>
      </c>
      <c r="M54" t="s">
        <v>1445</v>
      </c>
      <c r="N54" t="s">
        <v>1446</v>
      </c>
      <c r="Q54" s="18">
        <f xml:space="preserve"> 2681041308.38
 + 2388750811.12 + 2146153301.55</f>
        <v>7215945421.0500002</v>
      </c>
    </row>
    <row r="55" spans="1:17" x14ac:dyDescent="0.35">
      <c r="A55" t="s">
        <v>1334</v>
      </c>
      <c r="B55" s="3" t="s">
        <v>102</v>
      </c>
      <c r="C55" s="3"/>
      <c r="D55" s="3"/>
      <c r="E55" s="3"/>
      <c r="F55" t="s">
        <v>515</v>
      </c>
      <c r="H55" t="s">
        <v>1447</v>
      </c>
      <c r="J55" t="str">
        <f t="shared" si="0"/>
        <v>FORM N-PORT-B.6.b</v>
      </c>
      <c r="K55" t="s">
        <v>1448</v>
      </c>
      <c r="L55" t="s">
        <v>783</v>
      </c>
      <c r="M55" t="s">
        <v>1449</v>
      </c>
      <c r="N55" t="s">
        <v>1450</v>
      </c>
      <c r="Q55" s="18">
        <f xml:space="preserve"> 205557.31  + 8331.98 + 787920787.95</f>
        <v>788134677.24000001</v>
      </c>
    </row>
    <row r="56" spans="1:17" x14ac:dyDescent="0.35">
      <c r="A56" t="s">
        <v>1334</v>
      </c>
      <c r="B56" s="3" t="s">
        <v>102</v>
      </c>
      <c r="C56" s="3"/>
      <c r="D56" s="3"/>
      <c r="E56" s="3"/>
      <c r="F56" t="s">
        <v>515</v>
      </c>
      <c r="H56" t="s">
        <v>1451</v>
      </c>
      <c r="J56" t="str">
        <f t="shared" si="0"/>
        <v>FORM N-PORT-B.6.c</v>
      </c>
      <c r="K56" t="s">
        <v>1452</v>
      </c>
      <c r="L56" t="s">
        <v>783</v>
      </c>
      <c r="M56" t="s">
        <v>1453</v>
      </c>
      <c r="N56" t="s">
        <v>1454</v>
      </c>
      <c r="Q56" s="18">
        <f xml:space="preserve"> 3476553484.15 + 2546674418.55 + 3386317311.39</f>
        <v>9409545214.0900002</v>
      </c>
    </row>
    <row r="57" spans="1:17" x14ac:dyDescent="0.35">
      <c r="A57" t="s">
        <v>1334</v>
      </c>
      <c r="B57" s="3" t="s">
        <v>102</v>
      </c>
      <c r="C57" s="3"/>
      <c r="D57" s="3"/>
      <c r="E57" s="3"/>
      <c r="F57" t="s">
        <v>515</v>
      </c>
      <c r="H57" t="s">
        <v>1443</v>
      </c>
      <c r="J57" t="str">
        <f t="shared" si="0"/>
        <v>FORM N-PORT-B.6.a</v>
      </c>
      <c r="K57" t="s">
        <v>1444</v>
      </c>
      <c r="L57" t="s">
        <v>783</v>
      </c>
      <c r="M57" t="s">
        <v>1445</v>
      </c>
      <c r="N57" t="s">
        <v>1446</v>
      </c>
      <c r="Q57" s="18">
        <v>2.8222909999999999</v>
      </c>
    </row>
    <row r="58" spans="1:17" x14ac:dyDescent="0.35">
      <c r="A58" t="s">
        <v>1334</v>
      </c>
      <c r="B58" s="3" t="s">
        <v>102</v>
      </c>
      <c r="C58" s="3"/>
      <c r="D58" s="3"/>
      <c r="E58" s="3"/>
      <c r="F58" t="s">
        <v>515</v>
      </c>
      <c r="H58" t="s">
        <v>1447</v>
      </c>
      <c r="J58" t="str">
        <f t="shared" si="0"/>
        <v>FORM N-PORT-B.6.b</v>
      </c>
      <c r="K58" t="s">
        <v>1448</v>
      </c>
      <c r="L58" t="s">
        <v>783</v>
      </c>
      <c r="M58" t="s">
        <v>1449</v>
      </c>
      <c r="N58" t="s">
        <v>1450</v>
      </c>
      <c r="Q58" s="18">
        <v>-0.31434399000000002</v>
      </c>
    </row>
    <row r="59" spans="1:17" x14ac:dyDescent="0.35">
      <c r="A59" t="s">
        <v>1334</v>
      </c>
      <c r="B59" s="3" t="s">
        <v>102</v>
      </c>
      <c r="C59" s="3"/>
      <c r="D59" s="3"/>
      <c r="E59" s="3"/>
      <c r="F59" t="s">
        <v>515</v>
      </c>
      <c r="H59" t="s">
        <v>1451</v>
      </c>
      <c r="J59" t="str">
        <f t="shared" si="0"/>
        <v>FORM N-PORT-B.6.c</v>
      </c>
      <c r="K59" t="s">
        <v>1452</v>
      </c>
      <c r="L59" t="s">
        <v>783</v>
      </c>
      <c r="M59" t="s">
        <v>1453</v>
      </c>
      <c r="N59" t="s">
        <v>1454</v>
      </c>
      <c r="Q59" s="18">
        <v>-2.86219599</v>
      </c>
    </row>
    <row r="60" spans="1:17" x14ac:dyDescent="0.35">
      <c r="A60" t="s">
        <v>1334</v>
      </c>
      <c r="B60" s="3" t="s">
        <v>102</v>
      </c>
      <c r="C60" s="3"/>
      <c r="D60" s="3"/>
      <c r="E60" s="3"/>
      <c r="F60" t="s">
        <v>515</v>
      </c>
      <c r="H60" t="s">
        <v>1443</v>
      </c>
      <c r="J60" t="str">
        <f t="shared" si="0"/>
        <v>FORM N-PORT-B.6.a</v>
      </c>
      <c r="K60" t="s">
        <v>1444</v>
      </c>
      <c r="L60" t="s">
        <v>783</v>
      </c>
      <c r="M60" t="s">
        <v>1445</v>
      </c>
      <c r="N60" t="s">
        <v>1446</v>
      </c>
      <c r="Q60" s="18">
        <v>2.8208690000000001</v>
      </c>
    </row>
    <row r="61" spans="1:17" x14ac:dyDescent="0.35">
      <c r="A61" t="s">
        <v>1334</v>
      </c>
      <c r="B61" s="3" t="s">
        <v>102</v>
      </c>
      <c r="C61" s="3"/>
      <c r="D61" s="3"/>
      <c r="E61" s="3"/>
      <c r="F61" t="s">
        <v>515</v>
      </c>
      <c r="H61" t="s">
        <v>1447</v>
      </c>
      <c r="J61" t="str">
        <f t="shared" si="0"/>
        <v>FORM N-PORT-B.6.b</v>
      </c>
      <c r="K61" t="s">
        <v>1448</v>
      </c>
      <c r="L61" t="s">
        <v>783</v>
      </c>
      <c r="M61" t="s">
        <v>1449</v>
      </c>
      <c r="N61" t="s">
        <v>1450</v>
      </c>
      <c r="Q61" s="18">
        <v>-0.31513000000000002</v>
      </c>
    </row>
    <row r="62" spans="1:17" x14ac:dyDescent="0.35">
      <c r="A62" t="s">
        <v>1334</v>
      </c>
      <c r="B62" s="3" t="s">
        <v>102</v>
      </c>
      <c r="C62" s="3"/>
      <c r="D62" s="3"/>
      <c r="E62" s="3"/>
      <c r="F62" t="s">
        <v>515</v>
      </c>
      <c r="H62" t="s">
        <v>1451</v>
      </c>
      <c r="J62" t="str">
        <f t="shared" si="0"/>
        <v>FORM N-PORT-B.6.c</v>
      </c>
      <c r="K62" t="s">
        <v>1452</v>
      </c>
      <c r="L62" t="s">
        <v>783</v>
      </c>
      <c r="M62" t="s">
        <v>1453</v>
      </c>
      <c r="N62" t="s">
        <v>1454</v>
      </c>
      <c r="Q62" s="18">
        <v>-2.8556599999999999</v>
      </c>
    </row>
    <row r="63" spans="1:17" x14ac:dyDescent="0.35">
      <c r="A63" t="s">
        <v>1334</v>
      </c>
      <c r="B63" s="3" t="s">
        <v>102</v>
      </c>
      <c r="C63" s="3"/>
      <c r="D63" s="3"/>
      <c r="E63" s="3"/>
      <c r="F63" t="s">
        <v>515</v>
      </c>
      <c r="H63" t="s">
        <v>1455</v>
      </c>
      <c r="J63" t="str">
        <f t="shared" si="0"/>
        <v>FORM N-PORT-B.7.a</v>
      </c>
      <c r="K63" t="s">
        <v>1456</v>
      </c>
      <c r="L63" t="s">
        <v>783</v>
      </c>
      <c r="M63" t="s">
        <v>1457</v>
      </c>
      <c r="N63" t="s">
        <v>1458</v>
      </c>
      <c r="Q63" s="18" t="s">
        <v>1590</v>
      </c>
    </row>
    <row r="64" spans="1:17" x14ac:dyDescent="0.35">
      <c r="A64" t="s">
        <v>1334</v>
      </c>
      <c r="B64" s="3" t="s">
        <v>102</v>
      </c>
      <c r="C64" s="3"/>
      <c r="D64" s="3"/>
      <c r="E64" s="3"/>
      <c r="F64" t="s">
        <v>515</v>
      </c>
      <c r="H64" t="s">
        <v>1459</v>
      </c>
      <c r="J64" t="str">
        <f t="shared" si="0"/>
        <v>FORM N-PORT-B.7.b</v>
      </c>
      <c r="K64" t="s">
        <v>1460</v>
      </c>
      <c r="L64" t="s">
        <v>783</v>
      </c>
      <c r="M64" t="s">
        <v>1461</v>
      </c>
      <c r="N64" t="s">
        <v>1462</v>
      </c>
      <c r="Q64" s="18" t="s">
        <v>1590</v>
      </c>
    </row>
    <row r="65" spans="1:17" x14ac:dyDescent="0.35">
      <c r="A65" t="s">
        <v>1334</v>
      </c>
      <c r="B65" s="3" t="s">
        <v>102</v>
      </c>
      <c r="C65" s="3"/>
      <c r="D65" s="3"/>
      <c r="E65" s="3"/>
      <c r="F65" t="s">
        <v>515</v>
      </c>
      <c r="H65" t="s">
        <v>1463</v>
      </c>
      <c r="J65" t="str">
        <f t="shared" si="0"/>
        <v>FORM N-PORT-B.7.c</v>
      </c>
      <c r="K65" t="s">
        <v>1464</v>
      </c>
      <c r="L65" t="s">
        <v>1187</v>
      </c>
      <c r="M65" t="s">
        <v>1465</v>
      </c>
      <c r="N65" t="s">
        <v>1466</v>
      </c>
      <c r="Q65" s="18" t="s">
        <v>1590</v>
      </c>
    </row>
    <row r="66" spans="1:17" x14ac:dyDescent="0.35">
      <c r="A66" t="s">
        <v>1334</v>
      </c>
      <c r="B66" s="3" t="s">
        <v>102</v>
      </c>
      <c r="C66" s="3"/>
      <c r="D66" s="3"/>
      <c r="E66" s="3"/>
      <c r="F66" t="s">
        <v>515</v>
      </c>
      <c r="H66" t="s">
        <v>1467</v>
      </c>
      <c r="J66" t="str">
        <f t="shared" si="0"/>
        <v>FORM N-PORT-B.7.c.i</v>
      </c>
      <c r="K66" t="s">
        <v>1468</v>
      </c>
      <c r="L66" t="s">
        <v>783</v>
      </c>
      <c r="M66" t="s">
        <v>1469</v>
      </c>
      <c r="N66" t="s">
        <v>1470</v>
      </c>
      <c r="Q66" s="18" t="s">
        <v>1590</v>
      </c>
    </row>
    <row r="67" spans="1:17" x14ac:dyDescent="0.35">
      <c r="A67" t="s">
        <v>1334</v>
      </c>
      <c r="B67" s="3" t="s">
        <v>102</v>
      </c>
      <c r="C67" s="3"/>
      <c r="D67" s="3"/>
      <c r="E67" s="3"/>
      <c r="F67" t="s">
        <v>515</v>
      </c>
      <c r="H67" t="s">
        <v>1471</v>
      </c>
      <c r="J67" t="str">
        <f t="shared" ref="J67:J130" si="1">_xlfn.CONCAT(A67,"-",H67)</f>
        <v>FORM N-PORT-B.8</v>
      </c>
      <c r="K67" t="s">
        <v>1472</v>
      </c>
      <c r="L67" t="s">
        <v>1198</v>
      </c>
      <c r="M67" t="s">
        <v>1473</v>
      </c>
      <c r="N67" t="s">
        <v>1474</v>
      </c>
      <c r="Q67" s="18" t="s">
        <v>1590</v>
      </c>
    </row>
    <row r="68" spans="1:17" x14ac:dyDescent="0.35">
      <c r="A68" t="s">
        <v>1334</v>
      </c>
      <c r="B68" s="3" t="s">
        <v>102</v>
      </c>
      <c r="C68" s="3"/>
      <c r="D68" s="3"/>
      <c r="E68" s="3"/>
      <c r="F68" t="s">
        <v>515</v>
      </c>
      <c r="H68" t="s">
        <v>1475</v>
      </c>
      <c r="J68" t="str">
        <f t="shared" si="1"/>
        <v>FORM N-PORT-B.9.a</v>
      </c>
      <c r="K68" t="s">
        <v>1476</v>
      </c>
      <c r="L68" t="s">
        <v>1198</v>
      </c>
      <c r="M68" t="s">
        <v>1477</v>
      </c>
      <c r="N68" t="s">
        <v>1478</v>
      </c>
      <c r="Q68" s="18" t="s">
        <v>1590</v>
      </c>
    </row>
    <row r="69" spans="1:17" x14ac:dyDescent="0.35">
      <c r="A69" t="s">
        <v>1334</v>
      </c>
      <c r="B69" s="3" t="s">
        <v>102</v>
      </c>
      <c r="C69" s="3"/>
      <c r="D69" s="3"/>
      <c r="E69" s="3"/>
      <c r="F69" t="s">
        <v>515</v>
      </c>
      <c r="H69" t="s">
        <v>1479</v>
      </c>
      <c r="J69" t="str">
        <f t="shared" si="1"/>
        <v>FORM N-PORT-B.9.b</v>
      </c>
      <c r="K69" t="s">
        <v>1480</v>
      </c>
      <c r="L69" t="s">
        <v>1198</v>
      </c>
      <c r="M69" t="s">
        <v>1481</v>
      </c>
      <c r="N69" t="s">
        <v>1482</v>
      </c>
      <c r="Q69" s="18" t="s">
        <v>1590</v>
      </c>
    </row>
    <row r="70" spans="1:17" x14ac:dyDescent="0.35">
      <c r="A70" t="s">
        <v>1334</v>
      </c>
      <c r="B70" s="3" t="s">
        <v>102</v>
      </c>
      <c r="C70" s="3"/>
      <c r="D70" s="3"/>
      <c r="E70" s="3"/>
      <c r="F70" t="s">
        <v>515</v>
      </c>
      <c r="H70" t="s">
        <v>1483</v>
      </c>
      <c r="J70" t="str">
        <f t="shared" si="1"/>
        <v>FORM N-PORT-B.9.c</v>
      </c>
      <c r="K70" t="s">
        <v>1484</v>
      </c>
      <c r="L70" t="s">
        <v>1198</v>
      </c>
      <c r="M70" t="s">
        <v>1485</v>
      </c>
      <c r="N70" t="s">
        <v>1486</v>
      </c>
      <c r="Q70" s="18" t="s">
        <v>1590</v>
      </c>
    </row>
    <row r="71" spans="1:17" x14ac:dyDescent="0.35">
      <c r="A71" t="s">
        <v>1334</v>
      </c>
      <c r="B71" s="3" t="s">
        <v>102</v>
      </c>
      <c r="C71" s="3"/>
      <c r="D71" s="3"/>
      <c r="E71" s="3"/>
      <c r="F71" t="s">
        <v>515</v>
      </c>
      <c r="H71" t="s">
        <v>1487</v>
      </c>
      <c r="J71" t="str">
        <f t="shared" si="1"/>
        <v>FORM N-PORT-B.9.d</v>
      </c>
      <c r="K71" t="s">
        <v>1488</v>
      </c>
      <c r="L71" t="s">
        <v>783</v>
      </c>
      <c r="M71" t="s">
        <v>1489</v>
      </c>
      <c r="N71" t="s">
        <v>1490</v>
      </c>
      <c r="Q71" s="18" t="s">
        <v>1590</v>
      </c>
    </row>
    <row r="72" spans="1:17" x14ac:dyDescent="0.35">
      <c r="A72" t="s">
        <v>1334</v>
      </c>
      <c r="B72" s="3" t="s">
        <v>102</v>
      </c>
      <c r="C72" s="3"/>
      <c r="D72" s="3"/>
      <c r="E72" s="3"/>
      <c r="F72" t="s">
        <v>515</v>
      </c>
      <c r="H72" t="s">
        <v>1491</v>
      </c>
      <c r="J72" t="str">
        <f t="shared" si="1"/>
        <v>FORM N-PORT-B.10.a</v>
      </c>
      <c r="K72" t="s">
        <v>1492</v>
      </c>
      <c r="L72" t="s">
        <v>1198</v>
      </c>
      <c r="M72" t="s">
        <v>1493</v>
      </c>
      <c r="N72" t="s">
        <v>1494</v>
      </c>
      <c r="Q72" s="18" t="s">
        <v>1590</v>
      </c>
    </row>
    <row r="73" spans="1:17" x14ac:dyDescent="0.35">
      <c r="A73" t="s">
        <v>1334</v>
      </c>
      <c r="B73" s="3" t="s">
        <v>102</v>
      </c>
      <c r="C73" s="3"/>
      <c r="D73" s="3"/>
      <c r="E73" s="3"/>
      <c r="F73" t="s">
        <v>515</v>
      </c>
      <c r="H73" t="s">
        <v>1495</v>
      </c>
      <c r="J73" t="str">
        <f t="shared" si="1"/>
        <v>FORM N-PORT-B.10.b.i</v>
      </c>
      <c r="K73" t="s">
        <v>1496</v>
      </c>
      <c r="L73" t="s">
        <v>229</v>
      </c>
      <c r="M73" t="s">
        <v>1497</v>
      </c>
      <c r="N73" t="s">
        <v>1498</v>
      </c>
      <c r="Q73" s="18" t="s">
        <v>1499</v>
      </c>
    </row>
    <row r="74" spans="1:17" x14ac:dyDescent="0.35">
      <c r="A74" t="s">
        <v>1334</v>
      </c>
      <c r="B74" s="3" t="s">
        <v>102</v>
      </c>
      <c r="C74" s="3"/>
      <c r="D74" s="3"/>
      <c r="E74" s="3"/>
      <c r="F74" t="s">
        <v>515</v>
      </c>
      <c r="H74" t="s">
        <v>1500</v>
      </c>
      <c r="J74" t="str">
        <f t="shared" si="1"/>
        <v>FORM N-PORT-B.10.b.ii</v>
      </c>
      <c r="K74" t="s">
        <v>1501</v>
      </c>
      <c r="L74" t="s">
        <v>1502</v>
      </c>
      <c r="M74" t="s">
        <v>1503</v>
      </c>
      <c r="N74" t="s">
        <v>1504</v>
      </c>
      <c r="Q74" s="18" t="s">
        <v>1505</v>
      </c>
    </row>
    <row r="75" spans="1:17" x14ac:dyDescent="0.35">
      <c r="A75" t="s">
        <v>1334</v>
      </c>
      <c r="B75" s="3" t="s">
        <v>102</v>
      </c>
      <c r="C75" s="3"/>
      <c r="D75" s="3"/>
      <c r="E75" s="3"/>
      <c r="F75" t="s">
        <v>515</v>
      </c>
      <c r="H75" t="s">
        <v>1506</v>
      </c>
      <c r="J75" t="str">
        <f t="shared" si="1"/>
        <v>FORM N-PORT-B.10.b.iii</v>
      </c>
      <c r="K75" t="s">
        <v>1507</v>
      </c>
      <c r="L75" t="s">
        <v>1198</v>
      </c>
      <c r="M75" t="s">
        <v>1508</v>
      </c>
      <c r="N75" t="s">
        <v>1509</v>
      </c>
      <c r="Q75" s="18" t="s">
        <v>1590</v>
      </c>
    </row>
    <row r="76" spans="1:17" x14ac:dyDescent="0.35">
      <c r="A76" t="s">
        <v>1334</v>
      </c>
      <c r="B76" s="3" t="s">
        <v>102</v>
      </c>
      <c r="C76" s="3"/>
      <c r="D76" s="3"/>
      <c r="E76" s="3"/>
      <c r="F76" t="s">
        <v>515</v>
      </c>
      <c r="H76" t="s">
        <v>1510</v>
      </c>
      <c r="J76" t="str">
        <f t="shared" si="1"/>
        <v>FORM N-PORT-B.10.c</v>
      </c>
      <c r="K76" t="s">
        <v>1511</v>
      </c>
      <c r="L76" t="s">
        <v>783</v>
      </c>
      <c r="M76" t="s">
        <v>1512</v>
      </c>
      <c r="N76" t="s">
        <v>1513</v>
      </c>
      <c r="Q76" s="18" t="s">
        <v>1590</v>
      </c>
    </row>
    <row r="77" spans="1:17" x14ac:dyDescent="0.35">
      <c r="A77" t="s">
        <v>1334</v>
      </c>
      <c r="B77" s="3" t="s">
        <v>102</v>
      </c>
      <c r="C77" s="3"/>
      <c r="D77" s="3"/>
      <c r="E77" s="3"/>
      <c r="F77" t="s">
        <v>515</v>
      </c>
      <c r="H77" t="s">
        <v>1514</v>
      </c>
      <c r="J77" t="str">
        <f t="shared" si="1"/>
        <v>FORM N-PORT-B.11.a</v>
      </c>
      <c r="K77" t="s">
        <v>1515</v>
      </c>
      <c r="L77" t="s">
        <v>229</v>
      </c>
      <c r="M77" t="s">
        <v>1516</v>
      </c>
      <c r="N77" t="s">
        <v>1517</v>
      </c>
      <c r="Q77" s="18" t="s">
        <v>1590</v>
      </c>
    </row>
    <row r="78" spans="1:17" x14ac:dyDescent="0.35">
      <c r="A78" t="s">
        <v>1334</v>
      </c>
      <c r="B78" s="3" t="s">
        <v>102</v>
      </c>
      <c r="C78" s="3"/>
      <c r="D78" s="3"/>
      <c r="E78" s="3"/>
      <c r="F78" t="s">
        <v>515</v>
      </c>
      <c r="H78" t="s">
        <v>1518</v>
      </c>
      <c r="J78" t="str">
        <f t="shared" si="1"/>
        <v>FORM N-PORT-B.11.b</v>
      </c>
      <c r="K78" t="s">
        <v>1519</v>
      </c>
      <c r="L78" t="s">
        <v>1198</v>
      </c>
      <c r="M78" t="s">
        <v>1520</v>
      </c>
      <c r="N78" t="s">
        <v>1521</v>
      </c>
      <c r="Q78" s="18" t="s">
        <v>1590</v>
      </c>
    </row>
    <row r="79" spans="1:17" x14ac:dyDescent="0.35">
      <c r="A79" t="s">
        <v>1334</v>
      </c>
      <c r="B79" s="3" t="s">
        <v>102</v>
      </c>
      <c r="C79" s="3"/>
      <c r="D79" s="3"/>
      <c r="E79" s="3"/>
      <c r="F79" t="s">
        <v>551</v>
      </c>
      <c r="H79" t="s">
        <v>593</v>
      </c>
      <c r="J79" t="str">
        <f t="shared" si="1"/>
        <v>FORM N-PORT-C.1</v>
      </c>
      <c r="K79" t="s">
        <v>1522</v>
      </c>
      <c r="L79" t="s">
        <v>229</v>
      </c>
      <c r="M79" t="s">
        <v>1523</v>
      </c>
      <c r="N79" t="s">
        <v>1524</v>
      </c>
      <c r="Q79" s="18" t="s">
        <v>1525</v>
      </c>
    </row>
    <row r="80" spans="1:17" x14ac:dyDescent="0.35">
      <c r="A80" t="s">
        <v>1334</v>
      </c>
      <c r="B80" s="3" t="s">
        <v>102</v>
      </c>
      <c r="C80" s="3"/>
      <c r="D80" s="3"/>
      <c r="E80" s="3"/>
      <c r="F80" t="s">
        <v>551</v>
      </c>
      <c r="H80" t="s">
        <v>593</v>
      </c>
      <c r="J80" t="str">
        <f t="shared" si="1"/>
        <v>FORM N-PORT-C.1</v>
      </c>
      <c r="K80" t="s">
        <v>1526</v>
      </c>
      <c r="L80" t="s">
        <v>1313</v>
      </c>
      <c r="M80" t="s">
        <v>1527</v>
      </c>
      <c r="N80" t="s">
        <v>1528</v>
      </c>
      <c r="Q80" s="18" t="s">
        <v>1529</v>
      </c>
    </row>
    <row r="81" spans="1:17" x14ac:dyDescent="0.35">
      <c r="A81" t="s">
        <v>1334</v>
      </c>
      <c r="B81" s="3" t="s">
        <v>102</v>
      </c>
      <c r="C81" s="3"/>
      <c r="D81" s="3"/>
      <c r="E81" s="3"/>
      <c r="F81" t="s">
        <v>551</v>
      </c>
      <c r="H81" t="s">
        <v>593</v>
      </c>
      <c r="J81" t="str">
        <f t="shared" si="1"/>
        <v>FORM N-PORT-C.1</v>
      </c>
      <c r="K81" t="s">
        <v>1530</v>
      </c>
      <c r="L81" t="s">
        <v>229</v>
      </c>
      <c r="M81" t="s">
        <v>1531</v>
      </c>
      <c r="N81" t="s">
        <v>1532</v>
      </c>
      <c r="Q81" s="18" t="s">
        <v>1533</v>
      </c>
    </row>
    <row r="82" spans="1:17" x14ac:dyDescent="0.35">
      <c r="A82" t="s">
        <v>1334</v>
      </c>
      <c r="B82" s="3" t="s">
        <v>102</v>
      </c>
      <c r="C82" s="3"/>
      <c r="D82" s="3"/>
      <c r="E82" s="3"/>
      <c r="F82" t="s">
        <v>551</v>
      </c>
      <c r="H82" t="s">
        <v>593</v>
      </c>
      <c r="J82" t="str">
        <f t="shared" si="1"/>
        <v>FORM N-PORT-C.1</v>
      </c>
      <c r="K82" t="s">
        <v>1534</v>
      </c>
      <c r="L82" t="s">
        <v>1313</v>
      </c>
      <c r="M82" t="s">
        <v>1535</v>
      </c>
      <c r="N82" t="s">
        <v>1536</v>
      </c>
      <c r="Q82" s="18" t="s">
        <v>1537</v>
      </c>
    </row>
    <row r="83" spans="1:17" x14ac:dyDescent="0.35">
      <c r="A83" t="s">
        <v>1334</v>
      </c>
      <c r="B83" s="3" t="s">
        <v>102</v>
      </c>
      <c r="C83" s="3"/>
      <c r="D83" s="3"/>
      <c r="E83" s="3"/>
      <c r="F83" t="s">
        <v>551</v>
      </c>
      <c r="H83" t="s">
        <v>593</v>
      </c>
      <c r="J83" t="str">
        <f t="shared" si="1"/>
        <v>FORM N-PORT-C.1</v>
      </c>
      <c r="K83" t="s">
        <v>1538</v>
      </c>
      <c r="L83" t="s">
        <v>1313</v>
      </c>
      <c r="M83" t="s">
        <v>1539</v>
      </c>
      <c r="N83" t="s">
        <v>1540</v>
      </c>
      <c r="Q83" s="18" t="s">
        <v>1541</v>
      </c>
    </row>
    <row r="84" spans="1:17" x14ac:dyDescent="0.35">
      <c r="A84" t="s">
        <v>1334</v>
      </c>
      <c r="B84" s="3" t="s">
        <v>102</v>
      </c>
      <c r="C84" s="3"/>
      <c r="D84" s="3"/>
      <c r="E84" s="3"/>
      <c r="F84" t="s">
        <v>551</v>
      </c>
      <c r="H84" t="s">
        <v>1542</v>
      </c>
      <c r="J84" t="str">
        <f t="shared" si="1"/>
        <v>FORM N-PORT-C.2</v>
      </c>
      <c r="K84" t="s">
        <v>1543</v>
      </c>
      <c r="L84" t="s">
        <v>783</v>
      </c>
      <c r="M84" t="s">
        <v>1544</v>
      </c>
      <c r="N84" t="s">
        <v>1545</v>
      </c>
      <c r="Q84" s="18">
        <v>7555000</v>
      </c>
    </row>
    <row r="85" spans="1:17" x14ac:dyDescent="0.35">
      <c r="A85" t="s">
        <v>1334</v>
      </c>
      <c r="B85" s="3" t="s">
        <v>102</v>
      </c>
      <c r="C85" s="3"/>
      <c r="D85" s="3"/>
      <c r="E85" s="3"/>
      <c r="F85" t="s">
        <v>551</v>
      </c>
      <c r="H85" t="s">
        <v>1542</v>
      </c>
      <c r="J85" t="str">
        <f t="shared" si="1"/>
        <v>FORM N-PORT-C.2</v>
      </c>
      <c r="K85" t="s">
        <v>1546</v>
      </c>
      <c r="L85" t="s">
        <v>1502</v>
      </c>
      <c r="M85" t="s">
        <v>1547</v>
      </c>
      <c r="N85" t="s">
        <v>1548</v>
      </c>
      <c r="Q85" s="18" t="s">
        <v>1549</v>
      </c>
    </row>
    <row r="86" spans="1:17" x14ac:dyDescent="0.35">
      <c r="A86" t="s">
        <v>1334</v>
      </c>
      <c r="B86" s="3" t="s">
        <v>102</v>
      </c>
      <c r="C86" s="3"/>
      <c r="D86" s="3"/>
      <c r="E86" s="3"/>
      <c r="F86" t="s">
        <v>551</v>
      </c>
      <c r="H86" t="s">
        <v>1542</v>
      </c>
      <c r="J86" t="str">
        <f t="shared" si="1"/>
        <v>FORM N-PORT-C.2</v>
      </c>
      <c r="K86" t="s">
        <v>1550</v>
      </c>
      <c r="L86" t="s">
        <v>783</v>
      </c>
      <c r="M86" t="s">
        <v>1551</v>
      </c>
      <c r="N86" t="s">
        <v>1552</v>
      </c>
      <c r="Q86" s="18">
        <v>6531811.2400000002</v>
      </c>
    </row>
    <row r="87" spans="1:17" x14ac:dyDescent="0.35">
      <c r="A87" t="s">
        <v>1334</v>
      </c>
      <c r="B87" s="3" t="s">
        <v>102</v>
      </c>
      <c r="C87" s="3"/>
      <c r="D87" s="3"/>
      <c r="E87" s="3"/>
      <c r="F87" t="s">
        <v>551</v>
      </c>
      <c r="H87" t="s">
        <v>1542</v>
      </c>
      <c r="J87" t="str">
        <f t="shared" si="1"/>
        <v>FORM N-PORT-C.2</v>
      </c>
      <c r="K87" t="s">
        <v>1553</v>
      </c>
      <c r="L87" t="s">
        <v>1198</v>
      </c>
      <c r="M87" t="s">
        <v>1554</v>
      </c>
      <c r="N87" t="s">
        <v>1555</v>
      </c>
      <c r="Q87" s="18">
        <v>2.7969009E-3</v>
      </c>
    </row>
    <row r="88" spans="1:17" x14ac:dyDescent="0.35">
      <c r="A88" t="s">
        <v>1334</v>
      </c>
      <c r="B88" s="3" t="s">
        <v>102</v>
      </c>
      <c r="C88" s="3"/>
      <c r="D88" s="3"/>
      <c r="E88" s="3"/>
      <c r="F88" t="s">
        <v>551</v>
      </c>
      <c r="H88" t="s">
        <v>1542</v>
      </c>
      <c r="J88" t="str">
        <f t="shared" si="1"/>
        <v>FORM N-PORT-C.2</v>
      </c>
      <c r="K88" t="s">
        <v>1556</v>
      </c>
      <c r="L88" t="s">
        <v>1187</v>
      </c>
      <c r="M88" t="s">
        <v>1557</v>
      </c>
      <c r="N88" t="s">
        <v>1558</v>
      </c>
      <c r="Q88" s="18" t="s">
        <v>1590</v>
      </c>
    </row>
    <row r="89" spans="1:17" x14ac:dyDescent="0.35">
      <c r="A89" t="s">
        <v>1334</v>
      </c>
      <c r="B89" s="3" t="s">
        <v>102</v>
      </c>
      <c r="C89" s="3"/>
      <c r="D89" s="3"/>
      <c r="E89" s="3"/>
      <c r="F89" t="s">
        <v>551</v>
      </c>
      <c r="H89" t="s">
        <v>1559</v>
      </c>
      <c r="J89" t="str">
        <f t="shared" si="1"/>
        <v>FORM N-PORT-C.3</v>
      </c>
      <c r="K89" t="s">
        <v>1560</v>
      </c>
      <c r="L89" t="s">
        <v>229</v>
      </c>
      <c r="M89" t="s">
        <v>1561</v>
      </c>
      <c r="N89" t="s">
        <v>1562</v>
      </c>
      <c r="Q89" s="18" t="s">
        <v>1563</v>
      </c>
    </row>
    <row r="90" spans="1:17" x14ac:dyDescent="0.35">
      <c r="A90" t="s">
        <v>1334</v>
      </c>
      <c r="B90" s="3" t="s">
        <v>102</v>
      </c>
      <c r="C90" s="3"/>
      <c r="D90" s="3"/>
      <c r="E90" s="3"/>
      <c r="F90" t="s">
        <v>551</v>
      </c>
      <c r="H90" t="s">
        <v>1564</v>
      </c>
      <c r="J90" t="str">
        <f t="shared" si="1"/>
        <v>FORM N-PORT-C.4</v>
      </c>
      <c r="K90" t="s">
        <v>1565</v>
      </c>
      <c r="L90" t="s">
        <v>1566</v>
      </c>
      <c r="M90" t="s">
        <v>1567</v>
      </c>
      <c r="N90" t="s">
        <v>1568</v>
      </c>
      <c r="Q90" s="18" t="s">
        <v>1569</v>
      </c>
    </row>
    <row r="91" spans="1:17" x14ac:dyDescent="0.35">
      <c r="A91" t="s">
        <v>1334</v>
      </c>
      <c r="B91" s="3" t="s">
        <v>102</v>
      </c>
      <c r="C91" s="3"/>
      <c r="D91" s="3"/>
      <c r="E91" s="3"/>
      <c r="F91" t="s">
        <v>551</v>
      </c>
      <c r="H91" t="s">
        <v>1564</v>
      </c>
      <c r="J91" t="str">
        <f t="shared" si="1"/>
        <v>FORM N-PORT-C.4</v>
      </c>
      <c r="K91" t="s">
        <v>1570</v>
      </c>
      <c r="L91" t="s">
        <v>1566</v>
      </c>
      <c r="M91" t="s">
        <v>1571</v>
      </c>
      <c r="N91" t="s">
        <v>1572</v>
      </c>
      <c r="Q91" s="18" t="s">
        <v>1573</v>
      </c>
    </row>
    <row r="92" spans="1:17" x14ac:dyDescent="0.35">
      <c r="A92" t="s">
        <v>1334</v>
      </c>
      <c r="B92" s="3" t="s">
        <v>102</v>
      </c>
      <c r="C92" s="3"/>
      <c r="D92" s="3"/>
      <c r="E92" s="3"/>
      <c r="F92" t="s">
        <v>551</v>
      </c>
      <c r="H92" t="s">
        <v>1574</v>
      </c>
      <c r="J92" t="str">
        <f t="shared" si="1"/>
        <v>FORM N-PORT-C.5</v>
      </c>
      <c r="K92" t="s">
        <v>1575</v>
      </c>
      <c r="L92" t="s">
        <v>1502</v>
      </c>
      <c r="M92" t="s">
        <v>1576</v>
      </c>
      <c r="N92" t="s">
        <v>1577</v>
      </c>
      <c r="Q92" s="18" t="s">
        <v>1578</v>
      </c>
    </row>
    <row r="93" spans="1:17" x14ac:dyDescent="0.35">
      <c r="A93" t="s">
        <v>1334</v>
      </c>
      <c r="B93" s="3" t="s">
        <v>102</v>
      </c>
      <c r="C93" s="3"/>
      <c r="D93" s="3"/>
      <c r="E93" s="3"/>
      <c r="F93" t="s">
        <v>551</v>
      </c>
      <c r="H93" t="s">
        <v>1574</v>
      </c>
      <c r="J93" t="str">
        <f t="shared" si="1"/>
        <v>FORM N-PORT-C.5</v>
      </c>
      <c r="K93" t="s">
        <v>1579</v>
      </c>
      <c r="L93" t="s">
        <v>1502</v>
      </c>
      <c r="M93" t="s">
        <v>1580</v>
      </c>
      <c r="N93" t="s">
        <v>1581</v>
      </c>
      <c r="Q93" s="18" t="s">
        <v>1590</v>
      </c>
    </row>
    <row r="94" spans="1:17" x14ac:dyDescent="0.35">
      <c r="A94" t="s">
        <v>1334</v>
      </c>
      <c r="B94" s="3" t="s">
        <v>102</v>
      </c>
      <c r="C94" s="3"/>
      <c r="D94" s="3"/>
      <c r="E94" s="3"/>
      <c r="F94" t="s">
        <v>551</v>
      </c>
      <c r="H94" t="s">
        <v>1582</v>
      </c>
      <c r="J94" t="str">
        <f t="shared" si="1"/>
        <v>FORM N-PORT-C.6</v>
      </c>
      <c r="K94" t="s">
        <v>1583</v>
      </c>
      <c r="L94" t="s">
        <v>1187</v>
      </c>
      <c r="M94" t="s">
        <v>1584</v>
      </c>
      <c r="N94" t="s">
        <v>1585</v>
      </c>
      <c r="Q94" s="18" t="s">
        <v>1341</v>
      </c>
    </row>
    <row r="95" spans="1:17" x14ac:dyDescent="0.35">
      <c r="A95" t="s">
        <v>1334</v>
      </c>
      <c r="B95" s="3" t="s">
        <v>102</v>
      </c>
      <c r="C95" s="3"/>
      <c r="D95" s="3"/>
      <c r="E95" s="3"/>
      <c r="F95" t="s">
        <v>551</v>
      </c>
      <c r="H95" t="s">
        <v>1586</v>
      </c>
      <c r="J95" t="str">
        <f t="shared" si="1"/>
        <v>FORM N-PORT-C.7</v>
      </c>
      <c r="K95" t="s">
        <v>1587</v>
      </c>
      <c r="L95" t="s">
        <v>1566</v>
      </c>
      <c r="M95" t="s">
        <v>1588</v>
      </c>
      <c r="N95" t="s">
        <v>1589</v>
      </c>
      <c r="Q95" s="18" t="s">
        <v>1590</v>
      </c>
    </row>
    <row r="96" spans="1:17" x14ac:dyDescent="0.35">
      <c r="A96" t="s">
        <v>1334</v>
      </c>
      <c r="B96" s="3" t="s">
        <v>102</v>
      </c>
      <c r="C96" s="3"/>
      <c r="D96" s="3"/>
      <c r="E96" s="3"/>
      <c r="F96" t="s">
        <v>551</v>
      </c>
      <c r="H96" t="s">
        <v>1591</v>
      </c>
      <c r="J96" t="str">
        <f t="shared" si="1"/>
        <v>FORM N-PORT-C.8</v>
      </c>
      <c r="K96" t="s">
        <v>1592</v>
      </c>
      <c r="L96" t="s">
        <v>241</v>
      </c>
      <c r="M96" t="s">
        <v>1593</v>
      </c>
      <c r="N96" t="s">
        <v>1594</v>
      </c>
      <c r="Q96" s="18">
        <v>2</v>
      </c>
    </row>
    <row r="97" spans="1:17" x14ac:dyDescent="0.35">
      <c r="A97" t="s">
        <v>1334</v>
      </c>
      <c r="B97" s="3" t="s">
        <v>102</v>
      </c>
      <c r="C97" s="3"/>
      <c r="D97" s="3"/>
      <c r="E97" s="3"/>
      <c r="F97" t="s">
        <v>551</v>
      </c>
      <c r="H97" t="s">
        <v>1595</v>
      </c>
      <c r="J97" t="str">
        <f t="shared" si="1"/>
        <v>FORM N-PORT-C.9</v>
      </c>
      <c r="K97" t="s">
        <v>1596</v>
      </c>
      <c r="L97" t="s">
        <v>1331</v>
      </c>
      <c r="M97" t="s">
        <v>1597</v>
      </c>
      <c r="N97" t="s">
        <v>1598</v>
      </c>
      <c r="Q97" s="17">
        <v>48508</v>
      </c>
    </row>
    <row r="98" spans="1:17" x14ac:dyDescent="0.35">
      <c r="A98" t="s">
        <v>1334</v>
      </c>
      <c r="B98" s="3" t="s">
        <v>102</v>
      </c>
      <c r="C98" s="3"/>
      <c r="D98" s="3"/>
      <c r="E98" s="3"/>
      <c r="F98" t="s">
        <v>551</v>
      </c>
      <c r="H98" t="s">
        <v>1595</v>
      </c>
      <c r="J98" t="str">
        <f t="shared" si="1"/>
        <v>FORM N-PORT-C.9</v>
      </c>
      <c r="K98" t="s">
        <v>1599</v>
      </c>
      <c r="L98" t="s">
        <v>1600</v>
      </c>
      <c r="M98" t="s">
        <v>1601</v>
      </c>
      <c r="N98" t="s">
        <v>1602</v>
      </c>
      <c r="Q98" s="18" t="s">
        <v>1603</v>
      </c>
    </row>
    <row r="99" spans="1:17" x14ac:dyDescent="0.35">
      <c r="A99" t="s">
        <v>1334</v>
      </c>
      <c r="B99" s="3" t="s">
        <v>102</v>
      </c>
      <c r="C99" s="3"/>
      <c r="D99" s="3"/>
      <c r="E99" s="3"/>
      <c r="F99" t="s">
        <v>551</v>
      </c>
      <c r="H99" t="s">
        <v>1595</v>
      </c>
      <c r="J99" t="str">
        <f t="shared" si="1"/>
        <v>FORM N-PORT-C.9</v>
      </c>
      <c r="K99" t="s">
        <v>1604</v>
      </c>
      <c r="L99" t="s">
        <v>1187</v>
      </c>
      <c r="M99" t="s">
        <v>1605</v>
      </c>
      <c r="N99" t="s">
        <v>1606</v>
      </c>
      <c r="Q99" s="18" t="s">
        <v>1341</v>
      </c>
    </row>
    <row r="100" spans="1:17" x14ac:dyDescent="0.35">
      <c r="A100" t="s">
        <v>1334</v>
      </c>
      <c r="B100" s="3" t="s">
        <v>102</v>
      </c>
      <c r="C100" s="3"/>
      <c r="D100" s="3"/>
      <c r="E100" s="3"/>
      <c r="F100" t="s">
        <v>551</v>
      </c>
      <c r="H100" t="s">
        <v>1595</v>
      </c>
      <c r="J100" t="str">
        <f t="shared" si="1"/>
        <v>FORM N-PORT-C.9</v>
      </c>
      <c r="K100" t="s">
        <v>1607</v>
      </c>
      <c r="L100" t="s">
        <v>1187</v>
      </c>
      <c r="M100" t="s">
        <v>1608</v>
      </c>
      <c r="N100" t="s">
        <v>1609</v>
      </c>
      <c r="Q100" s="18" t="s">
        <v>1341</v>
      </c>
    </row>
    <row r="101" spans="1:17" x14ac:dyDescent="0.35">
      <c r="A101" t="s">
        <v>1334</v>
      </c>
      <c r="B101" s="3" t="s">
        <v>102</v>
      </c>
      <c r="C101" s="3"/>
      <c r="D101" s="3"/>
      <c r="E101" s="3"/>
      <c r="F101" t="s">
        <v>551</v>
      </c>
      <c r="H101" t="s">
        <v>1595</v>
      </c>
      <c r="J101" t="str">
        <f t="shared" si="1"/>
        <v>FORM N-PORT-C.9</v>
      </c>
      <c r="K101" t="s">
        <v>1610</v>
      </c>
      <c r="L101" t="s">
        <v>1187</v>
      </c>
      <c r="M101" t="s">
        <v>1611</v>
      </c>
      <c r="N101" t="s">
        <v>1612</v>
      </c>
      <c r="Q101" s="18" t="s">
        <v>1341</v>
      </c>
    </row>
    <row r="102" spans="1:17" x14ac:dyDescent="0.35">
      <c r="A102" t="s">
        <v>1334</v>
      </c>
      <c r="B102" s="3" t="s">
        <v>102</v>
      </c>
      <c r="C102" s="3"/>
      <c r="D102" s="3"/>
      <c r="E102" s="3"/>
      <c r="F102" t="s">
        <v>551</v>
      </c>
      <c r="H102" t="s">
        <v>1595</v>
      </c>
      <c r="J102" t="str">
        <f t="shared" si="1"/>
        <v>FORM N-PORT-C.9</v>
      </c>
      <c r="K102" t="s">
        <v>1613</v>
      </c>
      <c r="L102" t="s">
        <v>1187</v>
      </c>
      <c r="M102" t="s">
        <v>1614</v>
      </c>
      <c r="N102" t="s">
        <v>1615</v>
      </c>
      <c r="Q102" s="18" t="s">
        <v>1590</v>
      </c>
    </row>
    <row r="103" spans="1:17" x14ac:dyDescent="0.35">
      <c r="A103" t="s">
        <v>1334</v>
      </c>
      <c r="B103" s="3" t="s">
        <v>102</v>
      </c>
      <c r="C103" s="3"/>
      <c r="D103" s="3"/>
      <c r="E103" s="3"/>
      <c r="F103" t="s">
        <v>551</v>
      </c>
      <c r="H103" t="s">
        <v>1595</v>
      </c>
      <c r="J103" t="str">
        <f t="shared" si="1"/>
        <v>FORM N-PORT-C.9</v>
      </c>
      <c r="K103" t="s">
        <v>1616</v>
      </c>
      <c r="L103" t="s">
        <v>1187</v>
      </c>
      <c r="M103" t="s">
        <v>1617</v>
      </c>
      <c r="N103" t="s">
        <v>1618</v>
      </c>
      <c r="Q103" s="18" t="s">
        <v>1590</v>
      </c>
    </row>
    <row r="104" spans="1:17" x14ac:dyDescent="0.35">
      <c r="A104" t="s">
        <v>1334</v>
      </c>
      <c r="B104" s="3" t="s">
        <v>102</v>
      </c>
      <c r="C104" s="3"/>
      <c r="D104" s="3"/>
      <c r="E104" s="3"/>
      <c r="F104" t="s">
        <v>551</v>
      </c>
      <c r="H104" t="s">
        <v>1595</v>
      </c>
      <c r="J104" t="str">
        <f t="shared" si="1"/>
        <v>FORM N-PORT-C.9</v>
      </c>
      <c r="K104" t="s">
        <v>1619</v>
      </c>
      <c r="L104" t="s">
        <v>1502</v>
      </c>
      <c r="M104" t="s">
        <v>1620</v>
      </c>
      <c r="N104" t="s">
        <v>1621</v>
      </c>
      <c r="Q104" s="18" t="s">
        <v>1590</v>
      </c>
    </row>
    <row r="105" spans="1:17" x14ac:dyDescent="0.35">
      <c r="A105" t="s">
        <v>1334</v>
      </c>
      <c r="B105" s="3" t="s">
        <v>102</v>
      </c>
      <c r="C105" s="3"/>
      <c r="D105" s="3"/>
      <c r="E105" s="3"/>
      <c r="F105" t="s">
        <v>551</v>
      </c>
      <c r="H105" t="s">
        <v>1595</v>
      </c>
      <c r="J105" t="str">
        <f t="shared" si="1"/>
        <v>FORM N-PORT-C.9</v>
      </c>
      <c r="K105" t="s">
        <v>1622</v>
      </c>
      <c r="L105" t="s">
        <v>783</v>
      </c>
      <c r="M105" t="s">
        <v>1623</v>
      </c>
      <c r="N105" t="s">
        <v>1624</v>
      </c>
      <c r="Q105" s="18" t="s">
        <v>1590</v>
      </c>
    </row>
    <row r="106" spans="1:17" x14ac:dyDescent="0.35">
      <c r="A106" t="s">
        <v>1334</v>
      </c>
      <c r="B106" s="3" t="s">
        <v>102</v>
      </c>
      <c r="C106" s="3"/>
      <c r="D106" s="3"/>
      <c r="E106" s="3"/>
      <c r="F106" t="s">
        <v>551</v>
      </c>
      <c r="H106" t="s">
        <v>1595</v>
      </c>
      <c r="J106" t="str">
        <f t="shared" si="1"/>
        <v>FORM N-PORT-C.9</v>
      </c>
      <c r="K106" t="s">
        <v>1625</v>
      </c>
      <c r="L106" t="s">
        <v>783</v>
      </c>
      <c r="M106" t="s">
        <v>1626</v>
      </c>
      <c r="N106" t="s">
        <v>1627</v>
      </c>
      <c r="Q106" s="18" t="s">
        <v>1590</v>
      </c>
    </row>
    <row r="107" spans="1:17" x14ac:dyDescent="0.35">
      <c r="A107" t="s">
        <v>1334</v>
      </c>
      <c r="B107" s="3" t="s">
        <v>102</v>
      </c>
      <c r="C107" s="3"/>
      <c r="D107" s="3"/>
      <c r="E107" s="3"/>
      <c r="F107" t="s">
        <v>551</v>
      </c>
      <c r="H107" t="s">
        <v>1628</v>
      </c>
      <c r="J107" t="str">
        <f t="shared" si="1"/>
        <v>FORM N-PORT-C.10</v>
      </c>
      <c r="K107" t="s">
        <v>1629</v>
      </c>
      <c r="L107" t="s">
        <v>1566</v>
      </c>
      <c r="M107" t="s">
        <v>1630</v>
      </c>
      <c r="N107" t="s">
        <v>1631</v>
      </c>
      <c r="Q107" s="18" t="s">
        <v>1590</v>
      </c>
    </row>
    <row r="108" spans="1:17" x14ac:dyDescent="0.35">
      <c r="A108" t="s">
        <v>1334</v>
      </c>
      <c r="B108" s="3" t="s">
        <v>102</v>
      </c>
      <c r="C108" s="3"/>
      <c r="D108" s="3"/>
      <c r="E108" s="3"/>
      <c r="F108" t="s">
        <v>551</v>
      </c>
      <c r="H108" t="s">
        <v>1628</v>
      </c>
      <c r="J108" t="str">
        <f t="shared" si="1"/>
        <v>FORM N-PORT-C.10</v>
      </c>
      <c r="K108" t="s">
        <v>1632</v>
      </c>
      <c r="L108" t="s">
        <v>1502</v>
      </c>
      <c r="M108" t="s">
        <v>1633</v>
      </c>
      <c r="N108" t="s">
        <v>1634</v>
      </c>
      <c r="Q108" s="18" t="s">
        <v>1590</v>
      </c>
    </row>
    <row r="109" spans="1:17" x14ac:dyDescent="0.35">
      <c r="A109" t="s">
        <v>1334</v>
      </c>
      <c r="B109" s="3" t="s">
        <v>102</v>
      </c>
      <c r="C109" s="3"/>
      <c r="D109" s="3"/>
      <c r="E109" s="3"/>
      <c r="F109" t="s">
        <v>551</v>
      </c>
      <c r="H109" t="s">
        <v>1628</v>
      </c>
      <c r="J109" t="str">
        <f t="shared" si="1"/>
        <v>FORM N-PORT-C.10</v>
      </c>
      <c r="K109" t="s">
        <v>1635</v>
      </c>
      <c r="L109" t="s">
        <v>1187</v>
      </c>
      <c r="M109" t="s">
        <v>1636</v>
      </c>
      <c r="N109" t="s">
        <v>1637</v>
      </c>
      <c r="Q109" s="18" t="s">
        <v>1590</v>
      </c>
    </row>
    <row r="110" spans="1:17" x14ac:dyDescent="0.35">
      <c r="A110" t="s">
        <v>1334</v>
      </c>
      <c r="B110" s="3" t="s">
        <v>102</v>
      </c>
      <c r="C110" s="3"/>
      <c r="D110" s="3"/>
      <c r="E110" s="3"/>
      <c r="F110" t="s">
        <v>551</v>
      </c>
      <c r="H110" t="s">
        <v>1628</v>
      </c>
      <c r="J110" t="str">
        <f t="shared" si="1"/>
        <v>FORM N-PORT-C.10</v>
      </c>
      <c r="K110" t="s">
        <v>1638</v>
      </c>
      <c r="L110" t="s">
        <v>1502</v>
      </c>
      <c r="M110" t="s">
        <v>1639</v>
      </c>
      <c r="N110" t="s">
        <v>1640</v>
      </c>
      <c r="Q110" s="18" t="s">
        <v>1590</v>
      </c>
    </row>
    <row r="111" spans="1:17" x14ac:dyDescent="0.35">
      <c r="A111" t="s">
        <v>1334</v>
      </c>
      <c r="B111" s="3" t="s">
        <v>102</v>
      </c>
      <c r="C111" s="3"/>
      <c r="D111" s="3"/>
      <c r="E111" s="3"/>
      <c r="F111" t="s">
        <v>551</v>
      </c>
      <c r="H111" t="s">
        <v>1628</v>
      </c>
      <c r="J111" t="str">
        <f t="shared" si="1"/>
        <v>FORM N-PORT-C.10</v>
      </c>
      <c r="K111" t="s">
        <v>1641</v>
      </c>
      <c r="L111" t="s">
        <v>1187</v>
      </c>
      <c r="M111" t="s">
        <v>1642</v>
      </c>
      <c r="N111" t="s">
        <v>1643</v>
      </c>
      <c r="Q111" s="18" t="s">
        <v>1590</v>
      </c>
    </row>
    <row r="112" spans="1:17" x14ac:dyDescent="0.35">
      <c r="A112" t="s">
        <v>1334</v>
      </c>
      <c r="B112" s="3" t="s">
        <v>102</v>
      </c>
      <c r="C112" s="3"/>
      <c r="D112" s="3"/>
      <c r="E112" s="3"/>
      <c r="F112" t="s">
        <v>551</v>
      </c>
      <c r="H112" t="s">
        <v>1628</v>
      </c>
      <c r="J112" t="str">
        <f t="shared" si="1"/>
        <v>FORM N-PORT-C.10</v>
      </c>
      <c r="K112" t="s">
        <v>1644</v>
      </c>
      <c r="L112" t="s">
        <v>1198</v>
      </c>
      <c r="M112" t="s">
        <v>1645</v>
      </c>
      <c r="N112" t="s">
        <v>1646</v>
      </c>
      <c r="Q112" s="18" t="s">
        <v>1590</v>
      </c>
    </row>
    <row r="113" spans="1:17" x14ac:dyDescent="0.35">
      <c r="A113" t="s">
        <v>1334</v>
      </c>
      <c r="B113" s="3" t="s">
        <v>102</v>
      </c>
      <c r="C113" s="3"/>
      <c r="D113" s="3"/>
      <c r="E113" s="3"/>
      <c r="F113" t="s">
        <v>551</v>
      </c>
      <c r="H113" t="s">
        <v>1628</v>
      </c>
      <c r="J113" t="str">
        <f t="shared" si="1"/>
        <v>FORM N-PORT-C.10</v>
      </c>
      <c r="K113" t="s">
        <v>1647</v>
      </c>
      <c r="L113" t="s">
        <v>1331</v>
      </c>
      <c r="M113" t="s">
        <v>1648</v>
      </c>
      <c r="N113" t="s">
        <v>1649</v>
      </c>
      <c r="Q113" s="18" t="s">
        <v>1590</v>
      </c>
    </row>
    <row r="114" spans="1:17" x14ac:dyDescent="0.35">
      <c r="A114" t="s">
        <v>1334</v>
      </c>
      <c r="B114" s="3" t="s">
        <v>102</v>
      </c>
      <c r="C114" s="3"/>
      <c r="D114" s="3"/>
      <c r="E114" s="3"/>
      <c r="F114" t="s">
        <v>551</v>
      </c>
      <c r="H114" t="s">
        <v>1628</v>
      </c>
      <c r="J114" t="str">
        <f t="shared" si="1"/>
        <v>FORM N-PORT-C.10</v>
      </c>
      <c r="K114" t="s">
        <v>1650</v>
      </c>
      <c r="L114" t="s">
        <v>783</v>
      </c>
      <c r="M114" t="s">
        <v>1651</v>
      </c>
      <c r="N114" t="s">
        <v>1652</v>
      </c>
      <c r="Q114" s="18" t="s">
        <v>1590</v>
      </c>
    </row>
    <row r="115" spans="1:17" x14ac:dyDescent="0.35">
      <c r="A115" t="s">
        <v>1334</v>
      </c>
      <c r="B115" s="3" t="s">
        <v>102</v>
      </c>
      <c r="C115" s="3"/>
      <c r="D115" s="3"/>
      <c r="E115" s="3"/>
      <c r="F115" t="s">
        <v>551</v>
      </c>
      <c r="H115" t="s">
        <v>1628</v>
      </c>
      <c r="J115" t="str">
        <f t="shared" si="1"/>
        <v>FORM N-PORT-C.10</v>
      </c>
      <c r="K115" t="s">
        <v>1653</v>
      </c>
      <c r="L115" t="s">
        <v>783</v>
      </c>
      <c r="M115" t="s">
        <v>1654</v>
      </c>
      <c r="N115" t="s">
        <v>1655</v>
      </c>
      <c r="Q115" s="18" t="s">
        <v>1590</v>
      </c>
    </row>
    <row r="116" spans="1:17" x14ac:dyDescent="0.35">
      <c r="A116" t="s">
        <v>1334</v>
      </c>
      <c r="B116" s="3" t="s">
        <v>102</v>
      </c>
      <c r="C116" s="3"/>
      <c r="D116" s="3"/>
      <c r="E116" s="3"/>
      <c r="F116" t="s">
        <v>551</v>
      </c>
      <c r="H116" t="s">
        <v>1628</v>
      </c>
      <c r="J116" t="str">
        <f t="shared" si="1"/>
        <v>FORM N-PORT-C.10</v>
      </c>
      <c r="K116" t="s">
        <v>1656</v>
      </c>
      <c r="L116" t="s">
        <v>1566</v>
      </c>
      <c r="M116" t="s">
        <v>1657</v>
      </c>
      <c r="N116" t="s">
        <v>1658</v>
      </c>
      <c r="Q116" s="18" t="s">
        <v>1590</v>
      </c>
    </row>
    <row r="117" spans="1:17" x14ac:dyDescent="0.35">
      <c r="A117" t="s">
        <v>1334</v>
      </c>
      <c r="B117" s="3" t="s">
        <v>102</v>
      </c>
      <c r="C117" s="3"/>
      <c r="D117" s="3"/>
      <c r="E117" s="3"/>
      <c r="F117" t="s">
        <v>551</v>
      </c>
      <c r="H117" t="s">
        <v>1659</v>
      </c>
      <c r="J117" t="str">
        <f t="shared" si="1"/>
        <v>FORM N-PORT-C.11</v>
      </c>
      <c r="K117" t="s">
        <v>1660</v>
      </c>
      <c r="L117" t="s">
        <v>1566</v>
      </c>
      <c r="M117" t="s">
        <v>1661</v>
      </c>
      <c r="N117" t="s">
        <v>1662</v>
      </c>
      <c r="Q117" s="18" t="s">
        <v>1590</v>
      </c>
    </row>
    <row r="118" spans="1:17" x14ac:dyDescent="0.35">
      <c r="A118" t="s">
        <v>1334</v>
      </c>
      <c r="B118" s="3" t="s">
        <v>102</v>
      </c>
      <c r="C118" s="3"/>
      <c r="D118" s="3"/>
      <c r="E118" s="3"/>
      <c r="F118" t="s">
        <v>551</v>
      </c>
      <c r="H118" t="s">
        <v>1659</v>
      </c>
      <c r="J118" t="str">
        <f t="shared" si="1"/>
        <v>FORM N-PORT-C.11</v>
      </c>
      <c r="K118" t="s">
        <v>1663</v>
      </c>
      <c r="L118" t="s">
        <v>1502</v>
      </c>
      <c r="M118" t="s">
        <v>1664</v>
      </c>
      <c r="N118" t="s">
        <v>1665</v>
      </c>
      <c r="Q118" s="18" t="s">
        <v>1590</v>
      </c>
    </row>
    <row r="119" spans="1:17" x14ac:dyDescent="0.35">
      <c r="A119" t="s">
        <v>1334</v>
      </c>
      <c r="B119" s="3" t="s">
        <v>102</v>
      </c>
      <c r="C119" s="3"/>
      <c r="D119" s="3"/>
      <c r="E119" s="3"/>
      <c r="F119" t="s">
        <v>551</v>
      </c>
      <c r="H119" t="s">
        <v>1659</v>
      </c>
      <c r="J119" t="str">
        <f t="shared" si="1"/>
        <v>FORM N-PORT-C.11</v>
      </c>
      <c r="K119" t="s">
        <v>1666</v>
      </c>
      <c r="L119" t="s">
        <v>1566</v>
      </c>
      <c r="M119" t="s">
        <v>1667</v>
      </c>
      <c r="N119" t="s">
        <v>1668</v>
      </c>
      <c r="Q119" s="18" t="s">
        <v>1590</v>
      </c>
    </row>
    <row r="120" spans="1:17" x14ac:dyDescent="0.35">
      <c r="A120" t="s">
        <v>1334</v>
      </c>
      <c r="B120" s="3" t="s">
        <v>102</v>
      </c>
      <c r="C120" s="3"/>
      <c r="D120" s="3"/>
      <c r="E120" s="3"/>
      <c r="F120" t="s">
        <v>551</v>
      </c>
      <c r="H120" t="s">
        <v>1659</v>
      </c>
      <c r="J120" t="str">
        <f t="shared" si="1"/>
        <v>FORM N-PORT-C.11</v>
      </c>
      <c r="K120" t="s">
        <v>1669</v>
      </c>
      <c r="L120" t="s">
        <v>1566</v>
      </c>
      <c r="M120" t="s">
        <v>1670</v>
      </c>
      <c r="N120" t="s">
        <v>1671</v>
      </c>
      <c r="Q120" s="18" t="s">
        <v>1590</v>
      </c>
    </row>
    <row r="121" spans="1:17" x14ac:dyDescent="0.35">
      <c r="A121" t="s">
        <v>1334</v>
      </c>
      <c r="B121" s="3" t="s">
        <v>102</v>
      </c>
      <c r="C121" s="3"/>
      <c r="D121" s="3"/>
      <c r="E121" s="3"/>
      <c r="F121" t="s">
        <v>551</v>
      </c>
      <c r="H121" t="s">
        <v>1659</v>
      </c>
      <c r="J121" t="str">
        <f t="shared" si="1"/>
        <v>FORM N-PORT-C.11</v>
      </c>
      <c r="K121" t="s">
        <v>1672</v>
      </c>
      <c r="L121" t="s">
        <v>1502</v>
      </c>
      <c r="M121" t="s">
        <v>1673</v>
      </c>
      <c r="N121" t="s">
        <v>1674</v>
      </c>
      <c r="Q121" s="18" t="s">
        <v>1590</v>
      </c>
    </row>
    <row r="122" spans="1:17" x14ac:dyDescent="0.35">
      <c r="A122" t="s">
        <v>1334</v>
      </c>
      <c r="B122" s="3" t="s">
        <v>102</v>
      </c>
      <c r="C122" s="3"/>
      <c r="D122" s="3"/>
      <c r="E122" s="3"/>
      <c r="F122" t="s">
        <v>551</v>
      </c>
      <c r="H122" t="s">
        <v>1659</v>
      </c>
      <c r="J122" t="str">
        <f t="shared" si="1"/>
        <v>FORM N-PORT-C.11</v>
      </c>
      <c r="K122" t="s">
        <v>1675</v>
      </c>
      <c r="L122" t="s">
        <v>783</v>
      </c>
      <c r="M122" t="s">
        <v>1676</v>
      </c>
      <c r="N122" t="s">
        <v>1677</v>
      </c>
      <c r="Q122" s="18" t="s">
        <v>1590</v>
      </c>
    </row>
    <row r="123" spans="1:17" x14ac:dyDescent="0.35">
      <c r="A123" t="s">
        <v>1334</v>
      </c>
      <c r="B123" s="3" t="s">
        <v>102</v>
      </c>
      <c r="C123" s="3"/>
      <c r="D123" s="3"/>
      <c r="E123" s="3"/>
      <c r="F123" t="s">
        <v>551</v>
      </c>
      <c r="H123" t="s">
        <v>1659</v>
      </c>
      <c r="J123" t="str">
        <f t="shared" si="1"/>
        <v>FORM N-PORT-C.11</v>
      </c>
      <c r="K123" t="s">
        <v>1678</v>
      </c>
      <c r="L123" t="s">
        <v>783</v>
      </c>
      <c r="M123" t="s">
        <v>1679</v>
      </c>
      <c r="N123" t="s">
        <v>1680</v>
      </c>
      <c r="Q123" s="18" t="s">
        <v>1590</v>
      </c>
    </row>
    <row r="124" spans="1:17" x14ac:dyDescent="0.35">
      <c r="A124" t="s">
        <v>1334</v>
      </c>
      <c r="B124" s="3" t="s">
        <v>102</v>
      </c>
      <c r="C124" s="3"/>
      <c r="D124" s="3"/>
      <c r="E124" s="3"/>
      <c r="F124" t="s">
        <v>551</v>
      </c>
      <c r="H124" t="s">
        <v>1659</v>
      </c>
      <c r="J124" t="str">
        <f t="shared" si="1"/>
        <v>FORM N-PORT-C.11</v>
      </c>
      <c r="K124" t="s">
        <v>1681</v>
      </c>
      <c r="L124" t="s">
        <v>1331</v>
      </c>
      <c r="M124" t="s">
        <v>1682</v>
      </c>
      <c r="N124" t="s">
        <v>1683</v>
      </c>
      <c r="Q124" s="18" t="s">
        <v>1590</v>
      </c>
    </row>
    <row r="125" spans="1:17" x14ac:dyDescent="0.35">
      <c r="A125" t="s">
        <v>1334</v>
      </c>
      <c r="B125" s="3" t="s">
        <v>102</v>
      </c>
      <c r="C125" s="3"/>
      <c r="D125" s="3"/>
      <c r="E125" s="3"/>
      <c r="F125" t="s">
        <v>551</v>
      </c>
      <c r="H125" t="s">
        <v>1659</v>
      </c>
      <c r="J125" t="str">
        <f t="shared" si="1"/>
        <v>FORM N-PORT-C.11</v>
      </c>
      <c r="K125" t="s">
        <v>1684</v>
      </c>
      <c r="L125" t="s">
        <v>783</v>
      </c>
      <c r="M125" t="s">
        <v>1685</v>
      </c>
      <c r="N125" t="s">
        <v>1686</v>
      </c>
      <c r="Q125" s="18" t="s">
        <v>1590</v>
      </c>
    </row>
    <row r="126" spans="1:17" x14ac:dyDescent="0.35">
      <c r="A126" t="s">
        <v>1334</v>
      </c>
      <c r="B126" s="3" t="s">
        <v>102</v>
      </c>
      <c r="C126" s="3"/>
      <c r="D126" s="3"/>
      <c r="E126" s="3"/>
      <c r="F126" t="s">
        <v>551</v>
      </c>
      <c r="H126" t="s">
        <v>1659</v>
      </c>
      <c r="J126" t="str">
        <f t="shared" si="1"/>
        <v>FORM N-PORT-C.11</v>
      </c>
      <c r="K126" t="s">
        <v>1687</v>
      </c>
      <c r="L126" t="s">
        <v>783</v>
      </c>
      <c r="M126" t="s">
        <v>1688</v>
      </c>
      <c r="N126" t="s">
        <v>1689</v>
      </c>
      <c r="Q126" s="18" t="s">
        <v>1590</v>
      </c>
    </row>
    <row r="127" spans="1:17" x14ac:dyDescent="0.35">
      <c r="A127" t="s">
        <v>1334</v>
      </c>
      <c r="B127" s="3" t="s">
        <v>102</v>
      </c>
      <c r="C127" s="3"/>
      <c r="D127" s="3"/>
      <c r="E127" s="3"/>
      <c r="F127" t="s">
        <v>551</v>
      </c>
      <c r="H127" t="s">
        <v>1659</v>
      </c>
      <c r="J127" t="str">
        <f t="shared" si="1"/>
        <v>FORM N-PORT-C.11</v>
      </c>
      <c r="K127" t="s">
        <v>1690</v>
      </c>
      <c r="L127" t="s">
        <v>1566</v>
      </c>
      <c r="M127" t="s">
        <v>1691</v>
      </c>
      <c r="N127" t="s">
        <v>1692</v>
      </c>
      <c r="Q127" s="18" t="s">
        <v>1590</v>
      </c>
    </row>
    <row r="128" spans="1:17" x14ac:dyDescent="0.35">
      <c r="A128" t="s">
        <v>1334</v>
      </c>
      <c r="B128" s="3" t="s">
        <v>102</v>
      </c>
      <c r="C128" s="3"/>
      <c r="D128" s="3"/>
      <c r="E128" s="3"/>
      <c r="F128" t="s">
        <v>551</v>
      </c>
      <c r="H128" t="s">
        <v>1659</v>
      </c>
      <c r="J128" t="str">
        <f t="shared" si="1"/>
        <v>FORM N-PORT-C.11</v>
      </c>
      <c r="K128" t="s">
        <v>1693</v>
      </c>
      <c r="L128" t="s">
        <v>1502</v>
      </c>
      <c r="M128" t="s">
        <v>1694</v>
      </c>
      <c r="N128" t="s">
        <v>1695</v>
      </c>
      <c r="Q128" s="18" t="s">
        <v>1590</v>
      </c>
    </row>
    <row r="129" spans="1:17" x14ac:dyDescent="0.35">
      <c r="A129" t="s">
        <v>1334</v>
      </c>
      <c r="B129" s="3" t="s">
        <v>102</v>
      </c>
      <c r="C129" s="3"/>
      <c r="D129" s="3"/>
      <c r="E129" s="3"/>
      <c r="F129" t="s">
        <v>551</v>
      </c>
      <c r="H129" t="s">
        <v>1659</v>
      </c>
      <c r="J129" t="str">
        <f t="shared" si="1"/>
        <v>FORM N-PORT-C.11</v>
      </c>
      <c r="K129" t="s">
        <v>1696</v>
      </c>
      <c r="L129" t="s">
        <v>1331</v>
      </c>
      <c r="M129" t="s">
        <v>1697</v>
      </c>
      <c r="N129" t="s">
        <v>1698</v>
      </c>
      <c r="Q129" s="18" t="s">
        <v>1590</v>
      </c>
    </row>
    <row r="130" spans="1:17" x14ac:dyDescent="0.35">
      <c r="A130" t="s">
        <v>1334</v>
      </c>
      <c r="B130" s="3" t="s">
        <v>102</v>
      </c>
      <c r="C130" s="3"/>
      <c r="D130" s="3"/>
      <c r="E130" s="3"/>
      <c r="F130" t="s">
        <v>551</v>
      </c>
      <c r="H130" t="s">
        <v>1659</v>
      </c>
      <c r="J130" t="str">
        <f t="shared" si="1"/>
        <v>FORM N-PORT-C.11</v>
      </c>
      <c r="K130" t="s">
        <v>1699</v>
      </c>
      <c r="L130" t="s">
        <v>783</v>
      </c>
      <c r="M130" t="s">
        <v>1700</v>
      </c>
      <c r="N130" t="s">
        <v>1701</v>
      </c>
      <c r="Q130" s="18" t="s">
        <v>1590</v>
      </c>
    </row>
    <row r="131" spans="1:17" x14ac:dyDescent="0.35">
      <c r="A131" t="s">
        <v>1334</v>
      </c>
      <c r="B131" s="3" t="s">
        <v>102</v>
      </c>
      <c r="C131" s="3"/>
      <c r="D131" s="3"/>
      <c r="E131" s="3"/>
      <c r="F131" t="s">
        <v>551</v>
      </c>
      <c r="H131" t="s">
        <v>1659</v>
      </c>
      <c r="J131" t="str">
        <f t="shared" ref="J131:J194" si="2">_xlfn.CONCAT(A131,"-",H131)</f>
        <v>FORM N-PORT-C.11</v>
      </c>
      <c r="K131" t="s">
        <v>1702</v>
      </c>
      <c r="L131" t="s">
        <v>783</v>
      </c>
      <c r="M131" t="s">
        <v>1688</v>
      </c>
      <c r="N131" t="s">
        <v>1703</v>
      </c>
      <c r="Q131" s="18" t="s">
        <v>1590</v>
      </c>
    </row>
    <row r="132" spans="1:17" x14ac:dyDescent="0.35">
      <c r="A132" t="s">
        <v>1334</v>
      </c>
      <c r="B132" s="3" t="s">
        <v>102</v>
      </c>
      <c r="C132" s="3"/>
      <c r="D132" s="3"/>
      <c r="E132" s="3"/>
      <c r="F132" t="s">
        <v>551</v>
      </c>
      <c r="H132" t="s">
        <v>1659</v>
      </c>
      <c r="J132" t="str">
        <f t="shared" si="2"/>
        <v>FORM N-PORT-C.11</v>
      </c>
      <c r="K132" t="s">
        <v>1704</v>
      </c>
      <c r="L132" t="s">
        <v>229</v>
      </c>
      <c r="M132" t="s">
        <v>1705</v>
      </c>
      <c r="N132" t="s">
        <v>1706</v>
      </c>
      <c r="Q132" s="18" t="s">
        <v>1590</v>
      </c>
    </row>
    <row r="133" spans="1:17" x14ac:dyDescent="0.35">
      <c r="A133" t="s">
        <v>1334</v>
      </c>
      <c r="B133" s="3" t="s">
        <v>102</v>
      </c>
      <c r="C133" s="3"/>
      <c r="D133" s="3"/>
      <c r="E133" s="3"/>
      <c r="F133" t="s">
        <v>551</v>
      </c>
      <c r="H133" t="s">
        <v>1659</v>
      </c>
      <c r="J133" t="str">
        <f t="shared" si="2"/>
        <v>FORM N-PORT-C.11</v>
      </c>
      <c r="K133" t="s">
        <v>1707</v>
      </c>
      <c r="L133" t="s">
        <v>229</v>
      </c>
      <c r="M133" t="s">
        <v>1708</v>
      </c>
      <c r="N133" t="s">
        <v>1709</v>
      </c>
      <c r="Q133" s="18" t="s">
        <v>1590</v>
      </c>
    </row>
    <row r="134" spans="1:17" x14ac:dyDescent="0.35">
      <c r="A134" t="s">
        <v>1334</v>
      </c>
      <c r="B134" s="3" t="s">
        <v>102</v>
      </c>
      <c r="C134" s="3"/>
      <c r="D134" s="3"/>
      <c r="E134" s="3"/>
      <c r="F134" t="s">
        <v>551</v>
      </c>
      <c r="H134" t="s">
        <v>1659</v>
      </c>
      <c r="J134" t="str">
        <f t="shared" si="2"/>
        <v>FORM N-PORT-C.11</v>
      </c>
      <c r="K134" t="s">
        <v>1710</v>
      </c>
      <c r="L134" t="s">
        <v>1331</v>
      </c>
      <c r="M134" t="s">
        <v>1711</v>
      </c>
      <c r="N134" t="s">
        <v>1712</v>
      </c>
      <c r="Q134" s="18" t="s">
        <v>1590</v>
      </c>
    </row>
    <row r="135" spans="1:17" x14ac:dyDescent="0.35">
      <c r="A135" t="s">
        <v>1334</v>
      </c>
      <c r="B135" s="3" t="s">
        <v>102</v>
      </c>
      <c r="C135" s="3"/>
      <c r="D135" s="3"/>
      <c r="E135" s="3"/>
      <c r="F135" t="s">
        <v>551</v>
      </c>
      <c r="H135" t="s">
        <v>1659</v>
      </c>
      <c r="J135" t="str">
        <f t="shared" si="2"/>
        <v>FORM N-PORT-C.11</v>
      </c>
      <c r="K135" t="s">
        <v>1713</v>
      </c>
      <c r="L135" t="s">
        <v>783</v>
      </c>
      <c r="M135" t="s">
        <v>1688</v>
      </c>
      <c r="N135" t="s">
        <v>1714</v>
      </c>
      <c r="Q135" s="18" t="s">
        <v>1590</v>
      </c>
    </row>
    <row r="136" spans="1:17" x14ac:dyDescent="0.35">
      <c r="A136" t="s">
        <v>1334</v>
      </c>
      <c r="B136" s="3" t="s">
        <v>102</v>
      </c>
      <c r="C136" s="3"/>
      <c r="D136" s="3"/>
      <c r="E136" s="3"/>
      <c r="F136" t="s">
        <v>551</v>
      </c>
      <c r="H136" t="s">
        <v>1659</v>
      </c>
      <c r="J136" t="str">
        <f t="shared" si="2"/>
        <v>FORM N-PORT-C.11</v>
      </c>
      <c r="K136" t="s">
        <v>1715</v>
      </c>
      <c r="L136" t="s">
        <v>229</v>
      </c>
      <c r="M136" t="s">
        <v>1716</v>
      </c>
      <c r="N136" t="s">
        <v>1717</v>
      </c>
      <c r="Q136" s="18" t="s">
        <v>1590</v>
      </c>
    </row>
    <row r="137" spans="1:17" x14ac:dyDescent="0.35">
      <c r="A137" t="s">
        <v>1334</v>
      </c>
      <c r="B137" s="3" t="s">
        <v>102</v>
      </c>
      <c r="C137" s="3"/>
      <c r="D137" s="3"/>
      <c r="E137" s="3"/>
      <c r="F137" t="s">
        <v>551</v>
      </c>
      <c r="H137" t="s">
        <v>1659</v>
      </c>
      <c r="J137" t="str">
        <f t="shared" si="2"/>
        <v>FORM N-PORT-C.11</v>
      </c>
      <c r="K137" t="s">
        <v>1718</v>
      </c>
      <c r="L137" t="s">
        <v>1331</v>
      </c>
      <c r="M137" t="s">
        <v>1719</v>
      </c>
      <c r="N137" t="s">
        <v>1720</v>
      </c>
      <c r="Q137" s="18" t="s">
        <v>1590</v>
      </c>
    </row>
    <row r="138" spans="1:17" x14ac:dyDescent="0.35">
      <c r="A138" t="s">
        <v>1334</v>
      </c>
      <c r="B138" s="3" t="s">
        <v>102</v>
      </c>
      <c r="C138" s="3"/>
      <c r="D138" s="3"/>
      <c r="E138" s="3"/>
      <c r="F138" t="s">
        <v>551</v>
      </c>
      <c r="H138" t="s">
        <v>1659</v>
      </c>
      <c r="J138" t="str">
        <f t="shared" si="2"/>
        <v>FORM N-PORT-C.11</v>
      </c>
      <c r="K138" t="s">
        <v>1721</v>
      </c>
      <c r="L138" t="s">
        <v>783</v>
      </c>
      <c r="M138" t="s">
        <v>1722</v>
      </c>
      <c r="N138" t="s">
        <v>1723</v>
      </c>
      <c r="Q138" s="18" t="s">
        <v>1590</v>
      </c>
    </row>
    <row r="139" spans="1:17" x14ac:dyDescent="0.35">
      <c r="A139" t="s">
        <v>1334</v>
      </c>
      <c r="B139" s="3" t="s">
        <v>102</v>
      </c>
      <c r="C139" s="3"/>
      <c r="D139" s="3"/>
      <c r="E139" s="3"/>
      <c r="F139" t="s">
        <v>551</v>
      </c>
      <c r="H139" t="s">
        <v>1659</v>
      </c>
      <c r="J139" t="str">
        <f t="shared" si="2"/>
        <v>FORM N-PORT-C.11</v>
      </c>
      <c r="K139" t="s">
        <v>1724</v>
      </c>
      <c r="L139" t="s">
        <v>783</v>
      </c>
      <c r="M139" t="s">
        <v>1725</v>
      </c>
      <c r="N139" t="s">
        <v>1726</v>
      </c>
      <c r="Q139" s="18" t="s">
        <v>1590</v>
      </c>
    </row>
    <row r="140" spans="1:17" x14ac:dyDescent="0.35">
      <c r="A140" t="s">
        <v>1334</v>
      </c>
      <c r="B140" s="3" t="s">
        <v>102</v>
      </c>
      <c r="C140" s="3"/>
      <c r="D140" s="3"/>
      <c r="E140" s="3"/>
      <c r="F140" t="s">
        <v>551</v>
      </c>
      <c r="H140" t="s">
        <v>1659</v>
      </c>
      <c r="J140" t="str">
        <f t="shared" si="2"/>
        <v>FORM N-PORT-C.11</v>
      </c>
      <c r="K140" t="s">
        <v>1727</v>
      </c>
      <c r="L140" t="s">
        <v>783</v>
      </c>
      <c r="M140" t="s">
        <v>1688</v>
      </c>
      <c r="N140" t="s">
        <v>1728</v>
      </c>
      <c r="Q140" s="18" t="s">
        <v>1590</v>
      </c>
    </row>
    <row r="141" spans="1:17" x14ac:dyDescent="0.35">
      <c r="A141" t="s">
        <v>1334</v>
      </c>
      <c r="B141" s="3" t="s">
        <v>102</v>
      </c>
      <c r="C141" s="3"/>
      <c r="D141" s="3"/>
      <c r="E141" s="3"/>
      <c r="F141" t="s">
        <v>551</v>
      </c>
      <c r="H141" t="s">
        <v>1729</v>
      </c>
      <c r="J141" t="str">
        <f t="shared" si="2"/>
        <v>FORM N-PORT-C.12</v>
      </c>
      <c r="K141" t="s">
        <v>1730</v>
      </c>
      <c r="L141" t="s">
        <v>1187</v>
      </c>
      <c r="M141" t="s">
        <v>1731</v>
      </c>
      <c r="N141" t="s">
        <v>1732</v>
      </c>
      <c r="Q141" s="18" t="s">
        <v>1590</v>
      </c>
    </row>
    <row r="142" spans="1:17" x14ac:dyDescent="0.35">
      <c r="A142" t="s">
        <v>1334</v>
      </c>
      <c r="B142" s="3" t="s">
        <v>102</v>
      </c>
      <c r="C142" s="3"/>
      <c r="D142" s="3"/>
      <c r="E142" s="3"/>
      <c r="F142" t="s">
        <v>551</v>
      </c>
      <c r="H142" t="s">
        <v>1729</v>
      </c>
      <c r="J142" t="str">
        <f t="shared" si="2"/>
        <v>FORM N-PORT-C.12</v>
      </c>
      <c r="K142" t="s">
        <v>1733</v>
      </c>
      <c r="L142" t="s">
        <v>783</v>
      </c>
      <c r="M142" t="s">
        <v>1734</v>
      </c>
      <c r="N142" t="s">
        <v>1735</v>
      </c>
      <c r="Q142" s="18" t="s">
        <v>1590</v>
      </c>
    </row>
    <row r="143" spans="1:17" x14ac:dyDescent="0.35">
      <c r="A143" t="s">
        <v>1334</v>
      </c>
      <c r="B143" s="3" t="s">
        <v>102</v>
      </c>
      <c r="C143" s="3"/>
      <c r="D143" s="3"/>
      <c r="E143" s="3"/>
      <c r="F143" t="s">
        <v>551</v>
      </c>
      <c r="H143" t="s">
        <v>1729</v>
      </c>
      <c r="J143" t="str">
        <f t="shared" si="2"/>
        <v>FORM N-PORT-C.12</v>
      </c>
      <c r="K143" t="s">
        <v>1736</v>
      </c>
      <c r="L143" t="s">
        <v>1187</v>
      </c>
      <c r="M143" t="s">
        <v>1737</v>
      </c>
      <c r="N143" t="s">
        <v>1738</v>
      </c>
      <c r="Q143" s="18" t="s">
        <v>1590</v>
      </c>
    </row>
    <row r="144" spans="1:17" x14ac:dyDescent="0.35">
      <c r="A144" t="s">
        <v>1334</v>
      </c>
      <c r="B144" s="3" t="s">
        <v>102</v>
      </c>
      <c r="C144" s="3"/>
      <c r="D144" s="3"/>
      <c r="E144" s="3"/>
      <c r="F144" t="s">
        <v>551</v>
      </c>
      <c r="H144" t="s">
        <v>1729</v>
      </c>
      <c r="J144" t="str">
        <f t="shared" si="2"/>
        <v>FORM N-PORT-C.12</v>
      </c>
      <c r="K144" t="s">
        <v>1739</v>
      </c>
      <c r="L144" t="s">
        <v>783</v>
      </c>
      <c r="M144" t="s">
        <v>1740</v>
      </c>
      <c r="N144" t="s">
        <v>1741</v>
      </c>
      <c r="Q144" s="18" t="s">
        <v>1590</v>
      </c>
    </row>
    <row r="145" spans="1:17" x14ac:dyDescent="0.35">
      <c r="A145" t="s">
        <v>1334</v>
      </c>
      <c r="B145" s="3" t="s">
        <v>102</v>
      </c>
      <c r="C145" s="3"/>
      <c r="D145" s="3"/>
      <c r="E145" s="3"/>
      <c r="F145" t="s">
        <v>551</v>
      </c>
      <c r="H145" t="s">
        <v>1729</v>
      </c>
      <c r="J145" t="str">
        <f t="shared" si="2"/>
        <v>FORM N-PORT-C.12</v>
      </c>
      <c r="K145" t="s">
        <v>1742</v>
      </c>
      <c r="L145" t="s">
        <v>1187</v>
      </c>
      <c r="M145" t="s">
        <v>1743</v>
      </c>
      <c r="N145" t="s">
        <v>1744</v>
      </c>
      <c r="Q145" s="18" t="s">
        <v>1590</v>
      </c>
    </row>
    <row r="146" spans="1:17" x14ac:dyDescent="0.35">
      <c r="A146" t="s">
        <v>1334</v>
      </c>
      <c r="B146" s="3" t="s">
        <v>102</v>
      </c>
      <c r="C146" s="3"/>
      <c r="D146" s="3"/>
      <c r="E146" s="3"/>
      <c r="F146" t="s">
        <v>551</v>
      </c>
      <c r="H146" t="s">
        <v>1729</v>
      </c>
      <c r="J146" t="str">
        <f t="shared" si="2"/>
        <v>FORM N-PORT-C.12</v>
      </c>
      <c r="K146" t="s">
        <v>1745</v>
      </c>
      <c r="L146" t="s">
        <v>783</v>
      </c>
      <c r="M146" t="s">
        <v>1746</v>
      </c>
      <c r="N146" t="s">
        <v>1747</v>
      </c>
      <c r="Q146" s="18" t="s">
        <v>1590</v>
      </c>
    </row>
    <row r="147" spans="1:17" x14ac:dyDescent="0.35">
      <c r="A147" t="s">
        <v>1334</v>
      </c>
      <c r="B147" s="3" t="s">
        <v>102</v>
      </c>
      <c r="C147" s="3"/>
      <c r="D147" s="3"/>
      <c r="E147" s="3"/>
      <c r="F147" t="s">
        <v>378</v>
      </c>
      <c r="H147" t="s">
        <v>1748</v>
      </c>
      <c r="J147" t="str">
        <f t="shared" si="2"/>
        <v xml:space="preserve">FORM N-PORT-Item A.1. </v>
      </c>
      <c r="K147" t="s">
        <v>1749</v>
      </c>
      <c r="L147" t="s">
        <v>241</v>
      </c>
      <c r="M147" t="s">
        <v>1750</v>
      </c>
      <c r="N147" t="s">
        <v>1751</v>
      </c>
      <c r="Q147" s="18" t="s">
        <v>1590</v>
      </c>
    </row>
    <row r="148" spans="1:17" x14ac:dyDescent="0.35">
      <c r="A148" t="s">
        <v>1334</v>
      </c>
      <c r="B148" s="3" t="s">
        <v>102</v>
      </c>
      <c r="C148" s="3"/>
      <c r="D148" s="3"/>
      <c r="E148" s="3"/>
      <c r="F148" t="s">
        <v>378</v>
      </c>
      <c r="J148" t="str">
        <f t="shared" si="2"/>
        <v>FORM N-PORT-</v>
      </c>
      <c r="K148" t="s">
        <v>1752</v>
      </c>
      <c r="L148" t="s">
        <v>1753</v>
      </c>
      <c r="M148" t="s">
        <v>1754</v>
      </c>
      <c r="N148" t="s">
        <v>1755</v>
      </c>
      <c r="Q148" s="18" t="s">
        <v>1590</v>
      </c>
    </row>
    <row r="149" spans="1:17" x14ac:dyDescent="0.35">
      <c r="A149" t="s">
        <v>1334</v>
      </c>
      <c r="B149" s="3" t="s">
        <v>102</v>
      </c>
      <c r="C149" s="3"/>
      <c r="D149" s="3"/>
      <c r="E149" s="3"/>
      <c r="F149" t="s">
        <v>378</v>
      </c>
      <c r="H149" t="s">
        <v>1756</v>
      </c>
      <c r="J149" t="str">
        <f t="shared" si="2"/>
        <v>FORM N-PORT-Item A.2.a</v>
      </c>
      <c r="K149" t="s">
        <v>1757</v>
      </c>
      <c r="L149" t="s">
        <v>241</v>
      </c>
      <c r="M149" t="s">
        <v>1758</v>
      </c>
      <c r="N149" t="s">
        <v>1759</v>
      </c>
      <c r="Q149" s="18" t="s">
        <v>1590</v>
      </c>
    </row>
    <row r="150" spans="1:17" x14ac:dyDescent="0.35">
      <c r="A150" t="s">
        <v>1334</v>
      </c>
      <c r="B150" s="3" t="s">
        <v>102</v>
      </c>
      <c r="C150" s="3"/>
      <c r="D150" s="3"/>
      <c r="E150" s="3"/>
      <c r="F150" t="s">
        <v>378</v>
      </c>
      <c r="J150" t="str">
        <f t="shared" si="2"/>
        <v>FORM N-PORT-</v>
      </c>
      <c r="K150" t="s">
        <v>1760</v>
      </c>
      <c r="L150" t="s">
        <v>1753</v>
      </c>
      <c r="M150" t="s">
        <v>1761</v>
      </c>
      <c r="N150" t="s">
        <v>1762</v>
      </c>
      <c r="Q150" s="18" t="s">
        <v>1590</v>
      </c>
    </row>
    <row r="151" spans="1:17" x14ac:dyDescent="0.35">
      <c r="A151" t="s">
        <v>1334</v>
      </c>
      <c r="B151" s="3" t="s">
        <v>102</v>
      </c>
      <c r="C151" s="3"/>
      <c r="D151" s="3"/>
      <c r="E151" s="3"/>
      <c r="F151" t="s">
        <v>378</v>
      </c>
      <c r="H151" t="s">
        <v>1763</v>
      </c>
      <c r="J151" t="str">
        <f t="shared" si="2"/>
        <v>FORM N-PORT-Item A.3.a</v>
      </c>
      <c r="K151" t="s">
        <v>1764</v>
      </c>
      <c r="L151" t="s">
        <v>241</v>
      </c>
      <c r="M151" t="s">
        <v>1765</v>
      </c>
      <c r="N151" t="s">
        <v>1766</v>
      </c>
      <c r="Q151" s="18" t="s">
        <v>1590</v>
      </c>
    </row>
    <row r="152" spans="1:17" x14ac:dyDescent="0.35">
      <c r="A152" t="s">
        <v>1334</v>
      </c>
      <c r="B152" s="3" t="s">
        <v>102</v>
      </c>
      <c r="C152" s="3"/>
      <c r="D152" s="3"/>
      <c r="E152" s="3"/>
      <c r="F152" t="s">
        <v>378</v>
      </c>
      <c r="J152" t="str">
        <f t="shared" si="2"/>
        <v>FORM N-PORT-</v>
      </c>
      <c r="K152" t="s">
        <v>1767</v>
      </c>
      <c r="L152" t="s">
        <v>1753</v>
      </c>
      <c r="M152" t="s">
        <v>1768</v>
      </c>
      <c r="N152" t="s">
        <v>1769</v>
      </c>
      <c r="Q152" s="18" t="s">
        <v>1590</v>
      </c>
    </row>
    <row r="153" spans="1:17" x14ac:dyDescent="0.35">
      <c r="A153" t="s">
        <v>1334</v>
      </c>
      <c r="B153" s="3" t="s">
        <v>102</v>
      </c>
      <c r="C153" s="3"/>
      <c r="D153" s="3"/>
      <c r="E153" s="3"/>
      <c r="F153" t="s">
        <v>378</v>
      </c>
      <c r="H153" t="s">
        <v>1770</v>
      </c>
      <c r="J153" t="str">
        <f t="shared" si="2"/>
        <v>FORM N-PORT-Item A.4.a</v>
      </c>
      <c r="K153" t="s">
        <v>1771</v>
      </c>
      <c r="L153" t="s">
        <v>229</v>
      </c>
      <c r="M153" t="s">
        <v>1772</v>
      </c>
      <c r="N153" t="s">
        <v>1773</v>
      </c>
      <c r="Q153" s="18" t="s">
        <v>1590</v>
      </c>
    </row>
    <row r="154" spans="1:17" x14ac:dyDescent="0.35">
      <c r="A154" t="s">
        <v>1334</v>
      </c>
      <c r="B154" s="3" t="s">
        <v>102</v>
      </c>
      <c r="C154" s="3"/>
      <c r="D154" s="3"/>
      <c r="E154" s="3"/>
      <c r="F154" t="s">
        <v>378</v>
      </c>
      <c r="J154" t="str">
        <f t="shared" si="2"/>
        <v>FORM N-PORT-</v>
      </c>
      <c r="K154" t="s">
        <v>1774</v>
      </c>
      <c r="L154" t="s">
        <v>1753</v>
      </c>
      <c r="M154" t="s">
        <v>1775</v>
      </c>
      <c r="N154" t="s">
        <v>1776</v>
      </c>
      <c r="Q154" s="18" t="s">
        <v>1590</v>
      </c>
    </row>
    <row r="155" spans="1:17" x14ac:dyDescent="0.35">
      <c r="A155" t="s">
        <v>1334</v>
      </c>
      <c r="B155" s="3" t="s">
        <v>102</v>
      </c>
      <c r="C155" s="3"/>
      <c r="D155" s="3"/>
      <c r="E155" s="3"/>
      <c r="F155" t="s">
        <v>378</v>
      </c>
      <c r="J155" t="str">
        <f t="shared" si="2"/>
        <v>FORM N-PORT-</v>
      </c>
      <c r="K155" t="s">
        <v>1777</v>
      </c>
      <c r="L155" t="s">
        <v>1753</v>
      </c>
      <c r="M155" t="s">
        <v>1778</v>
      </c>
      <c r="N155" t="s">
        <v>1779</v>
      </c>
      <c r="Q155" s="18" t="s">
        <v>1590</v>
      </c>
    </row>
    <row r="156" spans="1:17" x14ac:dyDescent="0.35">
      <c r="A156" t="s">
        <v>1334</v>
      </c>
      <c r="B156" s="3" t="s">
        <v>102</v>
      </c>
      <c r="C156" s="3"/>
      <c r="D156" s="3"/>
      <c r="E156" s="3"/>
      <c r="F156" t="s">
        <v>551</v>
      </c>
      <c r="H156" t="s">
        <v>593</v>
      </c>
      <c r="J156" t="str">
        <f t="shared" si="2"/>
        <v>FORM N-PORT-C.1</v>
      </c>
      <c r="K156" t="s">
        <v>1522</v>
      </c>
      <c r="L156" t="s">
        <v>229</v>
      </c>
      <c r="M156" t="s">
        <v>1523</v>
      </c>
      <c r="N156" t="s">
        <v>1524</v>
      </c>
      <c r="Q156" s="18" t="s">
        <v>8847</v>
      </c>
    </row>
    <row r="157" spans="1:17" x14ac:dyDescent="0.35">
      <c r="A157" t="s">
        <v>1334</v>
      </c>
      <c r="B157" s="3" t="s">
        <v>102</v>
      </c>
      <c r="C157" s="3"/>
      <c r="D157" s="3"/>
      <c r="E157" s="3"/>
      <c r="F157" t="s">
        <v>551</v>
      </c>
      <c r="H157" t="s">
        <v>593</v>
      </c>
      <c r="J157" t="str">
        <f t="shared" si="2"/>
        <v>FORM N-PORT-C.1</v>
      </c>
      <c r="K157" t="s">
        <v>1526</v>
      </c>
      <c r="L157" t="s">
        <v>1313</v>
      </c>
      <c r="M157" t="s">
        <v>1527</v>
      </c>
      <c r="N157" t="s">
        <v>1528</v>
      </c>
      <c r="Q157" s="18" t="s">
        <v>1529</v>
      </c>
    </row>
    <row r="158" spans="1:17" x14ac:dyDescent="0.35">
      <c r="A158" t="s">
        <v>1334</v>
      </c>
      <c r="B158" s="3" t="s">
        <v>102</v>
      </c>
      <c r="C158" s="3"/>
      <c r="D158" s="3"/>
      <c r="E158" s="3"/>
      <c r="F158" t="s">
        <v>551</v>
      </c>
      <c r="H158" t="s">
        <v>593</v>
      </c>
      <c r="J158" t="str">
        <f t="shared" si="2"/>
        <v>FORM N-PORT-C.1</v>
      </c>
      <c r="K158" t="s">
        <v>1530</v>
      </c>
      <c r="L158" t="s">
        <v>229</v>
      </c>
      <c r="M158" t="s">
        <v>1531</v>
      </c>
      <c r="N158" t="s">
        <v>1532</v>
      </c>
      <c r="Q158" s="18" t="s">
        <v>9142</v>
      </c>
    </row>
    <row r="159" spans="1:17" x14ac:dyDescent="0.35">
      <c r="A159" t="s">
        <v>1334</v>
      </c>
      <c r="B159" s="3" t="s">
        <v>102</v>
      </c>
      <c r="C159" s="3"/>
      <c r="D159" s="3"/>
      <c r="E159" s="3"/>
      <c r="F159" t="s">
        <v>551</v>
      </c>
      <c r="H159" t="s">
        <v>593</v>
      </c>
      <c r="J159" t="str">
        <f t="shared" si="2"/>
        <v>FORM N-PORT-C.1</v>
      </c>
      <c r="K159" t="s">
        <v>1534</v>
      </c>
      <c r="L159" t="s">
        <v>1313</v>
      </c>
      <c r="M159" t="s">
        <v>1535</v>
      </c>
      <c r="N159" t="s">
        <v>1536</v>
      </c>
      <c r="Q159" s="18" t="s">
        <v>9143</v>
      </c>
    </row>
    <row r="160" spans="1:17" x14ac:dyDescent="0.35">
      <c r="A160" t="s">
        <v>1334</v>
      </c>
      <c r="B160" s="3" t="s">
        <v>102</v>
      </c>
      <c r="C160" s="3"/>
      <c r="D160" s="3"/>
      <c r="E160" s="3"/>
      <c r="F160" t="s">
        <v>551</v>
      </c>
      <c r="H160" t="s">
        <v>593</v>
      </c>
      <c r="J160" t="str">
        <f t="shared" si="2"/>
        <v>FORM N-PORT-C.1</v>
      </c>
      <c r="K160" t="s">
        <v>1538</v>
      </c>
      <c r="L160" t="s">
        <v>1313</v>
      </c>
      <c r="M160" t="s">
        <v>1539</v>
      </c>
      <c r="N160" t="s">
        <v>1540</v>
      </c>
      <c r="Q160" s="18" t="s">
        <v>9144</v>
      </c>
    </row>
    <row r="161" spans="1:17" x14ac:dyDescent="0.35">
      <c r="A161" t="s">
        <v>1334</v>
      </c>
      <c r="B161" s="3" t="s">
        <v>102</v>
      </c>
      <c r="C161" s="3"/>
      <c r="D161" s="3"/>
      <c r="E161" s="3"/>
      <c r="F161" t="s">
        <v>551</v>
      </c>
      <c r="H161" t="s">
        <v>1542</v>
      </c>
      <c r="J161" t="str">
        <f t="shared" si="2"/>
        <v>FORM N-PORT-C.2</v>
      </c>
      <c r="K161" t="s">
        <v>1543</v>
      </c>
      <c r="L161" t="s">
        <v>783</v>
      </c>
      <c r="M161" t="s">
        <v>1544</v>
      </c>
      <c r="N161" t="s">
        <v>1545</v>
      </c>
      <c r="Q161" s="18">
        <v>33244000</v>
      </c>
    </row>
    <row r="162" spans="1:17" x14ac:dyDescent="0.35">
      <c r="A162" t="s">
        <v>1334</v>
      </c>
      <c r="B162" s="3" t="s">
        <v>102</v>
      </c>
      <c r="C162" s="3"/>
      <c r="D162" s="3"/>
      <c r="E162" s="3"/>
      <c r="F162" t="s">
        <v>551</v>
      </c>
      <c r="H162" t="s">
        <v>1542</v>
      </c>
      <c r="J162" t="str">
        <f t="shared" si="2"/>
        <v>FORM N-PORT-C.2</v>
      </c>
      <c r="K162" t="s">
        <v>1546</v>
      </c>
      <c r="L162" t="s">
        <v>1502</v>
      </c>
      <c r="M162" t="s">
        <v>1547</v>
      </c>
      <c r="N162" t="s">
        <v>1548</v>
      </c>
      <c r="Q162" s="18" t="s">
        <v>9145</v>
      </c>
    </row>
    <row r="163" spans="1:17" x14ac:dyDescent="0.35">
      <c r="A163" t="s">
        <v>1334</v>
      </c>
      <c r="B163" s="3" t="s">
        <v>102</v>
      </c>
      <c r="C163" s="3"/>
      <c r="D163" s="3"/>
      <c r="E163" s="3"/>
      <c r="F163" t="s">
        <v>551</v>
      </c>
      <c r="H163" t="s">
        <v>1542</v>
      </c>
      <c r="J163" t="str">
        <f t="shared" si="2"/>
        <v>FORM N-PORT-C.2</v>
      </c>
      <c r="K163" t="s">
        <v>1550</v>
      </c>
      <c r="L163" t="s">
        <v>783</v>
      </c>
      <c r="M163" t="s">
        <v>1551</v>
      </c>
      <c r="N163" t="s">
        <v>1552</v>
      </c>
      <c r="Q163" s="18">
        <v>31893927.920000002</v>
      </c>
    </row>
    <row r="164" spans="1:17" x14ac:dyDescent="0.35">
      <c r="A164" t="s">
        <v>1334</v>
      </c>
      <c r="B164" s="3" t="s">
        <v>102</v>
      </c>
      <c r="C164" s="3"/>
      <c r="D164" s="3"/>
      <c r="E164" s="3"/>
      <c r="F164" t="s">
        <v>551</v>
      </c>
      <c r="H164" t="s">
        <v>1542</v>
      </c>
      <c r="J164" t="str">
        <f t="shared" si="2"/>
        <v>FORM N-PORT-C.2</v>
      </c>
      <c r="K164" t="s">
        <v>1553</v>
      </c>
      <c r="L164" t="s">
        <v>1198</v>
      </c>
      <c r="M164" t="s">
        <v>1554</v>
      </c>
      <c r="N164" t="s">
        <v>1555</v>
      </c>
      <c r="Q164" s="18">
        <v>1.3656878900000001E-2</v>
      </c>
    </row>
    <row r="165" spans="1:17" x14ac:dyDescent="0.35">
      <c r="A165" t="s">
        <v>1334</v>
      </c>
      <c r="B165" s="3" t="s">
        <v>102</v>
      </c>
      <c r="C165" s="3"/>
      <c r="D165" s="3"/>
      <c r="E165" s="3"/>
      <c r="F165" t="s">
        <v>551</v>
      </c>
      <c r="H165" t="s">
        <v>1542</v>
      </c>
      <c r="J165" t="str">
        <f t="shared" si="2"/>
        <v>FORM N-PORT-C.2</v>
      </c>
      <c r="K165" t="s">
        <v>1556</v>
      </c>
      <c r="L165" t="s">
        <v>1187</v>
      </c>
      <c r="M165" t="s">
        <v>1557</v>
      </c>
      <c r="N165" t="s">
        <v>1558</v>
      </c>
      <c r="Q165" s="18" t="s">
        <v>1590</v>
      </c>
    </row>
    <row r="166" spans="1:17" x14ac:dyDescent="0.35">
      <c r="A166" t="s">
        <v>1334</v>
      </c>
      <c r="B166" s="3" t="s">
        <v>102</v>
      </c>
      <c r="C166" s="3"/>
      <c r="D166" s="3"/>
      <c r="E166" s="3"/>
      <c r="F166" t="s">
        <v>551</v>
      </c>
      <c r="H166" t="s">
        <v>1559</v>
      </c>
      <c r="J166" t="str">
        <f t="shared" si="2"/>
        <v>FORM N-PORT-C.3</v>
      </c>
      <c r="K166" t="s">
        <v>1560</v>
      </c>
      <c r="L166" t="s">
        <v>229</v>
      </c>
      <c r="M166" t="s">
        <v>1561</v>
      </c>
      <c r="N166" t="s">
        <v>1562</v>
      </c>
      <c r="Q166" s="18" t="s">
        <v>1563</v>
      </c>
    </row>
    <row r="167" spans="1:17" x14ac:dyDescent="0.35">
      <c r="A167" t="s">
        <v>1334</v>
      </c>
      <c r="B167" s="3" t="s">
        <v>102</v>
      </c>
      <c r="C167" s="3"/>
      <c r="D167" s="3"/>
      <c r="E167" s="3"/>
      <c r="F167" t="s">
        <v>551</v>
      </c>
      <c r="H167" t="s">
        <v>1564</v>
      </c>
      <c r="J167" t="str">
        <f t="shared" si="2"/>
        <v>FORM N-PORT-C.4</v>
      </c>
      <c r="K167" t="s">
        <v>1565</v>
      </c>
      <c r="L167" t="s">
        <v>1566</v>
      </c>
      <c r="M167" t="s">
        <v>1567</v>
      </c>
      <c r="N167" t="s">
        <v>1568</v>
      </c>
      <c r="Q167" s="18" t="s">
        <v>9146</v>
      </c>
    </row>
    <row r="168" spans="1:17" x14ac:dyDescent="0.35">
      <c r="A168" t="s">
        <v>1334</v>
      </c>
      <c r="B168" s="3" t="s">
        <v>102</v>
      </c>
      <c r="C168" s="3"/>
      <c r="D168" s="3"/>
      <c r="E168" s="3"/>
      <c r="F168" t="s">
        <v>551</v>
      </c>
      <c r="H168" t="s">
        <v>1564</v>
      </c>
      <c r="J168" t="str">
        <f t="shared" si="2"/>
        <v>FORM N-PORT-C.4</v>
      </c>
      <c r="K168" t="s">
        <v>1570</v>
      </c>
      <c r="L168" t="s">
        <v>1566</v>
      </c>
      <c r="M168" t="s">
        <v>1571</v>
      </c>
      <c r="N168" t="s">
        <v>1572</v>
      </c>
      <c r="Q168" s="18" t="s">
        <v>1573</v>
      </c>
    </row>
    <row r="169" spans="1:17" x14ac:dyDescent="0.35">
      <c r="A169" t="s">
        <v>1334</v>
      </c>
      <c r="B169" s="3" t="s">
        <v>102</v>
      </c>
      <c r="C169" s="3"/>
      <c r="D169" s="3"/>
      <c r="E169" s="3"/>
      <c r="F169" t="s">
        <v>551</v>
      </c>
      <c r="H169" t="s">
        <v>1574</v>
      </c>
      <c r="J169" t="str">
        <f t="shared" si="2"/>
        <v>FORM N-PORT-C.5</v>
      </c>
      <c r="K169" t="s">
        <v>1575</v>
      </c>
      <c r="L169" t="s">
        <v>1502</v>
      </c>
      <c r="M169" t="s">
        <v>1576</v>
      </c>
      <c r="N169" t="s">
        <v>1577</v>
      </c>
      <c r="Q169" s="18" t="s">
        <v>2549</v>
      </c>
    </row>
    <row r="170" spans="1:17" x14ac:dyDescent="0.35">
      <c r="A170" t="s">
        <v>1334</v>
      </c>
      <c r="B170" s="3" t="s">
        <v>102</v>
      </c>
      <c r="C170" s="3"/>
      <c r="D170" s="3"/>
      <c r="E170" s="3"/>
      <c r="F170" t="s">
        <v>551</v>
      </c>
      <c r="H170" t="s">
        <v>1574</v>
      </c>
      <c r="J170" t="str">
        <f t="shared" si="2"/>
        <v>FORM N-PORT-C.5</v>
      </c>
      <c r="K170" t="s">
        <v>1579</v>
      </c>
      <c r="L170" t="s">
        <v>1502</v>
      </c>
      <c r="M170" t="s">
        <v>1580</v>
      </c>
      <c r="N170" t="s">
        <v>1581</v>
      </c>
      <c r="Q170" s="18" t="s">
        <v>1590</v>
      </c>
    </row>
    <row r="171" spans="1:17" x14ac:dyDescent="0.35">
      <c r="A171" t="s">
        <v>1334</v>
      </c>
      <c r="B171" s="3" t="s">
        <v>102</v>
      </c>
      <c r="C171" s="3"/>
      <c r="D171" s="3"/>
      <c r="E171" s="3"/>
      <c r="F171" t="s">
        <v>551</v>
      </c>
      <c r="H171" t="s">
        <v>1582</v>
      </c>
      <c r="J171" t="str">
        <f t="shared" si="2"/>
        <v>FORM N-PORT-C.6</v>
      </c>
      <c r="K171" t="s">
        <v>1583</v>
      </c>
      <c r="L171" t="s">
        <v>1187</v>
      </c>
      <c r="M171" t="s">
        <v>1584</v>
      </c>
      <c r="N171" t="s">
        <v>1585</v>
      </c>
      <c r="Q171" s="18" t="s">
        <v>27</v>
      </c>
    </row>
    <row r="172" spans="1:17" x14ac:dyDescent="0.35">
      <c r="A172" t="s">
        <v>1334</v>
      </c>
      <c r="B172" s="3" t="s">
        <v>102</v>
      </c>
      <c r="C172" s="3"/>
      <c r="D172" s="3"/>
      <c r="E172" s="3"/>
      <c r="F172" t="s">
        <v>551</v>
      </c>
      <c r="H172" t="s">
        <v>1586</v>
      </c>
      <c r="J172" t="str">
        <f t="shared" si="2"/>
        <v>FORM N-PORT-C.7</v>
      </c>
      <c r="K172" t="s">
        <v>1587</v>
      </c>
      <c r="L172" t="s">
        <v>1566</v>
      </c>
      <c r="M172" t="s">
        <v>1588</v>
      </c>
      <c r="N172" t="s">
        <v>1589</v>
      </c>
      <c r="Q172" s="18" t="s">
        <v>1590</v>
      </c>
    </row>
    <row r="173" spans="1:17" x14ac:dyDescent="0.35">
      <c r="A173" t="s">
        <v>1334</v>
      </c>
      <c r="B173" s="3" t="s">
        <v>102</v>
      </c>
      <c r="C173" s="3"/>
      <c r="D173" s="3"/>
      <c r="E173" s="3"/>
      <c r="F173" t="s">
        <v>551</v>
      </c>
      <c r="H173" t="s">
        <v>1591</v>
      </c>
      <c r="J173" t="str">
        <f t="shared" si="2"/>
        <v>FORM N-PORT-C.8</v>
      </c>
      <c r="K173" t="s">
        <v>1592</v>
      </c>
      <c r="L173" t="s">
        <v>241</v>
      </c>
      <c r="M173" t="s">
        <v>1593</v>
      </c>
      <c r="N173" t="s">
        <v>1594</v>
      </c>
      <c r="Q173" s="18">
        <v>2</v>
      </c>
    </row>
    <row r="174" spans="1:17" x14ac:dyDescent="0.35">
      <c r="A174" t="s">
        <v>1334</v>
      </c>
      <c r="B174" s="3" t="s">
        <v>102</v>
      </c>
      <c r="C174" s="3"/>
      <c r="D174" s="3"/>
      <c r="E174" s="3"/>
      <c r="F174" t="s">
        <v>551</v>
      </c>
      <c r="H174" t="s">
        <v>1595</v>
      </c>
      <c r="J174" t="str">
        <f t="shared" si="2"/>
        <v>FORM N-PORT-C.9</v>
      </c>
      <c r="K174" t="s">
        <v>1596</v>
      </c>
      <c r="L174" t="s">
        <v>1331</v>
      </c>
      <c r="M174" t="s">
        <v>1597</v>
      </c>
      <c r="N174" t="s">
        <v>1598</v>
      </c>
      <c r="Q174" s="17">
        <v>46681</v>
      </c>
    </row>
    <row r="175" spans="1:17" x14ac:dyDescent="0.35">
      <c r="A175" t="s">
        <v>1334</v>
      </c>
      <c r="B175" s="3" t="s">
        <v>102</v>
      </c>
      <c r="C175" s="3"/>
      <c r="D175" s="3"/>
      <c r="E175" s="3"/>
      <c r="F175" t="s">
        <v>551</v>
      </c>
      <c r="H175" t="s">
        <v>1595</v>
      </c>
      <c r="J175" t="str">
        <f t="shared" si="2"/>
        <v>FORM N-PORT-C.9</v>
      </c>
      <c r="K175" t="s">
        <v>1599</v>
      </c>
      <c r="L175" t="s">
        <v>1600</v>
      </c>
      <c r="M175" t="s">
        <v>1601</v>
      </c>
      <c r="N175" t="s">
        <v>1602</v>
      </c>
      <c r="Q175" s="18" t="s">
        <v>9147</v>
      </c>
    </row>
    <row r="176" spans="1:17" x14ac:dyDescent="0.35">
      <c r="A176" t="s">
        <v>1334</v>
      </c>
      <c r="B176" s="3" t="s">
        <v>102</v>
      </c>
      <c r="C176" s="3"/>
      <c r="D176" s="3"/>
      <c r="E176" s="3"/>
      <c r="F176" t="s">
        <v>551</v>
      </c>
      <c r="H176" t="s">
        <v>1595</v>
      </c>
      <c r="J176" t="str">
        <f t="shared" si="2"/>
        <v>FORM N-PORT-C.9</v>
      </c>
      <c r="K176" t="s">
        <v>1604</v>
      </c>
      <c r="L176" t="s">
        <v>1187</v>
      </c>
      <c r="M176" t="s">
        <v>1605</v>
      </c>
      <c r="N176" t="s">
        <v>1606</v>
      </c>
      <c r="Q176" s="18" t="s">
        <v>1341</v>
      </c>
    </row>
    <row r="177" spans="1:17" x14ac:dyDescent="0.35">
      <c r="A177" t="s">
        <v>1334</v>
      </c>
      <c r="B177" s="3" t="s">
        <v>102</v>
      </c>
      <c r="C177" s="3"/>
      <c r="D177" s="3"/>
      <c r="E177" s="3"/>
      <c r="F177" t="s">
        <v>551</v>
      </c>
      <c r="H177" t="s">
        <v>1595</v>
      </c>
      <c r="J177" t="str">
        <f t="shared" si="2"/>
        <v>FORM N-PORT-C.9</v>
      </c>
      <c r="K177" t="s">
        <v>1607</v>
      </c>
      <c r="L177" t="s">
        <v>1187</v>
      </c>
      <c r="M177" t="s">
        <v>1608</v>
      </c>
      <c r="N177" t="s">
        <v>1609</v>
      </c>
      <c r="Q177" s="18" t="s">
        <v>1341</v>
      </c>
    </row>
    <row r="178" spans="1:17" x14ac:dyDescent="0.35">
      <c r="A178" t="s">
        <v>1334</v>
      </c>
      <c r="B178" s="3" t="s">
        <v>102</v>
      </c>
      <c r="C178" s="3"/>
      <c r="D178" s="3"/>
      <c r="E178" s="3"/>
      <c r="F178" t="s">
        <v>551</v>
      </c>
      <c r="H178" t="s">
        <v>1595</v>
      </c>
      <c r="J178" t="str">
        <f t="shared" si="2"/>
        <v>FORM N-PORT-C.9</v>
      </c>
      <c r="K178" t="s">
        <v>1610</v>
      </c>
      <c r="L178" t="s">
        <v>1187</v>
      </c>
      <c r="M178" t="s">
        <v>1611</v>
      </c>
      <c r="N178" t="s">
        <v>1612</v>
      </c>
      <c r="Q178" s="18" t="s">
        <v>1341</v>
      </c>
    </row>
    <row r="179" spans="1:17" x14ac:dyDescent="0.35">
      <c r="A179" t="s">
        <v>1334</v>
      </c>
      <c r="B179" s="3" t="s">
        <v>102</v>
      </c>
      <c r="C179" s="3"/>
      <c r="D179" s="3"/>
      <c r="E179" s="3"/>
      <c r="F179" t="s">
        <v>551</v>
      </c>
      <c r="H179" t="s">
        <v>1595</v>
      </c>
      <c r="J179" t="str">
        <f t="shared" si="2"/>
        <v>FORM N-PORT-C.9</v>
      </c>
      <c r="K179" t="s">
        <v>1613</v>
      </c>
      <c r="L179" t="s">
        <v>1187</v>
      </c>
      <c r="M179" t="s">
        <v>1614</v>
      </c>
      <c r="N179" t="s">
        <v>1615</v>
      </c>
      <c r="Q179" s="18" t="s">
        <v>1590</v>
      </c>
    </row>
    <row r="180" spans="1:17" x14ac:dyDescent="0.35">
      <c r="A180" t="s">
        <v>1334</v>
      </c>
      <c r="B180" s="3" t="s">
        <v>102</v>
      </c>
      <c r="C180" s="3"/>
      <c r="D180" s="3"/>
      <c r="E180" s="3"/>
      <c r="F180" t="s">
        <v>551</v>
      </c>
      <c r="H180" t="s">
        <v>1595</v>
      </c>
      <c r="J180" t="str">
        <f t="shared" si="2"/>
        <v>FORM N-PORT-C.9</v>
      </c>
      <c r="K180" t="s">
        <v>1616</v>
      </c>
      <c r="L180" t="s">
        <v>1187</v>
      </c>
      <c r="M180" t="s">
        <v>1617</v>
      </c>
      <c r="N180" t="s">
        <v>1618</v>
      </c>
      <c r="Q180" s="18" t="s">
        <v>1590</v>
      </c>
    </row>
    <row r="181" spans="1:17" x14ac:dyDescent="0.35">
      <c r="A181" t="s">
        <v>1334</v>
      </c>
      <c r="B181" s="3" t="s">
        <v>102</v>
      </c>
      <c r="C181" s="3"/>
      <c r="D181" s="3"/>
      <c r="E181" s="3"/>
      <c r="F181" t="s">
        <v>551</v>
      </c>
      <c r="H181" t="s">
        <v>1595</v>
      </c>
      <c r="J181" t="str">
        <f t="shared" si="2"/>
        <v>FORM N-PORT-C.9</v>
      </c>
      <c r="K181" t="s">
        <v>1619</v>
      </c>
      <c r="L181" t="s">
        <v>1502</v>
      </c>
      <c r="M181" t="s">
        <v>1620</v>
      </c>
      <c r="N181" t="s">
        <v>1621</v>
      </c>
      <c r="Q181" s="18" t="s">
        <v>1590</v>
      </c>
    </row>
    <row r="182" spans="1:17" x14ac:dyDescent="0.35">
      <c r="A182" t="s">
        <v>1334</v>
      </c>
      <c r="B182" s="3" t="s">
        <v>102</v>
      </c>
      <c r="C182" s="3"/>
      <c r="D182" s="3"/>
      <c r="E182" s="3"/>
      <c r="F182" t="s">
        <v>551</v>
      </c>
      <c r="H182" t="s">
        <v>1595</v>
      </c>
      <c r="J182" t="str">
        <f t="shared" si="2"/>
        <v>FORM N-PORT-C.9</v>
      </c>
      <c r="K182" t="s">
        <v>1622</v>
      </c>
      <c r="L182" t="s">
        <v>783</v>
      </c>
      <c r="M182" t="s">
        <v>1623</v>
      </c>
      <c r="N182" t="s">
        <v>1624</v>
      </c>
      <c r="Q182" s="18" t="s">
        <v>1590</v>
      </c>
    </row>
    <row r="183" spans="1:17" x14ac:dyDescent="0.35">
      <c r="A183" t="s">
        <v>1334</v>
      </c>
      <c r="B183" s="3" t="s">
        <v>102</v>
      </c>
      <c r="C183" s="3"/>
      <c r="D183" s="3"/>
      <c r="E183" s="3"/>
      <c r="F183" t="s">
        <v>551</v>
      </c>
      <c r="H183" t="s">
        <v>1595</v>
      </c>
      <c r="J183" t="str">
        <f t="shared" si="2"/>
        <v>FORM N-PORT-C.9</v>
      </c>
      <c r="K183" t="s">
        <v>1625</v>
      </c>
      <c r="L183" t="s">
        <v>783</v>
      </c>
      <c r="M183" t="s">
        <v>1626</v>
      </c>
      <c r="N183" t="s">
        <v>1627</v>
      </c>
      <c r="Q183" s="18" t="s">
        <v>1590</v>
      </c>
    </row>
    <row r="184" spans="1:17" x14ac:dyDescent="0.35">
      <c r="A184" t="s">
        <v>1334</v>
      </c>
      <c r="B184" s="3" t="s">
        <v>102</v>
      </c>
      <c r="C184" s="3"/>
      <c r="D184" s="3"/>
      <c r="E184" s="3"/>
      <c r="F184" t="s">
        <v>551</v>
      </c>
      <c r="H184" t="s">
        <v>1628</v>
      </c>
      <c r="J184" t="str">
        <f t="shared" si="2"/>
        <v>FORM N-PORT-C.10</v>
      </c>
      <c r="K184" t="s">
        <v>1629</v>
      </c>
      <c r="L184" t="s">
        <v>1566</v>
      </c>
      <c r="M184" t="s">
        <v>1630</v>
      </c>
      <c r="N184" t="s">
        <v>1631</v>
      </c>
      <c r="Q184" s="18" t="s">
        <v>1590</v>
      </c>
    </row>
    <row r="185" spans="1:17" x14ac:dyDescent="0.35">
      <c r="A185" t="s">
        <v>1334</v>
      </c>
      <c r="B185" s="3" t="s">
        <v>102</v>
      </c>
      <c r="C185" s="3"/>
      <c r="D185" s="3"/>
      <c r="E185" s="3"/>
      <c r="F185" t="s">
        <v>551</v>
      </c>
      <c r="H185" t="s">
        <v>1628</v>
      </c>
      <c r="J185" t="str">
        <f t="shared" si="2"/>
        <v>FORM N-PORT-C.10</v>
      </c>
      <c r="K185" t="s">
        <v>1632</v>
      </c>
      <c r="L185" t="s">
        <v>1502</v>
      </c>
      <c r="M185" t="s">
        <v>1633</v>
      </c>
      <c r="N185" t="s">
        <v>1634</v>
      </c>
      <c r="Q185" s="18" t="s">
        <v>1590</v>
      </c>
    </row>
    <row r="186" spans="1:17" x14ac:dyDescent="0.35">
      <c r="A186" t="s">
        <v>1334</v>
      </c>
      <c r="B186" s="3" t="s">
        <v>102</v>
      </c>
      <c r="C186" s="3"/>
      <c r="D186" s="3"/>
      <c r="E186" s="3"/>
      <c r="F186" t="s">
        <v>551</v>
      </c>
      <c r="H186" t="s">
        <v>1628</v>
      </c>
      <c r="J186" t="str">
        <f t="shared" si="2"/>
        <v>FORM N-PORT-C.10</v>
      </c>
      <c r="K186" t="s">
        <v>1635</v>
      </c>
      <c r="L186" t="s">
        <v>1187</v>
      </c>
      <c r="M186" t="s">
        <v>1636</v>
      </c>
      <c r="N186" t="s">
        <v>1637</v>
      </c>
      <c r="Q186" s="18" t="s">
        <v>1590</v>
      </c>
    </row>
    <row r="187" spans="1:17" x14ac:dyDescent="0.35">
      <c r="A187" t="s">
        <v>1334</v>
      </c>
      <c r="B187" s="3" t="s">
        <v>102</v>
      </c>
      <c r="C187" s="3"/>
      <c r="D187" s="3"/>
      <c r="E187" s="3"/>
      <c r="F187" t="s">
        <v>551</v>
      </c>
      <c r="H187" t="s">
        <v>1628</v>
      </c>
      <c r="J187" t="str">
        <f t="shared" si="2"/>
        <v>FORM N-PORT-C.10</v>
      </c>
      <c r="K187" t="s">
        <v>1638</v>
      </c>
      <c r="L187" t="s">
        <v>1502</v>
      </c>
      <c r="M187" t="s">
        <v>1639</v>
      </c>
      <c r="N187" t="s">
        <v>1640</v>
      </c>
      <c r="Q187" s="18" t="s">
        <v>1590</v>
      </c>
    </row>
    <row r="188" spans="1:17" x14ac:dyDescent="0.35">
      <c r="A188" t="s">
        <v>1334</v>
      </c>
      <c r="B188" s="3" t="s">
        <v>102</v>
      </c>
      <c r="C188" s="3"/>
      <c r="D188" s="3"/>
      <c r="E188" s="3"/>
      <c r="F188" t="s">
        <v>551</v>
      </c>
      <c r="H188" t="s">
        <v>1628</v>
      </c>
      <c r="J188" t="str">
        <f t="shared" si="2"/>
        <v>FORM N-PORT-C.10</v>
      </c>
      <c r="K188" t="s">
        <v>1641</v>
      </c>
      <c r="L188" t="s">
        <v>1187</v>
      </c>
      <c r="M188" t="s">
        <v>1642</v>
      </c>
      <c r="N188" t="s">
        <v>1643</v>
      </c>
      <c r="Q188" s="18" t="s">
        <v>1590</v>
      </c>
    </row>
    <row r="189" spans="1:17" x14ac:dyDescent="0.35">
      <c r="A189" t="s">
        <v>1334</v>
      </c>
      <c r="B189" s="3" t="s">
        <v>102</v>
      </c>
      <c r="C189" s="3"/>
      <c r="D189" s="3"/>
      <c r="E189" s="3"/>
      <c r="F189" t="s">
        <v>551</v>
      </c>
      <c r="H189" t="s">
        <v>1628</v>
      </c>
      <c r="J189" t="str">
        <f t="shared" si="2"/>
        <v>FORM N-PORT-C.10</v>
      </c>
      <c r="K189" t="s">
        <v>1644</v>
      </c>
      <c r="L189" t="s">
        <v>1198</v>
      </c>
      <c r="M189" t="s">
        <v>1645</v>
      </c>
      <c r="N189" t="s">
        <v>1646</v>
      </c>
      <c r="Q189" s="18" t="s">
        <v>1590</v>
      </c>
    </row>
    <row r="190" spans="1:17" x14ac:dyDescent="0.35">
      <c r="A190" t="s">
        <v>1334</v>
      </c>
      <c r="B190" s="3" t="s">
        <v>102</v>
      </c>
      <c r="C190" s="3"/>
      <c r="D190" s="3"/>
      <c r="E190" s="3"/>
      <c r="F190" t="s">
        <v>551</v>
      </c>
      <c r="H190" t="s">
        <v>1628</v>
      </c>
      <c r="J190" t="str">
        <f t="shared" si="2"/>
        <v>FORM N-PORT-C.10</v>
      </c>
      <c r="K190" t="s">
        <v>1647</v>
      </c>
      <c r="L190" t="s">
        <v>1331</v>
      </c>
      <c r="M190" t="s">
        <v>1648</v>
      </c>
      <c r="N190" t="s">
        <v>1649</v>
      </c>
      <c r="Q190" s="18" t="s">
        <v>1590</v>
      </c>
    </row>
    <row r="191" spans="1:17" x14ac:dyDescent="0.35">
      <c r="A191" t="s">
        <v>1334</v>
      </c>
      <c r="B191" s="3" t="s">
        <v>102</v>
      </c>
      <c r="C191" s="3"/>
      <c r="D191" s="3"/>
      <c r="E191" s="3"/>
      <c r="F191" t="s">
        <v>551</v>
      </c>
      <c r="H191" t="s">
        <v>1628</v>
      </c>
      <c r="J191" t="str">
        <f t="shared" si="2"/>
        <v>FORM N-PORT-C.10</v>
      </c>
      <c r="K191" t="s">
        <v>1650</v>
      </c>
      <c r="L191" t="s">
        <v>783</v>
      </c>
      <c r="M191" t="s">
        <v>1651</v>
      </c>
      <c r="N191" t="s">
        <v>1652</v>
      </c>
      <c r="Q191" s="18" t="s">
        <v>1590</v>
      </c>
    </row>
    <row r="192" spans="1:17" x14ac:dyDescent="0.35">
      <c r="A192" t="s">
        <v>1334</v>
      </c>
      <c r="B192" s="3" t="s">
        <v>102</v>
      </c>
      <c r="C192" s="3"/>
      <c r="D192" s="3"/>
      <c r="E192" s="3"/>
      <c r="F192" t="s">
        <v>551</v>
      </c>
      <c r="H192" t="s">
        <v>1628</v>
      </c>
      <c r="J192" t="str">
        <f t="shared" si="2"/>
        <v>FORM N-PORT-C.10</v>
      </c>
      <c r="K192" t="s">
        <v>1653</v>
      </c>
      <c r="L192" t="s">
        <v>783</v>
      </c>
      <c r="M192" t="s">
        <v>1654</v>
      </c>
      <c r="N192" t="s">
        <v>1655</v>
      </c>
      <c r="Q192" s="18" t="s">
        <v>1590</v>
      </c>
    </row>
    <row r="193" spans="1:17" x14ac:dyDescent="0.35">
      <c r="A193" t="s">
        <v>1334</v>
      </c>
      <c r="B193" s="3" t="s">
        <v>102</v>
      </c>
      <c r="C193" s="3"/>
      <c r="D193" s="3"/>
      <c r="E193" s="3"/>
      <c r="F193" t="s">
        <v>551</v>
      </c>
      <c r="H193" t="s">
        <v>1628</v>
      </c>
      <c r="J193" t="str">
        <f t="shared" si="2"/>
        <v>FORM N-PORT-C.10</v>
      </c>
      <c r="K193" t="s">
        <v>1656</v>
      </c>
      <c r="L193" t="s">
        <v>1566</v>
      </c>
      <c r="M193" t="s">
        <v>1657</v>
      </c>
      <c r="N193" t="s">
        <v>1658</v>
      </c>
      <c r="Q193" s="18" t="s">
        <v>1590</v>
      </c>
    </row>
    <row r="194" spans="1:17" x14ac:dyDescent="0.35">
      <c r="A194" t="s">
        <v>1334</v>
      </c>
      <c r="B194" s="3" t="s">
        <v>102</v>
      </c>
      <c r="C194" s="3"/>
      <c r="D194" s="3"/>
      <c r="E194" s="3"/>
      <c r="F194" t="s">
        <v>551</v>
      </c>
      <c r="H194" t="s">
        <v>1659</v>
      </c>
      <c r="J194" t="str">
        <f t="shared" si="2"/>
        <v>FORM N-PORT-C.11</v>
      </c>
      <c r="K194" t="s">
        <v>1660</v>
      </c>
      <c r="L194" t="s">
        <v>1566</v>
      </c>
      <c r="M194" t="s">
        <v>1661</v>
      </c>
      <c r="N194" t="s">
        <v>1662</v>
      </c>
      <c r="Q194" s="18" t="s">
        <v>1590</v>
      </c>
    </row>
    <row r="195" spans="1:17" x14ac:dyDescent="0.35">
      <c r="A195" t="s">
        <v>1334</v>
      </c>
      <c r="B195" s="3" t="s">
        <v>102</v>
      </c>
      <c r="C195" s="3"/>
      <c r="D195" s="3"/>
      <c r="E195" s="3"/>
      <c r="F195" t="s">
        <v>551</v>
      </c>
      <c r="H195" t="s">
        <v>1659</v>
      </c>
      <c r="J195" t="str">
        <f t="shared" ref="J195:J258" si="3">_xlfn.CONCAT(A195,"-",H195)</f>
        <v>FORM N-PORT-C.11</v>
      </c>
      <c r="K195" t="s">
        <v>1663</v>
      </c>
      <c r="L195" t="s">
        <v>1502</v>
      </c>
      <c r="M195" t="s">
        <v>1664</v>
      </c>
      <c r="N195" t="s">
        <v>1665</v>
      </c>
      <c r="Q195" s="18" t="s">
        <v>1590</v>
      </c>
    </row>
    <row r="196" spans="1:17" x14ac:dyDescent="0.35">
      <c r="A196" t="s">
        <v>1334</v>
      </c>
      <c r="B196" s="3" t="s">
        <v>102</v>
      </c>
      <c r="C196" s="3"/>
      <c r="D196" s="3"/>
      <c r="E196" s="3"/>
      <c r="F196" t="s">
        <v>551</v>
      </c>
      <c r="H196" t="s">
        <v>1659</v>
      </c>
      <c r="J196" t="str">
        <f t="shared" si="3"/>
        <v>FORM N-PORT-C.11</v>
      </c>
      <c r="K196" t="s">
        <v>1666</v>
      </c>
      <c r="L196" t="s">
        <v>1566</v>
      </c>
      <c r="M196" t="s">
        <v>1667</v>
      </c>
      <c r="N196" t="s">
        <v>1668</v>
      </c>
      <c r="Q196" s="18" t="s">
        <v>1590</v>
      </c>
    </row>
    <row r="197" spans="1:17" x14ac:dyDescent="0.35">
      <c r="A197" t="s">
        <v>1334</v>
      </c>
      <c r="B197" s="3" t="s">
        <v>102</v>
      </c>
      <c r="C197" s="3"/>
      <c r="D197" s="3"/>
      <c r="E197" s="3"/>
      <c r="F197" t="s">
        <v>551</v>
      </c>
      <c r="H197" t="s">
        <v>1659</v>
      </c>
      <c r="J197" t="str">
        <f t="shared" si="3"/>
        <v>FORM N-PORT-C.11</v>
      </c>
      <c r="K197" t="s">
        <v>1669</v>
      </c>
      <c r="L197" t="s">
        <v>1566</v>
      </c>
      <c r="M197" t="s">
        <v>1670</v>
      </c>
      <c r="N197" t="s">
        <v>1671</v>
      </c>
      <c r="Q197" s="18" t="s">
        <v>1590</v>
      </c>
    </row>
    <row r="198" spans="1:17" x14ac:dyDescent="0.35">
      <c r="A198" t="s">
        <v>1334</v>
      </c>
      <c r="B198" s="3" t="s">
        <v>102</v>
      </c>
      <c r="C198" s="3"/>
      <c r="D198" s="3"/>
      <c r="E198" s="3"/>
      <c r="F198" t="s">
        <v>551</v>
      </c>
      <c r="H198" t="s">
        <v>1659</v>
      </c>
      <c r="J198" t="str">
        <f t="shared" si="3"/>
        <v>FORM N-PORT-C.11</v>
      </c>
      <c r="K198" t="s">
        <v>1672</v>
      </c>
      <c r="L198" t="s">
        <v>1502</v>
      </c>
      <c r="M198" t="s">
        <v>1673</v>
      </c>
      <c r="N198" t="s">
        <v>1674</v>
      </c>
      <c r="Q198" s="18" t="s">
        <v>1590</v>
      </c>
    </row>
    <row r="199" spans="1:17" x14ac:dyDescent="0.35">
      <c r="A199" t="s">
        <v>1334</v>
      </c>
      <c r="B199" s="3" t="s">
        <v>102</v>
      </c>
      <c r="C199" s="3"/>
      <c r="D199" s="3"/>
      <c r="E199" s="3"/>
      <c r="F199" t="s">
        <v>551</v>
      </c>
      <c r="H199" t="s">
        <v>1659</v>
      </c>
      <c r="J199" t="str">
        <f t="shared" si="3"/>
        <v>FORM N-PORT-C.11</v>
      </c>
      <c r="K199" t="s">
        <v>1675</v>
      </c>
      <c r="L199" t="s">
        <v>783</v>
      </c>
      <c r="M199" t="s">
        <v>1676</v>
      </c>
      <c r="N199" t="s">
        <v>1677</v>
      </c>
      <c r="Q199" s="18" t="s">
        <v>1590</v>
      </c>
    </row>
    <row r="200" spans="1:17" x14ac:dyDescent="0.35">
      <c r="A200" t="s">
        <v>1334</v>
      </c>
      <c r="B200" s="3" t="s">
        <v>102</v>
      </c>
      <c r="C200" s="3"/>
      <c r="D200" s="3"/>
      <c r="E200" s="3"/>
      <c r="F200" t="s">
        <v>551</v>
      </c>
      <c r="H200" t="s">
        <v>1659</v>
      </c>
      <c r="J200" t="str">
        <f t="shared" si="3"/>
        <v>FORM N-PORT-C.11</v>
      </c>
      <c r="K200" t="s">
        <v>1678</v>
      </c>
      <c r="L200" t="s">
        <v>783</v>
      </c>
      <c r="M200" t="s">
        <v>1679</v>
      </c>
      <c r="N200" t="s">
        <v>1680</v>
      </c>
      <c r="Q200" s="18" t="s">
        <v>1590</v>
      </c>
    </row>
    <row r="201" spans="1:17" x14ac:dyDescent="0.35">
      <c r="A201" t="s">
        <v>1334</v>
      </c>
      <c r="B201" s="3" t="s">
        <v>102</v>
      </c>
      <c r="C201" s="3"/>
      <c r="D201" s="3"/>
      <c r="E201" s="3"/>
      <c r="F201" t="s">
        <v>551</v>
      </c>
      <c r="H201" t="s">
        <v>1659</v>
      </c>
      <c r="J201" t="str">
        <f t="shared" si="3"/>
        <v>FORM N-PORT-C.11</v>
      </c>
      <c r="K201" t="s">
        <v>1681</v>
      </c>
      <c r="L201" t="s">
        <v>1331</v>
      </c>
      <c r="M201" t="s">
        <v>1682</v>
      </c>
      <c r="N201" t="s">
        <v>1683</v>
      </c>
      <c r="Q201" s="18" t="s">
        <v>1590</v>
      </c>
    </row>
    <row r="202" spans="1:17" x14ac:dyDescent="0.35">
      <c r="A202" t="s">
        <v>1334</v>
      </c>
      <c r="B202" s="3" t="s">
        <v>102</v>
      </c>
      <c r="C202" s="3"/>
      <c r="D202" s="3"/>
      <c r="E202" s="3"/>
      <c r="F202" t="s">
        <v>551</v>
      </c>
      <c r="H202" t="s">
        <v>1659</v>
      </c>
      <c r="J202" t="str">
        <f t="shared" si="3"/>
        <v>FORM N-PORT-C.11</v>
      </c>
      <c r="K202" t="s">
        <v>1684</v>
      </c>
      <c r="L202" t="s">
        <v>783</v>
      </c>
      <c r="M202" t="s">
        <v>1685</v>
      </c>
      <c r="N202" t="s">
        <v>1686</v>
      </c>
      <c r="Q202" s="18" t="s">
        <v>1590</v>
      </c>
    </row>
    <row r="203" spans="1:17" x14ac:dyDescent="0.35">
      <c r="A203" t="s">
        <v>1334</v>
      </c>
      <c r="B203" s="3" t="s">
        <v>102</v>
      </c>
      <c r="C203" s="3"/>
      <c r="D203" s="3"/>
      <c r="E203" s="3"/>
      <c r="F203" t="s">
        <v>551</v>
      </c>
      <c r="H203" t="s">
        <v>1659</v>
      </c>
      <c r="J203" t="str">
        <f t="shared" si="3"/>
        <v>FORM N-PORT-C.11</v>
      </c>
      <c r="K203" t="s">
        <v>1687</v>
      </c>
      <c r="L203" t="s">
        <v>783</v>
      </c>
      <c r="M203" t="s">
        <v>1688</v>
      </c>
      <c r="N203" t="s">
        <v>1689</v>
      </c>
      <c r="Q203" s="18" t="s">
        <v>1590</v>
      </c>
    </row>
    <row r="204" spans="1:17" x14ac:dyDescent="0.35">
      <c r="A204" t="s">
        <v>1334</v>
      </c>
      <c r="B204" s="3" t="s">
        <v>102</v>
      </c>
      <c r="C204" s="3"/>
      <c r="D204" s="3"/>
      <c r="E204" s="3"/>
      <c r="F204" t="s">
        <v>551</v>
      </c>
      <c r="H204" t="s">
        <v>1659</v>
      </c>
      <c r="J204" t="str">
        <f t="shared" si="3"/>
        <v>FORM N-PORT-C.11</v>
      </c>
      <c r="K204" t="s">
        <v>1690</v>
      </c>
      <c r="L204" t="s">
        <v>1566</v>
      </c>
      <c r="M204" t="s">
        <v>1691</v>
      </c>
      <c r="N204" t="s">
        <v>1692</v>
      </c>
      <c r="Q204" s="18" t="s">
        <v>1590</v>
      </c>
    </row>
    <row r="205" spans="1:17" x14ac:dyDescent="0.35">
      <c r="A205" t="s">
        <v>1334</v>
      </c>
      <c r="B205" s="3" t="s">
        <v>102</v>
      </c>
      <c r="C205" s="3"/>
      <c r="D205" s="3"/>
      <c r="E205" s="3"/>
      <c r="F205" t="s">
        <v>551</v>
      </c>
      <c r="H205" t="s">
        <v>1659</v>
      </c>
      <c r="J205" t="str">
        <f t="shared" si="3"/>
        <v>FORM N-PORT-C.11</v>
      </c>
      <c r="K205" t="s">
        <v>1693</v>
      </c>
      <c r="L205" t="s">
        <v>1502</v>
      </c>
      <c r="M205" t="s">
        <v>1694</v>
      </c>
      <c r="N205" t="s">
        <v>1695</v>
      </c>
      <c r="Q205" s="18" t="s">
        <v>1590</v>
      </c>
    </row>
    <row r="206" spans="1:17" x14ac:dyDescent="0.35">
      <c r="A206" t="s">
        <v>1334</v>
      </c>
      <c r="B206" s="3" t="s">
        <v>102</v>
      </c>
      <c r="C206" s="3"/>
      <c r="D206" s="3"/>
      <c r="E206" s="3"/>
      <c r="F206" t="s">
        <v>551</v>
      </c>
      <c r="H206" t="s">
        <v>1659</v>
      </c>
      <c r="J206" t="str">
        <f t="shared" si="3"/>
        <v>FORM N-PORT-C.11</v>
      </c>
      <c r="K206" t="s">
        <v>1696</v>
      </c>
      <c r="L206" t="s">
        <v>1331</v>
      </c>
      <c r="M206" t="s">
        <v>1697</v>
      </c>
      <c r="N206" t="s">
        <v>1698</v>
      </c>
      <c r="Q206" s="18" t="s">
        <v>1590</v>
      </c>
    </row>
    <row r="207" spans="1:17" x14ac:dyDescent="0.35">
      <c r="A207" t="s">
        <v>1334</v>
      </c>
      <c r="B207" s="3" t="s">
        <v>102</v>
      </c>
      <c r="C207" s="3"/>
      <c r="D207" s="3"/>
      <c r="E207" s="3"/>
      <c r="F207" t="s">
        <v>551</v>
      </c>
      <c r="H207" t="s">
        <v>1659</v>
      </c>
      <c r="J207" t="str">
        <f t="shared" si="3"/>
        <v>FORM N-PORT-C.11</v>
      </c>
      <c r="K207" t="s">
        <v>1699</v>
      </c>
      <c r="L207" t="s">
        <v>783</v>
      </c>
      <c r="M207" t="s">
        <v>1700</v>
      </c>
      <c r="N207" t="s">
        <v>1701</v>
      </c>
      <c r="Q207" s="18" t="s">
        <v>1590</v>
      </c>
    </row>
    <row r="208" spans="1:17" x14ac:dyDescent="0.35">
      <c r="A208" t="s">
        <v>1334</v>
      </c>
      <c r="B208" s="3" t="s">
        <v>102</v>
      </c>
      <c r="C208" s="3"/>
      <c r="D208" s="3"/>
      <c r="E208" s="3"/>
      <c r="F208" t="s">
        <v>551</v>
      </c>
      <c r="H208" t="s">
        <v>1659</v>
      </c>
      <c r="J208" t="str">
        <f t="shared" si="3"/>
        <v>FORM N-PORT-C.11</v>
      </c>
      <c r="K208" t="s">
        <v>1702</v>
      </c>
      <c r="L208" t="s">
        <v>783</v>
      </c>
      <c r="M208" t="s">
        <v>1688</v>
      </c>
      <c r="N208" t="s">
        <v>1703</v>
      </c>
      <c r="Q208" s="18" t="s">
        <v>1590</v>
      </c>
    </row>
    <row r="209" spans="1:17" x14ac:dyDescent="0.35">
      <c r="A209" t="s">
        <v>1334</v>
      </c>
      <c r="B209" s="3" t="s">
        <v>102</v>
      </c>
      <c r="C209" s="3"/>
      <c r="D209" s="3"/>
      <c r="E209" s="3"/>
      <c r="F209" t="s">
        <v>551</v>
      </c>
      <c r="H209" t="s">
        <v>1659</v>
      </c>
      <c r="J209" t="str">
        <f t="shared" si="3"/>
        <v>FORM N-PORT-C.11</v>
      </c>
      <c r="K209" t="s">
        <v>1704</v>
      </c>
      <c r="L209" t="s">
        <v>229</v>
      </c>
      <c r="M209" t="s">
        <v>1705</v>
      </c>
      <c r="N209" t="s">
        <v>1706</v>
      </c>
      <c r="Q209" s="18" t="s">
        <v>1590</v>
      </c>
    </row>
    <row r="210" spans="1:17" x14ac:dyDescent="0.35">
      <c r="A210" t="s">
        <v>1334</v>
      </c>
      <c r="B210" s="3" t="s">
        <v>102</v>
      </c>
      <c r="C210" s="3"/>
      <c r="D210" s="3"/>
      <c r="E210" s="3"/>
      <c r="F210" t="s">
        <v>551</v>
      </c>
      <c r="H210" t="s">
        <v>1659</v>
      </c>
      <c r="J210" t="str">
        <f t="shared" si="3"/>
        <v>FORM N-PORT-C.11</v>
      </c>
      <c r="K210" t="s">
        <v>1707</v>
      </c>
      <c r="L210" t="s">
        <v>229</v>
      </c>
      <c r="M210" t="s">
        <v>1708</v>
      </c>
      <c r="N210" t="s">
        <v>1709</v>
      </c>
      <c r="Q210" s="18" t="s">
        <v>1590</v>
      </c>
    </row>
    <row r="211" spans="1:17" x14ac:dyDescent="0.35">
      <c r="A211" t="s">
        <v>1334</v>
      </c>
      <c r="B211" s="3" t="s">
        <v>102</v>
      </c>
      <c r="C211" s="3"/>
      <c r="D211" s="3"/>
      <c r="E211" s="3"/>
      <c r="F211" t="s">
        <v>551</v>
      </c>
      <c r="H211" t="s">
        <v>1659</v>
      </c>
      <c r="J211" t="str">
        <f t="shared" si="3"/>
        <v>FORM N-PORT-C.11</v>
      </c>
      <c r="K211" t="s">
        <v>1710</v>
      </c>
      <c r="L211" t="s">
        <v>1331</v>
      </c>
      <c r="M211" t="s">
        <v>1711</v>
      </c>
      <c r="N211" t="s">
        <v>1712</v>
      </c>
      <c r="Q211" s="18" t="s">
        <v>1590</v>
      </c>
    </row>
    <row r="212" spans="1:17" x14ac:dyDescent="0.35">
      <c r="A212" t="s">
        <v>1334</v>
      </c>
      <c r="B212" s="3" t="s">
        <v>102</v>
      </c>
      <c r="C212" s="3"/>
      <c r="D212" s="3"/>
      <c r="E212" s="3"/>
      <c r="F212" t="s">
        <v>551</v>
      </c>
      <c r="H212" t="s">
        <v>1659</v>
      </c>
      <c r="J212" t="str">
        <f t="shared" si="3"/>
        <v>FORM N-PORT-C.11</v>
      </c>
      <c r="K212" t="s">
        <v>1713</v>
      </c>
      <c r="L212" t="s">
        <v>783</v>
      </c>
      <c r="M212" t="s">
        <v>1688</v>
      </c>
      <c r="N212" t="s">
        <v>1714</v>
      </c>
      <c r="Q212" s="18" t="s">
        <v>1590</v>
      </c>
    </row>
    <row r="213" spans="1:17" x14ac:dyDescent="0.35">
      <c r="A213" t="s">
        <v>1334</v>
      </c>
      <c r="B213" s="3" t="s">
        <v>102</v>
      </c>
      <c r="C213" s="3"/>
      <c r="D213" s="3"/>
      <c r="E213" s="3"/>
      <c r="F213" t="s">
        <v>551</v>
      </c>
      <c r="H213" t="s">
        <v>1659</v>
      </c>
      <c r="J213" t="str">
        <f t="shared" si="3"/>
        <v>FORM N-PORT-C.11</v>
      </c>
      <c r="K213" t="s">
        <v>1715</v>
      </c>
      <c r="L213" t="s">
        <v>229</v>
      </c>
      <c r="M213" t="s">
        <v>1716</v>
      </c>
      <c r="N213" t="s">
        <v>1717</v>
      </c>
      <c r="Q213" s="18" t="s">
        <v>1590</v>
      </c>
    </row>
    <row r="214" spans="1:17" x14ac:dyDescent="0.35">
      <c r="A214" t="s">
        <v>1334</v>
      </c>
      <c r="B214" s="3" t="s">
        <v>102</v>
      </c>
      <c r="C214" s="3"/>
      <c r="D214" s="3"/>
      <c r="E214" s="3"/>
      <c r="F214" t="s">
        <v>551</v>
      </c>
      <c r="H214" t="s">
        <v>1659</v>
      </c>
      <c r="J214" t="str">
        <f t="shared" si="3"/>
        <v>FORM N-PORT-C.11</v>
      </c>
      <c r="K214" t="s">
        <v>1718</v>
      </c>
      <c r="L214" t="s">
        <v>1331</v>
      </c>
      <c r="M214" t="s">
        <v>1719</v>
      </c>
      <c r="N214" t="s">
        <v>1720</v>
      </c>
      <c r="Q214" s="18" t="s">
        <v>1590</v>
      </c>
    </row>
    <row r="215" spans="1:17" x14ac:dyDescent="0.35">
      <c r="A215" t="s">
        <v>1334</v>
      </c>
      <c r="B215" s="3" t="s">
        <v>102</v>
      </c>
      <c r="C215" s="3"/>
      <c r="D215" s="3"/>
      <c r="E215" s="3"/>
      <c r="F215" t="s">
        <v>551</v>
      </c>
      <c r="H215" t="s">
        <v>1659</v>
      </c>
      <c r="J215" t="str">
        <f t="shared" si="3"/>
        <v>FORM N-PORT-C.11</v>
      </c>
      <c r="K215" t="s">
        <v>1721</v>
      </c>
      <c r="L215" t="s">
        <v>783</v>
      </c>
      <c r="M215" t="s">
        <v>1722</v>
      </c>
      <c r="N215" t="s">
        <v>1723</v>
      </c>
      <c r="Q215" s="18" t="s">
        <v>1590</v>
      </c>
    </row>
    <row r="216" spans="1:17" x14ac:dyDescent="0.35">
      <c r="A216" t="s">
        <v>1334</v>
      </c>
      <c r="B216" s="3" t="s">
        <v>102</v>
      </c>
      <c r="C216" s="3"/>
      <c r="D216" s="3"/>
      <c r="E216" s="3"/>
      <c r="F216" t="s">
        <v>551</v>
      </c>
      <c r="H216" t="s">
        <v>1659</v>
      </c>
      <c r="J216" t="str">
        <f t="shared" si="3"/>
        <v>FORM N-PORT-C.11</v>
      </c>
      <c r="K216" t="s">
        <v>1724</v>
      </c>
      <c r="L216" t="s">
        <v>783</v>
      </c>
      <c r="M216" t="s">
        <v>1725</v>
      </c>
      <c r="N216" t="s">
        <v>1726</v>
      </c>
      <c r="Q216" s="18" t="s">
        <v>1590</v>
      </c>
    </row>
    <row r="217" spans="1:17" x14ac:dyDescent="0.35">
      <c r="A217" t="s">
        <v>1334</v>
      </c>
      <c r="B217" s="3" t="s">
        <v>102</v>
      </c>
      <c r="C217" s="3"/>
      <c r="D217" s="3"/>
      <c r="E217" s="3"/>
      <c r="F217" t="s">
        <v>551</v>
      </c>
      <c r="H217" t="s">
        <v>1659</v>
      </c>
      <c r="J217" t="str">
        <f t="shared" si="3"/>
        <v>FORM N-PORT-C.11</v>
      </c>
      <c r="K217" t="s">
        <v>1727</v>
      </c>
      <c r="L217" t="s">
        <v>783</v>
      </c>
      <c r="M217" t="s">
        <v>1688</v>
      </c>
      <c r="N217" t="s">
        <v>1728</v>
      </c>
      <c r="Q217" s="18" t="s">
        <v>1590</v>
      </c>
    </row>
    <row r="218" spans="1:17" x14ac:dyDescent="0.35">
      <c r="A218" t="s">
        <v>1334</v>
      </c>
      <c r="B218" s="3" t="s">
        <v>102</v>
      </c>
      <c r="C218" s="3"/>
      <c r="D218" s="3"/>
      <c r="E218" s="3"/>
      <c r="F218" t="s">
        <v>551</v>
      </c>
      <c r="H218" t="s">
        <v>1729</v>
      </c>
      <c r="J218" t="str">
        <f t="shared" si="3"/>
        <v>FORM N-PORT-C.12</v>
      </c>
      <c r="K218" t="s">
        <v>1730</v>
      </c>
      <c r="L218" t="s">
        <v>1187</v>
      </c>
      <c r="M218" t="s">
        <v>1731</v>
      </c>
      <c r="N218" t="s">
        <v>1732</v>
      </c>
      <c r="Q218" s="18" t="s">
        <v>1341</v>
      </c>
    </row>
    <row r="219" spans="1:17" x14ac:dyDescent="0.35">
      <c r="A219" t="s">
        <v>1334</v>
      </c>
      <c r="B219" s="3" t="s">
        <v>102</v>
      </c>
      <c r="C219" s="3"/>
      <c r="D219" s="3"/>
      <c r="E219" s="3"/>
      <c r="F219" t="s">
        <v>551</v>
      </c>
      <c r="H219" t="s">
        <v>1729</v>
      </c>
      <c r="J219" t="str">
        <f t="shared" si="3"/>
        <v>FORM N-PORT-C.12</v>
      </c>
      <c r="K219" t="s">
        <v>1733</v>
      </c>
      <c r="L219" t="s">
        <v>783</v>
      </c>
      <c r="M219" t="s">
        <v>1734</v>
      </c>
      <c r="N219" t="s">
        <v>1735</v>
      </c>
      <c r="Q219" s="18" t="s">
        <v>1590</v>
      </c>
    </row>
    <row r="220" spans="1:17" x14ac:dyDescent="0.35">
      <c r="A220" t="s">
        <v>1334</v>
      </c>
      <c r="B220" s="3" t="s">
        <v>102</v>
      </c>
      <c r="C220" s="3"/>
      <c r="D220" s="3"/>
      <c r="E220" s="3"/>
      <c r="F220" t="s">
        <v>551</v>
      </c>
      <c r="H220" t="s">
        <v>1729</v>
      </c>
      <c r="J220" t="str">
        <f t="shared" si="3"/>
        <v>FORM N-PORT-C.12</v>
      </c>
      <c r="K220" t="s">
        <v>1736</v>
      </c>
      <c r="L220" t="s">
        <v>1187</v>
      </c>
      <c r="M220" t="s">
        <v>1737</v>
      </c>
      <c r="N220" t="s">
        <v>1738</v>
      </c>
      <c r="Q220" s="18" t="s">
        <v>1341</v>
      </c>
    </row>
    <row r="221" spans="1:17" x14ac:dyDescent="0.35">
      <c r="A221" t="s">
        <v>1334</v>
      </c>
      <c r="B221" s="3" t="s">
        <v>102</v>
      </c>
      <c r="C221" s="3"/>
      <c r="D221" s="3"/>
      <c r="E221" s="3"/>
      <c r="F221" t="s">
        <v>551</v>
      </c>
      <c r="H221" t="s">
        <v>1729</v>
      </c>
      <c r="J221" t="str">
        <f t="shared" si="3"/>
        <v>FORM N-PORT-C.12</v>
      </c>
      <c r="K221" t="s">
        <v>1739</v>
      </c>
      <c r="L221" t="s">
        <v>783</v>
      </c>
      <c r="M221" t="s">
        <v>1740</v>
      </c>
      <c r="N221" t="s">
        <v>1741</v>
      </c>
      <c r="Q221" s="18" t="s">
        <v>1590</v>
      </c>
    </row>
    <row r="222" spans="1:17" x14ac:dyDescent="0.35">
      <c r="A222" t="s">
        <v>1334</v>
      </c>
      <c r="B222" s="3" t="s">
        <v>102</v>
      </c>
      <c r="C222" s="3"/>
      <c r="D222" s="3"/>
      <c r="E222" s="3"/>
      <c r="F222" t="s">
        <v>551</v>
      </c>
      <c r="H222" t="s">
        <v>1729</v>
      </c>
      <c r="J222" t="str">
        <f t="shared" si="3"/>
        <v>FORM N-PORT-C.12</v>
      </c>
      <c r="K222" t="s">
        <v>1742</v>
      </c>
      <c r="L222" t="s">
        <v>1187</v>
      </c>
      <c r="M222" t="s">
        <v>1743</v>
      </c>
      <c r="N222" t="s">
        <v>1744</v>
      </c>
      <c r="Q222" s="18" t="s">
        <v>1341</v>
      </c>
    </row>
    <row r="223" spans="1:17" x14ac:dyDescent="0.35">
      <c r="A223" t="s">
        <v>1334</v>
      </c>
      <c r="B223" s="3" t="s">
        <v>102</v>
      </c>
      <c r="C223" s="3"/>
      <c r="D223" s="3"/>
      <c r="E223" s="3"/>
      <c r="F223" t="s">
        <v>551</v>
      </c>
      <c r="H223" t="s">
        <v>1729</v>
      </c>
      <c r="J223" t="str">
        <f t="shared" si="3"/>
        <v>FORM N-PORT-C.12</v>
      </c>
      <c r="K223" t="s">
        <v>1745</v>
      </c>
      <c r="L223" t="s">
        <v>783</v>
      </c>
      <c r="M223" t="s">
        <v>1746</v>
      </c>
      <c r="N223" t="s">
        <v>1747</v>
      </c>
      <c r="Q223" s="18" t="s">
        <v>1590</v>
      </c>
    </row>
    <row r="224" spans="1:17" x14ac:dyDescent="0.35">
      <c r="A224" t="s">
        <v>1334</v>
      </c>
      <c r="B224" s="3" t="s">
        <v>102</v>
      </c>
      <c r="C224" s="3"/>
      <c r="D224" s="3"/>
      <c r="E224" s="3"/>
      <c r="F224" t="s">
        <v>551</v>
      </c>
      <c r="H224" t="s">
        <v>593</v>
      </c>
      <c r="J224" t="str">
        <f t="shared" si="3"/>
        <v>FORM N-PORT-C.1</v>
      </c>
      <c r="K224" t="s">
        <v>1522</v>
      </c>
      <c r="L224" t="s">
        <v>229</v>
      </c>
      <c r="M224" t="s">
        <v>1523</v>
      </c>
      <c r="N224" t="s">
        <v>1524</v>
      </c>
      <c r="Q224" s="18" t="s">
        <v>1525</v>
      </c>
    </row>
    <row r="225" spans="1:17" x14ac:dyDescent="0.35">
      <c r="A225" t="s">
        <v>1334</v>
      </c>
      <c r="B225" s="3" t="s">
        <v>102</v>
      </c>
      <c r="C225" s="3"/>
      <c r="D225" s="3"/>
      <c r="E225" s="3"/>
      <c r="F225" t="s">
        <v>551</v>
      </c>
      <c r="H225" t="s">
        <v>593</v>
      </c>
      <c r="J225" t="str">
        <f t="shared" si="3"/>
        <v>FORM N-PORT-C.1</v>
      </c>
      <c r="K225" t="s">
        <v>1526</v>
      </c>
      <c r="L225" t="s">
        <v>1313</v>
      </c>
      <c r="M225" t="s">
        <v>1527</v>
      </c>
      <c r="N225" t="s">
        <v>1528</v>
      </c>
      <c r="Q225" s="18" t="s">
        <v>9148</v>
      </c>
    </row>
    <row r="226" spans="1:17" x14ac:dyDescent="0.35">
      <c r="A226" t="s">
        <v>1334</v>
      </c>
      <c r="B226" s="3" t="s">
        <v>102</v>
      </c>
      <c r="C226" s="3"/>
      <c r="D226" s="3"/>
      <c r="E226" s="3"/>
      <c r="F226" t="s">
        <v>551</v>
      </c>
      <c r="H226" t="s">
        <v>593</v>
      </c>
      <c r="J226" t="str">
        <f t="shared" si="3"/>
        <v>FORM N-PORT-C.1</v>
      </c>
      <c r="K226" t="s">
        <v>1530</v>
      </c>
      <c r="L226" t="s">
        <v>229</v>
      </c>
      <c r="M226" t="s">
        <v>1531</v>
      </c>
      <c r="N226" t="s">
        <v>1532</v>
      </c>
      <c r="Q226" s="18" t="s">
        <v>9149</v>
      </c>
    </row>
    <row r="227" spans="1:17" x14ac:dyDescent="0.35">
      <c r="A227" t="s">
        <v>1334</v>
      </c>
      <c r="B227" s="3" t="s">
        <v>102</v>
      </c>
      <c r="C227" s="3"/>
      <c r="D227" s="3"/>
      <c r="E227" s="3"/>
      <c r="F227" t="s">
        <v>551</v>
      </c>
      <c r="H227" t="s">
        <v>593</v>
      </c>
      <c r="J227" t="str">
        <f t="shared" si="3"/>
        <v>FORM N-PORT-C.1</v>
      </c>
      <c r="K227" t="s">
        <v>1534</v>
      </c>
      <c r="L227" t="s">
        <v>1313</v>
      </c>
      <c r="M227" t="s">
        <v>1535</v>
      </c>
      <c r="N227" t="s">
        <v>1536</v>
      </c>
      <c r="Q227" s="18" t="s">
        <v>9150</v>
      </c>
    </row>
    <row r="228" spans="1:17" x14ac:dyDescent="0.35">
      <c r="A228" t="s">
        <v>1334</v>
      </c>
      <c r="B228" s="3" t="s">
        <v>102</v>
      </c>
      <c r="C228" s="3"/>
      <c r="D228" s="3"/>
      <c r="E228" s="3"/>
      <c r="F228" t="s">
        <v>551</v>
      </c>
      <c r="H228" t="s">
        <v>593</v>
      </c>
      <c r="J228" t="str">
        <f t="shared" si="3"/>
        <v>FORM N-PORT-C.1</v>
      </c>
      <c r="K228" t="s">
        <v>1538</v>
      </c>
      <c r="L228" t="s">
        <v>1313</v>
      </c>
      <c r="M228" t="s">
        <v>1539</v>
      </c>
      <c r="N228" t="s">
        <v>1540</v>
      </c>
      <c r="Q228" s="18" t="s">
        <v>9151</v>
      </c>
    </row>
    <row r="229" spans="1:17" x14ac:dyDescent="0.35">
      <c r="A229" t="s">
        <v>1334</v>
      </c>
      <c r="B229" s="3" t="s">
        <v>102</v>
      </c>
      <c r="C229" s="3"/>
      <c r="D229" s="3"/>
      <c r="E229" s="3"/>
      <c r="F229" t="s">
        <v>551</v>
      </c>
      <c r="H229" t="s">
        <v>1542</v>
      </c>
      <c r="J229" t="str">
        <f t="shared" si="3"/>
        <v>FORM N-PORT-C.2</v>
      </c>
      <c r="K229" t="s">
        <v>1543</v>
      </c>
      <c r="L229" t="s">
        <v>783</v>
      </c>
      <c r="M229" t="s">
        <v>1544</v>
      </c>
      <c r="N229" t="s">
        <v>1545</v>
      </c>
      <c r="Q229" s="18">
        <v>76396000</v>
      </c>
    </row>
    <row r="230" spans="1:17" x14ac:dyDescent="0.35">
      <c r="A230" t="s">
        <v>1334</v>
      </c>
      <c r="B230" s="3" t="s">
        <v>102</v>
      </c>
      <c r="C230" s="3"/>
      <c r="D230" s="3"/>
      <c r="E230" s="3"/>
      <c r="F230" t="s">
        <v>551</v>
      </c>
      <c r="H230" t="s">
        <v>1542</v>
      </c>
      <c r="J230" t="str">
        <f t="shared" si="3"/>
        <v>FORM N-PORT-C.2</v>
      </c>
      <c r="K230" t="s">
        <v>1546</v>
      </c>
      <c r="L230" t="s">
        <v>1502</v>
      </c>
      <c r="M230" t="s">
        <v>1547</v>
      </c>
      <c r="N230" t="s">
        <v>1548</v>
      </c>
      <c r="Q230" s="18" t="s">
        <v>1549</v>
      </c>
    </row>
    <row r="231" spans="1:17" x14ac:dyDescent="0.35">
      <c r="A231" t="s">
        <v>1334</v>
      </c>
      <c r="B231" s="3" t="s">
        <v>102</v>
      </c>
      <c r="C231" s="3"/>
      <c r="D231" s="3"/>
      <c r="E231" s="3"/>
      <c r="F231" t="s">
        <v>551</v>
      </c>
      <c r="H231" t="s">
        <v>1542</v>
      </c>
      <c r="J231" t="str">
        <f t="shared" si="3"/>
        <v>FORM N-PORT-C.2</v>
      </c>
      <c r="K231" t="s">
        <v>1550</v>
      </c>
      <c r="L231" t="s">
        <v>783</v>
      </c>
      <c r="M231" t="s">
        <v>1551</v>
      </c>
      <c r="N231" t="s">
        <v>1552</v>
      </c>
      <c r="Q231" s="18">
        <v>67359499.140000001</v>
      </c>
    </row>
    <row r="232" spans="1:17" x14ac:dyDescent="0.35">
      <c r="A232" t="s">
        <v>1334</v>
      </c>
      <c r="B232" s="3" t="s">
        <v>102</v>
      </c>
      <c r="C232" s="3"/>
      <c r="D232" s="3"/>
      <c r="E232" s="3"/>
      <c r="F232" t="s">
        <v>551</v>
      </c>
      <c r="H232" t="s">
        <v>1542</v>
      </c>
      <c r="J232" t="str">
        <f t="shared" si="3"/>
        <v>FORM N-PORT-C.2</v>
      </c>
      <c r="K232" t="s">
        <v>1553</v>
      </c>
      <c r="L232" t="s">
        <v>1198</v>
      </c>
      <c r="M232" t="s">
        <v>1554</v>
      </c>
      <c r="N232" t="s">
        <v>1555</v>
      </c>
      <c r="Q232" s="18">
        <v>2.88431242E-2</v>
      </c>
    </row>
    <row r="233" spans="1:17" x14ac:dyDescent="0.35">
      <c r="A233" t="s">
        <v>1334</v>
      </c>
      <c r="B233" s="3" t="s">
        <v>102</v>
      </c>
      <c r="C233" s="3"/>
      <c r="D233" s="3"/>
      <c r="E233" s="3"/>
      <c r="F233" t="s">
        <v>551</v>
      </c>
      <c r="H233" t="s">
        <v>1542</v>
      </c>
      <c r="J233" t="str">
        <f t="shared" si="3"/>
        <v>FORM N-PORT-C.2</v>
      </c>
      <c r="K233" t="s">
        <v>1556</v>
      </c>
      <c r="L233" t="s">
        <v>1187</v>
      </c>
      <c r="M233" t="s">
        <v>1557</v>
      </c>
      <c r="N233" t="s">
        <v>1558</v>
      </c>
      <c r="Q233" s="18" t="s">
        <v>1590</v>
      </c>
    </row>
    <row r="234" spans="1:17" x14ac:dyDescent="0.35">
      <c r="A234" t="s">
        <v>1334</v>
      </c>
      <c r="B234" s="3" t="s">
        <v>102</v>
      </c>
      <c r="C234" s="3"/>
      <c r="D234" s="3"/>
      <c r="E234" s="3"/>
      <c r="F234" t="s">
        <v>551</v>
      </c>
      <c r="H234" t="s">
        <v>1559</v>
      </c>
      <c r="J234" t="str">
        <f t="shared" si="3"/>
        <v>FORM N-PORT-C.3</v>
      </c>
      <c r="K234" t="s">
        <v>1560</v>
      </c>
      <c r="L234" t="s">
        <v>229</v>
      </c>
      <c r="M234" t="s">
        <v>1561</v>
      </c>
      <c r="N234" t="s">
        <v>1562</v>
      </c>
      <c r="Q234" s="18" t="s">
        <v>1563</v>
      </c>
    </row>
    <row r="235" spans="1:17" x14ac:dyDescent="0.35">
      <c r="A235" t="s">
        <v>1334</v>
      </c>
      <c r="B235" s="3" t="s">
        <v>102</v>
      </c>
      <c r="C235" s="3"/>
      <c r="D235" s="3"/>
      <c r="E235" s="3"/>
      <c r="F235" t="s">
        <v>551</v>
      </c>
      <c r="H235" t="s">
        <v>1564</v>
      </c>
      <c r="J235" t="str">
        <f t="shared" si="3"/>
        <v>FORM N-PORT-C.4</v>
      </c>
      <c r="K235" t="s">
        <v>1565</v>
      </c>
      <c r="L235" t="s">
        <v>1566</v>
      </c>
      <c r="M235" t="s">
        <v>1567</v>
      </c>
      <c r="N235" t="s">
        <v>1568</v>
      </c>
      <c r="Q235" s="18" t="s">
        <v>1569</v>
      </c>
    </row>
    <row r="236" spans="1:17" x14ac:dyDescent="0.35">
      <c r="A236" t="s">
        <v>1334</v>
      </c>
      <c r="B236" s="3" t="s">
        <v>102</v>
      </c>
      <c r="C236" s="3"/>
      <c r="D236" s="3"/>
      <c r="E236" s="3"/>
      <c r="F236" t="s">
        <v>551</v>
      </c>
      <c r="H236" t="s">
        <v>1564</v>
      </c>
      <c r="J236" t="str">
        <f t="shared" si="3"/>
        <v>FORM N-PORT-C.4</v>
      </c>
      <c r="K236" t="s">
        <v>1570</v>
      </c>
      <c r="L236" t="s">
        <v>1566</v>
      </c>
      <c r="M236" t="s">
        <v>1571</v>
      </c>
      <c r="N236" t="s">
        <v>1572</v>
      </c>
      <c r="Q236" s="18" t="s">
        <v>1573</v>
      </c>
    </row>
    <row r="237" spans="1:17" x14ac:dyDescent="0.35">
      <c r="A237" t="s">
        <v>1334</v>
      </c>
      <c r="B237" s="3" t="s">
        <v>102</v>
      </c>
      <c r="C237" s="3"/>
      <c r="D237" s="3"/>
      <c r="E237" s="3"/>
      <c r="F237" t="s">
        <v>551</v>
      </c>
      <c r="H237" t="s">
        <v>1574</v>
      </c>
      <c r="J237" t="str">
        <f t="shared" si="3"/>
        <v>FORM N-PORT-C.5</v>
      </c>
      <c r="K237" t="s">
        <v>1575</v>
      </c>
      <c r="L237" t="s">
        <v>1502</v>
      </c>
      <c r="M237" t="s">
        <v>1576</v>
      </c>
      <c r="N237" t="s">
        <v>1577</v>
      </c>
      <c r="Q237" s="18" t="s">
        <v>1578</v>
      </c>
    </row>
    <row r="238" spans="1:17" x14ac:dyDescent="0.35">
      <c r="A238" t="s">
        <v>1334</v>
      </c>
      <c r="B238" s="3" t="s">
        <v>102</v>
      </c>
      <c r="C238" s="3"/>
      <c r="D238" s="3"/>
      <c r="E238" s="3"/>
      <c r="F238" t="s">
        <v>551</v>
      </c>
      <c r="H238" t="s">
        <v>1574</v>
      </c>
      <c r="J238" t="str">
        <f t="shared" si="3"/>
        <v>FORM N-PORT-C.5</v>
      </c>
      <c r="K238" t="s">
        <v>1579</v>
      </c>
      <c r="L238" t="s">
        <v>1502</v>
      </c>
      <c r="M238" t="s">
        <v>1580</v>
      </c>
      <c r="N238" t="s">
        <v>1581</v>
      </c>
      <c r="Q238" s="18" t="s">
        <v>1590</v>
      </c>
    </row>
    <row r="239" spans="1:17" x14ac:dyDescent="0.35">
      <c r="A239" t="s">
        <v>1334</v>
      </c>
      <c r="B239" s="3" t="s">
        <v>102</v>
      </c>
      <c r="C239" s="3"/>
      <c r="D239" s="3"/>
      <c r="E239" s="3"/>
      <c r="F239" t="s">
        <v>551</v>
      </c>
      <c r="H239" t="s">
        <v>1582</v>
      </c>
      <c r="J239" t="str">
        <f t="shared" si="3"/>
        <v>FORM N-PORT-C.6</v>
      </c>
      <c r="K239" t="s">
        <v>1583</v>
      </c>
      <c r="L239" t="s">
        <v>1187</v>
      </c>
      <c r="M239" t="s">
        <v>1584</v>
      </c>
      <c r="N239" t="s">
        <v>1585</v>
      </c>
      <c r="Q239" s="18" t="s">
        <v>1341</v>
      </c>
    </row>
    <row r="240" spans="1:17" x14ac:dyDescent="0.35">
      <c r="A240" t="s">
        <v>1334</v>
      </c>
      <c r="B240" s="3" t="s">
        <v>102</v>
      </c>
      <c r="C240" s="3"/>
      <c r="D240" s="3"/>
      <c r="E240" s="3"/>
      <c r="F240" t="s">
        <v>551</v>
      </c>
      <c r="H240" t="s">
        <v>1586</v>
      </c>
      <c r="J240" t="str">
        <f t="shared" si="3"/>
        <v>FORM N-PORT-C.7</v>
      </c>
      <c r="K240" t="s">
        <v>1587</v>
      </c>
      <c r="L240" t="s">
        <v>1566</v>
      </c>
      <c r="M240" t="s">
        <v>1588</v>
      </c>
      <c r="N240" t="s">
        <v>1589</v>
      </c>
      <c r="Q240" s="18" t="s">
        <v>1590</v>
      </c>
    </row>
    <row r="241" spans="1:17" x14ac:dyDescent="0.35">
      <c r="A241" t="s">
        <v>1334</v>
      </c>
      <c r="B241" s="3" t="s">
        <v>102</v>
      </c>
      <c r="C241" s="3"/>
      <c r="D241" s="3"/>
      <c r="E241" s="3"/>
      <c r="F241" t="s">
        <v>551</v>
      </c>
      <c r="H241" t="s">
        <v>1591</v>
      </c>
      <c r="J241" t="str">
        <f t="shared" si="3"/>
        <v>FORM N-PORT-C.8</v>
      </c>
      <c r="K241" t="s">
        <v>1592</v>
      </c>
      <c r="L241" t="s">
        <v>241</v>
      </c>
      <c r="M241" t="s">
        <v>1593</v>
      </c>
      <c r="N241" t="s">
        <v>1594</v>
      </c>
      <c r="Q241" s="18">
        <v>2</v>
      </c>
    </row>
    <row r="242" spans="1:17" x14ac:dyDescent="0.35">
      <c r="A242" t="s">
        <v>1334</v>
      </c>
      <c r="B242" s="3" t="s">
        <v>102</v>
      </c>
      <c r="C242" s="3"/>
      <c r="D242" s="3"/>
      <c r="E242" s="3"/>
      <c r="F242" t="s">
        <v>551</v>
      </c>
      <c r="H242" t="s">
        <v>1595</v>
      </c>
      <c r="J242" t="str">
        <f t="shared" si="3"/>
        <v>FORM N-PORT-C.9</v>
      </c>
      <c r="K242" t="s">
        <v>1596</v>
      </c>
      <c r="L242" t="s">
        <v>1331</v>
      </c>
      <c r="M242" t="s">
        <v>1597</v>
      </c>
      <c r="N242" t="s">
        <v>1598</v>
      </c>
      <c r="Q242" s="17">
        <v>48634</v>
      </c>
    </row>
    <row r="243" spans="1:17" x14ac:dyDescent="0.35">
      <c r="A243" t="s">
        <v>1334</v>
      </c>
      <c r="B243" s="3" t="s">
        <v>102</v>
      </c>
      <c r="C243" s="3"/>
      <c r="D243" s="3"/>
      <c r="E243" s="3"/>
      <c r="F243" t="s">
        <v>551</v>
      </c>
      <c r="H243" t="s">
        <v>1595</v>
      </c>
      <c r="J243" t="str">
        <f t="shared" si="3"/>
        <v>FORM N-PORT-C.9</v>
      </c>
      <c r="K243" t="s">
        <v>1599</v>
      </c>
      <c r="L243" t="s">
        <v>1600</v>
      </c>
      <c r="M243" t="s">
        <v>1601</v>
      </c>
      <c r="N243" t="s">
        <v>1602</v>
      </c>
      <c r="Q243" s="18" t="s">
        <v>9152</v>
      </c>
    </row>
    <row r="244" spans="1:17" x14ac:dyDescent="0.35">
      <c r="A244" t="s">
        <v>1334</v>
      </c>
      <c r="B244" s="3" t="s">
        <v>102</v>
      </c>
      <c r="C244" s="3"/>
      <c r="D244" s="3"/>
      <c r="E244" s="3"/>
      <c r="F244" t="s">
        <v>551</v>
      </c>
      <c r="H244" t="s">
        <v>1595</v>
      </c>
      <c r="J244" t="str">
        <f t="shared" si="3"/>
        <v>FORM N-PORT-C.9</v>
      </c>
      <c r="K244" t="s">
        <v>1604</v>
      </c>
      <c r="L244" t="s">
        <v>1187</v>
      </c>
      <c r="M244" t="s">
        <v>1605</v>
      </c>
      <c r="N244" t="s">
        <v>1606</v>
      </c>
      <c r="Q244" s="18" t="s">
        <v>1341</v>
      </c>
    </row>
    <row r="245" spans="1:17" x14ac:dyDescent="0.35">
      <c r="A245" t="s">
        <v>1334</v>
      </c>
      <c r="B245" s="3" t="s">
        <v>102</v>
      </c>
      <c r="C245" s="3"/>
      <c r="D245" s="3"/>
      <c r="E245" s="3"/>
      <c r="F245" t="s">
        <v>551</v>
      </c>
      <c r="H245" t="s">
        <v>1595</v>
      </c>
      <c r="J245" t="str">
        <f t="shared" si="3"/>
        <v>FORM N-PORT-C.9</v>
      </c>
      <c r="K245" t="s">
        <v>1607</v>
      </c>
      <c r="L245" t="s">
        <v>1187</v>
      </c>
      <c r="M245" t="s">
        <v>1608</v>
      </c>
      <c r="N245" t="s">
        <v>1609</v>
      </c>
      <c r="Q245" s="18" t="s">
        <v>1341</v>
      </c>
    </row>
    <row r="246" spans="1:17" x14ac:dyDescent="0.35">
      <c r="A246" t="s">
        <v>1334</v>
      </c>
      <c r="B246" s="3" t="s">
        <v>102</v>
      </c>
      <c r="C246" s="3"/>
      <c r="D246" s="3"/>
      <c r="E246" s="3"/>
      <c r="F246" t="s">
        <v>551</v>
      </c>
      <c r="H246" t="s">
        <v>1595</v>
      </c>
      <c r="J246" t="str">
        <f t="shared" si="3"/>
        <v>FORM N-PORT-C.9</v>
      </c>
      <c r="K246" t="s">
        <v>1610</v>
      </c>
      <c r="L246" t="s">
        <v>1187</v>
      </c>
      <c r="M246" t="s">
        <v>1611</v>
      </c>
      <c r="N246" t="s">
        <v>1612</v>
      </c>
      <c r="Q246" s="18" t="s">
        <v>1341</v>
      </c>
    </row>
    <row r="247" spans="1:17" x14ac:dyDescent="0.35">
      <c r="A247" t="s">
        <v>1334</v>
      </c>
      <c r="B247" s="3" t="s">
        <v>102</v>
      </c>
      <c r="C247" s="3"/>
      <c r="D247" s="3"/>
      <c r="E247" s="3"/>
      <c r="F247" t="s">
        <v>551</v>
      </c>
      <c r="H247" t="s">
        <v>1595</v>
      </c>
      <c r="J247" t="str">
        <f t="shared" si="3"/>
        <v>FORM N-PORT-C.9</v>
      </c>
      <c r="K247" t="s">
        <v>1613</v>
      </c>
      <c r="L247" t="s">
        <v>1187</v>
      </c>
      <c r="M247" t="s">
        <v>1614</v>
      </c>
      <c r="N247" t="s">
        <v>1615</v>
      </c>
      <c r="Q247" s="18" t="s">
        <v>1590</v>
      </c>
    </row>
    <row r="248" spans="1:17" x14ac:dyDescent="0.35">
      <c r="A248" t="s">
        <v>1334</v>
      </c>
      <c r="B248" s="3" t="s">
        <v>102</v>
      </c>
      <c r="C248" s="3"/>
      <c r="D248" s="3"/>
      <c r="E248" s="3"/>
      <c r="F248" t="s">
        <v>551</v>
      </c>
      <c r="H248" t="s">
        <v>1595</v>
      </c>
      <c r="J248" t="str">
        <f t="shared" si="3"/>
        <v>FORM N-PORT-C.9</v>
      </c>
      <c r="K248" t="s">
        <v>1616</v>
      </c>
      <c r="L248" t="s">
        <v>1187</v>
      </c>
      <c r="M248" t="s">
        <v>1617</v>
      </c>
      <c r="N248" t="s">
        <v>1618</v>
      </c>
      <c r="Q248" s="18" t="s">
        <v>1590</v>
      </c>
    </row>
    <row r="249" spans="1:17" x14ac:dyDescent="0.35">
      <c r="A249" t="s">
        <v>1334</v>
      </c>
      <c r="B249" s="3" t="s">
        <v>102</v>
      </c>
      <c r="C249" s="3"/>
      <c r="D249" s="3"/>
      <c r="E249" s="3"/>
      <c r="F249" t="s">
        <v>551</v>
      </c>
      <c r="H249" t="s">
        <v>1595</v>
      </c>
      <c r="J249" t="str">
        <f t="shared" si="3"/>
        <v>FORM N-PORT-C.9</v>
      </c>
      <c r="K249" t="s">
        <v>1619</v>
      </c>
      <c r="L249" t="s">
        <v>1502</v>
      </c>
      <c r="M249" t="s">
        <v>1620</v>
      </c>
      <c r="N249" t="s">
        <v>1621</v>
      </c>
      <c r="Q249" s="18" t="s">
        <v>1590</v>
      </c>
    </row>
    <row r="250" spans="1:17" x14ac:dyDescent="0.35">
      <c r="A250" t="s">
        <v>1334</v>
      </c>
      <c r="B250" s="3" t="s">
        <v>102</v>
      </c>
      <c r="C250" s="3"/>
      <c r="D250" s="3"/>
      <c r="E250" s="3"/>
      <c r="F250" t="s">
        <v>551</v>
      </c>
      <c r="H250" t="s">
        <v>1595</v>
      </c>
      <c r="J250" t="str">
        <f t="shared" si="3"/>
        <v>FORM N-PORT-C.9</v>
      </c>
      <c r="K250" t="s">
        <v>1622</v>
      </c>
      <c r="L250" t="s">
        <v>783</v>
      </c>
      <c r="M250" t="s">
        <v>1623</v>
      </c>
      <c r="N250" t="s">
        <v>1624</v>
      </c>
      <c r="Q250" s="18" t="s">
        <v>1590</v>
      </c>
    </row>
    <row r="251" spans="1:17" x14ac:dyDescent="0.35">
      <c r="A251" t="s">
        <v>1334</v>
      </c>
      <c r="B251" s="3" t="s">
        <v>102</v>
      </c>
      <c r="C251" s="3"/>
      <c r="D251" s="3"/>
      <c r="E251" s="3"/>
      <c r="F251" t="s">
        <v>551</v>
      </c>
      <c r="H251" t="s">
        <v>1595</v>
      </c>
      <c r="J251" t="str">
        <f t="shared" si="3"/>
        <v>FORM N-PORT-C.9</v>
      </c>
      <c r="K251" t="s">
        <v>1625</v>
      </c>
      <c r="L251" t="s">
        <v>783</v>
      </c>
      <c r="M251" t="s">
        <v>1626</v>
      </c>
      <c r="N251" t="s">
        <v>1627</v>
      </c>
      <c r="Q251" s="18" t="s">
        <v>1590</v>
      </c>
    </row>
    <row r="252" spans="1:17" x14ac:dyDescent="0.35">
      <c r="A252" t="s">
        <v>1334</v>
      </c>
      <c r="B252" s="3" t="s">
        <v>102</v>
      </c>
      <c r="C252" s="3"/>
      <c r="D252" s="3"/>
      <c r="E252" s="3"/>
      <c r="F252" t="s">
        <v>551</v>
      </c>
      <c r="H252" t="s">
        <v>1628</v>
      </c>
      <c r="J252" t="str">
        <f t="shared" si="3"/>
        <v>FORM N-PORT-C.10</v>
      </c>
      <c r="K252" t="s">
        <v>1629</v>
      </c>
      <c r="L252" t="s">
        <v>1566</v>
      </c>
      <c r="M252" t="s">
        <v>1630</v>
      </c>
      <c r="N252" t="s">
        <v>1631</v>
      </c>
      <c r="Q252" s="18" t="s">
        <v>1590</v>
      </c>
    </row>
    <row r="253" spans="1:17" x14ac:dyDescent="0.35">
      <c r="A253" t="s">
        <v>1334</v>
      </c>
      <c r="B253" s="3" t="s">
        <v>102</v>
      </c>
      <c r="C253" s="3"/>
      <c r="D253" s="3"/>
      <c r="E253" s="3"/>
      <c r="F253" t="s">
        <v>551</v>
      </c>
      <c r="H253" t="s">
        <v>1628</v>
      </c>
      <c r="J253" t="str">
        <f t="shared" si="3"/>
        <v>FORM N-PORT-C.10</v>
      </c>
      <c r="K253" t="s">
        <v>1632</v>
      </c>
      <c r="L253" t="s">
        <v>1502</v>
      </c>
      <c r="M253" t="s">
        <v>1633</v>
      </c>
      <c r="N253" t="s">
        <v>1634</v>
      </c>
      <c r="Q253" s="18" t="s">
        <v>1590</v>
      </c>
    </row>
    <row r="254" spans="1:17" x14ac:dyDescent="0.35">
      <c r="A254" t="s">
        <v>1334</v>
      </c>
      <c r="B254" s="3" t="s">
        <v>102</v>
      </c>
      <c r="C254" s="3"/>
      <c r="D254" s="3"/>
      <c r="E254" s="3"/>
      <c r="F254" t="s">
        <v>551</v>
      </c>
      <c r="H254" t="s">
        <v>1628</v>
      </c>
      <c r="J254" t="str">
        <f t="shared" si="3"/>
        <v>FORM N-PORT-C.10</v>
      </c>
      <c r="K254" t="s">
        <v>1635</v>
      </c>
      <c r="L254" t="s">
        <v>1187</v>
      </c>
      <c r="M254" t="s">
        <v>1636</v>
      </c>
      <c r="N254" t="s">
        <v>1637</v>
      </c>
      <c r="Q254" s="18" t="s">
        <v>1590</v>
      </c>
    </row>
    <row r="255" spans="1:17" x14ac:dyDescent="0.35">
      <c r="A255" t="s">
        <v>1334</v>
      </c>
      <c r="B255" s="3" t="s">
        <v>102</v>
      </c>
      <c r="C255" s="3"/>
      <c r="D255" s="3"/>
      <c r="E255" s="3"/>
      <c r="F255" t="s">
        <v>551</v>
      </c>
      <c r="H255" t="s">
        <v>1628</v>
      </c>
      <c r="J255" t="str">
        <f t="shared" si="3"/>
        <v>FORM N-PORT-C.10</v>
      </c>
      <c r="K255" t="s">
        <v>1638</v>
      </c>
      <c r="L255" t="s">
        <v>1502</v>
      </c>
      <c r="M255" t="s">
        <v>1639</v>
      </c>
      <c r="N255" t="s">
        <v>1640</v>
      </c>
      <c r="Q255" s="18" t="s">
        <v>1590</v>
      </c>
    </row>
    <row r="256" spans="1:17" x14ac:dyDescent="0.35">
      <c r="A256" t="s">
        <v>1334</v>
      </c>
      <c r="B256" s="3" t="s">
        <v>102</v>
      </c>
      <c r="C256" s="3"/>
      <c r="D256" s="3"/>
      <c r="E256" s="3"/>
      <c r="F256" t="s">
        <v>551</v>
      </c>
      <c r="H256" t="s">
        <v>1628</v>
      </c>
      <c r="J256" t="str">
        <f t="shared" si="3"/>
        <v>FORM N-PORT-C.10</v>
      </c>
      <c r="K256" t="s">
        <v>1641</v>
      </c>
      <c r="L256" t="s">
        <v>1187</v>
      </c>
      <c r="M256" t="s">
        <v>1642</v>
      </c>
      <c r="N256" t="s">
        <v>1643</v>
      </c>
      <c r="Q256" s="18" t="s">
        <v>1590</v>
      </c>
    </row>
    <row r="257" spans="1:17" x14ac:dyDescent="0.35">
      <c r="A257" t="s">
        <v>1334</v>
      </c>
      <c r="B257" s="3" t="s">
        <v>102</v>
      </c>
      <c r="C257" s="3"/>
      <c r="D257" s="3"/>
      <c r="E257" s="3"/>
      <c r="F257" t="s">
        <v>551</v>
      </c>
      <c r="H257" t="s">
        <v>1628</v>
      </c>
      <c r="J257" t="str">
        <f t="shared" si="3"/>
        <v>FORM N-PORT-C.10</v>
      </c>
      <c r="K257" t="s">
        <v>1644</v>
      </c>
      <c r="L257" t="s">
        <v>1198</v>
      </c>
      <c r="M257" t="s">
        <v>1645</v>
      </c>
      <c r="N257" t="s">
        <v>1646</v>
      </c>
      <c r="Q257" s="18" t="s">
        <v>1590</v>
      </c>
    </row>
    <row r="258" spans="1:17" x14ac:dyDescent="0.35">
      <c r="A258" t="s">
        <v>1334</v>
      </c>
      <c r="B258" s="3" t="s">
        <v>102</v>
      </c>
      <c r="C258" s="3"/>
      <c r="D258" s="3"/>
      <c r="E258" s="3"/>
      <c r="F258" t="s">
        <v>551</v>
      </c>
      <c r="H258" t="s">
        <v>1628</v>
      </c>
      <c r="J258" t="str">
        <f t="shared" si="3"/>
        <v>FORM N-PORT-C.10</v>
      </c>
      <c r="K258" t="s">
        <v>1647</v>
      </c>
      <c r="L258" t="s">
        <v>1331</v>
      </c>
      <c r="M258" t="s">
        <v>1648</v>
      </c>
      <c r="N258" t="s">
        <v>1649</v>
      </c>
      <c r="Q258" s="18" t="s">
        <v>1590</v>
      </c>
    </row>
    <row r="259" spans="1:17" x14ac:dyDescent="0.35">
      <c r="A259" t="s">
        <v>1334</v>
      </c>
      <c r="B259" s="3" t="s">
        <v>102</v>
      </c>
      <c r="C259" s="3"/>
      <c r="D259" s="3"/>
      <c r="E259" s="3"/>
      <c r="F259" t="s">
        <v>551</v>
      </c>
      <c r="H259" t="s">
        <v>1628</v>
      </c>
      <c r="J259" t="str">
        <f t="shared" ref="J259:J322" si="4">_xlfn.CONCAT(A259,"-",H259)</f>
        <v>FORM N-PORT-C.10</v>
      </c>
      <c r="K259" t="s">
        <v>1650</v>
      </c>
      <c r="L259" t="s">
        <v>783</v>
      </c>
      <c r="M259" t="s">
        <v>1651</v>
      </c>
      <c r="N259" t="s">
        <v>1652</v>
      </c>
      <c r="Q259" s="18" t="s">
        <v>1590</v>
      </c>
    </row>
    <row r="260" spans="1:17" x14ac:dyDescent="0.35">
      <c r="A260" t="s">
        <v>1334</v>
      </c>
      <c r="B260" s="3" t="s">
        <v>102</v>
      </c>
      <c r="C260" s="3"/>
      <c r="D260" s="3"/>
      <c r="E260" s="3"/>
      <c r="F260" t="s">
        <v>551</v>
      </c>
      <c r="H260" t="s">
        <v>1628</v>
      </c>
      <c r="J260" t="str">
        <f t="shared" si="4"/>
        <v>FORM N-PORT-C.10</v>
      </c>
      <c r="K260" t="s">
        <v>1653</v>
      </c>
      <c r="L260" t="s">
        <v>783</v>
      </c>
      <c r="M260" t="s">
        <v>1654</v>
      </c>
      <c r="N260" t="s">
        <v>1655</v>
      </c>
      <c r="Q260" s="18" t="s">
        <v>1590</v>
      </c>
    </row>
    <row r="261" spans="1:17" x14ac:dyDescent="0.35">
      <c r="A261" t="s">
        <v>1334</v>
      </c>
      <c r="B261" s="3" t="s">
        <v>102</v>
      </c>
      <c r="C261" s="3"/>
      <c r="D261" s="3"/>
      <c r="E261" s="3"/>
      <c r="F261" t="s">
        <v>551</v>
      </c>
      <c r="H261" t="s">
        <v>1628</v>
      </c>
      <c r="J261" t="str">
        <f t="shared" si="4"/>
        <v>FORM N-PORT-C.10</v>
      </c>
      <c r="K261" t="s">
        <v>1656</v>
      </c>
      <c r="L261" t="s">
        <v>1566</v>
      </c>
      <c r="M261" t="s">
        <v>1657</v>
      </c>
      <c r="N261" t="s">
        <v>1658</v>
      </c>
      <c r="Q261" s="18" t="s">
        <v>1590</v>
      </c>
    </row>
    <row r="262" spans="1:17" x14ac:dyDescent="0.35">
      <c r="A262" t="s">
        <v>1334</v>
      </c>
      <c r="B262" s="3" t="s">
        <v>102</v>
      </c>
      <c r="C262" s="3"/>
      <c r="D262" s="3"/>
      <c r="E262" s="3"/>
      <c r="F262" t="s">
        <v>551</v>
      </c>
      <c r="H262" t="s">
        <v>1659</v>
      </c>
      <c r="J262" t="str">
        <f t="shared" si="4"/>
        <v>FORM N-PORT-C.11</v>
      </c>
      <c r="K262" t="s">
        <v>1660</v>
      </c>
      <c r="L262" t="s">
        <v>1566</v>
      </c>
      <c r="M262" t="s">
        <v>1661</v>
      </c>
      <c r="N262" t="s">
        <v>1662</v>
      </c>
      <c r="Q262" s="18" t="s">
        <v>1590</v>
      </c>
    </row>
    <row r="263" spans="1:17" x14ac:dyDescent="0.35">
      <c r="A263" t="s">
        <v>1334</v>
      </c>
      <c r="B263" s="3" t="s">
        <v>102</v>
      </c>
      <c r="C263" s="3"/>
      <c r="D263" s="3"/>
      <c r="E263" s="3"/>
      <c r="F263" t="s">
        <v>551</v>
      </c>
      <c r="H263" t="s">
        <v>1659</v>
      </c>
      <c r="J263" t="str">
        <f t="shared" si="4"/>
        <v>FORM N-PORT-C.11</v>
      </c>
      <c r="K263" t="s">
        <v>1663</v>
      </c>
      <c r="L263" t="s">
        <v>1502</v>
      </c>
      <c r="M263" t="s">
        <v>1664</v>
      </c>
      <c r="N263" t="s">
        <v>1665</v>
      </c>
      <c r="Q263" s="18" t="s">
        <v>1590</v>
      </c>
    </row>
    <row r="264" spans="1:17" x14ac:dyDescent="0.35">
      <c r="A264" t="s">
        <v>1334</v>
      </c>
      <c r="B264" s="3" t="s">
        <v>102</v>
      </c>
      <c r="C264" s="3"/>
      <c r="D264" s="3"/>
      <c r="E264" s="3"/>
      <c r="F264" t="s">
        <v>551</v>
      </c>
      <c r="H264" t="s">
        <v>1659</v>
      </c>
      <c r="J264" t="str">
        <f t="shared" si="4"/>
        <v>FORM N-PORT-C.11</v>
      </c>
      <c r="K264" t="s">
        <v>1666</v>
      </c>
      <c r="L264" t="s">
        <v>1566</v>
      </c>
      <c r="M264" t="s">
        <v>1667</v>
      </c>
      <c r="N264" t="s">
        <v>1668</v>
      </c>
      <c r="Q264" s="18" t="s">
        <v>1590</v>
      </c>
    </row>
    <row r="265" spans="1:17" x14ac:dyDescent="0.35">
      <c r="A265" t="s">
        <v>1334</v>
      </c>
      <c r="B265" s="3" t="s">
        <v>102</v>
      </c>
      <c r="C265" s="3"/>
      <c r="D265" s="3"/>
      <c r="E265" s="3"/>
      <c r="F265" t="s">
        <v>551</v>
      </c>
      <c r="H265" t="s">
        <v>1659</v>
      </c>
      <c r="J265" t="str">
        <f t="shared" si="4"/>
        <v>FORM N-PORT-C.11</v>
      </c>
      <c r="K265" t="s">
        <v>1669</v>
      </c>
      <c r="L265" t="s">
        <v>1566</v>
      </c>
      <c r="M265" t="s">
        <v>1670</v>
      </c>
      <c r="N265" t="s">
        <v>1671</v>
      </c>
      <c r="Q265" s="18" t="s">
        <v>1590</v>
      </c>
    </row>
    <row r="266" spans="1:17" x14ac:dyDescent="0.35">
      <c r="A266" t="s">
        <v>1334</v>
      </c>
      <c r="B266" s="3" t="s">
        <v>102</v>
      </c>
      <c r="C266" s="3"/>
      <c r="D266" s="3"/>
      <c r="E266" s="3"/>
      <c r="F266" t="s">
        <v>551</v>
      </c>
      <c r="H266" t="s">
        <v>1659</v>
      </c>
      <c r="J266" t="str">
        <f t="shared" si="4"/>
        <v>FORM N-PORT-C.11</v>
      </c>
      <c r="K266" t="s">
        <v>1672</v>
      </c>
      <c r="L266" t="s">
        <v>1502</v>
      </c>
      <c r="M266" t="s">
        <v>1673</v>
      </c>
      <c r="N266" t="s">
        <v>1674</v>
      </c>
      <c r="Q266" s="18" t="s">
        <v>1590</v>
      </c>
    </row>
    <row r="267" spans="1:17" x14ac:dyDescent="0.35">
      <c r="A267" t="s">
        <v>1334</v>
      </c>
      <c r="B267" s="3" t="s">
        <v>102</v>
      </c>
      <c r="C267" s="3"/>
      <c r="D267" s="3"/>
      <c r="E267" s="3"/>
      <c r="F267" t="s">
        <v>551</v>
      </c>
      <c r="H267" t="s">
        <v>1659</v>
      </c>
      <c r="J267" t="str">
        <f t="shared" si="4"/>
        <v>FORM N-PORT-C.11</v>
      </c>
      <c r="K267" t="s">
        <v>1675</v>
      </c>
      <c r="L267" t="s">
        <v>783</v>
      </c>
      <c r="M267" t="s">
        <v>1676</v>
      </c>
      <c r="N267" t="s">
        <v>1677</v>
      </c>
      <c r="Q267" s="18" t="s">
        <v>1590</v>
      </c>
    </row>
    <row r="268" spans="1:17" x14ac:dyDescent="0.35">
      <c r="A268" t="s">
        <v>1334</v>
      </c>
      <c r="B268" s="3" t="s">
        <v>102</v>
      </c>
      <c r="C268" s="3"/>
      <c r="D268" s="3"/>
      <c r="E268" s="3"/>
      <c r="F268" t="s">
        <v>551</v>
      </c>
      <c r="H268" t="s">
        <v>1659</v>
      </c>
      <c r="J268" t="str">
        <f t="shared" si="4"/>
        <v>FORM N-PORT-C.11</v>
      </c>
      <c r="K268" t="s">
        <v>1678</v>
      </c>
      <c r="L268" t="s">
        <v>783</v>
      </c>
      <c r="M268" t="s">
        <v>1679</v>
      </c>
      <c r="N268" t="s">
        <v>1680</v>
      </c>
      <c r="Q268" s="18" t="s">
        <v>1590</v>
      </c>
    </row>
    <row r="269" spans="1:17" x14ac:dyDescent="0.35">
      <c r="A269" t="s">
        <v>1334</v>
      </c>
      <c r="B269" s="3" t="s">
        <v>102</v>
      </c>
      <c r="C269" s="3"/>
      <c r="D269" s="3"/>
      <c r="E269" s="3"/>
      <c r="F269" t="s">
        <v>551</v>
      </c>
      <c r="H269" t="s">
        <v>1659</v>
      </c>
      <c r="J269" t="str">
        <f t="shared" si="4"/>
        <v>FORM N-PORT-C.11</v>
      </c>
      <c r="K269" t="s">
        <v>1681</v>
      </c>
      <c r="L269" t="s">
        <v>1331</v>
      </c>
      <c r="M269" t="s">
        <v>1682</v>
      </c>
      <c r="N269" t="s">
        <v>1683</v>
      </c>
      <c r="Q269" s="18" t="s">
        <v>1590</v>
      </c>
    </row>
    <row r="270" spans="1:17" x14ac:dyDescent="0.35">
      <c r="A270" t="s">
        <v>1334</v>
      </c>
      <c r="B270" s="3" t="s">
        <v>102</v>
      </c>
      <c r="C270" s="3"/>
      <c r="D270" s="3"/>
      <c r="E270" s="3"/>
      <c r="F270" t="s">
        <v>551</v>
      </c>
      <c r="H270" t="s">
        <v>1659</v>
      </c>
      <c r="J270" t="str">
        <f t="shared" si="4"/>
        <v>FORM N-PORT-C.11</v>
      </c>
      <c r="K270" t="s">
        <v>1684</v>
      </c>
      <c r="L270" t="s">
        <v>783</v>
      </c>
      <c r="M270" t="s">
        <v>1685</v>
      </c>
      <c r="N270" t="s">
        <v>1686</v>
      </c>
      <c r="Q270" s="18" t="s">
        <v>1590</v>
      </c>
    </row>
    <row r="271" spans="1:17" x14ac:dyDescent="0.35">
      <c r="A271" t="s">
        <v>1334</v>
      </c>
      <c r="B271" s="3" t="s">
        <v>102</v>
      </c>
      <c r="C271" s="3"/>
      <c r="D271" s="3"/>
      <c r="E271" s="3"/>
      <c r="F271" t="s">
        <v>551</v>
      </c>
      <c r="H271" t="s">
        <v>1659</v>
      </c>
      <c r="J271" t="str">
        <f t="shared" si="4"/>
        <v>FORM N-PORT-C.11</v>
      </c>
      <c r="K271" t="s">
        <v>1687</v>
      </c>
      <c r="L271" t="s">
        <v>783</v>
      </c>
      <c r="M271" t="s">
        <v>1688</v>
      </c>
      <c r="N271" t="s">
        <v>1689</v>
      </c>
      <c r="Q271" s="18" t="s">
        <v>1590</v>
      </c>
    </row>
    <row r="272" spans="1:17" x14ac:dyDescent="0.35">
      <c r="A272" t="s">
        <v>1334</v>
      </c>
      <c r="B272" s="3" t="s">
        <v>102</v>
      </c>
      <c r="C272" s="3"/>
      <c r="D272" s="3"/>
      <c r="E272" s="3"/>
      <c r="F272" t="s">
        <v>551</v>
      </c>
      <c r="H272" t="s">
        <v>1659</v>
      </c>
      <c r="J272" t="str">
        <f t="shared" si="4"/>
        <v>FORM N-PORT-C.11</v>
      </c>
      <c r="K272" t="s">
        <v>1690</v>
      </c>
      <c r="L272" t="s">
        <v>1566</v>
      </c>
      <c r="M272" t="s">
        <v>1691</v>
      </c>
      <c r="N272" t="s">
        <v>1692</v>
      </c>
      <c r="Q272" s="18" t="s">
        <v>1590</v>
      </c>
    </row>
    <row r="273" spans="1:17" x14ac:dyDescent="0.35">
      <c r="A273" t="s">
        <v>1334</v>
      </c>
      <c r="B273" s="3" t="s">
        <v>102</v>
      </c>
      <c r="C273" s="3"/>
      <c r="D273" s="3"/>
      <c r="E273" s="3"/>
      <c r="F273" t="s">
        <v>551</v>
      </c>
      <c r="H273" t="s">
        <v>1659</v>
      </c>
      <c r="J273" t="str">
        <f t="shared" si="4"/>
        <v>FORM N-PORT-C.11</v>
      </c>
      <c r="K273" t="s">
        <v>1693</v>
      </c>
      <c r="L273" t="s">
        <v>1502</v>
      </c>
      <c r="M273" t="s">
        <v>1694</v>
      </c>
      <c r="N273" t="s">
        <v>1695</v>
      </c>
      <c r="Q273" s="18" t="s">
        <v>1590</v>
      </c>
    </row>
    <row r="274" spans="1:17" x14ac:dyDescent="0.35">
      <c r="A274" t="s">
        <v>1334</v>
      </c>
      <c r="B274" s="3" t="s">
        <v>102</v>
      </c>
      <c r="C274" s="3"/>
      <c r="D274" s="3"/>
      <c r="E274" s="3"/>
      <c r="F274" t="s">
        <v>551</v>
      </c>
      <c r="H274" t="s">
        <v>1659</v>
      </c>
      <c r="J274" t="str">
        <f t="shared" si="4"/>
        <v>FORM N-PORT-C.11</v>
      </c>
      <c r="K274" t="s">
        <v>1696</v>
      </c>
      <c r="L274" t="s">
        <v>1331</v>
      </c>
      <c r="M274" t="s">
        <v>1697</v>
      </c>
      <c r="N274" t="s">
        <v>1698</v>
      </c>
      <c r="Q274" s="18" t="s">
        <v>1590</v>
      </c>
    </row>
    <row r="275" spans="1:17" x14ac:dyDescent="0.35">
      <c r="A275" t="s">
        <v>1334</v>
      </c>
      <c r="B275" s="3" t="s">
        <v>102</v>
      </c>
      <c r="C275" s="3"/>
      <c r="D275" s="3"/>
      <c r="E275" s="3"/>
      <c r="F275" t="s">
        <v>551</v>
      </c>
      <c r="H275" t="s">
        <v>1659</v>
      </c>
      <c r="J275" t="str">
        <f t="shared" si="4"/>
        <v>FORM N-PORT-C.11</v>
      </c>
      <c r="K275" t="s">
        <v>1699</v>
      </c>
      <c r="L275" t="s">
        <v>783</v>
      </c>
      <c r="M275" t="s">
        <v>1700</v>
      </c>
      <c r="N275" t="s">
        <v>1701</v>
      </c>
      <c r="Q275" s="18" t="s">
        <v>1590</v>
      </c>
    </row>
    <row r="276" spans="1:17" x14ac:dyDescent="0.35">
      <c r="A276" t="s">
        <v>1334</v>
      </c>
      <c r="B276" s="3" t="s">
        <v>102</v>
      </c>
      <c r="C276" s="3"/>
      <c r="D276" s="3"/>
      <c r="E276" s="3"/>
      <c r="F276" t="s">
        <v>551</v>
      </c>
      <c r="H276" t="s">
        <v>1659</v>
      </c>
      <c r="J276" t="str">
        <f t="shared" si="4"/>
        <v>FORM N-PORT-C.11</v>
      </c>
      <c r="K276" t="s">
        <v>1702</v>
      </c>
      <c r="L276" t="s">
        <v>783</v>
      </c>
      <c r="M276" t="s">
        <v>1688</v>
      </c>
      <c r="N276" t="s">
        <v>1703</v>
      </c>
      <c r="Q276" s="18" t="s">
        <v>1590</v>
      </c>
    </row>
    <row r="277" spans="1:17" x14ac:dyDescent="0.35">
      <c r="A277" t="s">
        <v>1334</v>
      </c>
      <c r="B277" s="3" t="s">
        <v>102</v>
      </c>
      <c r="C277" s="3"/>
      <c r="D277" s="3"/>
      <c r="E277" s="3"/>
      <c r="F277" t="s">
        <v>551</v>
      </c>
      <c r="H277" t="s">
        <v>1659</v>
      </c>
      <c r="J277" t="str">
        <f t="shared" si="4"/>
        <v>FORM N-PORT-C.11</v>
      </c>
      <c r="K277" t="s">
        <v>1704</v>
      </c>
      <c r="L277" t="s">
        <v>229</v>
      </c>
      <c r="M277" t="s">
        <v>1705</v>
      </c>
      <c r="N277" t="s">
        <v>1706</v>
      </c>
      <c r="Q277" s="18" t="s">
        <v>1590</v>
      </c>
    </row>
    <row r="278" spans="1:17" x14ac:dyDescent="0.35">
      <c r="A278" t="s">
        <v>1334</v>
      </c>
      <c r="B278" s="3" t="s">
        <v>102</v>
      </c>
      <c r="C278" s="3"/>
      <c r="D278" s="3"/>
      <c r="E278" s="3"/>
      <c r="F278" t="s">
        <v>551</v>
      </c>
      <c r="H278" t="s">
        <v>1659</v>
      </c>
      <c r="J278" t="str">
        <f t="shared" si="4"/>
        <v>FORM N-PORT-C.11</v>
      </c>
      <c r="K278" t="s">
        <v>1707</v>
      </c>
      <c r="L278" t="s">
        <v>229</v>
      </c>
      <c r="M278" t="s">
        <v>1708</v>
      </c>
      <c r="N278" t="s">
        <v>1709</v>
      </c>
      <c r="Q278" s="18" t="s">
        <v>1590</v>
      </c>
    </row>
    <row r="279" spans="1:17" x14ac:dyDescent="0.35">
      <c r="A279" t="s">
        <v>1334</v>
      </c>
      <c r="B279" s="3" t="s">
        <v>102</v>
      </c>
      <c r="C279" s="3"/>
      <c r="D279" s="3"/>
      <c r="E279" s="3"/>
      <c r="F279" t="s">
        <v>551</v>
      </c>
      <c r="H279" t="s">
        <v>1659</v>
      </c>
      <c r="J279" t="str">
        <f t="shared" si="4"/>
        <v>FORM N-PORT-C.11</v>
      </c>
      <c r="K279" t="s">
        <v>1710</v>
      </c>
      <c r="L279" t="s">
        <v>1331</v>
      </c>
      <c r="M279" t="s">
        <v>1711</v>
      </c>
      <c r="N279" t="s">
        <v>1712</v>
      </c>
      <c r="Q279" s="18" t="s">
        <v>1590</v>
      </c>
    </row>
    <row r="280" spans="1:17" x14ac:dyDescent="0.35">
      <c r="A280" t="s">
        <v>1334</v>
      </c>
      <c r="B280" s="3" t="s">
        <v>102</v>
      </c>
      <c r="C280" s="3"/>
      <c r="D280" s="3"/>
      <c r="E280" s="3"/>
      <c r="F280" t="s">
        <v>551</v>
      </c>
      <c r="H280" t="s">
        <v>1659</v>
      </c>
      <c r="J280" t="str">
        <f t="shared" si="4"/>
        <v>FORM N-PORT-C.11</v>
      </c>
      <c r="K280" t="s">
        <v>1713</v>
      </c>
      <c r="L280" t="s">
        <v>783</v>
      </c>
      <c r="M280" t="s">
        <v>1688</v>
      </c>
      <c r="N280" t="s">
        <v>1714</v>
      </c>
      <c r="Q280" s="18" t="s">
        <v>1590</v>
      </c>
    </row>
    <row r="281" spans="1:17" x14ac:dyDescent="0.35">
      <c r="A281" t="s">
        <v>1334</v>
      </c>
      <c r="B281" s="3" t="s">
        <v>102</v>
      </c>
      <c r="C281" s="3"/>
      <c r="D281" s="3"/>
      <c r="E281" s="3"/>
      <c r="F281" t="s">
        <v>551</v>
      </c>
      <c r="H281" t="s">
        <v>1659</v>
      </c>
      <c r="J281" t="str">
        <f t="shared" si="4"/>
        <v>FORM N-PORT-C.11</v>
      </c>
      <c r="K281" t="s">
        <v>1715</v>
      </c>
      <c r="L281" t="s">
        <v>229</v>
      </c>
      <c r="M281" t="s">
        <v>1716</v>
      </c>
      <c r="N281" t="s">
        <v>1717</v>
      </c>
      <c r="Q281" s="18" t="s">
        <v>1590</v>
      </c>
    </row>
    <row r="282" spans="1:17" x14ac:dyDescent="0.35">
      <c r="A282" t="s">
        <v>1334</v>
      </c>
      <c r="B282" s="3" t="s">
        <v>102</v>
      </c>
      <c r="C282" s="3"/>
      <c r="D282" s="3"/>
      <c r="E282" s="3"/>
      <c r="F282" t="s">
        <v>551</v>
      </c>
      <c r="H282" t="s">
        <v>1659</v>
      </c>
      <c r="J282" t="str">
        <f t="shared" si="4"/>
        <v>FORM N-PORT-C.11</v>
      </c>
      <c r="K282" t="s">
        <v>1718</v>
      </c>
      <c r="L282" t="s">
        <v>1331</v>
      </c>
      <c r="M282" t="s">
        <v>1719</v>
      </c>
      <c r="N282" t="s">
        <v>1720</v>
      </c>
      <c r="Q282" s="18" t="s">
        <v>1590</v>
      </c>
    </row>
    <row r="283" spans="1:17" x14ac:dyDescent="0.35">
      <c r="A283" t="s">
        <v>1334</v>
      </c>
      <c r="B283" s="3" t="s">
        <v>102</v>
      </c>
      <c r="C283" s="3"/>
      <c r="D283" s="3"/>
      <c r="E283" s="3"/>
      <c r="F283" t="s">
        <v>551</v>
      </c>
      <c r="H283" t="s">
        <v>1659</v>
      </c>
      <c r="J283" t="str">
        <f t="shared" si="4"/>
        <v>FORM N-PORT-C.11</v>
      </c>
      <c r="K283" t="s">
        <v>1721</v>
      </c>
      <c r="L283" t="s">
        <v>783</v>
      </c>
      <c r="M283" t="s">
        <v>1722</v>
      </c>
      <c r="N283" t="s">
        <v>1723</v>
      </c>
      <c r="Q283" s="18" t="s">
        <v>1590</v>
      </c>
    </row>
    <row r="284" spans="1:17" x14ac:dyDescent="0.35">
      <c r="A284" t="s">
        <v>1334</v>
      </c>
      <c r="B284" s="3" t="s">
        <v>102</v>
      </c>
      <c r="C284" s="3"/>
      <c r="D284" s="3"/>
      <c r="E284" s="3"/>
      <c r="F284" t="s">
        <v>551</v>
      </c>
      <c r="H284" t="s">
        <v>1659</v>
      </c>
      <c r="J284" t="str">
        <f t="shared" si="4"/>
        <v>FORM N-PORT-C.11</v>
      </c>
      <c r="K284" t="s">
        <v>1724</v>
      </c>
      <c r="L284" t="s">
        <v>783</v>
      </c>
      <c r="M284" t="s">
        <v>1725</v>
      </c>
      <c r="N284" t="s">
        <v>1726</v>
      </c>
      <c r="Q284" s="18" t="s">
        <v>1590</v>
      </c>
    </row>
    <row r="285" spans="1:17" x14ac:dyDescent="0.35">
      <c r="A285" t="s">
        <v>1334</v>
      </c>
      <c r="B285" s="3" t="s">
        <v>102</v>
      </c>
      <c r="C285" s="3"/>
      <c r="D285" s="3"/>
      <c r="E285" s="3"/>
      <c r="F285" t="s">
        <v>551</v>
      </c>
      <c r="H285" t="s">
        <v>1659</v>
      </c>
      <c r="J285" t="str">
        <f t="shared" si="4"/>
        <v>FORM N-PORT-C.11</v>
      </c>
      <c r="K285" t="s">
        <v>1727</v>
      </c>
      <c r="L285" t="s">
        <v>783</v>
      </c>
      <c r="M285" t="s">
        <v>1688</v>
      </c>
      <c r="N285" t="s">
        <v>1728</v>
      </c>
      <c r="Q285" s="18" t="s">
        <v>1590</v>
      </c>
    </row>
    <row r="286" spans="1:17" x14ac:dyDescent="0.35">
      <c r="A286" t="s">
        <v>1334</v>
      </c>
      <c r="B286" s="3" t="s">
        <v>102</v>
      </c>
      <c r="C286" s="3"/>
      <c r="D286" s="3"/>
      <c r="E286" s="3"/>
      <c r="F286" t="s">
        <v>551</v>
      </c>
      <c r="H286" t="s">
        <v>1729</v>
      </c>
      <c r="J286" t="str">
        <f t="shared" si="4"/>
        <v>FORM N-PORT-C.12</v>
      </c>
      <c r="K286" t="s">
        <v>1730</v>
      </c>
      <c r="L286" t="s">
        <v>1187</v>
      </c>
      <c r="M286" t="s">
        <v>1731</v>
      </c>
      <c r="N286" t="s">
        <v>1732</v>
      </c>
      <c r="Q286" s="18" t="s">
        <v>1341</v>
      </c>
    </row>
    <row r="287" spans="1:17" x14ac:dyDescent="0.35">
      <c r="A287" t="s">
        <v>1334</v>
      </c>
      <c r="B287" s="3" t="s">
        <v>102</v>
      </c>
      <c r="C287" s="3"/>
      <c r="D287" s="3"/>
      <c r="E287" s="3"/>
      <c r="F287" t="s">
        <v>551</v>
      </c>
      <c r="H287" t="s">
        <v>1729</v>
      </c>
      <c r="J287" t="str">
        <f t="shared" si="4"/>
        <v>FORM N-PORT-C.12</v>
      </c>
      <c r="K287" t="s">
        <v>1733</v>
      </c>
      <c r="L287" t="s">
        <v>783</v>
      </c>
      <c r="M287" t="s">
        <v>1734</v>
      </c>
      <c r="N287" t="s">
        <v>1735</v>
      </c>
      <c r="Q287" s="18" t="s">
        <v>1590</v>
      </c>
    </row>
    <row r="288" spans="1:17" x14ac:dyDescent="0.35">
      <c r="A288" t="s">
        <v>1334</v>
      </c>
      <c r="B288" s="3" t="s">
        <v>102</v>
      </c>
      <c r="C288" s="3"/>
      <c r="D288" s="3"/>
      <c r="E288" s="3"/>
      <c r="F288" t="s">
        <v>551</v>
      </c>
      <c r="H288" t="s">
        <v>1729</v>
      </c>
      <c r="J288" t="str">
        <f t="shared" si="4"/>
        <v>FORM N-PORT-C.12</v>
      </c>
      <c r="K288" t="s">
        <v>1736</v>
      </c>
      <c r="L288" t="s">
        <v>1187</v>
      </c>
      <c r="M288" t="s">
        <v>1737</v>
      </c>
      <c r="N288" t="s">
        <v>1738</v>
      </c>
      <c r="Q288" s="18" t="s">
        <v>1341</v>
      </c>
    </row>
    <row r="289" spans="1:17" x14ac:dyDescent="0.35">
      <c r="A289" t="s">
        <v>1334</v>
      </c>
      <c r="B289" s="3" t="s">
        <v>102</v>
      </c>
      <c r="C289" s="3"/>
      <c r="D289" s="3"/>
      <c r="E289" s="3"/>
      <c r="F289" t="s">
        <v>551</v>
      </c>
      <c r="H289" t="s">
        <v>1729</v>
      </c>
      <c r="J289" t="str">
        <f t="shared" si="4"/>
        <v>FORM N-PORT-C.12</v>
      </c>
      <c r="K289" t="s">
        <v>1739</v>
      </c>
      <c r="L289" t="s">
        <v>783</v>
      </c>
      <c r="M289" t="s">
        <v>1740</v>
      </c>
      <c r="N289" t="s">
        <v>1741</v>
      </c>
      <c r="Q289" s="18" t="s">
        <v>1590</v>
      </c>
    </row>
    <row r="290" spans="1:17" x14ac:dyDescent="0.35">
      <c r="A290" t="s">
        <v>1334</v>
      </c>
      <c r="B290" s="3" t="s">
        <v>102</v>
      </c>
      <c r="C290" s="3"/>
      <c r="D290" s="3"/>
      <c r="E290" s="3"/>
      <c r="F290" t="s">
        <v>551</v>
      </c>
      <c r="H290" t="s">
        <v>1729</v>
      </c>
      <c r="J290" t="str">
        <f t="shared" si="4"/>
        <v>FORM N-PORT-C.12</v>
      </c>
      <c r="K290" t="s">
        <v>1742</v>
      </c>
      <c r="L290" t="s">
        <v>1187</v>
      </c>
      <c r="M290" t="s">
        <v>1743</v>
      </c>
      <c r="N290" t="s">
        <v>1744</v>
      </c>
      <c r="Q290" s="18" t="s">
        <v>1341</v>
      </c>
    </row>
    <row r="291" spans="1:17" x14ac:dyDescent="0.35">
      <c r="A291" t="s">
        <v>1334</v>
      </c>
      <c r="B291" s="3" t="s">
        <v>102</v>
      </c>
      <c r="C291" s="3"/>
      <c r="D291" s="3"/>
      <c r="E291" s="3"/>
      <c r="F291" t="s">
        <v>551</v>
      </c>
      <c r="H291" t="s">
        <v>1729</v>
      </c>
      <c r="J291" t="str">
        <f t="shared" si="4"/>
        <v>FORM N-PORT-C.12</v>
      </c>
      <c r="K291" t="s">
        <v>1745</v>
      </c>
      <c r="L291" t="s">
        <v>783</v>
      </c>
      <c r="M291" t="s">
        <v>1746</v>
      </c>
      <c r="N291" t="s">
        <v>1747</v>
      </c>
      <c r="Q291" s="18" t="s">
        <v>1590</v>
      </c>
    </row>
    <row r="292" spans="1:17" x14ac:dyDescent="0.35">
      <c r="A292" t="s">
        <v>1334</v>
      </c>
      <c r="B292" s="3" t="s">
        <v>102</v>
      </c>
      <c r="C292" s="3"/>
      <c r="D292" s="3"/>
      <c r="E292" s="3"/>
      <c r="F292" t="s">
        <v>551</v>
      </c>
      <c r="H292" t="s">
        <v>593</v>
      </c>
      <c r="J292" t="str">
        <f t="shared" si="4"/>
        <v>FORM N-PORT-C.1</v>
      </c>
      <c r="K292" t="s">
        <v>1522</v>
      </c>
      <c r="L292" t="s">
        <v>229</v>
      </c>
      <c r="M292" t="s">
        <v>1523</v>
      </c>
      <c r="N292" t="s">
        <v>1524</v>
      </c>
      <c r="Q292" s="18" t="s">
        <v>1525</v>
      </c>
    </row>
    <row r="293" spans="1:17" x14ac:dyDescent="0.35">
      <c r="A293" t="s">
        <v>1334</v>
      </c>
      <c r="B293" s="3" t="s">
        <v>102</v>
      </c>
      <c r="C293" s="3"/>
      <c r="D293" s="3"/>
      <c r="E293" s="3"/>
      <c r="F293" t="s">
        <v>551</v>
      </c>
      <c r="H293" t="s">
        <v>593</v>
      </c>
      <c r="J293" t="str">
        <f t="shared" si="4"/>
        <v>FORM N-PORT-C.1</v>
      </c>
      <c r="K293" t="s">
        <v>1526</v>
      </c>
      <c r="L293" t="s">
        <v>1313</v>
      </c>
      <c r="M293" t="s">
        <v>1527</v>
      </c>
      <c r="N293" t="s">
        <v>1528</v>
      </c>
      <c r="Q293" s="18" t="s">
        <v>9148</v>
      </c>
    </row>
    <row r="294" spans="1:17" x14ac:dyDescent="0.35">
      <c r="A294" t="s">
        <v>1334</v>
      </c>
      <c r="B294" s="3" t="s">
        <v>102</v>
      </c>
      <c r="C294" s="3"/>
      <c r="D294" s="3"/>
      <c r="E294" s="3"/>
      <c r="F294" t="s">
        <v>551</v>
      </c>
      <c r="H294" t="s">
        <v>593</v>
      </c>
      <c r="J294" t="str">
        <f t="shared" si="4"/>
        <v>FORM N-PORT-C.1</v>
      </c>
      <c r="K294" t="s">
        <v>1530</v>
      </c>
      <c r="L294" t="s">
        <v>229</v>
      </c>
      <c r="M294" t="s">
        <v>1531</v>
      </c>
      <c r="N294" t="s">
        <v>1532</v>
      </c>
      <c r="Q294" s="18" t="s">
        <v>9153</v>
      </c>
    </row>
    <row r="295" spans="1:17" x14ac:dyDescent="0.35">
      <c r="A295" t="s">
        <v>1334</v>
      </c>
      <c r="B295" s="3" t="s">
        <v>102</v>
      </c>
      <c r="C295" s="3"/>
      <c r="D295" s="3"/>
      <c r="E295" s="3"/>
      <c r="F295" t="s">
        <v>551</v>
      </c>
      <c r="H295" t="s">
        <v>593</v>
      </c>
      <c r="J295" t="str">
        <f t="shared" si="4"/>
        <v>FORM N-PORT-C.1</v>
      </c>
      <c r="K295" t="s">
        <v>1534</v>
      </c>
      <c r="L295" t="s">
        <v>1313</v>
      </c>
      <c r="M295" t="s">
        <v>1535</v>
      </c>
      <c r="N295" t="s">
        <v>1536</v>
      </c>
      <c r="Q295" s="18" t="s">
        <v>9154</v>
      </c>
    </row>
    <row r="296" spans="1:17" x14ac:dyDescent="0.35">
      <c r="A296" t="s">
        <v>1334</v>
      </c>
      <c r="B296" s="3" t="s">
        <v>102</v>
      </c>
      <c r="C296" s="3"/>
      <c r="D296" s="3"/>
      <c r="E296" s="3"/>
      <c r="F296" t="s">
        <v>551</v>
      </c>
      <c r="H296" t="s">
        <v>593</v>
      </c>
      <c r="J296" t="str">
        <f t="shared" si="4"/>
        <v>FORM N-PORT-C.1</v>
      </c>
      <c r="K296" t="s">
        <v>1538</v>
      </c>
      <c r="L296" t="s">
        <v>1313</v>
      </c>
      <c r="M296" t="s">
        <v>1539</v>
      </c>
      <c r="N296" t="s">
        <v>1540</v>
      </c>
      <c r="Q296" s="18" t="s">
        <v>9155</v>
      </c>
    </row>
    <row r="297" spans="1:17" x14ac:dyDescent="0.35">
      <c r="A297" t="s">
        <v>1334</v>
      </c>
      <c r="B297" s="3" t="s">
        <v>102</v>
      </c>
      <c r="C297" s="3"/>
      <c r="D297" s="3"/>
      <c r="E297" s="3"/>
      <c r="F297" t="s">
        <v>551</v>
      </c>
      <c r="H297" t="s">
        <v>1542</v>
      </c>
      <c r="J297" t="str">
        <f t="shared" si="4"/>
        <v>FORM N-PORT-C.2</v>
      </c>
      <c r="K297" t="s">
        <v>1543</v>
      </c>
      <c r="L297" t="s">
        <v>783</v>
      </c>
      <c r="M297" t="s">
        <v>1544</v>
      </c>
      <c r="N297" t="s">
        <v>1545</v>
      </c>
      <c r="Q297" s="18">
        <v>50192000</v>
      </c>
    </row>
    <row r="298" spans="1:17" x14ac:dyDescent="0.35">
      <c r="A298" t="s">
        <v>1334</v>
      </c>
      <c r="B298" s="3" t="s">
        <v>102</v>
      </c>
      <c r="C298" s="3"/>
      <c r="D298" s="3"/>
      <c r="E298" s="3"/>
      <c r="F298" t="s">
        <v>551</v>
      </c>
      <c r="H298" t="s">
        <v>1542</v>
      </c>
      <c r="J298" t="str">
        <f t="shared" si="4"/>
        <v>FORM N-PORT-C.2</v>
      </c>
      <c r="K298" t="s">
        <v>1546</v>
      </c>
      <c r="L298" t="s">
        <v>1502</v>
      </c>
      <c r="M298" t="s">
        <v>1547</v>
      </c>
      <c r="N298" t="s">
        <v>1548</v>
      </c>
      <c r="Q298" s="18" t="s">
        <v>1549</v>
      </c>
    </row>
    <row r="299" spans="1:17" x14ac:dyDescent="0.35">
      <c r="A299" t="s">
        <v>1334</v>
      </c>
      <c r="B299" s="3" t="s">
        <v>102</v>
      </c>
      <c r="C299" s="3"/>
      <c r="D299" s="3"/>
      <c r="E299" s="3"/>
      <c r="F299" t="s">
        <v>551</v>
      </c>
      <c r="H299" t="s">
        <v>1542</v>
      </c>
      <c r="J299" t="str">
        <f t="shared" si="4"/>
        <v>FORM N-PORT-C.2</v>
      </c>
      <c r="K299" t="s">
        <v>1550</v>
      </c>
      <c r="L299" t="s">
        <v>783</v>
      </c>
      <c r="M299" t="s">
        <v>1551</v>
      </c>
      <c r="N299" t="s">
        <v>1552</v>
      </c>
      <c r="Q299" s="18">
        <v>48463337.329999998</v>
      </c>
    </row>
    <row r="300" spans="1:17" x14ac:dyDescent="0.35">
      <c r="A300" t="s">
        <v>1334</v>
      </c>
      <c r="B300" s="3" t="s">
        <v>102</v>
      </c>
      <c r="C300" s="3"/>
      <c r="D300" s="3"/>
      <c r="E300" s="3"/>
      <c r="F300" t="s">
        <v>551</v>
      </c>
      <c r="H300" t="s">
        <v>1542</v>
      </c>
      <c r="J300" t="str">
        <f t="shared" si="4"/>
        <v>FORM N-PORT-C.2</v>
      </c>
      <c r="K300" t="s">
        <v>1553</v>
      </c>
      <c r="L300" t="s">
        <v>1198</v>
      </c>
      <c r="M300" t="s">
        <v>1554</v>
      </c>
      <c r="N300" t="s">
        <v>1555</v>
      </c>
      <c r="Q300" s="18">
        <v>2.07518475E-2</v>
      </c>
    </row>
    <row r="301" spans="1:17" x14ac:dyDescent="0.35">
      <c r="A301" t="s">
        <v>1334</v>
      </c>
      <c r="B301" s="3" t="s">
        <v>102</v>
      </c>
      <c r="C301" s="3"/>
      <c r="D301" s="3"/>
      <c r="E301" s="3"/>
      <c r="F301" t="s">
        <v>551</v>
      </c>
      <c r="H301" t="s">
        <v>1542</v>
      </c>
      <c r="J301" t="str">
        <f t="shared" si="4"/>
        <v>FORM N-PORT-C.2</v>
      </c>
      <c r="K301" t="s">
        <v>1556</v>
      </c>
      <c r="L301" t="s">
        <v>1187</v>
      </c>
      <c r="M301" t="s">
        <v>1557</v>
      </c>
      <c r="N301" t="s">
        <v>1558</v>
      </c>
      <c r="Q301" s="18" t="s">
        <v>1590</v>
      </c>
    </row>
    <row r="302" spans="1:17" x14ac:dyDescent="0.35">
      <c r="A302" t="s">
        <v>1334</v>
      </c>
      <c r="B302" s="3" t="s">
        <v>102</v>
      </c>
      <c r="C302" s="3"/>
      <c r="D302" s="3"/>
      <c r="E302" s="3"/>
      <c r="F302" t="s">
        <v>551</v>
      </c>
      <c r="H302" t="s">
        <v>1559</v>
      </c>
      <c r="J302" t="str">
        <f t="shared" si="4"/>
        <v>FORM N-PORT-C.3</v>
      </c>
      <c r="K302" t="s">
        <v>1560</v>
      </c>
      <c r="L302" t="s">
        <v>229</v>
      </c>
      <c r="M302" t="s">
        <v>1561</v>
      </c>
      <c r="N302" t="s">
        <v>1562</v>
      </c>
      <c r="Q302" s="18" t="s">
        <v>1563</v>
      </c>
    </row>
    <row r="303" spans="1:17" x14ac:dyDescent="0.35">
      <c r="A303" t="s">
        <v>1334</v>
      </c>
      <c r="B303" s="3" t="s">
        <v>102</v>
      </c>
      <c r="C303" s="3"/>
      <c r="D303" s="3"/>
      <c r="E303" s="3"/>
      <c r="F303" t="s">
        <v>551</v>
      </c>
      <c r="H303" t="s">
        <v>1564</v>
      </c>
      <c r="J303" t="str">
        <f t="shared" si="4"/>
        <v>FORM N-PORT-C.4</v>
      </c>
      <c r="K303" t="s">
        <v>1565</v>
      </c>
      <c r="L303" t="s">
        <v>1566</v>
      </c>
      <c r="M303" t="s">
        <v>1567</v>
      </c>
      <c r="N303" t="s">
        <v>1568</v>
      </c>
      <c r="Q303" s="18" t="s">
        <v>1569</v>
      </c>
    </row>
    <row r="304" spans="1:17" x14ac:dyDescent="0.35">
      <c r="A304" t="s">
        <v>1334</v>
      </c>
      <c r="B304" s="3" t="s">
        <v>102</v>
      </c>
      <c r="C304" s="3"/>
      <c r="D304" s="3"/>
      <c r="E304" s="3"/>
      <c r="F304" t="s">
        <v>551</v>
      </c>
      <c r="H304" t="s">
        <v>1564</v>
      </c>
      <c r="J304" t="str">
        <f t="shared" si="4"/>
        <v>FORM N-PORT-C.4</v>
      </c>
      <c r="K304" t="s">
        <v>1570</v>
      </c>
      <c r="L304" t="s">
        <v>1566</v>
      </c>
      <c r="M304" t="s">
        <v>1571</v>
      </c>
      <c r="N304" t="s">
        <v>1572</v>
      </c>
      <c r="Q304" s="18" t="s">
        <v>1573</v>
      </c>
    </row>
    <row r="305" spans="1:17" x14ac:dyDescent="0.35">
      <c r="A305" t="s">
        <v>1334</v>
      </c>
      <c r="B305" s="3" t="s">
        <v>102</v>
      </c>
      <c r="C305" s="3"/>
      <c r="D305" s="3"/>
      <c r="E305" s="3"/>
      <c r="F305" t="s">
        <v>551</v>
      </c>
      <c r="H305" t="s">
        <v>1574</v>
      </c>
      <c r="J305" t="str">
        <f t="shared" si="4"/>
        <v>FORM N-PORT-C.5</v>
      </c>
      <c r="K305" t="s">
        <v>1575</v>
      </c>
      <c r="L305" t="s">
        <v>1502</v>
      </c>
      <c r="M305" t="s">
        <v>1576</v>
      </c>
      <c r="N305" t="s">
        <v>1577</v>
      </c>
      <c r="Q305" s="18" t="s">
        <v>1578</v>
      </c>
    </row>
    <row r="306" spans="1:17" x14ac:dyDescent="0.35">
      <c r="A306" t="s">
        <v>1334</v>
      </c>
      <c r="B306" s="3" t="s">
        <v>102</v>
      </c>
      <c r="C306" s="3"/>
      <c r="D306" s="3"/>
      <c r="E306" s="3"/>
      <c r="F306" t="s">
        <v>551</v>
      </c>
      <c r="H306" t="s">
        <v>1574</v>
      </c>
      <c r="J306" t="str">
        <f t="shared" si="4"/>
        <v>FORM N-PORT-C.5</v>
      </c>
      <c r="K306" t="s">
        <v>1579</v>
      </c>
      <c r="L306" t="s">
        <v>1502</v>
      </c>
      <c r="M306" t="s">
        <v>1580</v>
      </c>
      <c r="N306" t="s">
        <v>1581</v>
      </c>
      <c r="Q306" s="18" t="s">
        <v>1590</v>
      </c>
    </row>
    <row r="307" spans="1:17" x14ac:dyDescent="0.35">
      <c r="A307" t="s">
        <v>1334</v>
      </c>
      <c r="B307" s="3" t="s">
        <v>102</v>
      </c>
      <c r="C307" s="3"/>
      <c r="D307" s="3"/>
      <c r="E307" s="3"/>
      <c r="F307" t="s">
        <v>551</v>
      </c>
      <c r="H307" t="s">
        <v>1582</v>
      </c>
      <c r="J307" t="str">
        <f t="shared" si="4"/>
        <v>FORM N-PORT-C.6</v>
      </c>
      <c r="K307" t="s">
        <v>1583</v>
      </c>
      <c r="L307" t="s">
        <v>1187</v>
      </c>
      <c r="M307" t="s">
        <v>1584</v>
      </c>
      <c r="N307" t="s">
        <v>1585</v>
      </c>
      <c r="Q307" s="18" t="s">
        <v>1341</v>
      </c>
    </row>
    <row r="308" spans="1:17" x14ac:dyDescent="0.35">
      <c r="A308" t="s">
        <v>1334</v>
      </c>
      <c r="B308" s="3" t="s">
        <v>102</v>
      </c>
      <c r="C308" s="3"/>
      <c r="D308" s="3"/>
      <c r="E308" s="3"/>
      <c r="F308" t="s">
        <v>551</v>
      </c>
      <c r="H308" t="s">
        <v>1586</v>
      </c>
      <c r="J308" t="str">
        <f t="shared" si="4"/>
        <v>FORM N-PORT-C.7</v>
      </c>
      <c r="K308" t="s">
        <v>1587</v>
      </c>
      <c r="L308" t="s">
        <v>1566</v>
      </c>
      <c r="M308" t="s">
        <v>1588</v>
      </c>
      <c r="N308" t="s">
        <v>1589</v>
      </c>
      <c r="Q308" s="18" t="s">
        <v>1590</v>
      </c>
    </row>
    <row r="309" spans="1:17" x14ac:dyDescent="0.35">
      <c r="A309" t="s">
        <v>1334</v>
      </c>
      <c r="B309" s="3" t="s">
        <v>102</v>
      </c>
      <c r="C309" s="3"/>
      <c r="D309" s="3"/>
      <c r="E309" s="3"/>
      <c r="F309" t="s">
        <v>551</v>
      </c>
      <c r="H309" t="s">
        <v>1591</v>
      </c>
      <c r="J309" t="str">
        <f t="shared" si="4"/>
        <v>FORM N-PORT-C.8</v>
      </c>
      <c r="K309" t="s">
        <v>1592</v>
      </c>
      <c r="L309" t="s">
        <v>241</v>
      </c>
      <c r="M309" t="s">
        <v>1593</v>
      </c>
      <c r="N309" t="s">
        <v>1594</v>
      </c>
      <c r="Q309" s="18">
        <v>2</v>
      </c>
    </row>
    <row r="310" spans="1:17" x14ac:dyDescent="0.35">
      <c r="A310" t="s">
        <v>1334</v>
      </c>
      <c r="B310" s="3" t="s">
        <v>102</v>
      </c>
      <c r="C310" s="3"/>
      <c r="D310" s="3"/>
      <c r="E310" s="3"/>
      <c r="F310" t="s">
        <v>551</v>
      </c>
      <c r="H310" t="s">
        <v>1595</v>
      </c>
      <c r="J310" t="str">
        <f t="shared" si="4"/>
        <v>FORM N-PORT-C.9</v>
      </c>
      <c r="K310" t="s">
        <v>1596</v>
      </c>
      <c r="L310" t="s">
        <v>1331</v>
      </c>
      <c r="M310" t="s">
        <v>1597</v>
      </c>
      <c r="N310" t="s">
        <v>1598</v>
      </c>
      <c r="Q310" s="17">
        <v>46807</v>
      </c>
    </row>
    <row r="311" spans="1:17" x14ac:dyDescent="0.35">
      <c r="A311" t="s">
        <v>1334</v>
      </c>
      <c r="B311" s="3" t="s">
        <v>102</v>
      </c>
      <c r="C311" s="3"/>
      <c r="D311" s="3"/>
      <c r="E311" s="3"/>
      <c r="F311" t="s">
        <v>551</v>
      </c>
      <c r="H311" t="s">
        <v>1595</v>
      </c>
      <c r="J311" t="str">
        <f t="shared" si="4"/>
        <v>FORM N-PORT-C.9</v>
      </c>
      <c r="K311" t="s">
        <v>1599</v>
      </c>
      <c r="L311" t="s">
        <v>1600</v>
      </c>
      <c r="M311" t="s">
        <v>1601</v>
      </c>
      <c r="N311" t="s">
        <v>1602</v>
      </c>
      <c r="Q311" s="18" t="s">
        <v>9156</v>
      </c>
    </row>
    <row r="312" spans="1:17" x14ac:dyDescent="0.35">
      <c r="A312" t="s">
        <v>1334</v>
      </c>
      <c r="B312" s="3" t="s">
        <v>102</v>
      </c>
      <c r="C312" s="3"/>
      <c r="D312" s="3"/>
      <c r="E312" s="3"/>
      <c r="F312" t="s">
        <v>551</v>
      </c>
      <c r="H312" t="s">
        <v>1595</v>
      </c>
      <c r="J312" t="str">
        <f t="shared" si="4"/>
        <v>FORM N-PORT-C.9</v>
      </c>
      <c r="K312" t="s">
        <v>1604</v>
      </c>
      <c r="L312" t="s">
        <v>1187</v>
      </c>
      <c r="M312" t="s">
        <v>1605</v>
      </c>
      <c r="N312" t="s">
        <v>1606</v>
      </c>
      <c r="Q312" s="18" t="s">
        <v>1341</v>
      </c>
    </row>
    <row r="313" spans="1:17" x14ac:dyDescent="0.35">
      <c r="A313" t="s">
        <v>1334</v>
      </c>
      <c r="B313" s="3" t="s">
        <v>102</v>
      </c>
      <c r="C313" s="3"/>
      <c r="D313" s="3"/>
      <c r="E313" s="3"/>
      <c r="F313" t="s">
        <v>551</v>
      </c>
      <c r="H313" t="s">
        <v>1595</v>
      </c>
      <c r="J313" t="str">
        <f t="shared" si="4"/>
        <v>FORM N-PORT-C.9</v>
      </c>
      <c r="K313" t="s">
        <v>1607</v>
      </c>
      <c r="L313" t="s">
        <v>1187</v>
      </c>
      <c r="M313" t="s">
        <v>1608</v>
      </c>
      <c r="N313" t="s">
        <v>1609</v>
      </c>
      <c r="Q313" s="18" t="s">
        <v>1341</v>
      </c>
    </row>
    <row r="314" spans="1:17" x14ac:dyDescent="0.35">
      <c r="A314" t="s">
        <v>1334</v>
      </c>
      <c r="B314" s="3" t="s">
        <v>102</v>
      </c>
      <c r="C314" s="3"/>
      <c r="D314" s="3"/>
      <c r="E314" s="3"/>
      <c r="F314" t="s">
        <v>551</v>
      </c>
      <c r="H314" t="s">
        <v>1595</v>
      </c>
      <c r="J314" t="str">
        <f t="shared" si="4"/>
        <v>FORM N-PORT-C.9</v>
      </c>
      <c r="K314" t="s">
        <v>1610</v>
      </c>
      <c r="L314" t="s">
        <v>1187</v>
      </c>
      <c r="M314" t="s">
        <v>1611</v>
      </c>
      <c r="N314" t="s">
        <v>1612</v>
      </c>
      <c r="Q314" s="18" t="s">
        <v>1341</v>
      </c>
    </row>
    <row r="315" spans="1:17" x14ac:dyDescent="0.35">
      <c r="A315" t="s">
        <v>1334</v>
      </c>
      <c r="B315" s="3" t="s">
        <v>102</v>
      </c>
      <c r="C315" s="3"/>
      <c r="D315" s="3"/>
      <c r="E315" s="3"/>
      <c r="F315" t="s">
        <v>551</v>
      </c>
      <c r="H315" t="s">
        <v>1595</v>
      </c>
      <c r="J315" t="str">
        <f t="shared" si="4"/>
        <v>FORM N-PORT-C.9</v>
      </c>
      <c r="K315" t="s">
        <v>1613</v>
      </c>
      <c r="L315" t="s">
        <v>1187</v>
      </c>
      <c r="M315" t="s">
        <v>1614</v>
      </c>
      <c r="N315" t="s">
        <v>1615</v>
      </c>
      <c r="Q315" s="18" t="s">
        <v>1590</v>
      </c>
    </row>
    <row r="316" spans="1:17" x14ac:dyDescent="0.35">
      <c r="A316" t="s">
        <v>1334</v>
      </c>
      <c r="B316" s="3" t="s">
        <v>102</v>
      </c>
      <c r="C316" s="3"/>
      <c r="D316" s="3"/>
      <c r="E316" s="3"/>
      <c r="F316" t="s">
        <v>551</v>
      </c>
      <c r="H316" t="s">
        <v>1595</v>
      </c>
      <c r="J316" t="str">
        <f t="shared" si="4"/>
        <v>FORM N-PORT-C.9</v>
      </c>
      <c r="K316" t="s">
        <v>1616</v>
      </c>
      <c r="L316" t="s">
        <v>1187</v>
      </c>
      <c r="M316" t="s">
        <v>1617</v>
      </c>
      <c r="N316" t="s">
        <v>1618</v>
      </c>
      <c r="Q316" s="18" t="s">
        <v>1590</v>
      </c>
    </row>
    <row r="317" spans="1:17" x14ac:dyDescent="0.35">
      <c r="A317" t="s">
        <v>1334</v>
      </c>
      <c r="B317" s="3" t="s">
        <v>102</v>
      </c>
      <c r="C317" s="3"/>
      <c r="D317" s="3"/>
      <c r="E317" s="3"/>
      <c r="F317" t="s">
        <v>551</v>
      </c>
      <c r="H317" t="s">
        <v>1595</v>
      </c>
      <c r="J317" t="str">
        <f t="shared" si="4"/>
        <v>FORM N-PORT-C.9</v>
      </c>
      <c r="K317" t="s">
        <v>1619</v>
      </c>
      <c r="L317" t="s">
        <v>1502</v>
      </c>
      <c r="M317" t="s">
        <v>1620</v>
      </c>
      <c r="N317" t="s">
        <v>1621</v>
      </c>
      <c r="Q317" s="18" t="s">
        <v>1590</v>
      </c>
    </row>
    <row r="318" spans="1:17" x14ac:dyDescent="0.35">
      <c r="A318" t="s">
        <v>1334</v>
      </c>
      <c r="B318" s="3" t="s">
        <v>102</v>
      </c>
      <c r="C318" s="3"/>
      <c r="D318" s="3"/>
      <c r="E318" s="3"/>
      <c r="F318" t="s">
        <v>551</v>
      </c>
      <c r="H318" t="s">
        <v>1595</v>
      </c>
      <c r="J318" t="str">
        <f t="shared" si="4"/>
        <v>FORM N-PORT-C.9</v>
      </c>
      <c r="K318" t="s">
        <v>1622</v>
      </c>
      <c r="L318" t="s">
        <v>783</v>
      </c>
      <c r="M318" t="s">
        <v>1623</v>
      </c>
      <c r="N318" t="s">
        <v>1624</v>
      </c>
      <c r="Q318" s="18" t="s">
        <v>1590</v>
      </c>
    </row>
    <row r="319" spans="1:17" x14ac:dyDescent="0.35">
      <c r="A319" t="s">
        <v>1334</v>
      </c>
      <c r="B319" s="3" t="s">
        <v>102</v>
      </c>
      <c r="C319" s="3"/>
      <c r="D319" s="3"/>
      <c r="E319" s="3"/>
      <c r="F319" t="s">
        <v>551</v>
      </c>
      <c r="H319" t="s">
        <v>1595</v>
      </c>
      <c r="J319" t="str">
        <f t="shared" si="4"/>
        <v>FORM N-PORT-C.9</v>
      </c>
      <c r="K319" t="s">
        <v>1625</v>
      </c>
      <c r="L319" t="s">
        <v>783</v>
      </c>
      <c r="M319" t="s">
        <v>1626</v>
      </c>
      <c r="N319" t="s">
        <v>1627</v>
      </c>
      <c r="Q319" s="18" t="s">
        <v>1590</v>
      </c>
    </row>
    <row r="320" spans="1:17" x14ac:dyDescent="0.35">
      <c r="A320" t="s">
        <v>1334</v>
      </c>
      <c r="B320" s="3" t="s">
        <v>102</v>
      </c>
      <c r="C320" s="3"/>
      <c r="D320" s="3"/>
      <c r="E320" s="3"/>
      <c r="F320" t="s">
        <v>551</v>
      </c>
      <c r="H320" t="s">
        <v>1628</v>
      </c>
      <c r="J320" t="str">
        <f t="shared" si="4"/>
        <v>FORM N-PORT-C.10</v>
      </c>
      <c r="K320" t="s">
        <v>1629</v>
      </c>
      <c r="L320" t="s">
        <v>1566</v>
      </c>
      <c r="M320" t="s">
        <v>1630</v>
      </c>
      <c r="N320" t="s">
        <v>1631</v>
      </c>
      <c r="Q320" s="18" t="s">
        <v>1590</v>
      </c>
    </row>
    <row r="321" spans="1:17" x14ac:dyDescent="0.35">
      <c r="A321" t="s">
        <v>1334</v>
      </c>
      <c r="B321" s="3" t="s">
        <v>102</v>
      </c>
      <c r="C321" s="3"/>
      <c r="D321" s="3"/>
      <c r="E321" s="3"/>
      <c r="F321" t="s">
        <v>551</v>
      </c>
      <c r="H321" t="s">
        <v>1628</v>
      </c>
      <c r="J321" t="str">
        <f t="shared" si="4"/>
        <v>FORM N-PORT-C.10</v>
      </c>
      <c r="K321" t="s">
        <v>1632</v>
      </c>
      <c r="L321" t="s">
        <v>1502</v>
      </c>
      <c r="M321" t="s">
        <v>1633</v>
      </c>
      <c r="N321" t="s">
        <v>1634</v>
      </c>
      <c r="Q321" s="18" t="s">
        <v>1590</v>
      </c>
    </row>
    <row r="322" spans="1:17" x14ac:dyDescent="0.35">
      <c r="A322" t="s">
        <v>1334</v>
      </c>
      <c r="B322" s="3" t="s">
        <v>102</v>
      </c>
      <c r="C322" s="3"/>
      <c r="D322" s="3"/>
      <c r="E322" s="3"/>
      <c r="F322" t="s">
        <v>551</v>
      </c>
      <c r="H322" t="s">
        <v>1628</v>
      </c>
      <c r="J322" t="str">
        <f t="shared" si="4"/>
        <v>FORM N-PORT-C.10</v>
      </c>
      <c r="K322" t="s">
        <v>1635</v>
      </c>
      <c r="L322" t="s">
        <v>1187</v>
      </c>
      <c r="M322" t="s">
        <v>1636</v>
      </c>
      <c r="N322" t="s">
        <v>1637</v>
      </c>
      <c r="Q322" s="18" t="s">
        <v>1590</v>
      </c>
    </row>
    <row r="323" spans="1:17" x14ac:dyDescent="0.35">
      <c r="A323" t="s">
        <v>1334</v>
      </c>
      <c r="B323" s="3" t="s">
        <v>102</v>
      </c>
      <c r="C323" s="3"/>
      <c r="D323" s="3"/>
      <c r="E323" s="3"/>
      <c r="F323" t="s">
        <v>551</v>
      </c>
      <c r="H323" t="s">
        <v>1628</v>
      </c>
      <c r="J323" t="str">
        <f t="shared" ref="J323:J386" si="5">_xlfn.CONCAT(A323,"-",H323)</f>
        <v>FORM N-PORT-C.10</v>
      </c>
      <c r="K323" t="s">
        <v>1638</v>
      </c>
      <c r="L323" t="s">
        <v>1502</v>
      </c>
      <c r="M323" t="s">
        <v>1639</v>
      </c>
      <c r="N323" t="s">
        <v>1640</v>
      </c>
      <c r="Q323" s="18" t="s">
        <v>1590</v>
      </c>
    </row>
    <row r="324" spans="1:17" x14ac:dyDescent="0.35">
      <c r="A324" t="s">
        <v>1334</v>
      </c>
      <c r="B324" s="3" t="s">
        <v>102</v>
      </c>
      <c r="C324" s="3"/>
      <c r="D324" s="3"/>
      <c r="E324" s="3"/>
      <c r="F324" t="s">
        <v>551</v>
      </c>
      <c r="H324" t="s">
        <v>1628</v>
      </c>
      <c r="J324" t="str">
        <f t="shared" si="5"/>
        <v>FORM N-PORT-C.10</v>
      </c>
      <c r="K324" t="s">
        <v>1641</v>
      </c>
      <c r="L324" t="s">
        <v>1187</v>
      </c>
      <c r="M324" t="s">
        <v>1642</v>
      </c>
      <c r="N324" t="s">
        <v>1643</v>
      </c>
      <c r="Q324" s="18" t="s">
        <v>1590</v>
      </c>
    </row>
    <row r="325" spans="1:17" x14ac:dyDescent="0.35">
      <c r="A325" t="s">
        <v>1334</v>
      </c>
      <c r="B325" s="3" t="s">
        <v>102</v>
      </c>
      <c r="C325" s="3"/>
      <c r="D325" s="3"/>
      <c r="E325" s="3"/>
      <c r="F325" t="s">
        <v>551</v>
      </c>
      <c r="H325" t="s">
        <v>1628</v>
      </c>
      <c r="J325" t="str">
        <f t="shared" si="5"/>
        <v>FORM N-PORT-C.10</v>
      </c>
      <c r="K325" t="s">
        <v>1644</v>
      </c>
      <c r="L325" t="s">
        <v>1198</v>
      </c>
      <c r="M325" t="s">
        <v>1645</v>
      </c>
      <c r="N325" t="s">
        <v>1646</v>
      </c>
      <c r="Q325" s="18" t="s">
        <v>1590</v>
      </c>
    </row>
    <row r="326" spans="1:17" x14ac:dyDescent="0.35">
      <c r="A326" t="s">
        <v>1334</v>
      </c>
      <c r="B326" s="3" t="s">
        <v>102</v>
      </c>
      <c r="C326" s="3"/>
      <c r="D326" s="3"/>
      <c r="E326" s="3"/>
      <c r="F326" t="s">
        <v>551</v>
      </c>
      <c r="H326" t="s">
        <v>1628</v>
      </c>
      <c r="J326" t="str">
        <f t="shared" si="5"/>
        <v>FORM N-PORT-C.10</v>
      </c>
      <c r="K326" t="s">
        <v>1647</v>
      </c>
      <c r="L326" t="s">
        <v>1331</v>
      </c>
      <c r="M326" t="s">
        <v>1648</v>
      </c>
      <c r="N326" t="s">
        <v>1649</v>
      </c>
      <c r="Q326" s="18" t="s">
        <v>1590</v>
      </c>
    </row>
    <row r="327" spans="1:17" x14ac:dyDescent="0.35">
      <c r="A327" t="s">
        <v>1334</v>
      </c>
      <c r="B327" s="3" t="s">
        <v>102</v>
      </c>
      <c r="C327" s="3"/>
      <c r="D327" s="3"/>
      <c r="E327" s="3"/>
      <c r="F327" t="s">
        <v>551</v>
      </c>
      <c r="H327" t="s">
        <v>1628</v>
      </c>
      <c r="J327" t="str">
        <f t="shared" si="5"/>
        <v>FORM N-PORT-C.10</v>
      </c>
      <c r="K327" t="s">
        <v>1650</v>
      </c>
      <c r="L327" t="s">
        <v>783</v>
      </c>
      <c r="M327" t="s">
        <v>1651</v>
      </c>
      <c r="N327" t="s">
        <v>1652</v>
      </c>
      <c r="Q327" s="18" t="s">
        <v>1590</v>
      </c>
    </row>
    <row r="328" spans="1:17" x14ac:dyDescent="0.35">
      <c r="A328" t="s">
        <v>1334</v>
      </c>
      <c r="B328" s="3" t="s">
        <v>102</v>
      </c>
      <c r="C328" s="3"/>
      <c r="D328" s="3"/>
      <c r="E328" s="3"/>
      <c r="F328" t="s">
        <v>551</v>
      </c>
      <c r="H328" t="s">
        <v>1628</v>
      </c>
      <c r="J328" t="str">
        <f t="shared" si="5"/>
        <v>FORM N-PORT-C.10</v>
      </c>
      <c r="K328" t="s">
        <v>1653</v>
      </c>
      <c r="L328" t="s">
        <v>783</v>
      </c>
      <c r="M328" t="s">
        <v>1654</v>
      </c>
      <c r="N328" t="s">
        <v>1655</v>
      </c>
      <c r="Q328" s="18" t="s">
        <v>1590</v>
      </c>
    </row>
    <row r="329" spans="1:17" x14ac:dyDescent="0.35">
      <c r="A329" t="s">
        <v>1334</v>
      </c>
      <c r="B329" s="3" t="s">
        <v>102</v>
      </c>
      <c r="C329" s="3"/>
      <c r="D329" s="3"/>
      <c r="E329" s="3"/>
      <c r="F329" t="s">
        <v>551</v>
      </c>
      <c r="H329" t="s">
        <v>1628</v>
      </c>
      <c r="J329" t="str">
        <f t="shared" si="5"/>
        <v>FORM N-PORT-C.10</v>
      </c>
      <c r="K329" t="s">
        <v>1656</v>
      </c>
      <c r="L329" t="s">
        <v>1566</v>
      </c>
      <c r="M329" t="s">
        <v>1657</v>
      </c>
      <c r="N329" t="s">
        <v>1658</v>
      </c>
      <c r="Q329" s="18" t="s">
        <v>1590</v>
      </c>
    </row>
    <row r="330" spans="1:17" x14ac:dyDescent="0.35">
      <c r="A330" t="s">
        <v>1334</v>
      </c>
      <c r="B330" s="3" t="s">
        <v>102</v>
      </c>
      <c r="C330" s="3"/>
      <c r="D330" s="3"/>
      <c r="E330" s="3"/>
      <c r="F330" t="s">
        <v>551</v>
      </c>
      <c r="H330" t="s">
        <v>1659</v>
      </c>
      <c r="J330" t="str">
        <f t="shared" si="5"/>
        <v>FORM N-PORT-C.11</v>
      </c>
      <c r="K330" t="s">
        <v>1660</v>
      </c>
      <c r="L330" t="s">
        <v>1566</v>
      </c>
      <c r="M330" t="s">
        <v>1661</v>
      </c>
      <c r="N330" t="s">
        <v>1662</v>
      </c>
      <c r="Q330" s="18" t="s">
        <v>1590</v>
      </c>
    </row>
    <row r="331" spans="1:17" x14ac:dyDescent="0.35">
      <c r="A331" t="s">
        <v>1334</v>
      </c>
      <c r="B331" s="3" t="s">
        <v>102</v>
      </c>
      <c r="C331" s="3"/>
      <c r="D331" s="3"/>
      <c r="E331" s="3"/>
      <c r="F331" t="s">
        <v>551</v>
      </c>
      <c r="H331" t="s">
        <v>1659</v>
      </c>
      <c r="J331" t="str">
        <f t="shared" si="5"/>
        <v>FORM N-PORT-C.11</v>
      </c>
      <c r="K331" t="s">
        <v>1663</v>
      </c>
      <c r="L331" t="s">
        <v>1502</v>
      </c>
      <c r="M331" t="s">
        <v>1664</v>
      </c>
      <c r="N331" t="s">
        <v>1665</v>
      </c>
      <c r="Q331" s="18" t="s">
        <v>1590</v>
      </c>
    </row>
    <row r="332" spans="1:17" x14ac:dyDescent="0.35">
      <c r="A332" t="s">
        <v>1334</v>
      </c>
      <c r="B332" s="3" t="s">
        <v>102</v>
      </c>
      <c r="C332" s="3"/>
      <c r="D332" s="3"/>
      <c r="E332" s="3"/>
      <c r="F332" t="s">
        <v>551</v>
      </c>
      <c r="H332" t="s">
        <v>1659</v>
      </c>
      <c r="J332" t="str">
        <f t="shared" si="5"/>
        <v>FORM N-PORT-C.11</v>
      </c>
      <c r="K332" t="s">
        <v>1666</v>
      </c>
      <c r="L332" t="s">
        <v>1566</v>
      </c>
      <c r="M332" t="s">
        <v>1667</v>
      </c>
      <c r="N332" t="s">
        <v>1668</v>
      </c>
      <c r="Q332" s="18" t="s">
        <v>1590</v>
      </c>
    </row>
    <row r="333" spans="1:17" x14ac:dyDescent="0.35">
      <c r="A333" t="s">
        <v>1334</v>
      </c>
      <c r="B333" s="3" t="s">
        <v>102</v>
      </c>
      <c r="C333" s="3"/>
      <c r="D333" s="3"/>
      <c r="E333" s="3"/>
      <c r="F333" t="s">
        <v>551</v>
      </c>
      <c r="H333" t="s">
        <v>1659</v>
      </c>
      <c r="J333" t="str">
        <f t="shared" si="5"/>
        <v>FORM N-PORT-C.11</v>
      </c>
      <c r="K333" t="s">
        <v>1669</v>
      </c>
      <c r="L333" t="s">
        <v>1566</v>
      </c>
      <c r="M333" t="s">
        <v>1670</v>
      </c>
      <c r="N333" t="s">
        <v>1671</v>
      </c>
      <c r="Q333" s="18" t="s">
        <v>1590</v>
      </c>
    </row>
    <row r="334" spans="1:17" x14ac:dyDescent="0.35">
      <c r="A334" t="s">
        <v>1334</v>
      </c>
      <c r="B334" s="3" t="s">
        <v>102</v>
      </c>
      <c r="C334" s="3"/>
      <c r="D334" s="3"/>
      <c r="E334" s="3"/>
      <c r="F334" t="s">
        <v>551</v>
      </c>
      <c r="H334" t="s">
        <v>1659</v>
      </c>
      <c r="J334" t="str">
        <f t="shared" si="5"/>
        <v>FORM N-PORT-C.11</v>
      </c>
      <c r="K334" t="s">
        <v>1672</v>
      </c>
      <c r="L334" t="s">
        <v>1502</v>
      </c>
      <c r="M334" t="s">
        <v>1673</v>
      </c>
      <c r="N334" t="s">
        <v>1674</v>
      </c>
      <c r="Q334" s="18" t="s">
        <v>1590</v>
      </c>
    </row>
    <row r="335" spans="1:17" x14ac:dyDescent="0.35">
      <c r="A335" t="s">
        <v>1334</v>
      </c>
      <c r="B335" s="3" t="s">
        <v>102</v>
      </c>
      <c r="C335" s="3"/>
      <c r="D335" s="3"/>
      <c r="E335" s="3"/>
      <c r="F335" t="s">
        <v>551</v>
      </c>
      <c r="H335" t="s">
        <v>1659</v>
      </c>
      <c r="J335" t="str">
        <f t="shared" si="5"/>
        <v>FORM N-PORT-C.11</v>
      </c>
      <c r="K335" t="s">
        <v>1675</v>
      </c>
      <c r="L335" t="s">
        <v>783</v>
      </c>
      <c r="M335" t="s">
        <v>1676</v>
      </c>
      <c r="N335" t="s">
        <v>1677</v>
      </c>
      <c r="Q335" s="18" t="s">
        <v>1590</v>
      </c>
    </row>
    <row r="336" spans="1:17" x14ac:dyDescent="0.35">
      <c r="A336" t="s">
        <v>1334</v>
      </c>
      <c r="B336" s="3" t="s">
        <v>102</v>
      </c>
      <c r="C336" s="3"/>
      <c r="D336" s="3"/>
      <c r="E336" s="3"/>
      <c r="F336" t="s">
        <v>551</v>
      </c>
      <c r="H336" t="s">
        <v>1659</v>
      </c>
      <c r="J336" t="str">
        <f t="shared" si="5"/>
        <v>FORM N-PORT-C.11</v>
      </c>
      <c r="K336" t="s">
        <v>1678</v>
      </c>
      <c r="L336" t="s">
        <v>783</v>
      </c>
      <c r="M336" t="s">
        <v>1679</v>
      </c>
      <c r="N336" t="s">
        <v>1680</v>
      </c>
      <c r="Q336" s="18" t="s">
        <v>1590</v>
      </c>
    </row>
    <row r="337" spans="1:17" x14ac:dyDescent="0.35">
      <c r="A337" t="s">
        <v>1334</v>
      </c>
      <c r="B337" s="3" t="s">
        <v>102</v>
      </c>
      <c r="C337" s="3"/>
      <c r="D337" s="3"/>
      <c r="E337" s="3"/>
      <c r="F337" t="s">
        <v>551</v>
      </c>
      <c r="H337" t="s">
        <v>1659</v>
      </c>
      <c r="J337" t="str">
        <f t="shared" si="5"/>
        <v>FORM N-PORT-C.11</v>
      </c>
      <c r="K337" t="s">
        <v>1681</v>
      </c>
      <c r="L337" t="s">
        <v>1331</v>
      </c>
      <c r="M337" t="s">
        <v>1682</v>
      </c>
      <c r="N337" t="s">
        <v>1683</v>
      </c>
      <c r="Q337" s="18" t="s">
        <v>1590</v>
      </c>
    </row>
    <row r="338" spans="1:17" x14ac:dyDescent="0.35">
      <c r="A338" t="s">
        <v>1334</v>
      </c>
      <c r="B338" s="3" t="s">
        <v>102</v>
      </c>
      <c r="C338" s="3"/>
      <c r="D338" s="3"/>
      <c r="E338" s="3"/>
      <c r="F338" t="s">
        <v>551</v>
      </c>
      <c r="H338" t="s">
        <v>1659</v>
      </c>
      <c r="J338" t="str">
        <f t="shared" si="5"/>
        <v>FORM N-PORT-C.11</v>
      </c>
      <c r="K338" t="s">
        <v>1684</v>
      </c>
      <c r="L338" t="s">
        <v>783</v>
      </c>
      <c r="M338" t="s">
        <v>1685</v>
      </c>
      <c r="N338" t="s">
        <v>1686</v>
      </c>
      <c r="Q338" s="18" t="s">
        <v>1590</v>
      </c>
    </row>
    <row r="339" spans="1:17" x14ac:dyDescent="0.35">
      <c r="A339" t="s">
        <v>1334</v>
      </c>
      <c r="B339" s="3" t="s">
        <v>102</v>
      </c>
      <c r="C339" s="3"/>
      <c r="D339" s="3"/>
      <c r="E339" s="3"/>
      <c r="F339" t="s">
        <v>551</v>
      </c>
      <c r="H339" t="s">
        <v>1659</v>
      </c>
      <c r="J339" t="str">
        <f t="shared" si="5"/>
        <v>FORM N-PORT-C.11</v>
      </c>
      <c r="K339" t="s">
        <v>1687</v>
      </c>
      <c r="L339" t="s">
        <v>783</v>
      </c>
      <c r="M339" t="s">
        <v>1688</v>
      </c>
      <c r="N339" t="s">
        <v>1689</v>
      </c>
      <c r="Q339" s="18" t="s">
        <v>1590</v>
      </c>
    </row>
    <row r="340" spans="1:17" x14ac:dyDescent="0.35">
      <c r="A340" t="s">
        <v>1334</v>
      </c>
      <c r="B340" s="3" t="s">
        <v>102</v>
      </c>
      <c r="C340" s="3"/>
      <c r="D340" s="3"/>
      <c r="E340" s="3"/>
      <c r="F340" t="s">
        <v>551</v>
      </c>
      <c r="H340" t="s">
        <v>1659</v>
      </c>
      <c r="J340" t="str">
        <f t="shared" si="5"/>
        <v>FORM N-PORT-C.11</v>
      </c>
      <c r="K340" t="s">
        <v>1690</v>
      </c>
      <c r="L340" t="s">
        <v>1566</v>
      </c>
      <c r="M340" t="s">
        <v>1691</v>
      </c>
      <c r="N340" t="s">
        <v>1692</v>
      </c>
      <c r="Q340" s="18" t="s">
        <v>1590</v>
      </c>
    </row>
    <row r="341" spans="1:17" x14ac:dyDescent="0.35">
      <c r="A341" t="s">
        <v>1334</v>
      </c>
      <c r="B341" s="3" t="s">
        <v>102</v>
      </c>
      <c r="C341" s="3"/>
      <c r="D341" s="3"/>
      <c r="E341" s="3"/>
      <c r="F341" t="s">
        <v>551</v>
      </c>
      <c r="H341" t="s">
        <v>1659</v>
      </c>
      <c r="J341" t="str">
        <f t="shared" si="5"/>
        <v>FORM N-PORT-C.11</v>
      </c>
      <c r="K341" t="s">
        <v>1693</v>
      </c>
      <c r="L341" t="s">
        <v>1502</v>
      </c>
      <c r="M341" t="s">
        <v>1694</v>
      </c>
      <c r="N341" t="s">
        <v>1695</v>
      </c>
      <c r="Q341" s="18" t="s">
        <v>1590</v>
      </c>
    </row>
    <row r="342" spans="1:17" x14ac:dyDescent="0.35">
      <c r="A342" t="s">
        <v>1334</v>
      </c>
      <c r="B342" s="3" t="s">
        <v>102</v>
      </c>
      <c r="C342" s="3"/>
      <c r="D342" s="3"/>
      <c r="E342" s="3"/>
      <c r="F342" t="s">
        <v>551</v>
      </c>
      <c r="H342" t="s">
        <v>1659</v>
      </c>
      <c r="J342" t="str">
        <f t="shared" si="5"/>
        <v>FORM N-PORT-C.11</v>
      </c>
      <c r="K342" t="s">
        <v>1696</v>
      </c>
      <c r="L342" t="s">
        <v>1331</v>
      </c>
      <c r="M342" t="s">
        <v>1697</v>
      </c>
      <c r="N342" t="s">
        <v>1698</v>
      </c>
      <c r="Q342" s="18" t="s">
        <v>1590</v>
      </c>
    </row>
    <row r="343" spans="1:17" x14ac:dyDescent="0.35">
      <c r="A343" t="s">
        <v>1334</v>
      </c>
      <c r="B343" s="3" t="s">
        <v>102</v>
      </c>
      <c r="C343" s="3"/>
      <c r="D343" s="3"/>
      <c r="E343" s="3"/>
      <c r="F343" t="s">
        <v>551</v>
      </c>
      <c r="H343" t="s">
        <v>1659</v>
      </c>
      <c r="J343" t="str">
        <f t="shared" si="5"/>
        <v>FORM N-PORT-C.11</v>
      </c>
      <c r="K343" t="s">
        <v>1699</v>
      </c>
      <c r="L343" t="s">
        <v>783</v>
      </c>
      <c r="M343" t="s">
        <v>1700</v>
      </c>
      <c r="N343" t="s">
        <v>1701</v>
      </c>
      <c r="Q343" s="18" t="s">
        <v>1590</v>
      </c>
    </row>
    <row r="344" spans="1:17" x14ac:dyDescent="0.35">
      <c r="A344" t="s">
        <v>1334</v>
      </c>
      <c r="B344" s="3" t="s">
        <v>102</v>
      </c>
      <c r="C344" s="3"/>
      <c r="D344" s="3"/>
      <c r="E344" s="3"/>
      <c r="F344" t="s">
        <v>551</v>
      </c>
      <c r="H344" t="s">
        <v>1659</v>
      </c>
      <c r="J344" t="str">
        <f t="shared" si="5"/>
        <v>FORM N-PORT-C.11</v>
      </c>
      <c r="K344" t="s">
        <v>1702</v>
      </c>
      <c r="L344" t="s">
        <v>783</v>
      </c>
      <c r="M344" t="s">
        <v>1688</v>
      </c>
      <c r="N344" t="s">
        <v>1703</v>
      </c>
      <c r="Q344" s="18" t="s">
        <v>1590</v>
      </c>
    </row>
    <row r="345" spans="1:17" x14ac:dyDescent="0.35">
      <c r="A345" t="s">
        <v>1334</v>
      </c>
      <c r="B345" s="3" t="s">
        <v>102</v>
      </c>
      <c r="C345" s="3"/>
      <c r="D345" s="3"/>
      <c r="E345" s="3"/>
      <c r="F345" t="s">
        <v>551</v>
      </c>
      <c r="H345" t="s">
        <v>1659</v>
      </c>
      <c r="J345" t="str">
        <f t="shared" si="5"/>
        <v>FORM N-PORT-C.11</v>
      </c>
      <c r="K345" t="s">
        <v>1704</v>
      </c>
      <c r="L345" t="s">
        <v>229</v>
      </c>
      <c r="M345" t="s">
        <v>1705</v>
      </c>
      <c r="N345" t="s">
        <v>1706</v>
      </c>
      <c r="Q345" s="18" t="s">
        <v>1590</v>
      </c>
    </row>
    <row r="346" spans="1:17" x14ac:dyDescent="0.35">
      <c r="A346" t="s">
        <v>1334</v>
      </c>
      <c r="B346" s="3" t="s">
        <v>102</v>
      </c>
      <c r="C346" s="3"/>
      <c r="D346" s="3"/>
      <c r="E346" s="3"/>
      <c r="F346" t="s">
        <v>551</v>
      </c>
      <c r="H346" t="s">
        <v>1659</v>
      </c>
      <c r="J346" t="str">
        <f t="shared" si="5"/>
        <v>FORM N-PORT-C.11</v>
      </c>
      <c r="K346" t="s">
        <v>1707</v>
      </c>
      <c r="L346" t="s">
        <v>229</v>
      </c>
      <c r="M346" t="s">
        <v>1708</v>
      </c>
      <c r="N346" t="s">
        <v>1709</v>
      </c>
      <c r="Q346" s="18" t="s">
        <v>1590</v>
      </c>
    </row>
    <row r="347" spans="1:17" x14ac:dyDescent="0.35">
      <c r="A347" t="s">
        <v>1334</v>
      </c>
      <c r="B347" s="3" t="s">
        <v>102</v>
      </c>
      <c r="C347" s="3"/>
      <c r="D347" s="3"/>
      <c r="E347" s="3"/>
      <c r="F347" t="s">
        <v>551</v>
      </c>
      <c r="H347" t="s">
        <v>1659</v>
      </c>
      <c r="J347" t="str">
        <f t="shared" si="5"/>
        <v>FORM N-PORT-C.11</v>
      </c>
      <c r="K347" t="s">
        <v>1710</v>
      </c>
      <c r="L347" t="s">
        <v>1331</v>
      </c>
      <c r="M347" t="s">
        <v>1711</v>
      </c>
      <c r="N347" t="s">
        <v>1712</v>
      </c>
      <c r="Q347" s="18" t="s">
        <v>1590</v>
      </c>
    </row>
    <row r="348" spans="1:17" x14ac:dyDescent="0.35">
      <c r="A348" t="s">
        <v>1334</v>
      </c>
      <c r="B348" s="3" t="s">
        <v>102</v>
      </c>
      <c r="C348" s="3"/>
      <c r="D348" s="3"/>
      <c r="E348" s="3"/>
      <c r="F348" t="s">
        <v>551</v>
      </c>
      <c r="H348" t="s">
        <v>1659</v>
      </c>
      <c r="J348" t="str">
        <f t="shared" si="5"/>
        <v>FORM N-PORT-C.11</v>
      </c>
      <c r="K348" t="s">
        <v>1713</v>
      </c>
      <c r="L348" t="s">
        <v>783</v>
      </c>
      <c r="M348" t="s">
        <v>1688</v>
      </c>
      <c r="N348" t="s">
        <v>1714</v>
      </c>
      <c r="Q348" s="18" t="s">
        <v>1590</v>
      </c>
    </row>
    <row r="349" spans="1:17" x14ac:dyDescent="0.35">
      <c r="A349" t="s">
        <v>1334</v>
      </c>
      <c r="B349" s="3" t="s">
        <v>102</v>
      </c>
      <c r="C349" s="3"/>
      <c r="D349" s="3"/>
      <c r="E349" s="3"/>
      <c r="F349" t="s">
        <v>551</v>
      </c>
      <c r="H349" t="s">
        <v>1659</v>
      </c>
      <c r="J349" t="str">
        <f t="shared" si="5"/>
        <v>FORM N-PORT-C.11</v>
      </c>
      <c r="K349" t="s">
        <v>1715</v>
      </c>
      <c r="L349" t="s">
        <v>229</v>
      </c>
      <c r="M349" t="s">
        <v>1716</v>
      </c>
      <c r="N349" t="s">
        <v>1717</v>
      </c>
      <c r="Q349" s="18" t="s">
        <v>1590</v>
      </c>
    </row>
    <row r="350" spans="1:17" x14ac:dyDescent="0.35">
      <c r="A350" t="s">
        <v>1334</v>
      </c>
      <c r="B350" s="3" t="s">
        <v>102</v>
      </c>
      <c r="C350" s="3"/>
      <c r="D350" s="3"/>
      <c r="E350" s="3"/>
      <c r="F350" t="s">
        <v>551</v>
      </c>
      <c r="H350" t="s">
        <v>1659</v>
      </c>
      <c r="J350" t="str">
        <f t="shared" si="5"/>
        <v>FORM N-PORT-C.11</v>
      </c>
      <c r="K350" t="s">
        <v>1718</v>
      </c>
      <c r="L350" t="s">
        <v>1331</v>
      </c>
      <c r="M350" t="s">
        <v>1719</v>
      </c>
      <c r="N350" t="s">
        <v>1720</v>
      </c>
      <c r="Q350" s="18" t="s">
        <v>1590</v>
      </c>
    </row>
    <row r="351" spans="1:17" x14ac:dyDescent="0.35">
      <c r="A351" t="s">
        <v>1334</v>
      </c>
      <c r="B351" s="3" t="s">
        <v>102</v>
      </c>
      <c r="C351" s="3"/>
      <c r="D351" s="3"/>
      <c r="E351" s="3"/>
      <c r="F351" t="s">
        <v>551</v>
      </c>
      <c r="H351" t="s">
        <v>1659</v>
      </c>
      <c r="J351" t="str">
        <f t="shared" si="5"/>
        <v>FORM N-PORT-C.11</v>
      </c>
      <c r="K351" t="s">
        <v>1721</v>
      </c>
      <c r="L351" t="s">
        <v>783</v>
      </c>
      <c r="M351" t="s">
        <v>1722</v>
      </c>
      <c r="N351" t="s">
        <v>1723</v>
      </c>
      <c r="Q351" s="18" t="s">
        <v>1590</v>
      </c>
    </row>
    <row r="352" spans="1:17" x14ac:dyDescent="0.35">
      <c r="A352" t="s">
        <v>1334</v>
      </c>
      <c r="B352" s="3" t="s">
        <v>102</v>
      </c>
      <c r="C352" s="3"/>
      <c r="D352" s="3"/>
      <c r="E352" s="3"/>
      <c r="F352" t="s">
        <v>551</v>
      </c>
      <c r="H352" t="s">
        <v>1659</v>
      </c>
      <c r="J352" t="str">
        <f t="shared" si="5"/>
        <v>FORM N-PORT-C.11</v>
      </c>
      <c r="K352" t="s">
        <v>1724</v>
      </c>
      <c r="L352" t="s">
        <v>783</v>
      </c>
      <c r="M352" t="s">
        <v>1725</v>
      </c>
      <c r="N352" t="s">
        <v>1726</v>
      </c>
      <c r="Q352" s="18" t="s">
        <v>1590</v>
      </c>
    </row>
    <row r="353" spans="1:17" x14ac:dyDescent="0.35">
      <c r="A353" t="s">
        <v>1334</v>
      </c>
      <c r="B353" s="3" t="s">
        <v>102</v>
      </c>
      <c r="C353" s="3"/>
      <c r="D353" s="3"/>
      <c r="E353" s="3"/>
      <c r="F353" t="s">
        <v>551</v>
      </c>
      <c r="H353" t="s">
        <v>1659</v>
      </c>
      <c r="J353" t="str">
        <f t="shared" si="5"/>
        <v>FORM N-PORT-C.11</v>
      </c>
      <c r="K353" t="s">
        <v>1727</v>
      </c>
      <c r="L353" t="s">
        <v>783</v>
      </c>
      <c r="M353" t="s">
        <v>1688</v>
      </c>
      <c r="N353" t="s">
        <v>1728</v>
      </c>
      <c r="Q353" s="18" t="s">
        <v>1590</v>
      </c>
    </row>
    <row r="354" spans="1:17" x14ac:dyDescent="0.35">
      <c r="A354" t="s">
        <v>1334</v>
      </c>
      <c r="B354" s="3" t="s">
        <v>102</v>
      </c>
      <c r="C354" s="3"/>
      <c r="D354" s="3"/>
      <c r="E354" s="3"/>
      <c r="F354" t="s">
        <v>551</v>
      </c>
      <c r="H354" t="s">
        <v>1729</v>
      </c>
      <c r="J354" t="str">
        <f t="shared" si="5"/>
        <v>FORM N-PORT-C.12</v>
      </c>
      <c r="K354" t="s">
        <v>1730</v>
      </c>
      <c r="L354" t="s">
        <v>1187</v>
      </c>
      <c r="M354" t="s">
        <v>1731</v>
      </c>
      <c r="N354" t="s">
        <v>1732</v>
      </c>
      <c r="Q354" s="18" t="s">
        <v>1341</v>
      </c>
    </row>
    <row r="355" spans="1:17" x14ac:dyDescent="0.35">
      <c r="A355" t="s">
        <v>1334</v>
      </c>
      <c r="B355" s="3" t="s">
        <v>102</v>
      </c>
      <c r="C355" s="3"/>
      <c r="D355" s="3"/>
      <c r="E355" s="3"/>
      <c r="F355" t="s">
        <v>551</v>
      </c>
      <c r="H355" t="s">
        <v>1729</v>
      </c>
      <c r="J355" t="str">
        <f t="shared" si="5"/>
        <v>FORM N-PORT-C.12</v>
      </c>
      <c r="K355" t="s">
        <v>1733</v>
      </c>
      <c r="L355" t="s">
        <v>783</v>
      </c>
      <c r="M355" t="s">
        <v>1734</v>
      </c>
      <c r="N355" t="s">
        <v>1735</v>
      </c>
      <c r="Q355" s="18" t="s">
        <v>1590</v>
      </c>
    </row>
    <row r="356" spans="1:17" x14ac:dyDescent="0.35">
      <c r="A356" t="s">
        <v>1334</v>
      </c>
      <c r="B356" s="3" t="s">
        <v>102</v>
      </c>
      <c r="C356" s="3"/>
      <c r="D356" s="3"/>
      <c r="E356" s="3"/>
      <c r="F356" t="s">
        <v>551</v>
      </c>
      <c r="H356" t="s">
        <v>1729</v>
      </c>
      <c r="J356" t="str">
        <f t="shared" si="5"/>
        <v>FORM N-PORT-C.12</v>
      </c>
      <c r="K356" t="s">
        <v>1736</v>
      </c>
      <c r="L356" t="s">
        <v>1187</v>
      </c>
      <c r="M356" t="s">
        <v>1737</v>
      </c>
      <c r="N356" t="s">
        <v>1738</v>
      </c>
      <c r="Q356" s="18" t="s">
        <v>1341</v>
      </c>
    </row>
    <row r="357" spans="1:17" x14ac:dyDescent="0.35">
      <c r="A357" t="s">
        <v>1334</v>
      </c>
      <c r="B357" s="3" t="s">
        <v>102</v>
      </c>
      <c r="C357" s="3"/>
      <c r="D357" s="3"/>
      <c r="E357" s="3"/>
      <c r="F357" t="s">
        <v>551</v>
      </c>
      <c r="H357" t="s">
        <v>1729</v>
      </c>
      <c r="J357" t="str">
        <f t="shared" si="5"/>
        <v>FORM N-PORT-C.12</v>
      </c>
      <c r="K357" t="s">
        <v>1739</v>
      </c>
      <c r="L357" t="s">
        <v>783</v>
      </c>
      <c r="M357" t="s">
        <v>1740</v>
      </c>
      <c r="N357" t="s">
        <v>1741</v>
      </c>
      <c r="Q357" s="18" t="s">
        <v>1590</v>
      </c>
    </row>
    <row r="358" spans="1:17" x14ac:dyDescent="0.35">
      <c r="A358" t="s">
        <v>1334</v>
      </c>
      <c r="B358" s="3" t="s">
        <v>102</v>
      </c>
      <c r="C358" s="3"/>
      <c r="D358" s="3"/>
      <c r="E358" s="3"/>
      <c r="F358" t="s">
        <v>551</v>
      </c>
      <c r="H358" t="s">
        <v>1729</v>
      </c>
      <c r="J358" t="str">
        <f t="shared" si="5"/>
        <v>FORM N-PORT-C.12</v>
      </c>
      <c r="K358" t="s">
        <v>1742</v>
      </c>
      <c r="L358" t="s">
        <v>1187</v>
      </c>
      <c r="M358" t="s">
        <v>1743</v>
      </c>
      <c r="N358" t="s">
        <v>1744</v>
      </c>
      <c r="Q358" s="18" t="s">
        <v>1341</v>
      </c>
    </row>
    <row r="359" spans="1:17" x14ac:dyDescent="0.35">
      <c r="A359" t="s">
        <v>1334</v>
      </c>
      <c r="B359" s="3" t="s">
        <v>102</v>
      </c>
      <c r="C359" s="3"/>
      <c r="D359" s="3"/>
      <c r="E359" s="3"/>
      <c r="F359" t="s">
        <v>551</v>
      </c>
      <c r="H359" t="s">
        <v>1729</v>
      </c>
      <c r="J359" t="str">
        <f t="shared" si="5"/>
        <v>FORM N-PORT-C.12</v>
      </c>
      <c r="K359" t="s">
        <v>1745</v>
      </c>
      <c r="L359" t="s">
        <v>783</v>
      </c>
      <c r="M359" t="s">
        <v>1746</v>
      </c>
      <c r="N359" t="s">
        <v>1747</v>
      </c>
      <c r="Q359" s="18" t="s">
        <v>1590</v>
      </c>
    </row>
    <row r="360" spans="1:17" x14ac:dyDescent="0.35">
      <c r="A360" t="s">
        <v>1334</v>
      </c>
      <c r="B360" s="3" t="s">
        <v>102</v>
      </c>
      <c r="C360" s="3"/>
      <c r="D360" s="3"/>
      <c r="E360" s="3"/>
      <c r="F360" t="s">
        <v>551</v>
      </c>
      <c r="H360" t="s">
        <v>593</v>
      </c>
      <c r="J360" t="str">
        <f t="shared" si="5"/>
        <v>FORM N-PORT-C.1</v>
      </c>
      <c r="K360" t="s">
        <v>1522</v>
      </c>
      <c r="L360" t="s">
        <v>229</v>
      </c>
      <c r="M360" t="s">
        <v>1523</v>
      </c>
      <c r="N360" t="s">
        <v>1524</v>
      </c>
      <c r="Q360" s="18" t="s">
        <v>8847</v>
      </c>
    </row>
    <row r="361" spans="1:17" x14ac:dyDescent="0.35">
      <c r="A361" t="s">
        <v>1334</v>
      </c>
      <c r="B361" s="3" t="s">
        <v>102</v>
      </c>
      <c r="C361" s="3"/>
      <c r="D361" s="3"/>
      <c r="E361" s="3"/>
      <c r="F361" t="s">
        <v>551</v>
      </c>
      <c r="H361" t="s">
        <v>593</v>
      </c>
      <c r="J361" t="str">
        <f t="shared" si="5"/>
        <v>FORM N-PORT-C.1</v>
      </c>
      <c r="K361" t="s">
        <v>1526</v>
      </c>
      <c r="L361" t="s">
        <v>1313</v>
      </c>
      <c r="M361" t="s">
        <v>1527</v>
      </c>
      <c r="N361" t="s">
        <v>1528</v>
      </c>
      <c r="Q361" s="18" t="s">
        <v>1529</v>
      </c>
    </row>
    <row r="362" spans="1:17" x14ac:dyDescent="0.35">
      <c r="A362" t="s">
        <v>1334</v>
      </c>
      <c r="B362" s="3" t="s">
        <v>102</v>
      </c>
      <c r="C362" s="3"/>
      <c r="D362" s="3"/>
      <c r="E362" s="3"/>
      <c r="F362" t="s">
        <v>551</v>
      </c>
      <c r="H362" t="s">
        <v>593</v>
      </c>
      <c r="J362" t="str">
        <f t="shared" si="5"/>
        <v>FORM N-PORT-C.1</v>
      </c>
      <c r="K362" t="s">
        <v>1530</v>
      </c>
      <c r="L362" t="s">
        <v>229</v>
      </c>
      <c r="M362" t="s">
        <v>1531</v>
      </c>
      <c r="N362" t="s">
        <v>1532</v>
      </c>
      <c r="Q362" s="18" t="s">
        <v>9157</v>
      </c>
    </row>
    <row r="363" spans="1:17" x14ac:dyDescent="0.35">
      <c r="A363" t="s">
        <v>1334</v>
      </c>
      <c r="B363" s="3" t="s">
        <v>102</v>
      </c>
      <c r="C363" s="3"/>
      <c r="D363" s="3"/>
      <c r="E363" s="3"/>
      <c r="F363" t="s">
        <v>551</v>
      </c>
      <c r="H363" t="s">
        <v>593</v>
      </c>
      <c r="J363" t="str">
        <f t="shared" si="5"/>
        <v>FORM N-PORT-C.1</v>
      </c>
      <c r="K363" t="s">
        <v>1534</v>
      </c>
      <c r="L363" t="s">
        <v>1313</v>
      </c>
      <c r="M363" t="s">
        <v>1535</v>
      </c>
      <c r="N363" t="s">
        <v>1536</v>
      </c>
      <c r="Q363" s="18" t="s">
        <v>9158</v>
      </c>
    </row>
    <row r="364" spans="1:17" x14ac:dyDescent="0.35">
      <c r="A364" t="s">
        <v>1334</v>
      </c>
      <c r="B364" s="3" t="s">
        <v>102</v>
      </c>
      <c r="C364" s="3"/>
      <c r="D364" s="3"/>
      <c r="E364" s="3"/>
      <c r="F364" t="s">
        <v>551</v>
      </c>
      <c r="H364" t="s">
        <v>593</v>
      </c>
      <c r="J364" t="str">
        <f t="shared" si="5"/>
        <v>FORM N-PORT-C.1</v>
      </c>
      <c r="K364" t="s">
        <v>1538</v>
      </c>
      <c r="L364" t="s">
        <v>1313</v>
      </c>
      <c r="M364" t="s">
        <v>1539</v>
      </c>
      <c r="N364" t="s">
        <v>1540</v>
      </c>
      <c r="Q364" s="18" t="s">
        <v>9159</v>
      </c>
    </row>
    <row r="365" spans="1:17" x14ac:dyDescent="0.35">
      <c r="A365" t="s">
        <v>1334</v>
      </c>
      <c r="B365" s="3" t="s">
        <v>102</v>
      </c>
      <c r="C365" s="3"/>
      <c r="D365" s="3"/>
      <c r="E365" s="3"/>
      <c r="F365" t="s">
        <v>551</v>
      </c>
      <c r="H365" t="s">
        <v>1542</v>
      </c>
      <c r="J365" t="str">
        <f t="shared" si="5"/>
        <v>FORM N-PORT-C.2</v>
      </c>
      <c r="K365" t="s">
        <v>1543</v>
      </c>
      <c r="L365" t="s">
        <v>783</v>
      </c>
      <c r="M365" t="s">
        <v>1544</v>
      </c>
      <c r="N365" t="s">
        <v>1545</v>
      </c>
      <c r="Q365" s="18">
        <v>17830000</v>
      </c>
    </row>
    <row r="366" spans="1:17" x14ac:dyDescent="0.35">
      <c r="A366" t="s">
        <v>1334</v>
      </c>
      <c r="B366" s="3" t="s">
        <v>102</v>
      </c>
      <c r="C366" s="3"/>
      <c r="D366" s="3"/>
      <c r="E366" s="3"/>
      <c r="F366" t="s">
        <v>551</v>
      </c>
      <c r="H366" t="s">
        <v>1542</v>
      </c>
      <c r="J366" t="str">
        <f t="shared" si="5"/>
        <v>FORM N-PORT-C.2</v>
      </c>
      <c r="K366" t="s">
        <v>1546</v>
      </c>
      <c r="L366" t="s">
        <v>1502</v>
      </c>
      <c r="M366" t="s">
        <v>1547</v>
      </c>
      <c r="N366" t="s">
        <v>1548</v>
      </c>
      <c r="Q366" s="18" t="s">
        <v>1549</v>
      </c>
    </row>
    <row r="367" spans="1:17" x14ac:dyDescent="0.35">
      <c r="A367" t="s">
        <v>1334</v>
      </c>
      <c r="B367" s="3" t="s">
        <v>102</v>
      </c>
      <c r="C367" s="3"/>
      <c r="D367" s="3"/>
      <c r="E367" s="3"/>
      <c r="F367" t="s">
        <v>551</v>
      </c>
      <c r="H367" t="s">
        <v>1542</v>
      </c>
      <c r="J367" t="str">
        <f t="shared" si="5"/>
        <v>FORM N-PORT-C.2</v>
      </c>
      <c r="K367" t="s">
        <v>1550</v>
      </c>
      <c r="L367" t="s">
        <v>783</v>
      </c>
      <c r="M367" t="s">
        <v>1551</v>
      </c>
      <c r="N367" t="s">
        <v>1552</v>
      </c>
      <c r="Q367" s="18">
        <v>17505636.640000001</v>
      </c>
    </row>
    <row r="368" spans="1:17" x14ac:dyDescent="0.35">
      <c r="A368" t="s">
        <v>1334</v>
      </c>
      <c r="B368" s="3" t="s">
        <v>102</v>
      </c>
      <c r="C368" s="3"/>
      <c r="D368" s="3"/>
      <c r="E368" s="3"/>
      <c r="F368" t="s">
        <v>551</v>
      </c>
      <c r="H368" t="s">
        <v>1542</v>
      </c>
      <c r="J368" t="str">
        <f t="shared" si="5"/>
        <v>FORM N-PORT-C.2</v>
      </c>
      <c r="K368" t="s">
        <v>1553</v>
      </c>
      <c r="L368" t="s">
        <v>1198</v>
      </c>
      <c r="M368" t="s">
        <v>1554</v>
      </c>
      <c r="N368" t="s">
        <v>1555</v>
      </c>
      <c r="Q368" s="18">
        <v>7.4958582000000003E-3</v>
      </c>
    </row>
    <row r="369" spans="1:17" x14ac:dyDescent="0.35">
      <c r="A369" t="s">
        <v>1334</v>
      </c>
      <c r="B369" s="3" t="s">
        <v>102</v>
      </c>
      <c r="C369" s="3"/>
      <c r="D369" s="3"/>
      <c r="E369" s="3"/>
      <c r="F369" t="s">
        <v>551</v>
      </c>
      <c r="H369" t="s">
        <v>1542</v>
      </c>
      <c r="J369" t="str">
        <f t="shared" si="5"/>
        <v>FORM N-PORT-C.2</v>
      </c>
      <c r="K369" t="s">
        <v>1556</v>
      </c>
      <c r="L369" t="s">
        <v>1187</v>
      </c>
      <c r="M369" t="s">
        <v>1557</v>
      </c>
      <c r="N369" t="s">
        <v>1558</v>
      </c>
      <c r="Q369" s="18" t="s">
        <v>1590</v>
      </c>
    </row>
    <row r="370" spans="1:17" x14ac:dyDescent="0.35">
      <c r="A370" t="s">
        <v>1334</v>
      </c>
      <c r="B370" s="3" t="s">
        <v>102</v>
      </c>
      <c r="C370" s="3"/>
      <c r="D370" s="3"/>
      <c r="E370" s="3"/>
      <c r="F370" t="s">
        <v>551</v>
      </c>
      <c r="H370" t="s">
        <v>1559</v>
      </c>
      <c r="J370" t="str">
        <f t="shared" si="5"/>
        <v>FORM N-PORT-C.3</v>
      </c>
      <c r="K370" t="s">
        <v>1560</v>
      </c>
      <c r="L370" t="s">
        <v>229</v>
      </c>
      <c r="M370" t="s">
        <v>1561</v>
      </c>
      <c r="N370" t="s">
        <v>1562</v>
      </c>
      <c r="Q370" s="18" t="s">
        <v>1563</v>
      </c>
    </row>
    <row r="371" spans="1:17" x14ac:dyDescent="0.35">
      <c r="A371" t="s">
        <v>1334</v>
      </c>
      <c r="B371" s="3" t="s">
        <v>102</v>
      </c>
      <c r="C371" s="3"/>
      <c r="D371" s="3"/>
      <c r="E371" s="3"/>
      <c r="F371" t="s">
        <v>551</v>
      </c>
      <c r="H371" t="s">
        <v>1564</v>
      </c>
      <c r="J371" t="str">
        <f t="shared" si="5"/>
        <v>FORM N-PORT-C.4</v>
      </c>
      <c r="K371" t="s">
        <v>1565</v>
      </c>
      <c r="L371" t="s">
        <v>1566</v>
      </c>
      <c r="M371" t="s">
        <v>1567</v>
      </c>
      <c r="N371" t="s">
        <v>1568</v>
      </c>
      <c r="Q371" s="18" t="s">
        <v>1569</v>
      </c>
    </row>
    <row r="372" spans="1:17" x14ac:dyDescent="0.35">
      <c r="A372" t="s">
        <v>1334</v>
      </c>
      <c r="B372" s="3" t="s">
        <v>102</v>
      </c>
      <c r="C372" s="3"/>
      <c r="D372" s="3"/>
      <c r="E372" s="3"/>
      <c r="F372" t="s">
        <v>551</v>
      </c>
      <c r="H372" t="s">
        <v>1564</v>
      </c>
      <c r="J372" t="str">
        <f t="shared" si="5"/>
        <v>FORM N-PORT-C.4</v>
      </c>
      <c r="K372" t="s">
        <v>1570</v>
      </c>
      <c r="L372" t="s">
        <v>1566</v>
      </c>
      <c r="M372" t="s">
        <v>1571</v>
      </c>
      <c r="N372" t="s">
        <v>1572</v>
      </c>
      <c r="Q372" s="18" t="s">
        <v>1573</v>
      </c>
    </row>
    <row r="373" spans="1:17" x14ac:dyDescent="0.35">
      <c r="A373" t="s">
        <v>1334</v>
      </c>
      <c r="B373" s="3" t="s">
        <v>102</v>
      </c>
      <c r="C373" s="3"/>
      <c r="D373" s="3"/>
      <c r="E373" s="3"/>
      <c r="F373" t="s">
        <v>551</v>
      </c>
      <c r="H373" t="s">
        <v>1574</v>
      </c>
      <c r="J373" t="str">
        <f t="shared" si="5"/>
        <v>FORM N-PORT-C.5</v>
      </c>
      <c r="K373" t="s">
        <v>1575</v>
      </c>
      <c r="L373" t="s">
        <v>1502</v>
      </c>
      <c r="M373" t="s">
        <v>1576</v>
      </c>
      <c r="N373" t="s">
        <v>1577</v>
      </c>
      <c r="Q373" s="18" t="s">
        <v>1578</v>
      </c>
    </row>
    <row r="374" spans="1:17" x14ac:dyDescent="0.35">
      <c r="A374" t="s">
        <v>1334</v>
      </c>
      <c r="B374" s="3" t="s">
        <v>102</v>
      </c>
      <c r="C374" s="3"/>
      <c r="D374" s="3"/>
      <c r="E374" s="3"/>
      <c r="F374" t="s">
        <v>551</v>
      </c>
      <c r="H374" t="s">
        <v>1574</v>
      </c>
      <c r="J374" t="str">
        <f t="shared" si="5"/>
        <v>FORM N-PORT-C.5</v>
      </c>
      <c r="K374" t="s">
        <v>1579</v>
      </c>
      <c r="L374" t="s">
        <v>1502</v>
      </c>
      <c r="M374" t="s">
        <v>1580</v>
      </c>
      <c r="N374" t="s">
        <v>1581</v>
      </c>
      <c r="Q374" s="18" t="s">
        <v>1590</v>
      </c>
    </row>
    <row r="375" spans="1:17" x14ac:dyDescent="0.35">
      <c r="A375" t="s">
        <v>1334</v>
      </c>
      <c r="B375" s="3" t="s">
        <v>102</v>
      </c>
      <c r="C375" s="3"/>
      <c r="D375" s="3"/>
      <c r="E375" s="3"/>
      <c r="F375" t="s">
        <v>551</v>
      </c>
      <c r="H375" t="s">
        <v>1582</v>
      </c>
      <c r="J375" t="str">
        <f t="shared" si="5"/>
        <v>FORM N-PORT-C.6</v>
      </c>
      <c r="K375" t="s">
        <v>1583</v>
      </c>
      <c r="L375" t="s">
        <v>1187</v>
      </c>
      <c r="M375" t="s">
        <v>1584</v>
      </c>
      <c r="N375" t="s">
        <v>1585</v>
      </c>
      <c r="Q375" s="18" t="s">
        <v>1341</v>
      </c>
    </row>
    <row r="376" spans="1:17" x14ac:dyDescent="0.35">
      <c r="A376" t="s">
        <v>1334</v>
      </c>
      <c r="B376" s="3" t="s">
        <v>102</v>
      </c>
      <c r="C376" s="3"/>
      <c r="D376" s="3"/>
      <c r="E376" s="3"/>
      <c r="F376" t="s">
        <v>551</v>
      </c>
      <c r="H376" t="s">
        <v>1586</v>
      </c>
      <c r="J376" t="str">
        <f t="shared" si="5"/>
        <v>FORM N-PORT-C.7</v>
      </c>
      <c r="K376" t="s">
        <v>1587</v>
      </c>
      <c r="L376" t="s">
        <v>1566</v>
      </c>
      <c r="M376" t="s">
        <v>1588</v>
      </c>
      <c r="N376" t="s">
        <v>1589</v>
      </c>
      <c r="Q376" s="18" t="s">
        <v>1590</v>
      </c>
    </row>
    <row r="377" spans="1:17" x14ac:dyDescent="0.35">
      <c r="A377" t="s">
        <v>1334</v>
      </c>
      <c r="B377" s="3" t="s">
        <v>102</v>
      </c>
      <c r="C377" s="3"/>
      <c r="D377" s="3"/>
      <c r="E377" s="3"/>
      <c r="F377" t="s">
        <v>551</v>
      </c>
      <c r="H377" t="s">
        <v>1591</v>
      </c>
      <c r="J377" t="str">
        <f t="shared" si="5"/>
        <v>FORM N-PORT-C.8</v>
      </c>
      <c r="K377" t="s">
        <v>1592</v>
      </c>
      <c r="L377" t="s">
        <v>241</v>
      </c>
      <c r="M377" t="s">
        <v>1593</v>
      </c>
      <c r="N377" t="s">
        <v>1594</v>
      </c>
      <c r="Q377" s="18">
        <v>2</v>
      </c>
    </row>
    <row r="378" spans="1:17" x14ac:dyDescent="0.35">
      <c r="A378" t="s">
        <v>1334</v>
      </c>
      <c r="B378" s="3" t="s">
        <v>102</v>
      </c>
      <c r="C378" s="3"/>
      <c r="D378" s="3"/>
      <c r="E378" s="3"/>
      <c r="F378" t="s">
        <v>551</v>
      </c>
      <c r="H378" t="s">
        <v>1595</v>
      </c>
      <c r="J378" t="str">
        <f t="shared" si="5"/>
        <v>FORM N-PORT-C.9</v>
      </c>
      <c r="K378" t="s">
        <v>1596</v>
      </c>
      <c r="L378" t="s">
        <v>1331</v>
      </c>
      <c r="M378" t="s">
        <v>1597</v>
      </c>
      <c r="N378" t="s">
        <v>1598</v>
      </c>
      <c r="Q378" s="17">
        <v>46827</v>
      </c>
    </row>
    <row r="379" spans="1:17" x14ac:dyDescent="0.35">
      <c r="A379" t="s">
        <v>1334</v>
      </c>
      <c r="B379" s="3" t="s">
        <v>102</v>
      </c>
      <c r="C379" s="3"/>
      <c r="D379" s="3"/>
      <c r="E379" s="3"/>
      <c r="F379" t="s">
        <v>551</v>
      </c>
      <c r="H379" t="s">
        <v>1595</v>
      </c>
      <c r="J379" t="str">
        <f t="shared" si="5"/>
        <v>FORM N-PORT-C.9</v>
      </c>
      <c r="K379" t="s">
        <v>1599</v>
      </c>
      <c r="L379" t="s">
        <v>1600</v>
      </c>
      <c r="M379" t="s">
        <v>1601</v>
      </c>
      <c r="N379" t="s">
        <v>1602</v>
      </c>
      <c r="Q379" s="18" t="s">
        <v>9160</v>
      </c>
    </row>
    <row r="380" spans="1:17" x14ac:dyDescent="0.35">
      <c r="A380" t="s">
        <v>1334</v>
      </c>
      <c r="B380" s="3" t="s">
        <v>102</v>
      </c>
      <c r="C380" s="3"/>
      <c r="D380" s="3"/>
      <c r="E380" s="3"/>
      <c r="F380" t="s">
        <v>551</v>
      </c>
      <c r="H380" t="s">
        <v>1595</v>
      </c>
      <c r="J380" t="str">
        <f t="shared" si="5"/>
        <v>FORM N-PORT-C.9</v>
      </c>
      <c r="K380" t="s">
        <v>1604</v>
      </c>
      <c r="L380" t="s">
        <v>1187</v>
      </c>
      <c r="M380" t="s">
        <v>1605</v>
      </c>
      <c r="N380" t="s">
        <v>1606</v>
      </c>
      <c r="Q380" s="18" t="s">
        <v>1341</v>
      </c>
    </row>
    <row r="381" spans="1:17" x14ac:dyDescent="0.35">
      <c r="A381" t="s">
        <v>1334</v>
      </c>
      <c r="B381" s="3" t="s">
        <v>102</v>
      </c>
      <c r="C381" s="3"/>
      <c r="D381" s="3"/>
      <c r="E381" s="3"/>
      <c r="F381" t="s">
        <v>551</v>
      </c>
      <c r="H381" t="s">
        <v>1595</v>
      </c>
      <c r="J381" t="str">
        <f t="shared" si="5"/>
        <v>FORM N-PORT-C.9</v>
      </c>
      <c r="K381" t="s">
        <v>1607</v>
      </c>
      <c r="L381" t="s">
        <v>1187</v>
      </c>
      <c r="M381" t="s">
        <v>1608</v>
      </c>
      <c r="N381" t="s">
        <v>1609</v>
      </c>
      <c r="Q381" s="18" t="s">
        <v>1341</v>
      </c>
    </row>
    <row r="382" spans="1:17" x14ac:dyDescent="0.35">
      <c r="A382" t="s">
        <v>1334</v>
      </c>
      <c r="B382" s="3" t="s">
        <v>102</v>
      </c>
      <c r="C382" s="3"/>
      <c r="D382" s="3"/>
      <c r="E382" s="3"/>
      <c r="F382" t="s">
        <v>551</v>
      </c>
      <c r="H382" t="s">
        <v>1595</v>
      </c>
      <c r="J382" t="str">
        <f t="shared" si="5"/>
        <v>FORM N-PORT-C.9</v>
      </c>
      <c r="K382" t="s">
        <v>1610</v>
      </c>
      <c r="L382" t="s">
        <v>1187</v>
      </c>
      <c r="M382" t="s">
        <v>1611</v>
      </c>
      <c r="N382" t="s">
        <v>1612</v>
      </c>
      <c r="Q382" s="18" t="s">
        <v>1341</v>
      </c>
    </row>
    <row r="383" spans="1:17" x14ac:dyDescent="0.35">
      <c r="A383" t="s">
        <v>1334</v>
      </c>
      <c r="B383" s="3" t="s">
        <v>102</v>
      </c>
      <c r="C383" s="3"/>
      <c r="D383" s="3"/>
      <c r="E383" s="3"/>
      <c r="F383" t="s">
        <v>551</v>
      </c>
      <c r="H383" t="s">
        <v>1595</v>
      </c>
      <c r="J383" t="str">
        <f t="shared" si="5"/>
        <v>FORM N-PORT-C.9</v>
      </c>
      <c r="K383" t="s">
        <v>1613</v>
      </c>
      <c r="L383" t="s">
        <v>1187</v>
      </c>
      <c r="M383" t="s">
        <v>1614</v>
      </c>
      <c r="N383" t="s">
        <v>1615</v>
      </c>
      <c r="Q383" s="18" t="s">
        <v>1590</v>
      </c>
    </row>
    <row r="384" spans="1:17" x14ac:dyDescent="0.35">
      <c r="A384" t="s">
        <v>1334</v>
      </c>
      <c r="B384" s="3" t="s">
        <v>102</v>
      </c>
      <c r="C384" s="3"/>
      <c r="D384" s="3"/>
      <c r="E384" s="3"/>
      <c r="F384" t="s">
        <v>551</v>
      </c>
      <c r="H384" t="s">
        <v>1595</v>
      </c>
      <c r="J384" t="str">
        <f t="shared" si="5"/>
        <v>FORM N-PORT-C.9</v>
      </c>
      <c r="K384" t="s">
        <v>1616</v>
      </c>
      <c r="L384" t="s">
        <v>1187</v>
      </c>
      <c r="M384" t="s">
        <v>1617</v>
      </c>
      <c r="N384" t="s">
        <v>1618</v>
      </c>
      <c r="Q384" s="18" t="s">
        <v>1590</v>
      </c>
    </row>
    <row r="385" spans="1:17" x14ac:dyDescent="0.35">
      <c r="A385" t="s">
        <v>1334</v>
      </c>
      <c r="B385" s="3" t="s">
        <v>102</v>
      </c>
      <c r="C385" s="3"/>
      <c r="D385" s="3"/>
      <c r="E385" s="3"/>
      <c r="F385" t="s">
        <v>551</v>
      </c>
      <c r="H385" t="s">
        <v>1595</v>
      </c>
      <c r="J385" t="str">
        <f t="shared" si="5"/>
        <v>FORM N-PORT-C.9</v>
      </c>
      <c r="K385" t="s">
        <v>1619</v>
      </c>
      <c r="L385" t="s">
        <v>1502</v>
      </c>
      <c r="M385" t="s">
        <v>1620</v>
      </c>
      <c r="N385" t="s">
        <v>1621</v>
      </c>
      <c r="Q385" s="18" t="s">
        <v>1590</v>
      </c>
    </row>
    <row r="386" spans="1:17" x14ac:dyDescent="0.35">
      <c r="A386" t="s">
        <v>1334</v>
      </c>
      <c r="B386" s="3" t="s">
        <v>102</v>
      </c>
      <c r="C386" s="3"/>
      <c r="D386" s="3"/>
      <c r="E386" s="3"/>
      <c r="F386" t="s">
        <v>551</v>
      </c>
      <c r="H386" t="s">
        <v>1595</v>
      </c>
      <c r="J386" t="str">
        <f t="shared" si="5"/>
        <v>FORM N-PORT-C.9</v>
      </c>
      <c r="K386" t="s">
        <v>1622</v>
      </c>
      <c r="L386" t="s">
        <v>783</v>
      </c>
      <c r="M386" t="s">
        <v>1623</v>
      </c>
      <c r="N386" t="s">
        <v>1624</v>
      </c>
      <c r="Q386" s="18" t="s">
        <v>1590</v>
      </c>
    </row>
    <row r="387" spans="1:17" x14ac:dyDescent="0.35">
      <c r="A387" t="s">
        <v>1334</v>
      </c>
      <c r="B387" s="3" t="s">
        <v>102</v>
      </c>
      <c r="C387" s="3"/>
      <c r="D387" s="3"/>
      <c r="E387" s="3"/>
      <c r="F387" t="s">
        <v>551</v>
      </c>
      <c r="H387" t="s">
        <v>1595</v>
      </c>
      <c r="J387" t="str">
        <f t="shared" ref="J387:J450" si="6">_xlfn.CONCAT(A387,"-",H387)</f>
        <v>FORM N-PORT-C.9</v>
      </c>
      <c r="K387" t="s">
        <v>1625</v>
      </c>
      <c r="L387" t="s">
        <v>783</v>
      </c>
      <c r="M387" t="s">
        <v>1626</v>
      </c>
      <c r="N387" t="s">
        <v>1627</v>
      </c>
      <c r="Q387" s="18" t="s">
        <v>1590</v>
      </c>
    </row>
    <row r="388" spans="1:17" x14ac:dyDescent="0.35">
      <c r="A388" t="s">
        <v>1334</v>
      </c>
      <c r="B388" s="3" t="s">
        <v>102</v>
      </c>
      <c r="C388" s="3"/>
      <c r="D388" s="3"/>
      <c r="E388" s="3"/>
      <c r="F388" t="s">
        <v>551</v>
      </c>
      <c r="H388" t="s">
        <v>1628</v>
      </c>
      <c r="J388" t="str">
        <f t="shared" si="6"/>
        <v>FORM N-PORT-C.10</v>
      </c>
      <c r="K388" t="s">
        <v>1629</v>
      </c>
      <c r="L388" t="s">
        <v>1566</v>
      </c>
      <c r="M388" t="s">
        <v>1630</v>
      </c>
      <c r="N388" t="s">
        <v>1631</v>
      </c>
      <c r="Q388" s="18" t="s">
        <v>1590</v>
      </c>
    </row>
    <row r="389" spans="1:17" x14ac:dyDescent="0.35">
      <c r="A389" t="s">
        <v>1334</v>
      </c>
      <c r="B389" s="3" t="s">
        <v>102</v>
      </c>
      <c r="C389" s="3"/>
      <c r="D389" s="3"/>
      <c r="E389" s="3"/>
      <c r="F389" t="s">
        <v>551</v>
      </c>
      <c r="H389" t="s">
        <v>1628</v>
      </c>
      <c r="J389" t="str">
        <f t="shared" si="6"/>
        <v>FORM N-PORT-C.10</v>
      </c>
      <c r="K389" t="s">
        <v>1632</v>
      </c>
      <c r="L389" t="s">
        <v>1502</v>
      </c>
      <c r="M389" t="s">
        <v>1633</v>
      </c>
      <c r="N389" t="s">
        <v>1634</v>
      </c>
      <c r="Q389" s="18" t="s">
        <v>1590</v>
      </c>
    </row>
    <row r="390" spans="1:17" x14ac:dyDescent="0.35">
      <c r="A390" t="s">
        <v>1334</v>
      </c>
      <c r="B390" s="3" t="s">
        <v>102</v>
      </c>
      <c r="C390" s="3"/>
      <c r="D390" s="3"/>
      <c r="E390" s="3"/>
      <c r="F390" t="s">
        <v>551</v>
      </c>
      <c r="H390" t="s">
        <v>1628</v>
      </c>
      <c r="J390" t="str">
        <f t="shared" si="6"/>
        <v>FORM N-PORT-C.10</v>
      </c>
      <c r="K390" t="s">
        <v>1635</v>
      </c>
      <c r="L390" t="s">
        <v>1187</v>
      </c>
      <c r="M390" t="s">
        <v>1636</v>
      </c>
      <c r="N390" t="s">
        <v>1637</v>
      </c>
      <c r="Q390" s="18" t="s">
        <v>1590</v>
      </c>
    </row>
    <row r="391" spans="1:17" x14ac:dyDescent="0.35">
      <c r="A391" t="s">
        <v>1334</v>
      </c>
      <c r="B391" s="3" t="s">
        <v>102</v>
      </c>
      <c r="C391" s="3"/>
      <c r="D391" s="3"/>
      <c r="E391" s="3"/>
      <c r="F391" t="s">
        <v>551</v>
      </c>
      <c r="H391" t="s">
        <v>1628</v>
      </c>
      <c r="J391" t="str">
        <f t="shared" si="6"/>
        <v>FORM N-PORT-C.10</v>
      </c>
      <c r="K391" t="s">
        <v>1638</v>
      </c>
      <c r="L391" t="s">
        <v>1502</v>
      </c>
      <c r="M391" t="s">
        <v>1639</v>
      </c>
      <c r="N391" t="s">
        <v>1640</v>
      </c>
      <c r="Q391" s="18" t="s">
        <v>1590</v>
      </c>
    </row>
    <row r="392" spans="1:17" x14ac:dyDescent="0.35">
      <c r="A392" t="s">
        <v>1334</v>
      </c>
      <c r="B392" s="3" t="s">
        <v>102</v>
      </c>
      <c r="C392" s="3"/>
      <c r="D392" s="3"/>
      <c r="E392" s="3"/>
      <c r="F392" t="s">
        <v>551</v>
      </c>
      <c r="H392" t="s">
        <v>1628</v>
      </c>
      <c r="J392" t="str">
        <f t="shared" si="6"/>
        <v>FORM N-PORT-C.10</v>
      </c>
      <c r="K392" t="s">
        <v>1641</v>
      </c>
      <c r="L392" t="s">
        <v>1187</v>
      </c>
      <c r="M392" t="s">
        <v>1642</v>
      </c>
      <c r="N392" t="s">
        <v>1643</v>
      </c>
      <c r="Q392" s="18" t="s">
        <v>1590</v>
      </c>
    </row>
    <row r="393" spans="1:17" x14ac:dyDescent="0.35">
      <c r="A393" t="s">
        <v>1334</v>
      </c>
      <c r="B393" s="3" t="s">
        <v>102</v>
      </c>
      <c r="C393" s="3"/>
      <c r="D393" s="3"/>
      <c r="E393" s="3"/>
      <c r="F393" t="s">
        <v>551</v>
      </c>
      <c r="H393" t="s">
        <v>1628</v>
      </c>
      <c r="J393" t="str">
        <f t="shared" si="6"/>
        <v>FORM N-PORT-C.10</v>
      </c>
      <c r="K393" t="s">
        <v>1644</v>
      </c>
      <c r="L393" t="s">
        <v>1198</v>
      </c>
      <c r="M393" t="s">
        <v>1645</v>
      </c>
      <c r="N393" t="s">
        <v>1646</v>
      </c>
      <c r="Q393" s="18" t="s">
        <v>1590</v>
      </c>
    </row>
    <row r="394" spans="1:17" x14ac:dyDescent="0.35">
      <c r="A394" t="s">
        <v>1334</v>
      </c>
      <c r="B394" s="3" t="s">
        <v>102</v>
      </c>
      <c r="C394" s="3"/>
      <c r="D394" s="3"/>
      <c r="E394" s="3"/>
      <c r="F394" t="s">
        <v>551</v>
      </c>
      <c r="H394" t="s">
        <v>1628</v>
      </c>
      <c r="J394" t="str">
        <f t="shared" si="6"/>
        <v>FORM N-PORT-C.10</v>
      </c>
      <c r="K394" t="s">
        <v>1647</v>
      </c>
      <c r="L394" t="s">
        <v>1331</v>
      </c>
      <c r="M394" t="s">
        <v>1648</v>
      </c>
      <c r="N394" t="s">
        <v>1649</v>
      </c>
      <c r="Q394" s="18" t="s">
        <v>1590</v>
      </c>
    </row>
    <row r="395" spans="1:17" x14ac:dyDescent="0.35">
      <c r="A395" t="s">
        <v>1334</v>
      </c>
      <c r="B395" s="3" t="s">
        <v>102</v>
      </c>
      <c r="C395" s="3"/>
      <c r="D395" s="3"/>
      <c r="E395" s="3"/>
      <c r="F395" t="s">
        <v>551</v>
      </c>
      <c r="H395" t="s">
        <v>1628</v>
      </c>
      <c r="J395" t="str">
        <f t="shared" si="6"/>
        <v>FORM N-PORT-C.10</v>
      </c>
      <c r="K395" t="s">
        <v>1650</v>
      </c>
      <c r="L395" t="s">
        <v>783</v>
      </c>
      <c r="M395" t="s">
        <v>1651</v>
      </c>
      <c r="N395" t="s">
        <v>1652</v>
      </c>
      <c r="Q395" s="18" t="s">
        <v>1590</v>
      </c>
    </row>
    <row r="396" spans="1:17" x14ac:dyDescent="0.35">
      <c r="A396" t="s">
        <v>1334</v>
      </c>
      <c r="B396" s="3" t="s">
        <v>102</v>
      </c>
      <c r="C396" s="3"/>
      <c r="D396" s="3"/>
      <c r="E396" s="3"/>
      <c r="F396" t="s">
        <v>551</v>
      </c>
      <c r="H396" t="s">
        <v>1628</v>
      </c>
      <c r="J396" t="str">
        <f t="shared" si="6"/>
        <v>FORM N-PORT-C.10</v>
      </c>
      <c r="K396" t="s">
        <v>1653</v>
      </c>
      <c r="L396" t="s">
        <v>783</v>
      </c>
      <c r="M396" t="s">
        <v>1654</v>
      </c>
      <c r="N396" t="s">
        <v>1655</v>
      </c>
      <c r="Q396" s="18" t="s">
        <v>1590</v>
      </c>
    </row>
    <row r="397" spans="1:17" x14ac:dyDescent="0.35">
      <c r="A397" t="s">
        <v>1334</v>
      </c>
      <c r="B397" s="3" t="s">
        <v>102</v>
      </c>
      <c r="C397" s="3"/>
      <c r="D397" s="3"/>
      <c r="E397" s="3"/>
      <c r="F397" t="s">
        <v>551</v>
      </c>
      <c r="H397" t="s">
        <v>1628</v>
      </c>
      <c r="J397" t="str">
        <f t="shared" si="6"/>
        <v>FORM N-PORT-C.10</v>
      </c>
      <c r="K397" t="s">
        <v>1656</v>
      </c>
      <c r="L397" t="s">
        <v>1566</v>
      </c>
      <c r="M397" t="s">
        <v>1657</v>
      </c>
      <c r="N397" t="s">
        <v>1658</v>
      </c>
      <c r="Q397" s="18" t="s">
        <v>1590</v>
      </c>
    </row>
    <row r="398" spans="1:17" x14ac:dyDescent="0.35">
      <c r="A398" t="s">
        <v>1334</v>
      </c>
      <c r="B398" s="3" t="s">
        <v>102</v>
      </c>
      <c r="C398" s="3"/>
      <c r="D398" s="3"/>
      <c r="E398" s="3"/>
      <c r="F398" t="s">
        <v>551</v>
      </c>
      <c r="H398" t="s">
        <v>1659</v>
      </c>
      <c r="J398" t="str">
        <f t="shared" si="6"/>
        <v>FORM N-PORT-C.11</v>
      </c>
      <c r="K398" t="s">
        <v>1660</v>
      </c>
      <c r="L398" t="s">
        <v>1566</v>
      </c>
      <c r="M398" t="s">
        <v>1661</v>
      </c>
      <c r="N398" t="s">
        <v>1662</v>
      </c>
      <c r="Q398" s="18" t="s">
        <v>1590</v>
      </c>
    </row>
    <row r="399" spans="1:17" x14ac:dyDescent="0.35">
      <c r="A399" t="s">
        <v>1334</v>
      </c>
      <c r="B399" s="3" t="s">
        <v>102</v>
      </c>
      <c r="C399" s="3"/>
      <c r="D399" s="3"/>
      <c r="E399" s="3"/>
      <c r="F399" t="s">
        <v>551</v>
      </c>
      <c r="H399" t="s">
        <v>1659</v>
      </c>
      <c r="J399" t="str">
        <f t="shared" si="6"/>
        <v>FORM N-PORT-C.11</v>
      </c>
      <c r="K399" t="s">
        <v>1663</v>
      </c>
      <c r="L399" t="s">
        <v>1502</v>
      </c>
      <c r="M399" t="s">
        <v>1664</v>
      </c>
      <c r="N399" t="s">
        <v>1665</v>
      </c>
      <c r="Q399" s="18" t="s">
        <v>1590</v>
      </c>
    </row>
    <row r="400" spans="1:17" x14ac:dyDescent="0.35">
      <c r="A400" t="s">
        <v>1334</v>
      </c>
      <c r="B400" s="3" t="s">
        <v>102</v>
      </c>
      <c r="C400" s="3"/>
      <c r="D400" s="3"/>
      <c r="E400" s="3"/>
      <c r="F400" t="s">
        <v>551</v>
      </c>
      <c r="H400" t="s">
        <v>1659</v>
      </c>
      <c r="J400" t="str">
        <f t="shared" si="6"/>
        <v>FORM N-PORT-C.11</v>
      </c>
      <c r="K400" t="s">
        <v>1666</v>
      </c>
      <c r="L400" t="s">
        <v>1566</v>
      </c>
      <c r="M400" t="s">
        <v>1667</v>
      </c>
      <c r="N400" t="s">
        <v>1668</v>
      </c>
      <c r="Q400" s="18" t="s">
        <v>1590</v>
      </c>
    </row>
    <row r="401" spans="1:17" x14ac:dyDescent="0.35">
      <c r="A401" t="s">
        <v>1334</v>
      </c>
      <c r="B401" s="3" t="s">
        <v>102</v>
      </c>
      <c r="C401" s="3"/>
      <c r="D401" s="3"/>
      <c r="E401" s="3"/>
      <c r="F401" t="s">
        <v>551</v>
      </c>
      <c r="H401" t="s">
        <v>1659</v>
      </c>
      <c r="J401" t="str">
        <f t="shared" si="6"/>
        <v>FORM N-PORT-C.11</v>
      </c>
      <c r="K401" t="s">
        <v>1669</v>
      </c>
      <c r="L401" t="s">
        <v>1566</v>
      </c>
      <c r="M401" t="s">
        <v>1670</v>
      </c>
      <c r="N401" t="s">
        <v>1671</v>
      </c>
      <c r="Q401" s="18" t="s">
        <v>1590</v>
      </c>
    </row>
    <row r="402" spans="1:17" x14ac:dyDescent="0.35">
      <c r="A402" t="s">
        <v>1334</v>
      </c>
      <c r="B402" s="3" t="s">
        <v>102</v>
      </c>
      <c r="C402" s="3"/>
      <c r="D402" s="3"/>
      <c r="E402" s="3"/>
      <c r="F402" t="s">
        <v>551</v>
      </c>
      <c r="H402" t="s">
        <v>1659</v>
      </c>
      <c r="J402" t="str">
        <f t="shared" si="6"/>
        <v>FORM N-PORT-C.11</v>
      </c>
      <c r="K402" t="s">
        <v>1672</v>
      </c>
      <c r="L402" t="s">
        <v>1502</v>
      </c>
      <c r="M402" t="s">
        <v>1673</v>
      </c>
      <c r="N402" t="s">
        <v>1674</v>
      </c>
      <c r="Q402" s="18" t="s">
        <v>1590</v>
      </c>
    </row>
    <row r="403" spans="1:17" x14ac:dyDescent="0.35">
      <c r="A403" t="s">
        <v>1334</v>
      </c>
      <c r="B403" s="3" t="s">
        <v>102</v>
      </c>
      <c r="C403" s="3"/>
      <c r="D403" s="3"/>
      <c r="E403" s="3"/>
      <c r="F403" t="s">
        <v>551</v>
      </c>
      <c r="H403" t="s">
        <v>1659</v>
      </c>
      <c r="J403" t="str">
        <f t="shared" si="6"/>
        <v>FORM N-PORT-C.11</v>
      </c>
      <c r="K403" t="s">
        <v>1675</v>
      </c>
      <c r="L403" t="s">
        <v>783</v>
      </c>
      <c r="M403" t="s">
        <v>1676</v>
      </c>
      <c r="N403" t="s">
        <v>1677</v>
      </c>
      <c r="Q403" s="18" t="s">
        <v>1590</v>
      </c>
    </row>
    <row r="404" spans="1:17" x14ac:dyDescent="0.35">
      <c r="A404" t="s">
        <v>1334</v>
      </c>
      <c r="B404" s="3" t="s">
        <v>102</v>
      </c>
      <c r="C404" s="3"/>
      <c r="D404" s="3"/>
      <c r="E404" s="3"/>
      <c r="F404" t="s">
        <v>551</v>
      </c>
      <c r="H404" t="s">
        <v>1659</v>
      </c>
      <c r="J404" t="str">
        <f t="shared" si="6"/>
        <v>FORM N-PORT-C.11</v>
      </c>
      <c r="K404" t="s">
        <v>1678</v>
      </c>
      <c r="L404" t="s">
        <v>783</v>
      </c>
      <c r="M404" t="s">
        <v>1679</v>
      </c>
      <c r="N404" t="s">
        <v>1680</v>
      </c>
      <c r="Q404" s="18" t="s">
        <v>1590</v>
      </c>
    </row>
    <row r="405" spans="1:17" x14ac:dyDescent="0.35">
      <c r="A405" t="s">
        <v>1334</v>
      </c>
      <c r="B405" s="3" t="s">
        <v>102</v>
      </c>
      <c r="C405" s="3"/>
      <c r="D405" s="3"/>
      <c r="E405" s="3"/>
      <c r="F405" t="s">
        <v>551</v>
      </c>
      <c r="H405" t="s">
        <v>1659</v>
      </c>
      <c r="J405" t="str">
        <f t="shared" si="6"/>
        <v>FORM N-PORT-C.11</v>
      </c>
      <c r="K405" t="s">
        <v>1681</v>
      </c>
      <c r="L405" t="s">
        <v>1331</v>
      </c>
      <c r="M405" t="s">
        <v>1682</v>
      </c>
      <c r="N405" t="s">
        <v>1683</v>
      </c>
      <c r="Q405" s="18" t="s">
        <v>1590</v>
      </c>
    </row>
    <row r="406" spans="1:17" x14ac:dyDescent="0.35">
      <c r="A406" t="s">
        <v>1334</v>
      </c>
      <c r="B406" s="3" t="s">
        <v>102</v>
      </c>
      <c r="C406" s="3"/>
      <c r="D406" s="3"/>
      <c r="E406" s="3"/>
      <c r="F406" t="s">
        <v>551</v>
      </c>
      <c r="H406" t="s">
        <v>1659</v>
      </c>
      <c r="J406" t="str">
        <f t="shared" si="6"/>
        <v>FORM N-PORT-C.11</v>
      </c>
      <c r="K406" t="s">
        <v>1684</v>
      </c>
      <c r="L406" t="s">
        <v>783</v>
      </c>
      <c r="M406" t="s">
        <v>1685</v>
      </c>
      <c r="N406" t="s">
        <v>1686</v>
      </c>
      <c r="Q406" s="18" t="s">
        <v>1590</v>
      </c>
    </row>
    <row r="407" spans="1:17" x14ac:dyDescent="0.35">
      <c r="A407" t="s">
        <v>1334</v>
      </c>
      <c r="B407" s="3" t="s">
        <v>102</v>
      </c>
      <c r="C407" s="3"/>
      <c r="D407" s="3"/>
      <c r="E407" s="3"/>
      <c r="F407" t="s">
        <v>551</v>
      </c>
      <c r="H407" t="s">
        <v>1659</v>
      </c>
      <c r="J407" t="str">
        <f t="shared" si="6"/>
        <v>FORM N-PORT-C.11</v>
      </c>
      <c r="K407" t="s">
        <v>1687</v>
      </c>
      <c r="L407" t="s">
        <v>783</v>
      </c>
      <c r="M407" t="s">
        <v>1688</v>
      </c>
      <c r="N407" t="s">
        <v>1689</v>
      </c>
      <c r="Q407" s="18" t="s">
        <v>1590</v>
      </c>
    </row>
    <row r="408" spans="1:17" x14ac:dyDescent="0.35">
      <c r="A408" t="s">
        <v>1334</v>
      </c>
      <c r="B408" s="3" t="s">
        <v>102</v>
      </c>
      <c r="C408" s="3"/>
      <c r="D408" s="3"/>
      <c r="E408" s="3"/>
      <c r="F408" t="s">
        <v>551</v>
      </c>
      <c r="H408" t="s">
        <v>1659</v>
      </c>
      <c r="J408" t="str">
        <f t="shared" si="6"/>
        <v>FORM N-PORT-C.11</v>
      </c>
      <c r="K408" t="s">
        <v>1690</v>
      </c>
      <c r="L408" t="s">
        <v>1566</v>
      </c>
      <c r="M408" t="s">
        <v>1691</v>
      </c>
      <c r="N408" t="s">
        <v>1692</v>
      </c>
      <c r="Q408" s="18" t="s">
        <v>1590</v>
      </c>
    </row>
    <row r="409" spans="1:17" x14ac:dyDescent="0.35">
      <c r="A409" t="s">
        <v>1334</v>
      </c>
      <c r="B409" s="3" t="s">
        <v>102</v>
      </c>
      <c r="C409" s="3"/>
      <c r="D409" s="3"/>
      <c r="E409" s="3"/>
      <c r="F409" t="s">
        <v>551</v>
      </c>
      <c r="H409" t="s">
        <v>1659</v>
      </c>
      <c r="J409" t="str">
        <f t="shared" si="6"/>
        <v>FORM N-PORT-C.11</v>
      </c>
      <c r="K409" t="s">
        <v>1693</v>
      </c>
      <c r="L409" t="s">
        <v>1502</v>
      </c>
      <c r="M409" t="s">
        <v>1694</v>
      </c>
      <c r="N409" t="s">
        <v>1695</v>
      </c>
      <c r="Q409" s="18" t="s">
        <v>1590</v>
      </c>
    </row>
    <row r="410" spans="1:17" x14ac:dyDescent="0.35">
      <c r="A410" t="s">
        <v>1334</v>
      </c>
      <c r="B410" s="3" t="s">
        <v>102</v>
      </c>
      <c r="C410" s="3"/>
      <c r="D410" s="3"/>
      <c r="E410" s="3"/>
      <c r="F410" t="s">
        <v>551</v>
      </c>
      <c r="H410" t="s">
        <v>1659</v>
      </c>
      <c r="J410" t="str">
        <f t="shared" si="6"/>
        <v>FORM N-PORT-C.11</v>
      </c>
      <c r="K410" t="s">
        <v>1696</v>
      </c>
      <c r="L410" t="s">
        <v>1331</v>
      </c>
      <c r="M410" t="s">
        <v>1697</v>
      </c>
      <c r="N410" t="s">
        <v>1698</v>
      </c>
      <c r="Q410" s="18" t="s">
        <v>1590</v>
      </c>
    </row>
    <row r="411" spans="1:17" x14ac:dyDescent="0.35">
      <c r="A411" t="s">
        <v>1334</v>
      </c>
      <c r="B411" s="3" t="s">
        <v>102</v>
      </c>
      <c r="C411" s="3"/>
      <c r="D411" s="3"/>
      <c r="E411" s="3"/>
      <c r="F411" t="s">
        <v>551</v>
      </c>
      <c r="H411" t="s">
        <v>1659</v>
      </c>
      <c r="J411" t="str">
        <f t="shared" si="6"/>
        <v>FORM N-PORT-C.11</v>
      </c>
      <c r="K411" t="s">
        <v>1699</v>
      </c>
      <c r="L411" t="s">
        <v>783</v>
      </c>
      <c r="M411" t="s">
        <v>1700</v>
      </c>
      <c r="N411" t="s">
        <v>1701</v>
      </c>
      <c r="Q411" s="18" t="s">
        <v>1590</v>
      </c>
    </row>
    <row r="412" spans="1:17" x14ac:dyDescent="0.35">
      <c r="A412" t="s">
        <v>1334</v>
      </c>
      <c r="B412" s="3" t="s">
        <v>102</v>
      </c>
      <c r="C412" s="3"/>
      <c r="D412" s="3"/>
      <c r="E412" s="3"/>
      <c r="F412" t="s">
        <v>551</v>
      </c>
      <c r="H412" t="s">
        <v>1659</v>
      </c>
      <c r="J412" t="str">
        <f t="shared" si="6"/>
        <v>FORM N-PORT-C.11</v>
      </c>
      <c r="K412" t="s">
        <v>1702</v>
      </c>
      <c r="L412" t="s">
        <v>783</v>
      </c>
      <c r="M412" t="s">
        <v>1688</v>
      </c>
      <c r="N412" t="s">
        <v>1703</v>
      </c>
      <c r="Q412" s="18" t="s">
        <v>1590</v>
      </c>
    </row>
    <row r="413" spans="1:17" x14ac:dyDescent="0.35">
      <c r="A413" t="s">
        <v>1334</v>
      </c>
      <c r="B413" s="3" t="s">
        <v>102</v>
      </c>
      <c r="C413" s="3"/>
      <c r="D413" s="3"/>
      <c r="E413" s="3"/>
      <c r="F413" t="s">
        <v>551</v>
      </c>
      <c r="H413" t="s">
        <v>1659</v>
      </c>
      <c r="J413" t="str">
        <f t="shared" si="6"/>
        <v>FORM N-PORT-C.11</v>
      </c>
      <c r="K413" t="s">
        <v>1704</v>
      </c>
      <c r="L413" t="s">
        <v>229</v>
      </c>
      <c r="M413" t="s">
        <v>1705</v>
      </c>
      <c r="N413" t="s">
        <v>1706</v>
      </c>
      <c r="Q413" s="18" t="s">
        <v>1590</v>
      </c>
    </row>
    <row r="414" spans="1:17" x14ac:dyDescent="0.35">
      <c r="A414" t="s">
        <v>1334</v>
      </c>
      <c r="B414" s="3" t="s">
        <v>102</v>
      </c>
      <c r="C414" s="3"/>
      <c r="D414" s="3"/>
      <c r="E414" s="3"/>
      <c r="F414" t="s">
        <v>551</v>
      </c>
      <c r="H414" t="s">
        <v>1659</v>
      </c>
      <c r="J414" t="str">
        <f t="shared" si="6"/>
        <v>FORM N-PORT-C.11</v>
      </c>
      <c r="K414" t="s">
        <v>1707</v>
      </c>
      <c r="L414" t="s">
        <v>229</v>
      </c>
      <c r="M414" t="s">
        <v>1708</v>
      </c>
      <c r="N414" t="s">
        <v>1709</v>
      </c>
      <c r="Q414" s="18" t="s">
        <v>1590</v>
      </c>
    </row>
    <row r="415" spans="1:17" x14ac:dyDescent="0.35">
      <c r="A415" t="s">
        <v>1334</v>
      </c>
      <c r="B415" s="3" t="s">
        <v>102</v>
      </c>
      <c r="C415" s="3"/>
      <c r="D415" s="3"/>
      <c r="E415" s="3"/>
      <c r="F415" t="s">
        <v>551</v>
      </c>
      <c r="H415" t="s">
        <v>1659</v>
      </c>
      <c r="J415" t="str">
        <f t="shared" si="6"/>
        <v>FORM N-PORT-C.11</v>
      </c>
      <c r="K415" t="s">
        <v>1710</v>
      </c>
      <c r="L415" t="s">
        <v>1331</v>
      </c>
      <c r="M415" t="s">
        <v>1711</v>
      </c>
      <c r="N415" t="s">
        <v>1712</v>
      </c>
      <c r="Q415" s="18" t="s">
        <v>1590</v>
      </c>
    </row>
    <row r="416" spans="1:17" x14ac:dyDescent="0.35">
      <c r="A416" t="s">
        <v>1334</v>
      </c>
      <c r="B416" s="3" t="s">
        <v>102</v>
      </c>
      <c r="C416" s="3"/>
      <c r="D416" s="3"/>
      <c r="E416" s="3"/>
      <c r="F416" t="s">
        <v>551</v>
      </c>
      <c r="H416" t="s">
        <v>1659</v>
      </c>
      <c r="J416" t="str">
        <f t="shared" si="6"/>
        <v>FORM N-PORT-C.11</v>
      </c>
      <c r="K416" t="s">
        <v>1713</v>
      </c>
      <c r="L416" t="s">
        <v>783</v>
      </c>
      <c r="M416" t="s">
        <v>1688</v>
      </c>
      <c r="N416" t="s">
        <v>1714</v>
      </c>
      <c r="Q416" s="18" t="s">
        <v>1590</v>
      </c>
    </row>
    <row r="417" spans="1:17" x14ac:dyDescent="0.35">
      <c r="A417" t="s">
        <v>1334</v>
      </c>
      <c r="B417" s="3" t="s">
        <v>102</v>
      </c>
      <c r="C417" s="3"/>
      <c r="D417" s="3"/>
      <c r="E417" s="3"/>
      <c r="F417" t="s">
        <v>551</v>
      </c>
      <c r="H417" t="s">
        <v>1659</v>
      </c>
      <c r="J417" t="str">
        <f t="shared" si="6"/>
        <v>FORM N-PORT-C.11</v>
      </c>
      <c r="K417" t="s">
        <v>1715</v>
      </c>
      <c r="L417" t="s">
        <v>229</v>
      </c>
      <c r="M417" t="s">
        <v>1716</v>
      </c>
      <c r="N417" t="s">
        <v>1717</v>
      </c>
      <c r="Q417" s="18" t="s">
        <v>1590</v>
      </c>
    </row>
    <row r="418" spans="1:17" x14ac:dyDescent="0.35">
      <c r="A418" t="s">
        <v>1334</v>
      </c>
      <c r="B418" s="3" t="s">
        <v>102</v>
      </c>
      <c r="C418" s="3"/>
      <c r="D418" s="3"/>
      <c r="E418" s="3"/>
      <c r="F418" t="s">
        <v>551</v>
      </c>
      <c r="H418" t="s">
        <v>1659</v>
      </c>
      <c r="J418" t="str">
        <f t="shared" si="6"/>
        <v>FORM N-PORT-C.11</v>
      </c>
      <c r="K418" t="s">
        <v>1718</v>
      </c>
      <c r="L418" t="s">
        <v>1331</v>
      </c>
      <c r="M418" t="s">
        <v>1719</v>
      </c>
      <c r="N418" t="s">
        <v>1720</v>
      </c>
      <c r="Q418" s="18" t="s">
        <v>1590</v>
      </c>
    </row>
    <row r="419" spans="1:17" x14ac:dyDescent="0.35">
      <c r="A419" t="s">
        <v>1334</v>
      </c>
      <c r="B419" s="3" t="s">
        <v>102</v>
      </c>
      <c r="C419" s="3"/>
      <c r="D419" s="3"/>
      <c r="E419" s="3"/>
      <c r="F419" t="s">
        <v>551</v>
      </c>
      <c r="H419" t="s">
        <v>1659</v>
      </c>
      <c r="J419" t="str">
        <f t="shared" si="6"/>
        <v>FORM N-PORT-C.11</v>
      </c>
      <c r="K419" t="s">
        <v>1721</v>
      </c>
      <c r="L419" t="s">
        <v>783</v>
      </c>
      <c r="M419" t="s">
        <v>1722</v>
      </c>
      <c r="N419" t="s">
        <v>1723</v>
      </c>
      <c r="Q419" s="18" t="s">
        <v>1590</v>
      </c>
    </row>
    <row r="420" spans="1:17" x14ac:dyDescent="0.35">
      <c r="A420" t="s">
        <v>1334</v>
      </c>
      <c r="B420" s="3" t="s">
        <v>102</v>
      </c>
      <c r="C420" s="3"/>
      <c r="D420" s="3"/>
      <c r="E420" s="3"/>
      <c r="F420" t="s">
        <v>551</v>
      </c>
      <c r="H420" t="s">
        <v>1659</v>
      </c>
      <c r="J420" t="str">
        <f t="shared" si="6"/>
        <v>FORM N-PORT-C.11</v>
      </c>
      <c r="K420" t="s">
        <v>1724</v>
      </c>
      <c r="L420" t="s">
        <v>783</v>
      </c>
      <c r="M420" t="s">
        <v>1725</v>
      </c>
      <c r="N420" t="s">
        <v>1726</v>
      </c>
      <c r="Q420" s="18" t="s">
        <v>1590</v>
      </c>
    </row>
    <row r="421" spans="1:17" x14ac:dyDescent="0.35">
      <c r="A421" t="s">
        <v>1334</v>
      </c>
      <c r="B421" s="3" t="s">
        <v>102</v>
      </c>
      <c r="C421" s="3"/>
      <c r="D421" s="3"/>
      <c r="E421" s="3"/>
      <c r="F421" t="s">
        <v>551</v>
      </c>
      <c r="H421" t="s">
        <v>1659</v>
      </c>
      <c r="J421" t="str">
        <f t="shared" si="6"/>
        <v>FORM N-PORT-C.11</v>
      </c>
      <c r="K421" t="s">
        <v>1727</v>
      </c>
      <c r="L421" t="s">
        <v>783</v>
      </c>
      <c r="M421" t="s">
        <v>1688</v>
      </c>
      <c r="N421" t="s">
        <v>1728</v>
      </c>
      <c r="Q421" s="18" t="s">
        <v>1590</v>
      </c>
    </row>
    <row r="422" spans="1:17" x14ac:dyDescent="0.35">
      <c r="A422" t="s">
        <v>1334</v>
      </c>
      <c r="B422" s="3" t="s">
        <v>102</v>
      </c>
      <c r="C422" s="3"/>
      <c r="D422" s="3"/>
      <c r="E422" s="3"/>
      <c r="F422" t="s">
        <v>551</v>
      </c>
      <c r="H422" t="s">
        <v>1729</v>
      </c>
      <c r="J422" t="str">
        <f t="shared" si="6"/>
        <v>FORM N-PORT-C.12</v>
      </c>
      <c r="K422" t="s">
        <v>1730</v>
      </c>
      <c r="L422" t="s">
        <v>1187</v>
      </c>
      <c r="M422" t="s">
        <v>1731</v>
      </c>
      <c r="N422" t="s">
        <v>1732</v>
      </c>
      <c r="Q422" s="18" t="s">
        <v>1341</v>
      </c>
    </row>
    <row r="423" spans="1:17" x14ac:dyDescent="0.35">
      <c r="A423" t="s">
        <v>1334</v>
      </c>
      <c r="B423" s="3" t="s">
        <v>102</v>
      </c>
      <c r="C423" s="3"/>
      <c r="D423" s="3"/>
      <c r="E423" s="3"/>
      <c r="F423" t="s">
        <v>551</v>
      </c>
      <c r="H423" t="s">
        <v>1729</v>
      </c>
      <c r="J423" t="str">
        <f t="shared" si="6"/>
        <v>FORM N-PORT-C.12</v>
      </c>
      <c r="K423" t="s">
        <v>1733</v>
      </c>
      <c r="L423" t="s">
        <v>783</v>
      </c>
      <c r="M423" t="s">
        <v>1734</v>
      </c>
      <c r="N423" t="s">
        <v>1735</v>
      </c>
      <c r="Q423" s="18" t="s">
        <v>1590</v>
      </c>
    </row>
    <row r="424" spans="1:17" x14ac:dyDescent="0.35">
      <c r="A424" t="s">
        <v>1334</v>
      </c>
      <c r="B424" s="3" t="s">
        <v>102</v>
      </c>
      <c r="C424" s="3"/>
      <c r="D424" s="3"/>
      <c r="E424" s="3"/>
      <c r="F424" t="s">
        <v>551</v>
      </c>
      <c r="H424" t="s">
        <v>1729</v>
      </c>
      <c r="J424" t="str">
        <f t="shared" si="6"/>
        <v>FORM N-PORT-C.12</v>
      </c>
      <c r="K424" t="s">
        <v>1736</v>
      </c>
      <c r="L424" t="s">
        <v>1187</v>
      </c>
      <c r="M424" t="s">
        <v>1737</v>
      </c>
      <c r="N424" t="s">
        <v>1738</v>
      </c>
      <c r="Q424" s="18" t="s">
        <v>1341</v>
      </c>
    </row>
    <row r="425" spans="1:17" x14ac:dyDescent="0.35">
      <c r="A425" t="s">
        <v>1334</v>
      </c>
      <c r="B425" s="3" t="s">
        <v>102</v>
      </c>
      <c r="C425" s="3"/>
      <c r="D425" s="3"/>
      <c r="E425" s="3"/>
      <c r="F425" t="s">
        <v>551</v>
      </c>
      <c r="H425" t="s">
        <v>1729</v>
      </c>
      <c r="J425" t="str">
        <f t="shared" si="6"/>
        <v>FORM N-PORT-C.12</v>
      </c>
      <c r="K425" t="s">
        <v>1739</v>
      </c>
      <c r="L425" t="s">
        <v>783</v>
      </c>
      <c r="M425" t="s">
        <v>1740</v>
      </c>
      <c r="N425" t="s">
        <v>1741</v>
      </c>
      <c r="Q425" s="18" t="s">
        <v>1590</v>
      </c>
    </row>
    <row r="426" spans="1:17" x14ac:dyDescent="0.35">
      <c r="A426" t="s">
        <v>1334</v>
      </c>
      <c r="B426" s="3" t="s">
        <v>102</v>
      </c>
      <c r="C426" s="3"/>
      <c r="D426" s="3"/>
      <c r="E426" s="3"/>
      <c r="F426" t="s">
        <v>551</v>
      </c>
      <c r="H426" t="s">
        <v>1729</v>
      </c>
      <c r="J426" t="str">
        <f t="shared" si="6"/>
        <v>FORM N-PORT-C.12</v>
      </c>
      <c r="K426" t="s">
        <v>1742</v>
      </c>
      <c r="L426" t="s">
        <v>1187</v>
      </c>
      <c r="M426" t="s">
        <v>1743</v>
      </c>
      <c r="N426" t="s">
        <v>1744</v>
      </c>
      <c r="Q426" s="18" t="s">
        <v>1341</v>
      </c>
    </row>
    <row r="427" spans="1:17" x14ac:dyDescent="0.35">
      <c r="A427" t="s">
        <v>1334</v>
      </c>
      <c r="B427" s="3" t="s">
        <v>102</v>
      </c>
      <c r="C427" s="3"/>
      <c r="D427" s="3"/>
      <c r="E427" s="3"/>
      <c r="F427" t="s">
        <v>551</v>
      </c>
      <c r="H427" t="s">
        <v>1729</v>
      </c>
      <c r="J427" t="str">
        <f t="shared" si="6"/>
        <v>FORM N-PORT-C.12</v>
      </c>
      <c r="K427" t="s">
        <v>1745</v>
      </c>
      <c r="L427" t="s">
        <v>783</v>
      </c>
      <c r="M427" t="s">
        <v>1746</v>
      </c>
      <c r="N427" t="s">
        <v>1747</v>
      </c>
      <c r="Q427" s="18" t="s">
        <v>1590</v>
      </c>
    </row>
    <row r="428" spans="1:17" x14ac:dyDescent="0.35">
      <c r="A428" t="s">
        <v>1334</v>
      </c>
      <c r="B428" s="3" t="s">
        <v>102</v>
      </c>
      <c r="C428" s="3"/>
      <c r="D428" s="3"/>
      <c r="E428" s="3"/>
      <c r="F428" t="s">
        <v>551</v>
      </c>
      <c r="H428" t="s">
        <v>593</v>
      </c>
      <c r="J428" t="str">
        <f t="shared" si="6"/>
        <v>FORM N-PORT-C.1</v>
      </c>
      <c r="K428" t="s">
        <v>1522</v>
      </c>
      <c r="L428" t="s">
        <v>229</v>
      </c>
      <c r="M428" t="s">
        <v>1523</v>
      </c>
      <c r="N428" t="s">
        <v>1524</v>
      </c>
      <c r="Q428" s="18" t="s">
        <v>9161</v>
      </c>
    </row>
    <row r="429" spans="1:17" x14ac:dyDescent="0.35">
      <c r="A429" t="s">
        <v>1334</v>
      </c>
      <c r="B429" s="3" t="s">
        <v>102</v>
      </c>
      <c r="C429" s="3"/>
      <c r="D429" s="3"/>
      <c r="E429" s="3"/>
      <c r="F429" t="s">
        <v>551</v>
      </c>
      <c r="H429" t="s">
        <v>593</v>
      </c>
      <c r="J429" t="str">
        <f t="shared" si="6"/>
        <v>FORM N-PORT-C.1</v>
      </c>
      <c r="K429" t="s">
        <v>1526</v>
      </c>
      <c r="L429" t="s">
        <v>1313</v>
      </c>
      <c r="M429" t="s">
        <v>1527</v>
      </c>
      <c r="N429" t="s">
        <v>1528</v>
      </c>
      <c r="Q429" s="18" t="s">
        <v>9162</v>
      </c>
    </row>
    <row r="430" spans="1:17" x14ac:dyDescent="0.35">
      <c r="A430" t="s">
        <v>1334</v>
      </c>
      <c r="B430" s="3" t="s">
        <v>102</v>
      </c>
      <c r="C430" s="3"/>
      <c r="D430" s="3"/>
      <c r="E430" s="3"/>
      <c r="F430" t="s">
        <v>551</v>
      </c>
      <c r="H430" t="s">
        <v>593</v>
      </c>
      <c r="J430" t="str">
        <f t="shared" si="6"/>
        <v>FORM N-PORT-C.1</v>
      </c>
      <c r="K430" t="s">
        <v>1530</v>
      </c>
      <c r="L430" t="s">
        <v>229</v>
      </c>
      <c r="M430" t="s">
        <v>1531</v>
      </c>
      <c r="N430" t="s">
        <v>1532</v>
      </c>
      <c r="Q430" s="18" t="s">
        <v>9163</v>
      </c>
    </row>
    <row r="431" spans="1:17" x14ac:dyDescent="0.35">
      <c r="A431" t="s">
        <v>1334</v>
      </c>
      <c r="B431" s="3" t="s">
        <v>102</v>
      </c>
      <c r="C431" s="3"/>
      <c r="D431" s="3"/>
      <c r="E431" s="3"/>
      <c r="F431" t="s">
        <v>551</v>
      </c>
      <c r="H431" t="s">
        <v>593</v>
      </c>
      <c r="J431" t="str">
        <f t="shared" si="6"/>
        <v>FORM N-PORT-C.1</v>
      </c>
      <c r="K431" t="s">
        <v>1534</v>
      </c>
      <c r="L431" t="s">
        <v>1313</v>
      </c>
      <c r="M431" t="s">
        <v>1535</v>
      </c>
      <c r="N431" t="s">
        <v>1536</v>
      </c>
      <c r="Q431" s="18" t="s">
        <v>9164</v>
      </c>
    </row>
    <row r="432" spans="1:17" x14ac:dyDescent="0.35">
      <c r="A432" t="s">
        <v>1334</v>
      </c>
      <c r="B432" s="3" t="s">
        <v>102</v>
      </c>
      <c r="C432" s="3"/>
      <c r="D432" s="3"/>
      <c r="E432" s="3"/>
      <c r="F432" t="s">
        <v>551</v>
      </c>
      <c r="H432" t="s">
        <v>593</v>
      </c>
      <c r="J432" t="str">
        <f t="shared" si="6"/>
        <v>FORM N-PORT-C.1</v>
      </c>
      <c r="K432" t="s">
        <v>1538</v>
      </c>
      <c r="L432" t="s">
        <v>1313</v>
      </c>
      <c r="M432" t="s">
        <v>1539</v>
      </c>
      <c r="N432" t="s">
        <v>1540</v>
      </c>
      <c r="Q432" s="18" t="s">
        <v>9165</v>
      </c>
    </row>
    <row r="433" spans="1:17" x14ac:dyDescent="0.35">
      <c r="A433" t="s">
        <v>1334</v>
      </c>
      <c r="B433" s="3" t="s">
        <v>102</v>
      </c>
      <c r="C433" s="3"/>
      <c r="D433" s="3"/>
      <c r="E433" s="3"/>
      <c r="F433" t="s">
        <v>551</v>
      </c>
      <c r="H433" t="s">
        <v>1542</v>
      </c>
      <c r="J433" t="str">
        <f t="shared" si="6"/>
        <v>FORM N-PORT-C.2</v>
      </c>
      <c r="K433" t="s">
        <v>1543</v>
      </c>
      <c r="L433" t="s">
        <v>783</v>
      </c>
      <c r="M433" t="s">
        <v>1544</v>
      </c>
      <c r="N433" t="s">
        <v>1545</v>
      </c>
      <c r="Q433" s="18">
        <v>6908000</v>
      </c>
    </row>
    <row r="434" spans="1:17" x14ac:dyDescent="0.35">
      <c r="A434" t="s">
        <v>1334</v>
      </c>
      <c r="B434" s="3" t="s">
        <v>102</v>
      </c>
      <c r="C434" s="3"/>
      <c r="D434" s="3"/>
      <c r="E434" s="3"/>
      <c r="F434" t="s">
        <v>551</v>
      </c>
      <c r="H434" t="s">
        <v>1542</v>
      </c>
      <c r="J434" t="str">
        <f t="shared" si="6"/>
        <v>FORM N-PORT-C.2</v>
      </c>
      <c r="K434" t="s">
        <v>1546</v>
      </c>
      <c r="L434" t="s">
        <v>1502</v>
      </c>
      <c r="M434" t="s">
        <v>1547</v>
      </c>
      <c r="N434" t="s">
        <v>1548</v>
      </c>
      <c r="Q434" s="18" t="s">
        <v>1549</v>
      </c>
    </row>
    <row r="435" spans="1:17" x14ac:dyDescent="0.35">
      <c r="A435" t="s">
        <v>1334</v>
      </c>
      <c r="B435" s="3" t="s">
        <v>102</v>
      </c>
      <c r="C435" s="3"/>
      <c r="D435" s="3"/>
      <c r="E435" s="3"/>
      <c r="F435" t="s">
        <v>551</v>
      </c>
      <c r="H435" t="s">
        <v>1542</v>
      </c>
      <c r="J435" t="str">
        <f t="shared" si="6"/>
        <v>FORM N-PORT-C.2</v>
      </c>
      <c r="K435" t="s">
        <v>1550</v>
      </c>
      <c r="L435" t="s">
        <v>783</v>
      </c>
      <c r="M435" t="s">
        <v>1551</v>
      </c>
      <c r="N435" t="s">
        <v>1552</v>
      </c>
      <c r="Q435" s="18">
        <v>6906321.3600000003</v>
      </c>
    </row>
    <row r="436" spans="1:17" x14ac:dyDescent="0.35">
      <c r="A436" t="s">
        <v>1334</v>
      </c>
      <c r="B436" s="3" t="s">
        <v>102</v>
      </c>
      <c r="C436" s="3"/>
      <c r="D436" s="3"/>
      <c r="E436" s="3"/>
      <c r="F436" t="s">
        <v>551</v>
      </c>
      <c r="H436" t="s">
        <v>1542</v>
      </c>
      <c r="J436" t="str">
        <f t="shared" si="6"/>
        <v>FORM N-PORT-C.2</v>
      </c>
      <c r="K436" t="s">
        <v>1553</v>
      </c>
      <c r="L436" t="s">
        <v>1198</v>
      </c>
      <c r="M436" t="s">
        <v>1554</v>
      </c>
      <c r="N436" t="s">
        <v>1555</v>
      </c>
      <c r="Q436" s="18">
        <v>2.9572649000000001E-3</v>
      </c>
    </row>
    <row r="437" spans="1:17" x14ac:dyDescent="0.35">
      <c r="A437" t="s">
        <v>1334</v>
      </c>
      <c r="B437" s="3" t="s">
        <v>102</v>
      </c>
      <c r="C437" s="3"/>
      <c r="D437" s="3"/>
      <c r="E437" s="3"/>
      <c r="F437" t="s">
        <v>551</v>
      </c>
      <c r="H437" t="s">
        <v>1542</v>
      </c>
      <c r="J437" t="str">
        <f t="shared" si="6"/>
        <v>FORM N-PORT-C.2</v>
      </c>
      <c r="K437" t="s">
        <v>1556</v>
      </c>
      <c r="L437" t="s">
        <v>1187</v>
      </c>
      <c r="M437" t="s">
        <v>1557</v>
      </c>
      <c r="N437" t="s">
        <v>1558</v>
      </c>
      <c r="Q437" s="18" t="s">
        <v>1590</v>
      </c>
    </row>
    <row r="438" spans="1:17" x14ac:dyDescent="0.35">
      <c r="A438" t="s">
        <v>1334</v>
      </c>
      <c r="B438" s="3" t="s">
        <v>102</v>
      </c>
      <c r="C438" s="3"/>
      <c r="D438" s="3"/>
      <c r="E438" s="3"/>
      <c r="F438" t="s">
        <v>551</v>
      </c>
      <c r="H438" t="s">
        <v>1559</v>
      </c>
      <c r="J438" t="str">
        <f t="shared" si="6"/>
        <v>FORM N-PORT-C.3</v>
      </c>
      <c r="K438" t="s">
        <v>1560</v>
      </c>
      <c r="L438" t="s">
        <v>229</v>
      </c>
      <c r="M438" t="s">
        <v>1561</v>
      </c>
      <c r="N438" t="s">
        <v>1562</v>
      </c>
      <c r="Q438" s="18" t="s">
        <v>1563</v>
      </c>
    </row>
    <row r="439" spans="1:17" x14ac:dyDescent="0.35">
      <c r="A439" t="s">
        <v>1334</v>
      </c>
      <c r="B439" s="3" t="s">
        <v>102</v>
      </c>
      <c r="C439" s="3"/>
      <c r="D439" s="3"/>
      <c r="E439" s="3"/>
      <c r="F439" t="s">
        <v>551</v>
      </c>
      <c r="H439" t="s">
        <v>1564</v>
      </c>
      <c r="J439" t="str">
        <f t="shared" si="6"/>
        <v>FORM N-PORT-C.4</v>
      </c>
      <c r="K439" t="s">
        <v>1565</v>
      </c>
      <c r="L439" t="s">
        <v>1566</v>
      </c>
      <c r="M439" t="s">
        <v>1567</v>
      </c>
      <c r="N439" t="s">
        <v>1568</v>
      </c>
      <c r="Q439" s="18" t="s">
        <v>1569</v>
      </c>
    </row>
    <row r="440" spans="1:17" x14ac:dyDescent="0.35">
      <c r="A440" t="s">
        <v>1334</v>
      </c>
      <c r="B440" s="3" t="s">
        <v>102</v>
      </c>
      <c r="C440" s="3"/>
      <c r="D440" s="3"/>
      <c r="E440" s="3"/>
      <c r="F440" t="s">
        <v>551</v>
      </c>
      <c r="H440" t="s">
        <v>1564</v>
      </c>
      <c r="J440" t="str">
        <f t="shared" si="6"/>
        <v>FORM N-PORT-C.4</v>
      </c>
      <c r="K440" t="s">
        <v>1570</v>
      </c>
      <c r="L440" t="s">
        <v>1566</v>
      </c>
      <c r="M440" t="s">
        <v>1571</v>
      </c>
      <c r="N440" t="s">
        <v>1572</v>
      </c>
      <c r="Q440" s="18" t="s">
        <v>1573</v>
      </c>
    </row>
    <row r="441" spans="1:17" x14ac:dyDescent="0.35">
      <c r="A441" t="s">
        <v>1334</v>
      </c>
      <c r="B441" s="3" t="s">
        <v>102</v>
      </c>
      <c r="C441" s="3"/>
      <c r="D441" s="3"/>
      <c r="E441" s="3"/>
      <c r="F441" t="s">
        <v>551</v>
      </c>
      <c r="H441" t="s">
        <v>1574</v>
      </c>
      <c r="J441" t="str">
        <f t="shared" si="6"/>
        <v>FORM N-PORT-C.5</v>
      </c>
      <c r="K441" t="s">
        <v>1575</v>
      </c>
      <c r="L441" t="s">
        <v>1502</v>
      </c>
      <c r="M441" t="s">
        <v>1576</v>
      </c>
      <c r="N441" t="s">
        <v>1577</v>
      </c>
      <c r="Q441" s="18" t="s">
        <v>1578</v>
      </c>
    </row>
    <row r="442" spans="1:17" x14ac:dyDescent="0.35">
      <c r="A442" t="s">
        <v>1334</v>
      </c>
      <c r="B442" s="3" t="s">
        <v>102</v>
      </c>
      <c r="C442" s="3"/>
      <c r="D442" s="3"/>
      <c r="E442" s="3"/>
      <c r="F442" t="s">
        <v>551</v>
      </c>
      <c r="H442" t="s">
        <v>1574</v>
      </c>
      <c r="J442" t="str">
        <f t="shared" si="6"/>
        <v>FORM N-PORT-C.5</v>
      </c>
      <c r="K442" t="s">
        <v>1579</v>
      </c>
      <c r="L442" t="s">
        <v>1502</v>
      </c>
      <c r="M442" t="s">
        <v>1580</v>
      </c>
      <c r="N442" t="s">
        <v>1581</v>
      </c>
      <c r="Q442" s="18" t="s">
        <v>1590</v>
      </c>
    </row>
    <row r="443" spans="1:17" x14ac:dyDescent="0.35">
      <c r="A443" t="s">
        <v>1334</v>
      </c>
      <c r="B443" s="3" t="s">
        <v>102</v>
      </c>
      <c r="C443" s="3"/>
      <c r="D443" s="3"/>
      <c r="E443" s="3"/>
      <c r="F443" t="s">
        <v>551</v>
      </c>
      <c r="H443" t="s">
        <v>1582</v>
      </c>
      <c r="J443" t="str">
        <f t="shared" si="6"/>
        <v>FORM N-PORT-C.6</v>
      </c>
      <c r="K443" t="s">
        <v>1583</v>
      </c>
      <c r="L443" t="s">
        <v>1187</v>
      </c>
      <c r="M443" t="s">
        <v>1584</v>
      </c>
      <c r="N443" t="s">
        <v>1585</v>
      </c>
      <c r="Q443" s="18" t="s">
        <v>1341</v>
      </c>
    </row>
    <row r="444" spans="1:17" x14ac:dyDescent="0.35">
      <c r="A444" t="s">
        <v>1334</v>
      </c>
      <c r="B444" s="3" t="s">
        <v>102</v>
      </c>
      <c r="C444" s="3"/>
      <c r="D444" s="3"/>
      <c r="E444" s="3"/>
      <c r="F444" t="s">
        <v>551</v>
      </c>
      <c r="H444" t="s">
        <v>1586</v>
      </c>
      <c r="J444" t="str">
        <f t="shared" si="6"/>
        <v>FORM N-PORT-C.7</v>
      </c>
      <c r="K444" t="s">
        <v>1587</v>
      </c>
      <c r="L444" t="s">
        <v>1566</v>
      </c>
      <c r="M444" t="s">
        <v>1588</v>
      </c>
      <c r="N444" t="s">
        <v>1589</v>
      </c>
      <c r="Q444" s="18" t="s">
        <v>1590</v>
      </c>
    </row>
    <row r="445" spans="1:17" x14ac:dyDescent="0.35">
      <c r="A445" t="s">
        <v>1334</v>
      </c>
      <c r="B445" s="3" t="s">
        <v>102</v>
      </c>
      <c r="C445" s="3"/>
      <c r="D445" s="3"/>
      <c r="E445" s="3"/>
      <c r="F445" t="s">
        <v>551</v>
      </c>
      <c r="H445" t="s">
        <v>1591</v>
      </c>
      <c r="J445" t="str">
        <f t="shared" si="6"/>
        <v>FORM N-PORT-C.8</v>
      </c>
      <c r="K445" t="s">
        <v>1592</v>
      </c>
      <c r="L445" t="s">
        <v>241</v>
      </c>
      <c r="M445" t="s">
        <v>1593</v>
      </c>
      <c r="N445" t="s">
        <v>1594</v>
      </c>
      <c r="Q445" s="18">
        <v>2</v>
      </c>
    </row>
    <row r="446" spans="1:17" x14ac:dyDescent="0.35">
      <c r="A446" t="s">
        <v>1334</v>
      </c>
      <c r="B446" s="3" t="s">
        <v>102</v>
      </c>
      <c r="C446" s="3"/>
      <c r="D446" s="3"/>
      <c r="E446" s="3"/>
      <c r="F446" t="s">
        <v>551</v>
      </c>
      <c r="H446" t="s">
        <v>1595</v>
      </c>
      <c r="J446" t="str">
        <f t="shared" si="6"/>
        <v>FORM N-PORT-C.9</v>
      </c>
      <c r="K446" t="s">
        <v>1596</v>
      </c>
      <c r="L446" t="s">
        <v>1331</v>
      </c>
      <c r="M446" t="s">
        <v>1597</v>
      </c>
      <c r="N446" t="s">
        <v>1598</v>
      </c>
      <c r="Q446" s="17">
        <v>45754</v>
      </c>
    </row>
    <row r="447" spans="1:17" x14ac:dyDescent="0.35">
      <c r="A447" t="s">
        <v>1334</v>
      </c>
      <c r="B447" s="3" t="s">
        <v>102</v>
      </c>
      <c r="C447" s="3"/>
      <c r="D447" s="3"/>
      <c r="E447" s="3"/>
      <c r="F447" t="s">
        <v>551</v>
      </c>
      <c r="H447" t="s">
        <v>1595</v>
      </c>
      <c r="J447" t="str">
        <f t="shared" si="6"/>
        <v>FORM N-PORT-C.9</v>
      </c>
      <c r="K447" t="s">
        <v>1599</v>
      </c>
      <c r="L447" t="s">
        <v>1600</v>
      </c>
      <c r="M447" t="s">
        <v>1601</v>
      </c>
      <c r="N447" t="s">
        <v>1602</v>
      </c>
      <c r="Q447" s="18" t="s">
        <v>9166</v>
      </c>
    </row>
    <row r="448" spans="1:17" x14ac:dyDescent="0.35">
      <c r="A448" t="s">
        <v>1334</v>
      </c>
      <c r="B448" s="3" t="s">
        <v>102</v>
      </c>
      <c r="C448" s="3"/>
      <c r="D448" s="3"/>
      <c r="E448" s="3"/>
      <c r="F448" t="s">
        <v>551</v>
      </c>
      <c r="H448" t="s">
        <v>1595</v>
      </c>
      <c r="J448" t="str">
        <f t="shared" si="6"/>
        <v>FORM N-PORT-C.9</v>
      </c>
      <c r="K448" t="s">
        <v>1604</v>
      </c>
      <c r="L448" t="s">
        <v>1187</v>
      </c>
      <c r="M448" t="s">
        <v>1605</v>
      </c>
      <c r="N448" t="s">
        <v>1606</v>
      </c>
      <c r="Q448" s="18" t="s">
        <v>1341</v>
      </c>
    </row>
    <row r="449" spans="1:17" x14ac:dyDescent="0.35">
      <c r="A449" t="s">
        <v>1334</v>
      </c>
      <c r="B449" s="3" t="s">
        <v>102</v>
      </c>
      <c r="C449" s="3"/>
      <c r="D449" s="3"/>
      <c r="E449" s="3"/>
      <c r="F449" t="s">
        <v>551</v>
      </c>
      <c r="H449" t="s">
        <v>1595</v>
      </c>
      <c r="J449" t="str">
        <f t="shared" si="6"/>
        <v>FORM N-PORT-C.9</v>
      </c>
      <c r="K449" t="s">
        <v>1607</v>
      </c>
      <c r="L449" t="s">
        <v>1187</v>
      </c>
      <c r="M449" t="s">
        <v>1608</v>
      </c>
      <c r="N449" t="s">
        <v>1609</v>
      </c>
      <c r="Q449" s="18" t="s">
        <v>1341</v>
      </c>
    </row>
    <row r="450" spans="1:17" x14ac:dyDescent="0.35">
      <c r="A450" t="s">
        <v>1334</v>
      </c>
      <c r="B450" s="3" t="s">
        <v>102</v>
      </c>
      <c r="C450" s="3"/>
      <c r="D450" s="3"/>
      <c r="E450" s="3"/>
      <c r="F450" t="s">
        <v>551</v>
      </c>
      <c r="H450" t="s">
        <v>1595</v>
      </c>
      <c r="J450" t="str">
        <f t="shared" si="6"/>
        <v>FORM N-PORT-C.9</v>
      </c>
      <c r="K450" t="s">
        <v>1610</v>
      </c>
      <c r="L450" t="s">
        <v>1187</v>
      </c>
      <c r="M450" t="s">
        <v>1611</v>
      </c>
      <c r="N450" t="s">
        <v>1612</v>
      </c>
      <c r="Q450" s="18" t="s">
        <v>1341</v>
      </c>
    </row>
    <row r="451" spans="1:17" x14ac:dyDescent="0.35">
      <c r="A451" t="s">
        <v>1334</v>
      </c>
      <c r="B451" s="3" t="s">
        <v>102</v>
      </c>
      <c r="C451" s="3"/>
      <c r="D451" s="3"/>
      <c r="E451" s="3"/>
      <c r="F451" t="s">
        <v>551</v>
      </c>
      <c r="H451" t="s">
        <v>1595</v>
      </c>
      <c r="J451" t="str">
        <f t="shared" ref="J451:J514" si="7">_xlfn.CONCAT(A451,"-",H451)</f>
        <v>FORM N-PORT-C.9</v>
      </c>
      <c r="K451" t="s">
        <v>1613</v>
      </c>
      <c r="L451" t="s">
        <v>1187</v>
      </c>
      <c r="M451" t="s">
        <v>1614</v>
      </c>
      <c r="N451" t="s">
        <v>1615</v>
      </c>
      <c r="Q451" s="18" t="s">
        <v>1590</v>
      </c>
    </row>
    <row r="452" spans="1:17" x14ac:dyDescent="0.35">
      <c r="A452" t="s">
        <v>1334</v>
      </c>
      <c r="B452" s="3" t="s">
        <v>102</v>
      </c>
      <c r="C452" s="3"/>
      <c r="D452" s="3"/>
      <c r="E452" s="3"/>
      <c r="F452" t="s">
        <v>551</v>
      </c>
      <c r="H452" t="s">
        <v>1595</v>
      </c>
      <c r="J452" t="str">
        <f t="shared" si="7"/>
        <v>FORM N-PORT-C.9</v>
      </c>
      <c r="K452" t="s">
        <v>1616</v>
      </c>
      <c r="L452" t="s">
        <v>1187</v>
      </c>
      <c r="M452" t="s">
        <v>1617</v>
      </c>
      <c r="N452" t="s">
        <v>1618</v>
      </c>
      <c r="Q452" s="18" t="s">
        <v>1590</v>
      </c>
    </row>
    <row r="453" spans="1:17" x14ac:dyDescent="0.35">
      <c r="A453" t="s">
        <v>1334</v>
      </c>
      <c r="B453" s="3" t="s">
        <v>102</v>
      </c>
      <c r="C453" s="3"/>
      <c r="D453" s="3"/>
      <c r="E453" s="3"/>
      <c r="F453" t="s">
        <v>551</v>
      </c>
      <c r="H453" t="s">
        <v>1595</v>
      </c>
      <c r="J453" t="str">
        <f t="shared" si="7"/>
        <v>FORM N-PORT-C.9</v>
      </c>
      <c r="K453" t="s">
        <v>1619</v>
      </c>
      <c r="L453" t="s">
        <v>1502</v>
      </c>
      <c r="M453" t="s">
        <v>1620</v>
      </c>
      <c r="N453" t="s">
        <v>1621</v>
      </c>
      <c r="Q453" s="18" t="s">
        <v>1590</v>
      </c>
    </row>
    <row r="454" spans="1:17" x14ac:dyDescent="0.35">
      <c r="A454" t="s">
        <v>1334</v>
      </c>
      <c r="B454" s="3" t="s">
        <v>102</v>
      </c>
      <c r="C454" s="3"/>
      <c r="D454" s="3"/>
      <c r="E454" s="3"/>
      <c r="F454" t="s">
        <v>551</v>
      </c>
      <c r="H454" t="s">
        <v>1595</v>
      </c>
      <c r="J454" t="str">
        <f t="shared" si="7"/>
        <v>FORM N-PORT-C.9</v>
      </c>
      <c r="K454" t="s">
        <v>1622</v>
      </c>
      <c r="L454" t="s">
        <v>783</v>
      </c>
      <c r="M454" t="s">
        <v>1623</v>
      </c>
      <c r="N454" t="s">
        <v>1624</v>
      </c>
      <c r="Q454" s="18" t="s">
        <v>1590</v>
      </c>
    </row>
    <row r="455" spans="1:17" x14ac:dyDescent="0.35">
      <c r="A455" t="s">
        <v>1334</v>
      </c>
      <c r="B455" s="3" t="s">
        <v>102</v>
      </c>
      <c r="C455" s="3"/>
      <c r="D455" s="3"/>
      <c r="E455" s="3"/>
      <c r="F455" t="s">
        <v>551</v>
      </c>
      <c r="H455" t="s">
        <v>1595</v>
      </c>
      <c r="J455" t="str">
        <f t="shared" si="7"/>
        <v>FORM N-PORT-C.9</v>
      </c>
      <c r="K455" t="s">
        <v>1625</v>
      </c>
      <c r="L455" t="s">
        <v>783</v>
      </c>
      <c r="M455" t="s">
        <v>1626</v>
      </c>
      <c r="N455" t="s">
        <v>1627</v>
      </c>
      <c r="Q455" s="18" t="s">
        <v>1590</v>
      </c>
    </row>
    <row r="456" spans="1:17" x14ac:dyDescent="0.35">
      <c r="A456" t="s">
        <v>1334</v>
      </c>
      <c r="B456" s="3" t="s">
        <v>102</v>
      </c>
      <c r="C456" s="3"/>
      <c r="D456" s="3"/>
      <c r="E456" s="3"/>
      <c r="F456" t="s">
        <v>551</v>
      </c>
      <c r="H456" t="s">
        <v>1628</v>
      </c>
      <c r="J456" t="str">
        <f t="shared" si="7"/>
        <v>FORM N-PORT-C.10</v>
      </c>
      <c r="K456" t="s">
        <v>1629</v>
      </c>
      <c r="L456" t="s">
        <v>1566</v>
      </c>
      <c r="M456" t="s">
        <v>1630</v>
      </c>
      <c r="N456" t="s">
        <v>1631</v>
      </c>
      <c r="Q456" s="18" t="s">
        <v>1590</v>
      </c>
    </row>
    <row r="457" spans="1:17" x14ac:dyDescent="0.35">
      <c r="A457" t="s">
        <v>1334</v>
      </c>
      <c r="B457" s="3" t="s">
        <v>102</v>
      </c>
      <c r="C457" s="3"/>
      <c r="D457" s="3"/>
      <c r="E457" s="3"/>
      <c r="F457" t="s">
        <v>551</v>
      </c>
      <c r="H457" t="s">
        <v>1628</v>
      </c>
      <c r="J457" t="str">
        <f t="shared" si="7"/>
        <v>FORM N-PORT-C.10</v>
      </c>
      <c r="K457" t="s">
        <v>1632</v>
      </c>
      <c r="L457" t="s">
        <v>1502</v>
      </c>
      <c r="M457" t="s">
        <v>1633</v>
      </c>
      <c r="N457" t="s">
        <v>1634</v>
      </c>
      <c r="Q457" s="18" t="s">
        <v>1590</v>
      </c>
    </row>
    <row r="458" spans="1:17" x14ac:dyDescent="0.35">
      <c r="A458" t="s">
        <v>1334</v>
      </c>
      <c r="B458" s="3" t="s">
        <v>102</v>
      </c>
      <c r="C458" s="3"/>
      <c r="D458" s="3"/>
      <c r="E458" s="3"/>
      <c r="F458" t="s">
        <v>551</v>
      </c>
      <c r="H458" t="s">
        <v>1628</v>
      </c>
      <c r="J458" t="str">
        <f t="shared" si="7"/>
        <v>FORM N-PORT-C.10</v>
      </c>
      <c r="K458" t="s">
        <v>1635</v>
      </c>
      <c r="L458" t="s">
        <v>1187</v>
      </c>
      <c r="M458" t="s">
        <v>1636</v>
      </c>
      <c r="N458" t="s">
        <v>1637</v>
      </c>
      <c r="Q458" s="18" t="s">
        <v>1590</v>
      </c>
    </row>
    <row r="459" spans="1:17" x14ac:dyDescent="0.35">
      <c r="A459" t="s">
        <v>1334</v>
      </c>
      <c r="B459" s="3" t="s">
        <v>102</v>
      </c>
      <c r="C459" s="3"/>
      <c r="D459" s="3"/>
      <c r="E459" s="3"/>
      <c r="F459" t="s">
        <v>551</v>
      </c>
      <c r="H459" t="s">
        <v>1628</v>
      </c>
      <c r="J459" t="str">
        <f t="shared" si="7"/>
        <v>FORM N-PORT-C.10</v>
      </c>
      <c r="K459" t="s">
        <v>1638</v>
      </c>
      <c r="L459" t="s">
        <v>1502</v>
      </c>
      <c r="M459" t="s">
        <v>1639</v>
      </c>
      <c r="N459" t="s">
        <v>1640</v>
      </c>
      <c r="Q459" s="18" t="s">
        <v>1590</v>
      </c>
    </row>
    <row r="460" spans="1:17" x14ac:dyDescent="0.35">
      <c r="A460" t="s">
        <v>1334</v>
      </c>
      <c r="B460" s="3" t="s">
        <v>102</v>
      </c>
      <c r="C460" s="3"/>
      <c r="D460" s="3"/>
      <c r="E460" s="3"/>
      <c r="F460" t="s">
        <v>551</v>
      </c>
      <c r="H460" t="s">
        <v>1628</v>
      </c>
      <c r="J460" t="str">
        <f t="shared" si="7"/>
        <v>FORM N-PORT-C.10</v>
      </c>
      <c r="K460" t="s">
        <v>1641</v>
      </c>
      <c r="L460" t="s">
        <v>1187</v>
      </c>
      <c r="M460" t="s">
        <v>1642</v>
      </c>
      <c r="N460" t="s">
        <v>1643</v>
      </c>
      <c r="Q460" s="18" t="s">
        <v>1590</v>
      </c>
    </row>
    <row r="461" spans="1:17" x14ac:dyDescent="0.35">
      <c r="A461" t="s">
        <v>1334</v>
      </c>
      <c r="B461" s="3" t="s">
        <v>102</v>
      </c>
      <c r="C461" s="3"/>
      <c r="D461" s="3"/>
      <c r="E461" s="3"/>
      <c r="F461" t="s">
        <v>551</v>
      </c>
      <c r="H461" t="s">
        <v>1628</v>
      </c>
      <c r="J461" t="str">
        <f t="shared" si="7"/>
        <v>FORM N-PORT-C.10</v>
      </c>
      <c r="K461" t="s">
        <v>1644</v>
      </c>
      <c r="L461" t="s">
        <v>1198</v>
      </c>
      <c r="M461" t="s">
        <v>1645</v>
      </c>
      <c r="N461" t="s">
        <v>1646</v>
      </c>
      <c r="Q461" s="18" t="s">
        <v>1590</v>
      </c>
    </row>
    <row r="462" spans="1:17" x14ac:dyDescent="0.35">
      <c r="A462" t="s">
        <v>1334</v>
      </c>
      <c r="B462" s="3" t="s">
        <v>102</v>
      </c>
      <c r="C462" s="3"/>
      <c r="D462" s="3"/>
      <c r="E462" s="3"/>
      <c r="F462" t="s">
        <v>551</v>
      </c>
      <c r="H462" t="s">
        <v>1628</v>
      </c>
      <c r="J462" t="str">
        <f t="shared" si="7"/>
        <v>FORM N-PORT-C.10</v>
      </c>
      <c r="K462" t="s">
        <v>1647</v>
      </c>
      <c r="L462" t="s">
        <v>1331</v>
      </c>
      <c r="M462" t="s">
        <v>1648</v>
      </c>
      <c r="N462" t="s">
        <v>1649</v>
      </c>
      <c r="Q462" s="18" t="s">
        <v>1590</v>
      </c>
    </row>
    <row r="463" spans="1:17" x14ac:dyDescent="0.35">
      <c r="A463" t="s">
        <v>1334</v>
      </c>
      <c r="B463" s="3" t="s">
        <v>102</v>
      </c>
      <c r="C463" s="3"/>
      <c r="D463" s="3"/>
      <c r="E463" s="3"/>
      <c r="F463" t="s">
        <v>551</v>
      </c>
      <c r="H463" t="s">
        <v>1628</v>
      </c>
      <c r="J463" t="str">
        <f t="shared" si="7"/>
        <v>FORM N-PORT-C.10</v>
      </c>
      <c r="K463" t="s">
        <v>1650</v>
      </c>
      <c r="L463" t="s">
        <v>783</v>
      </c>
      <c r="M463" t="s">
        <v>1651</v>
      </c>
      <c r="N463" t="s">
        <v>1652</v>
      </c>
      <c r="Q463" s="18" t="s">
        <v>1590</v>
      </c>
    </row>
    <row r="464" spans="1:17" x14ac:dyDescent="0.35">
      <c r="A464" t="s">
        <v>1334</v>
      </c>
      <c r="B464" s="3" t="s">
        <v>102</v>
      </c>
      <c r="C464" s="3"/>
      <c r="D464" s="3"/>
      <c r="E464" s="3"/>
      <c r="F464" t="s">
        <v>551</v>
      </c>
      <c r="H464" t="s">
        <v>1628</v>
      </c>
      <c r="J464" t="str">
        <f t="shared" si="7"/>
        <v>FORM N-PORT-C.10</v>
      </c>
      <c r="K464" t="s">
        <v>1653</v>
      </c>
      <c r="L464" t="s">
        <v>783</v>
      </c>
      <c r="M464" t="s">
        <v>1654</v>
      </c>
      <c r="N464" t="s">
        <v>1655</v>
      </c>
      <c r="Q464" s="18" t="s">
        <v>1590</v>
      </c>
    </row>
    <row r="465" spans="1:17" x14ac:dyDescent="0.35">
      <c r="A465" t="s">
        <v>1334</v>
      </c>
      <c r="B465" s="3" t="s">
        <v>102</v>
      </c>
      <c r="C465" s="3"/>
      <c r="D465" s="3"/>
      <c r="E465" s="3"/>
      <c r="F465" t="s">
        <v>551</v>
      </c>
      <c r="H465" t="s">
        <v>1628</v>
      </c>
      <c r="J465" t="str">
        <f t="shared" si="7"/>
        <v>FORM N-PORT-C.10</v>
      </c>
      <c r="K465" t="s">
        <v>1656</v>
      </c>
      <c r="L465" t="s">
        <v>1566</v>
      </c>
      <c r="M465" t="s">
        <v>1657</v>
      </c>
      <c r="N465" t="s">
        <v>1658</v>
      </c>
      <c r="Q465" s="18" t="s">
        <v>1590</v>
      </c>
    </row>
    <row r="466" spans="1:17" x14ac:dyDescent="0.35">
      <c r="A466" t="s">
        <v>1334</v>
      </c>
      <c r="B466" s="3" t="s">
        <v>102</v>
      </c>
      <c r="C466" s="3"/>
      <c r="D466" s="3"/>
      <c r="E466" s="3"/>
      <c r="F466" t="s">
        <v>551</v>
      </c>
      <c r="H466" t="s">
        <v>1659</v>
      </c>
      <c r="J466" t="str">
        <f t="shared" si="7"/>
        <v>FORM N-PORT-C.11</v>
      </c>
      <c r="K466" t="s">
        <v>1660</v>
      </c>
      <c r="L466" t="s">
        <v>1566</v>
      </c>
      <c r="M466" t="s">
        <v>1661</v>
      </c>
      <c r="N466" t="s">
        <v>1662</v>
      </c>
      <c r="Q466" s="18" t="s">
        <v>1590</v>
      </c>
    </row>
    <row r="467" spans="1:17" x14ac:dyDescent="0.35">
      <c r="A467" t="s">
        <v>1334</v>
      </c>
      <c r="B467" s="3" t="s">
        <v>102</v>
      </c>
      <c r="C467" s="3"/>
      <c r="D467" s="3"/>
      <c r="E467" s="3"/>
      <c r="F467" t="s">
        <v>551</v>
      </c>
      <c r="H467" t="s">
        <v>1659</v>
      </c>
      <c r="J467" t="str">
        <f t="shared" si="7"/>
        <v>FORM N-PORT-C.11</v>
      </c>
      <c r="K467" t="s">
        <v>1663</v>
      </c>
      <c r="L467" t="s">
        <v>1502</v>
      </c>
      <c r="M467" t="s">
        <v>1664</v>
      </c>
      <c r="N467" t="s">
        <v>1665</v>
      </c>
      <c r="Q467" s="18" t="s">
        <v>1590</v>
      </c>
    </row>
    <row r="468" spans="1:17" x14ac:dyDescent="0.35">
      <c r="A468" t="s">
        <v>1334</v>
      </c>
      <c r="B468" s="3" t="s">
        <v>102</v>
      </c>
      <c r="C468" s="3"/>
      <c r="D468" s="3"/>
      <c r="E468" s="3"/>
      <c r="F468" t="s">
        <v>551</v>
      </c>
      <c r="H468" t="s">
        <v>1659</v>
      </c>
      <c r="J468" t="str">
        <f t="shared" si="7"/>
        <v>FORM N-PORT-C.11</v>
      </c>
      <c r="K468" t="s">
        <v>1666</v>
      </c>
      <c r="L468" t="s">
        <v>1566</v>
      </c>
      <c r="M468" t="s">
        <v>1667</v>
      </c>
      <c r="N468" t="s">
        <v>1668</v>
      </c>
      <c r="Q468" s="18" t="s">
        <v>1590</v>
      </c>
    </row>
    <row r="469" spans="1:17" x14ac:dyDescent="0.35">
      <c r="A469" t="s">
        <v>1334</v>
      </c>
      <c r="B469" s="3" t="s">
        <v>102</v>
      </c>
      <c r="C469" s="3"/>
      <c r="D469" s="3"/>
      <c r="E469" s="3"/>
      <c r="F469" t="s">
        <v>551</v>
      </c>
      <c r="H469" t="s">
        <v>1659</v>
      </c>
      <c r="J469" t="str">
        <f t="shared" si="7"/>
        <v>FORM N-PORT-C.11</v>
      </c>
      <c r="K469" t="s">
        <v>1669</v>
      </c>
      <c r="L469" t="s">
        <v>1566</v>
      </c>
      <c r="M469" t="s">
        <v>1670</v>
      </c>
      <c r="N469" t="s">
        <v>1671</v>
      </c>
      <c r="Q469" s="18" t="s">
        <v>1590</v>
      </c>
    </row>
    <row r="470" spans="1:17" x14ac:dyDescent="0.35">
      <c r="A470" t="s">
        <v>1334</v>
      </c>
      <c r="B470" s="3" t="s">
        <v>102</v>
      </c>
      <c r="C470" s="3"/>
      <c r="D470" s="3"/>
      <c r="E470" s="3"/>
      <c r="F470" t="s">
        <v>551</v>
      </c>
      <c r="H470" t="s">
        <v>1659</v>
      </c>
      <c r="J470" t="str">
        <f t="shared" si="7"/>
        <v>FORM N-PORT-C.11</v>
      </c>
      <c r="K470" t="s">
        <v>1672</v>
      </c>
      <c r="L470" t="s">
        <v>1502</v>
      </c>
      <c r="M470" t="s">
        <v>1673</v>
      </c>
      <c r="N470" t="s">
        <v>1674</v>
      </c>
      <c r="Q470" s="18" t="s">
        <v>1590</v>
      </c>
    </row>
    <row r="471" spans="1:17" x14ac:dyDescent="0.35">
      <c r="A471" t="s">
        <v>1334</v>
      </c>
      <c r="B471" s="3" t="s">
        <v>102</v>
      </c>
      <c r="C471" s="3"/>
      <c r="D471" s="3"/>
      <c r="E471" s="3"/>
      <c r="F471" t="s">
        <v>551</v>
      </c>
      <c r="H471" t="s">
        <v>1659</v>
      </c>
      <c r="J471" t="str">
        <f t="shared" si="7"/>
        <v>FORM N-PORT-C.11</v>
      </c>
      <c r="K471" t="s">
        <v>1675</v>
      </c>
      <c r="L471" t="s">
        <v>783</v>
      </c>
      <c r="M471" t="s">
        <v>1676</v>
      </c>
      <c r="N471" t="s">
        <v>1677</v>
      </c>
      <c r="Q471" s="18" t="s">
        <v>1590</v>
      </c>
    </row>
    <row r="472" spans="1:17" x14ac:dyDescent="0.35">
      <c r="A472" t="s">
        <v>1334</v>
      </c>
      <c r="B472" s="3" t="s">
        <v>102</v>
      </c>
      <c r="C472" s="3"/>
      <c r="D472" s="3"/>
      <c r="E472" s="3"/>
      <c r="F472" t="s">
        <v>551</v>
      </c>
      <c r="H472" t="s">
        <v>1659</v>
      </c>
      <c r="J472" t="str">
        <f t="shared" si="7"/>
        <v>FORM N-PORT-C.11</v>
      </c>
      <c r="K472" t="s">
        <v>1678</v>
      </c>
      <c r="L472" t="s">
        <v>783</v>
      </c>
      <c r="M472" t="s">
        <v>1679</v>
      </c>
      <c r="N472" t="s">
        <v>1680</v>
      </c>
      <c r="Q472" s="18" t="s">
        <v>1590</v>
      </c>
    </row>
    <row r="473" spans="1:17" x14ac:dyDescent="0.35">
      <c r="A473" t="s">
        <v>1334</v>
      </c>
      <c r="B473" s="3" t="s">
        <v>102</v>
      </c>
      <c r="C473" s="3"/>
      <c r="D473" s="3"/>
      <c r="E473" s="3"/>
      <c r="F473" t="s">
        <v>551</v>
      </c>
      <c r="H473" t="s">
        <v>1659</v>
      </c>
      <c r="J473" t="str">
        <f t="shared" si="7"/>
        <v>FORM N-PORT-C.11</v>
      </c>
      <c r="K473" t="s">
        <v>1681</v>
      </c>
      <c r="L473" t="s">
        <v>1331</v>
      </c>
      <c r="M473" t="s">
        <v>1682</v>
      </c>
      <c r="N473" t="s">
        <v>1683</v>
      </c>
      <c r="Q473" s="18" t="s">
        <v>1590</v>
      </c>
    </row>
    <row r="474" spans="1:17" x14ac:dyDescent="0.35">
      <c r="A474" t="s">
        <v>1334</v>
      </c>
      <c r="B474" s="3" t="s">
        <v>102</v>
      </c>
      <c r="C474" s="3"/>
      <c r="D474" s="3"/>
      <c r="E474" s="3"/>
      <c r="F474" t="s">
        <v>551</v>
      </c>
      <c r="H474" t="s">
        <v>1659</v>
      </c>
      <c r="J474" t="str">
        <f t="shared" si="7"/>
        <v>FORM N-PORT-C.11</v>
      </c>
      <c r="K474" t="s">
        <v>1684</v>
      </c>
      <c r="L474" t="s">
        <v>783</v>
      </c>
      <c r="M474" t="s">
        <v>1685</v>
      </c>
      <c r="N474" t="s">
        <v>1686</v>
      </c>
      <c r="Q474" s="18" t="s">
        <v>1590</v>
      </c>
    </row>
    <row r="475" spans="1:17" x14ac:dyDescent="0.35">
      <c r="A475" t="s">
        <v>1334</v>
      </c>
      <c r="B475" s="3" t="s">
        <v>102</v>
      </c>
      <c r="C475" s="3"/>
      <c r="D475" s="3"/>
      <c r="E475" s="3"/>
      <c r="F475" t="s">
        <v>551</v>
      </c>
      <c r="H475" t="s">
        <v>1659</v>
      </c>
      <c r="J475" t="str">
        <f t="shared" si="7"/>
        <v>FORM N-PORT-C.11</v>
      </c>
      <c r="K475" t="s">
        <v>1687</v>
      </c>
      <c r="L475" t="s">
        <v>783</v>
      </c>
      <c r="M475" t="s">
        <v>1688</v>
      </c>
      <c r="N475" t="s">
        <v>1689</v>
      </c>
      <c r="Q475" s="18" t="s">
        <v>1590</v>
      </c>
    </row>
    <row r="476" spans="1:17" x14ac:dyDescent="0.35">
      <c r="A476" t="s">
        <v>1334</v>
      </c>
      <c r="B476" s="3" t="s">
        <v>102</v>
      </c>
      <c r="C476" s="3"/>
      <c r="D476" s="3"/>
      <c r="E476" s="3"/>
      <c r="F476" t="s">
        <v>551</v>
      </c>
      <c r="H476" t="s">
        <v>1659</v>
      </c>
      <c r="J476" t="str">
        <f t="shared" si="7"/>
        <v>FORM N-PORT-C.11</v>
      </c>
      <c r="K476" t="s">
        <v>1690</v>
      </c>
      <c r="L476" t="s">
        <v>1566</v>
      </c>
      <c r="M476" t="s">
        <v>1691</v>
      </c>
      <c r="N476" t="s">
        <v>1692</v>
      </c>
      <c r="Q476" s="18" t="s">
        <v>1590</v>
      </c>
    </row>
    <row r="477" spans="1:17" x14ac:dyDescent="0.35">
      <c r="A477" t="s">
        <v>1334</v>
      </c>
      <c r="B477" s="3" t="s">
        <v>102</v>
      </c>
      <c r="C477" s="3"/>
      <c r="D477" s="3"/>
      <c r="E477" s="3"/>
      <c r="F477" t="s">
        <v>551</v>
      </c>
      <c r="H477" t="s">
        <v>1659</v>
      </c>
      <c r="J477" t="str">
        <f t="shared" si="7"/>
        <v>FORM N-PORT-C.11</v>
      </c>
      <c r="K477" t="s">
        <v>1693</v>
      </c>
      <c r="L477" t="s">
        <v>1502</v>
      </c>
      <c r="M477" t="s">
        <v>1694</v>
      </c>
      <c r="N477" t="s">
        <v>1695</v>
      </c>
      <c r="Q477" s="18" t="s">
        <v>1590</v>
      </c>
    </row>
    <row r="478" spans="1:17" x14ac:dyDescent="0.35">
      <c r="A478" t="s">
        <v>1334</v>
      </c>
      <c r="B478" s="3" t="s">
        <v>102</v>
      </c>
      <c r="C478" s="3"/>
      <c r="D478" s="3"/>
      <c r="E478" s="3"/>
      <c r="F478" t="s">
        <v>551</v>
      </c>
      <c r="H478" t="s">
        <v>1659</v>
      </c>
      <c r="J478" t="str">
        <f t="shared" si="7"/>
        <v>FORM N-PORT-C.11</v>
      </c>
      <c r="K478" t="s">
        <v>1696</v>
      </c>
      <c r="L478" t="s">
        <v>1331</v>
      </c>
      <c r="M478" t="s">
        <v>1697</v>
      </c>
      <c r="N478" t="s">
        <v>1698</v>
      </c>
      <c r="Q478" s="18" t="s">
        <v>1590</v>
      </c>
    </row>
    <row r="479" spans="1:17" x14ac:dyDescent="0.35">
      <c r="A479" t="s">
        <v>1334</v>
      </c>
      <c r="B479" s="3" t="s">
        <v>102</v>
      </c>
      <c r="C479" s="3"/>
      <c r="D479" s="3"/>
      <c r="E479" s="3"/>
      <c r="F479" t="s">
        <v>551</v>
      </c>
      <c r="H479" t="s">
        <v>1659</v>
      </c>
      <c r="J479" t="str">
        <f t="shared" si="7"/>
        <v>FORM N-PORT-C.11</v>
      </c>
      <c r="K479" t="s">
        <v>1699</v>
      </c>
      <c r="L479" t="s">
        <v>783</v>
      </c>
      <c r="M479" t="s">
        <v>1700</v>
      </c>
      <c r="N479" t="s">
        <v>1701</v>
      </c>
      <c r="Q479" s="18" t="s">
        <v>1590</v>
      </c>
    </row>
    <row r="480" spans="1:17" x14ac:dyDescent="0.35">
      <c r="A480" t="s">
        <v>1334</v>
      </c>
      <c r="B480" s="3" t="s">
        <v>102</v>
      </c>
      <c r="C480" s="3"/>
      <c r="D480" s="3"/>
      <c r="E480" s="3"/>
      <c r="F480" t="s">
        <v>551</v>
      </c>
      <c r="H480" t="s">
        <v>1659</v>
      </c>
      <c r="J480" t="str">
        <f t="shared" si="7"/>
        <v>FORM N-PORT-C.11</v>
      </c>
      <c r="K480" t="s">
        <v>1702</v>
      </c>
      <c r="L480" t="s">
        <v>783</v>
      </c>
      <c r="M480" t="s">
        <v>1688</v>
      </c>
      <c r="N480" t="s">
        <v>1703</v>
      </c>
      <c r="Q480" s="18" t="s">
        <v>1590</v>
      </c>
    </row>
    <row r="481" spans="1:17" x14ac:dyDescent="0.35">
      <c r="A481" t="s">
        <v>1334</v>
      </c>
      <c r="B481" s="3" t="s">
        <v>102</v>
      </c>
      <c r="C481" s="3"/>
      <c r="D481" s="3"/>
      <c r="E481" s="3"/>
      <c r="F481" t="s">
        <v>551</v>
      </c>
      <c r="H481" t="s">
        <v>1659</v>
      </c>
      <c r="J481" t="str">
        <f t="shared" si="7"/>
        <v>FORM N-PORT-C.11</v>
      </c>
      <c r="K481" t="s">
        <v>1704</v>
      </c>
      <c r="L481" t="s">
        <v>229</v>
      </c>
      <c r="M481" t="s">
        <v>1705</v>
      </c>
      <c r="N481" t="s">
        <v>1706</v>
      </c>
      <c r="Q481" s="18" t="s">
        <v>1590</v>
      </c>
    </row>
    <row r="482" spans="1:17" x14ac:dyDescent="0.35">
      <c r="A482" t="s">
        <v>1334</v>
      </c>
      <c r="B482" s="3" t="s">
        <v>102</v>
      </c>
      <c r="C482" s="3"/>
      <c r="D482" s="3"/>
      <c r="E482" s="3"/>
      <c r="F482" t="s">
        <v>551</v>
      </c>
      <c r="H482" t="s">
        <v>1659</v>
      </c>
      <c r="J482" t="str">
        <f t="shared" si="7"/>
        <v>FORM N-PORT-C.11</v>
      </c>
      <c r="K482" t="s">
        <v>1707</v>
      </c>
      <c r="L482" t="s">
        <v>229</v>
      </c>
      <c r="M482" t="s">
        <v>1708</v>
      </c>
      <c r="N482" t="s">
        <v>1709</v>
      </c>
      <c r="Q482" s="18" t="s">
        <v>1590</v>
      </c>
    </row>
    <row r="483" spans="1:17" x14ac:dyDescent="0.35">
      <c r="A483" t="s">
        <v>1334</v>
      </c>
      <c r="B483" s="3" t="s">
        <v>102</v>
      </c>
      <c r="C483" s="3"/>
      <c r="D483" s="3"/>
      <c r="E483" s="3"/>
      <c r="F483" t="s">
        <v>551</v>
      </c>
      <c r="H483" t="s">
        <v>1659</v>
      </c>
      <c r="J483" t="str">
        <f t="shared" si="7"/>
        <v>FORM N-PORT-C.11</v>
      </c>
      <c r="K483" t="s">
        <v>1710</v>
      </c>
      <c r="L483" t="s">
        <v>1331</v>
      </c>
      <c r="M483" t="s">
        <v>1711</v>
      </c>
      <c r="N483" t="s">
        <v>1712</v>
      </c>
      <c r="Q483" s="18" t="s">
        <v>1590</v>
      </c>
    </row>
    <row r="484" spans="1:17" x14ac:dyDescent="0.35">
      <c r="A484" t="s">
        <v>1334</v>
      </c>
      <c r="B484" s="3" t="s">
        <v>102</v>
      </c>
      <c r="C484" s="3"/>
      <c r="D484" s="3"/>
      <c r="E484" s="3"/>
      <c r="F484" t="s">
        <v>551</v>
      </c>
      <c r="H484" t="s">
        <v>1659</v>
      </c>
      <c r="J484" t="str">
        <f t="shared" si="7"/>
        <v>FORM N-PORT-C.11</v>
      </c>
      <c r="K484" t="s">
        <v>1713</v>
      </c>
      <c r="L484" t="s">
        <v>783</v>
      </c>
      <c r="M484" t="s">
        <v>1688</v>
      </c>
      <c r="N484" t="s">
        <v>1714</v>
      </c>
      <c r="Q484" s="18" t="s">
        <v>1590</v>
      </c>
    </row>
    <row r="485" spans="1:17" x14ac:dyDescent="0.35">
      <c r="A485" t="s">
        <v>1334</v>
      </c>
      <c r="B485" s="3" t="s">
        <v>102</v>
      </c>
      <c r="C485" s="3"/>
      <c r="D485" s="3"/>
      <c r="E485" s="3"/>
      <c r="F485" t="s">
        <v>551</v>
      </c>
      <c r="H485" t="s">
        <v>1659</v>
      </c>
      <c r="J485" t="str">
        <f t="shared" si="7"/>
        <v>FORM N-PORT-C.11</v>
      </c>
      <c r="K485" t="s">
        <v>1715</v>
      </c>
      <c r="L485" t="s">
        <v>229</v>
      </c>
      <c r="M485" t="s">
        <v>1716</v>
      </c>
      <c r="N485" t="s">
        <v>1717</v>
      </c>
      <c r="Q485" s="18" t="s">
        <v>1590</v>
      </c>
    </row>
    <row r="486" spans="1:17" x14ac:dyDescent="0.35">
      <c r="A486" t="s">
        <v>1334</v>
      </c>
      <c r="B486" s="3" t="s">
        <v>102</v>
      </c>
      <c r="C486" s="3"/>
      <c r="D486" s="3"/>
      <c r="E486" s="3"/>
      <c r="F486" t="s">
        <v>551</v>
      </c>
      <c r="H486" t="s">
        <v>1659</v>
      </c>
      <c r="J486" t="str">
        <f t="shared" si="7"/>
        <v>FORM N-PORT-C.11</v>
      </c>
      <c r="K486" t="s">
        <v>1718</v>
      </c>
      <c r="L486" t="s">
        <v>1331</v>
      </c>
      <c r="M486" t="s">
        <v>1719</v>
      </c>
      <c r="N486" t="s">
        <v>1720</v>
      </c>
      <c r="Q486" s="18" t="s">
        <v>1590</v>
      </c>
    </row>
    <row r="487" spans="1:17" x14ac:dyDescent="0.35">
      <c r="A487" t="s">
        <v>1334</v>
      </c>
      <c r="B487" s="3" t="s">
        <v>102</v>
      </c>
      <c r="C487" s="3"/>
      <c r="D487" s="3"/>
      <c r="E487" s="3"/>
      <c r="F487" t="s">
        <v>551</v>
      </c>
      <c r="H487" t="s">
        <v>1659</v>
      </c>
      <c r="J487" t="str">
        <f t="shared" si="7"/>
        <v>FORM N-PORT-C.11</v>
      </c>
      <c r="K487" t="s">
        <v>1721</v>
      </c>
      <c r="L487" t="s">
        <v>783</v>
      </c>
      <c r="M487" t="s">
        <v>1722</v>
      </c>
      <c r="N487" t="s">
        <v>1723</v>
      </c>
      <c r="Q487" s="18" t="s">
        <v>1590</v>
      </c>
    </row>
    <row r="488" spans="1:17" x14ac:dyDescent="0.35">
      <c r="A488" t="s">
        <v>1334</v>
      </c>
      <c r="B488" s="3" t="s">
        <v>102</v>
      </c>
      <c r="C488" s="3"/>
      <c r="D488" s="3"/>
      <c r="E488" s="3"/>
      <c r="F488" t="s">
        <v>551</v>
      </c>
      <c r="H488" t="s">
        <v>1659</v>
      </c>
      <c r="J488" t="str">
        <f t="shared" si="7"/>
        <v>FORM N-PORT-C.11</v>
      </c>
      <c r="K488" t="s">
        <v>1724</v>
      </c>
      <c r="L488" t="s">
        <v>783</v>
      </c>
      <c r="M488" t="s">
        <v>1725</v>
      </c>
      <c r="N488" t="s">
        <v>1726</v>
      </c>
      <c r="Q488" s="18" t="s">
        <v>1590</v>
      </c>
    </row>
    <row r="489" spans="1:17" x14ac:dyDescent="0.35">
      <c r="A489" t="s">
        <v>1334</v>
      </c>
      <c r="B489" s="3" t="s">
        <v>102</v>
      </c>
      <c r="C489" s="3"/>
      <c r="D489" s="3"/>
      <c r="E489" s="3"/>
      <c r="F489" t="s">
        <v>551</v>
      </c>
      <c r="H489" t="s">
        <v>1659</v>
      </c>
      <c r="J489" t="str">
        <f t="shared" si="7"/>
        <v>FORM N-PORT-C.11</v>
      </c>
      <c r="K489" t="s">
        <v>1727</v>
      </c>
      <c r="L489" t="s">
        <v>783</v>
      </c>
      <c r="M489" t="s">
        <v>1688</v>
      </c>
      <c r="N489" t="s">
        <v>1728</v>
      </c>
      <c r="Q489" s="18" t="s">
        <v>1590</v>
      </c>
    </row>
    <row r="490" spans="1:17" x14ac:dyDescent="0.35">
      <c r="A490" t="s">
        <v>1334</v>
      </c>
      <c r="B490" s="3" t="s">
        <v>102</v>
      </c>
      <c r="C490" s="3"/>
      <c r="D490" s="3"/>
      <c r="E490" s="3"/>
      <c r="F490" t="s">
        <v>551</v>
      </c>
      <c r="H490" t="s">
        <v>1729</v>
      </c>
      <c r="J490" t="str">
        <f t="shared" si="7"/>
        <v>FORM N-PORT-C.12</v>
      </c>
      <c r="K490" t="s">
        <v>1730</v>
      </c>
      <c r="L490" t="s">
        <v>1187</v>
      </c>
      <c r="M490" t="s">
        <v>1731</v>
      </c>
      <c r="N490" t="s">
        <v>1732</v>
      </c>
      <c r="Q490" s="18" t="s">
        <v>1341</v>
      </c>
    </row>
    <row r="491" spans="1:17" x14ac:dyDescent="0.35">
      <c r="A491" t="s">
        <v>1334</v>
      </c>
      <c r="B491" s="3" t="s">
        <v>102</v>
      </c>
      <c r="C491" s="3"/>
      <c r="D491" s="3"/>
      <c r="E491" s="3"/>
      <c r="F491" t="s">
        <v>551</v>
      </c>
      <c r="H491" t="s">
        <v>1729</v>
      </c>
      <c r="J491" t="str">
        <f t="shared" si="7"/>
        <v>FORM N-PORT-C.12</v>
      </c>
      <c r="K491" t="s">
        <v>1733</v>
      </c>
      <c r="L491" t="s">
        <v>783</v>
      </c>
      <c r="M491" t="s">
        <v>1734</v>
      </c>
      <c r="N491" t="s">
        <v>1735</v>
      </c>
      <c r="Q491" s="18" t="s">
        <v>1590</v>
      </c>
    </row>
    <row r="492" spans="1:17" x14ac:dyDescent="0.35">
      <c r="A492" t="s">
        <v>1334</v>
      </c>
      <c r="B492" s="3" t="s">
        <v>102</v>
      </c>
      <c r="C492" s="3"/>
      <c r="D492" s="3"/>
      <c r="E492" s="3"/>
      <c r="F492" t="s">
        <v>551</v>
      </c>
      <c r="H492" t="s">
        <v>1729</v>
      </c>
      <c r="J492" t="str">
        <f t="shared" si="7"/>
        <v>FORM N-PORT-C.12</v>
      </c>
      <c r="K492" t="s">
        <v>1736</v>
      </c>
      <c r="L492" t="s">
        <v>1187</v>
      </c>
      <c r="M492" t="s">
        <v>1737</v>
      </c>
      <c r="N492" t="s">
        <v>1738</v>
      </c>
      <c r="Q492" s="18" t="s">
        <v>1341</v>
      </c>
    </row>
    <row r="493" spans="1:17" x14ac:dyDescent="0.35">
      <c r="A493" t="s">
        <v>1334</v>
      </c>
      <c r="B493" s="3" t="s">
        <v>102</v>
      </c>
      <c r="C493" s="3"/>
      <c r="D493" s="3"/>
      <c r="E493" s="3"/>
      <c r="F493" t="s">
        <v>551</v>
      </c>
      <c r="H493" t="s">
        <v>1729</v>
      </c>
      <c r="J493" t="str">
        <f t="shared" si="7"/>
        <v>FORM N-PORT-C.12</v>
      </c>
      <c r="K493" t="s">
        <v>1739</v>
      </c>
      <c r="L493" t="s">
        <v>783</v>
      </c>
      <c r="M493" t="s">
        <v>1740</v>
      </c>
      <c r="N493" t="s">
        <v>1741</v>
      </c>
      <c r="Q493" s="18" t="s">
        <v>1590</v>
      </c>
    </row>
    <row r="494" spans="1:17" x14ac:dyDescent="0.35">
      <c r="A494" t="s">
        <v>1334</v>
      </c>
      <c r="B494" s="3" t="s">
        <v>102</v>
      </c>
      <c r="C494" s="3"/>
      <c r="D494" s="3"/>
      <c r="E494" s="3"/>
      <c r="F494" t="s">
        <v>551</v>
      </c>
      <c r="H494" t="s">
        <v>1729</v>
      </c>
      <c r="J494" t="str">
        <f t="shared" si="7"/>
        <v>FORM N-PORT-C.12</v>
      </c>
      <c r="K494" t="s">
        <v>1742</v>
      </c>
      <c r="L494" t="s">
        <v>1187</v>
      </c>
      <c r="M494" t="s">
        <v>1743</v>
      </c>
      <c r="N494" t="s">
        <v>1744</v>
      </c>
      <c r="Q494" s="18" t="s">
        <v>1341</v>
      </c>
    </row>
    <row r="495" spans="1:17" x14ac:dyDescent="0.35">
      <c r="A495" t="s">
        <v>1334</v>
      </c>
      <c r="B495" s="3" t="s">
        <v>102</v>
      </c>
      <c r="C495" s="3"/>
      <c r="D495" s="3"/>
      <c r="E495" s="3"/>
      <c r="F495" t="s">
        <v>551</v>
      </c>
      <c r="H495" t="s">
        <v>1729</v>
      </c>
      <c r="J495" t="str">
        <f t="shared" si="7"/>
        <v>FORM N-PORT-C.12</v>
      </c>
      <c r="K495" t="s">
        <v>1745</v>
      </c>
      <c r="L495" t="s">
        <v>783</v>
      </c>
      <c r="M495" t="s">
        <v>1746</v>
      </c>
      <c r="N495" t="s">
        <v>1747</v>
      </c>
      <c r="Q495" s="18" t="s">
        <v>1590</v>
      </c>
    </row>
    <row r="496" spans="1:17" x14ac:dyDescent="0.35">
      <c r="A496" t="s">
        <v>1334</v>
      </c>
      <c r="B496" s="3" t="s">
        <v>102</v>
      </c>
      <c r="C496" s="3"/>
      <c r="D496" s="3"/>
      <c r="E496" s="3"/>
      <c r="F496" t="s">
        <v>551</v>
      </c>
      <c r="H496" t="s">
        <v>593</v>
      </c>
      <c r="J496" t="str">
        <f t="shared" si="7"/>
        <v>FORM N-PORT-C.1</v>
      </c>
      <c r="K496" t="s">
        <v>1522</v>
      </c>
      <c r="L496" t="s">
        <v>229</v>
      </c>
      <c r="M496" t="s">
        <v>1523</v>
      </c>
      <c r="N496" t="s">
        <v>1524</v>
      </c>
      <c r="Q496" s="18" t="s">
        <v>9167</v>
      </c>
    </row>
    <row r="497" spans="1:17" x14ac:dyDescent="0.35">
      <c r="A497" t="s">
        <v>1334</v>
      </c>
      <c r="B497" s="3" t="s">
        <v>102</v>
      </c>
      <c r="C497" s="3"/>
      <c r="D497" s="3"/>
      <c r="E497" s="3"/>
      <c r="F497" t="s">
        <v>551</v>
      </c>
      <c r="H497" t="s">
        <v>593</v>
      </c>
      <c r="J497" t="str">
        <f t="shared" si="7"/>
        <v>FORM N-PORT-C.1</v>
      </c>
      <c r="K497" t="s">
        <v>1526</v>
      </c>
      <c r="L497" t="s">
        <v>1313</v>
      </c>
      <c r="M497" t="s">
        <v>1527</v>
      </c>
      <c r="N497" t="s">
        <v>1528</v>
      </c>
      <c r="Q497" s="18" t="s">
        <v>9162</v>
      </c>
    </row>
    <row r="498" spans="1:17" x14ac:dyDescent="0.35">
      <c r="A498" t="s">
        <v>1334</v>
      </c>
      <c r="B498" s="3" t="s">
        <v>102</v>
      </c>
      <c r="C498" s="3"/>
      <c r="D498" s="3"/>
      <c r="E498" s="3"/>
      <c r="F498" t="s">
        <v>551</v>
      </c>
      <c r="H498" t="s">
        <v>593</v>
      </c>
      <c r="J498" t="str">
        <f t="shared" si="7"/>
        <v>FORM N-PORT-C.1</v>
      </c>
      <c r="K498" t="s">
        <v>1530</v>
      </c>
      <c r="L498" t="s">
        <v>229</v>
      </c>
      <c r="M498" t="s">
        <v>1531</v>
      </c>
      <c r="N498" t="s">
        <v>1532</v>
      </c>
      <c r="Q498" s="18" t="s">
        <v>9168</v>
      </c>
    </row>
    <row r="499" spans="1:17" x14ac:dyDescent="0.35">
      <c r="A499" t="s">
        <v>1334</v>
      </c>
      <c r="B499" s="3" t="s">
        <v>102</v>
      </c>
      <c r="C499" s="3"/>
      <c r="D499" s="3"/>
      <c r="E499" s="3"/>
      <c r="F499" t="s">
        <v>551</v>
      </c>
      <c r="H499" t="s">
        <v>593</v>
      </c>
      <c r="J499" t="str">
        <f t="shared" si="7"/>
        <v>FORM N-PORT-C.1</v>
      </c>
      <c r="K499" t="s">
        <v>1534</v>
      </c>
      <c r="L499" t="s">
        <v>1313</v>
      </c>
      <c r="M499" t="s">
        <v>1535</v>
      </c>
      <c r="N499" t="s">
        <v>1536</v>
      </c>
      <c r="Q499" s="18" t="s">
        <v>9169</v>
      </c>
    </row>
    <row r="500" spans="1:17" x14ac:dyDescent="0.35">
      <c r="A500" t="s">
        <v>1334</v>
      </c>
      <c r="B500" s="3" t="s">
        <v>102</v>
      </c>
      <c r="C500" s="3"/>
      <c r="D500" s="3"/>
      <c r="E500" s="3"/>
      <c r="F500" t="s">
        <v>551</v>
      </c>
      <c r="H500" t="s">
        <v>593</v>
      </c>
      <c r="J500" t="str">
        <f t="shared" si="7"/>
        <v>FORM N-PORT-C.1</v>
      </c>
      <c r="K500" t="s">
        <v>1538</v>
      </c>
      <c r="L500" t="s">
        <v>1313</v>
      </c>
      <c r="M500" t="s">
        <v>1539</v>
      </c>
      <c r="N500" t="s">
        <v>1540</v>
      </c>
      <c r="Q500" s="18" t="s">
        <v>9170</v>
      </c>
    </row>
    <row r="501" spans="1:17" x14ac:dyDescent="0.35">
      <c r="A501" t="s">
        <v>1334</v>
      </c>
      <c r="B501" s="3" t="s">
        <v>102</v>
      </c>
      <c r="C501" s="3"/>
      <c r="D501" s="3"/>
      <c r="E501" s="3"/>
      <c r="F501" t="s">
        <v>551</v>
      </c>
      <c r="H501" t="s">
        <v>1542</v>
      </c>
      <c r="J501" t="str">
        <f t="shared" si="7"/>
        <v>FORM N-PORT-C.2</v>
      </c>
      <c r="K501" t="s">
        <v>1543</v>
      </c>
      <c r="L501" t="s">
        <v>783</v>
      </c>
      <c r="M501" t="s">
        <v>1544</v>
      </c>
      <c r="N501" t="s">
        <v>1545</v>
      </c>
      <c r="Q501" s="18">
        <v>5833000</v>
      </c>
    </row>
    <row r="502" spans="1:17" x14ac:dyDescent="0.35">
      <c r="A502" t="s">
        <v>1334</v>
      </c>
      <c r="B502" s="3" t="s">
        <v>102</v>
      </c>
      <c r="C502" s="3"/>
      <c r="D502" s="3"/>
      <c r="E502" s="3"/>
      <c r="F502" t="s">
        <v>551</v>
      </c>
      <c r="H502" t="s">
        <v>1542</v>
      </c>
      <c r="J502" t="str">
        <f t="shared" si="7"/>
        <v>FORM N-PORT-C.2</v>
      </c>
      <c r="K502" t="s">
        <v>1546</v>
      </c>
      <c r="L502" t="s">
        <v>1502</v>
      </c>
      <c r="M502" t="s">
        <v>1547</v>
      </c>
      <c r="N502" t="s">
        <v>1548</v>
      </c>
      <c r="Q502" s="18" t="s">
        <v>1549</v>
      </c>
    </row>
    <row r="503" spans="1:17" x14ac:dyDescent="0.35">
      <c r="A503" t="s">
        <v>1334</v>
      </c>
      <c r="B503" s="3" t="s">
        <v>102</v>
      </c>
      <c r="C503" s="3"/>
      <c r="D503" s="3"/>
      <c r="E503" s="3"/>
      <c r="F503" t="s">
        <v>551</v>
      </c>
      <c r="H503" t="s">
        <v>1542</v>
      </c>
      <c r="J503" t="str">
        <f t="shared" si="7"/>
        <v>FORM N-PORT-C.2</v>
      </c>
      <c r="K503" t="s">
        <v>1550</v>
      </c>
      <c r="L503" t="s">
        <v>783</v>
      </c>
      <c r="M503" t="s">
        <v>1551</v>
      </c>
      <c r="N503" t="s">
        <v>1552</v>
      </c>
      <c r="Q503" s="18">
        <v>6018961.8700000001</v>
      </c>
    </row>
    <row r="504" spans="1:17" x14ac:dyDescent="0.35">
      <c r="A504" t="s">
        <v>1334</v>
      </c>
      <c r="B504" s="3" t="s">
        <v>102</v>
      </c>
      <c r="C504" s="3"/>
      <c r="D504" s="3"/>
      <c r="E504" s="3"/>
      <c r="F504" t="s">
        <v>551</v>
      </c>
      <c r="H504" t="s">
        <v>1542</v>
      </c>
      <c r="J504" t="str">
        <f t="shared" si="7"/>
        <v>FORM N-PORT-C.2</v>
      </c>
      <c r="K504" t="s">
        <v>1553</v>
      </c>
      <c r="L504" t="s">
        <v>1198</v>
      </c>
      <c r="M504" t="s">
        <v>1554</v>
      </c>
      <c r="N504" t="s">
        <v>1555</v>
      </c>
      <c r="Q504" s="18">
        <v>2.5773004E-3</v>
      </c>
    </row>
    <row r="505" spans="1:17" x14ac:dyDescent="0.35">
      <c r="A505" t="s">
        <v>1334</v>
      </c>
      <c r="B505" s="3" t="s">
        <v>102</v>
      </c>
      <c r="C505" s="3"/>
      <c r="D505" s="3"/>
      <c r="E505" s="3"/>
      <c r="F505" t="s">
        <v>551</v>
      </c>
      <c r="H505" t="s">
        <v>1542</v>
      </c>
      <c r="J505" t="str">
        <f t="shared" si="7"/>
        <v>FORM N-PORT-C.2</v>
      </c>
      <c r="K505" t="s">
        <v>1556</v>
      </c>
      <c r="L505" t="s">
        <v>1187</v>
      </c>
      <c r="M505" t="s">
        <v>1557</v>
      </c>
      <c r="N505" t="s">
        <v>1558</v>
      </c>
      <c r="Q505" s="18" t="s">
        <v>1590</v>
      </c>
    </row>
    <row r="506" spans="1:17" x14ac:dyDescent="0.35">
      <c r="A506" t="s">
        <v>1334</v>
      </c>
      <c r="B506" s="3" t="s">
        <v>102</v>
      </c>
      <c r="C506" s="3"/>
      <c r="D506" s="3"/>
      <c r="E506" s="3"/>
      <c r="F506" t="s">
        <v>551</v>
      </c>
      <c r="H506" t="s">
        <v>1559</v>
      </c>
      <c r="J506" t="str">
        <f t="shared" si="7"/>
        <v>FORM N-PORT-C.3</v>
      </c>
      <c r="K506" t="s">
        <v>1560</v>
      </c>
      <c r="L506" t="s">
        <v>229</v>
      </c>
      <c r="M506" t="s">
        <v>1561</v>
      </c>
      <c r="N506" t="s">
        <v>1562</v>
      </c>
      <c r="Q506" s="18" t="s">
        <v>1563</v>
      </c>
    </row>
    <row r="507" spans="1:17" x14ac:dyDescent="0.35">
      <c r="A507" t="s">
        <v>1334</v>
      </c>
      <c r="B507" s="3" t="s">
        <v>102</v>
      </c>
      <c r="C507" s="3"/>
      <c r="D507" s="3"/>
      <c r="E507" s="3"/>
      <c r="F507" t="s">
        <v>551</v>
      </c>
      <c r="H507" t="s">
        <v>1564</v>
      </c>
      <c r="J507" t="str">
        <f t="shared" si="7"/>
        <v>FORM N-PORT-C.4</v>
      </c>
      <c r="K507" t="s">
        <v>1565</v>
      </c>
      <c r="L507" t="s">
        <v>1566</v>
      </c>
      <c r="M507" t="s">
        <v>1567</v>
      </c>
      <c r="N507" t="s">
        <v>1568</v>
      </c>
      <c r="Q507" s="18" t="s">
        <v>1569</v>
      </c>
    </row>
    <row r="508" spans="1:17" x14ac:dyDescent="0.35">
      <c r="A508" t="s">
        <v>1334</v>
      </c>
      <c r="B508" s="3" t="s">
        <v>102</v>
      </c>
      <c r="C508" s="3"/>
      <c r="D508" s="3"/>
      <c r="E508" s="3"/>
      <c r="F508" t="s">
        <v>551</v>
      </c>
      <c r="H508" t="s">
        <v>1564</v>
      </c>
      <c r="J508" t="str">
        <f t="shared" si="7"/>
        <v>FORM N-PORT-C.4</v>
      </c>
      <c r="K508" t="s">
        <v>1570</v>
      </c>
      <c r="L508" t="s">
        <v>1566</v>
      </c>
      <c r="M508" t="s">
        <v>1571</v>
      </c>
      <c r="N508" t="s">
        <v>1572</v>
      </c>
      <c r="Q508" s="18" t="s">
        <v>9171</v>
      </c>
    </row>
    <row r="509" spans="1:17" x14ac:dyDescent="0.35">
      <c r="A509" t="s">
        <v>1334</v>
      </c>
      <c r="B509" s="3" t="s">
        <v>102</v>
      </c>
      <c r="C509" s="3"/>
      <c r="D509" s="3"/>
      <c r="E509" s="3"/>
      <c r="F509" t="s">
        <v>551</v>
      </c>
      <c r="H509" t="s">
        <v>1574</v>
      </c>
      <c r="J509" t="str">
        <f t="shared" si="7"/>
        <v>FORM N-PORT-C.5</v>
      </c>
      <c r="K509" t="s">
        <v>1575</v>
      </c>
      <c r="L509" t="s">
        <v>1502</v>
      </c>
      <c r="M509" t="s">
        <v>1576</v>
      </c>
      <c r="N509" t="s">
        <v>1577</v>
      </c>
      <c r="Q509" s="18" t="s">
        <v>1578</v>
      </c>
    </row>
    <row r="510" spans="1:17" x14ac:dyDescent="0.35">
      <c r="A510" t="s">
        <v>1334</v>
      </c>
      <c r="B510" s="3" t="s">
        <v>102</v>
      </c>
      <c r="C510" s="3"/>
      <c r="D510" s="3"/>
      <c r="E510" s="3"/>
      <c r="F510" t="s">
        <v>551</v>
      </c>
      <c r="H510" t="s">
        <v>1574</v>
      </c>
      <c r="J510" t="str">
        <f t="shared" si="7"/>
        <v>FORM N-PORT-C.5</v>
      </c>
      <c r="K510" t="s">
        <v>1579</v>
      </c>
      <c r="L510" t="s">
        <v>1502</v>
      </c>
      <c r="M510" t="s">
        <v>1580</v>
      </c>
      <c r="N510" t="s">
        <v>1581</v>
      </c>
      <c r="Q510" s="18" t="s">
        <v>1590</v>
      </c>
    </row>
    <row r="511" spans="1:17" x14ac:dyDescent="0.35">
      <c r="A511" t="s">
        <v>1334</v>
      </c>
      <c r="B511" s="3" t="s">
        <v>102</v>
      </c>
      <c r="C511" s="3"/>
      <c r="D511" s="3"/>
      <c r="E511" s="3"/>
      <c r="F511" t="s">
        <v>551</v>
      </c>
      <c r="H511" t="s">
        <v>1582</v>
      </c>
      <c r="J511" t="str">
        <f t="shared" si="7"/>
        <v>FORM N-PORT-C.6</v>
      </c>
      <c r="K511" t="s">
        <v>1583</v>
      </c>
      <c r="L511" t="s">
        <v>1187</v>
      </c>
      <c r="M511" t="s">
        <v>1584</v>
      </c>
      <c r="N511" t="s">
        <v>1585</v>
      </c>
      <c r="Q511" s="18" t="s">
        <v>1341</v>
      </c>
    </row>
    <row r="512" spans="1:17" x14ac:dyDescent="0.35">
      <c r="A512" t="s">
        <v>1334</v>
      </c>
      <c r="B512" s="3" t="s">
        <v>102</v>
      </c>
      <c r="C512" s="3"/>
      <c r="D512" s="3"/>
      <c r="E512" s="3"/>
      <c r="F512" t="s">
        <v>551</v>
      </c>
      <c r="H512" t="s">
        <v>1586</v>
      </c>
      <c r="J512" t="str">
        <f t="shared" si="7"/>
        <v>FORM N-PORT-C.7</v>
      </c>
      <c r="K512" t="s">
        <v>1587</v>
      </c>
      <c r="L512" t="s">
        <v>1566</v>
      </c>
      <c r="M512" t="s">
        <v>1588</v>
      </c>
      <c r="N512" t="s">
        <v>1589</v>
      </c>
      <c r="Q512" s="18" t="s">
        <v>1590</v>
      </c>
    </row>
    <row r="513" spans="1:17" x14ac:dyDescent="0.35">
      <c r="A513" t="s">
        <v>1334</v>
      </c>
      <c r="B513" s="3" t="s">
        <v>102</v>
      </c>
      <c r="C513" s="3"/>
      <c r="D513" s="3"/>
      <c r="E513" s="3"/>
      <c r="F513" t="s">
        <v>551</v>
      </c>
      <c r="H513" t="s">
        <v>1591</v>
      </c>
      <c r="J513" t="str">
        <f t="shared" si="7"/>
        <v>FORM N-PORT-C.8</v>
      </c>
      <c r="K513" t="s">
        <v>1592</v>
      </c>
      <c r="L513" t="s">
        <v>241</v>
      </c>
      <c r="M513" t="s">
        <v>1593</v>
      </c>
      <c r="N513" t="s">
        <v>1594</v>
      </c>
      <c r="Q513" s="18">
        <v>2</v>
      </c>
    </row>
    <row r="514" spans="1:17" x14ac:dyDescent="0.35">
      <c r="A514" t="s">
        <v>1334</v>
      </c>
      <c r="B514" s="3" t="s">
        <v>102</v>
      </c>
      <c r="C514" s="3"/>
      <c r="D514" s="3"/>
      <c r="E514" s="3"/>
      <c r="F514" t="s">
        <v>551</v>
      </c>
      <c r="H514" t="s">
        <v>1595</v>
      </c>
      <c r="J514" t="str">
        <f t="shared" si="7"/>
        <v>FORM N-PORT-C.9</v>
      </c>
      <c r="K514" t="s">
        <v>1596</v>
      </c>
      <c r="L514" t="s">
        <v>1331</v>
      </c>
      <c r="M514" t="s">
        <v>1597</v>
      </c>
      <c r="N514" t="s">
        <v>1598</v>
      </c>
      <c r="Q514" s="17">
        <v>48588</v>
      </c>
    </row>
    <row r="515" spans="1:17" x14ac:dyDescent="0.35">
      <c r="A515" t="s">
        <v>1334</v>
      </c>
      <c r="B515" s="3" t="s">
        <v>102</v>
      </c>
      <c r="C515" s="3"/>
      <c r="D515" s="3"/>
      <c r="E515" s="3"/>
      <c r="F515" t="s">
        <v>551</v>
      </c>
      <c r="H515" t="s">
        <v>1595</v>
      </c>
      <c r="J515" t="str">
        <f t="shared" ref="J515:J578" si="8">_xlfn.CONCAT(A515,"-",H515)</f>
        <v>FORM N-PORT-C.9</v>
      </c>
      <c r="K515" t="s">
        <v>1599</v>
      </c>
      <c r="L515" t="s">
        <v>1600</v>
      </c>
      <c r="M515" t="s">
        <v>1601</v>
      </c>
      <c r="N515" t="s">
        <v>1602</v>
      </c>
      <c r="Q515" s="18" t="s">
        <v>9172</v>
      </c>
    </row>
    <row r="516" spans="1:17" x14ac:dyDescent="0.35">
      <c r="A516" t="s">
        <v>1334</v>
      </c>
      <c r="B516" s="3" t="s">
        <v>102</v>
      </c>
      <c r="C516" s="3"/>
      <c r="D516" s="3"/>
      <c r="E516" s="3"/>
      <c r="F516" t="s">
        <v>551</v>
      </c>
      <c r="H516" t="s">
        <v>1595</v>
      </c>
      <c r="J516" t="str">
        <f t="shared" si="8"/>
        <v>FORM N-PORT-C.9</v>
      </c>
      <c r="K516" t="s">
        <v>1604</v>
      </c>
      <c r="L516" t="s">
        <v>1187</v>
      </c>
      <c r="M516" t="s">
        <v>1605</v>
      </c>
      <c r="N516" t="s">
        <v>1606</v>
      </c>
      <c r="Q516" s="18" t="s">
        <v>1341</v>
      </c>
    </row>
    <row r="517" spans="1:17" x14ac:dyDescent="0.35">
      <c r="A517" t="s">
        <v>1334</v>
      </c>
      <c r="B517" s="3" t="s">
        <v>102</v>
      </c>
      <c r="C517" s="3"/>
      <c r="D517" s="3"/>
      <c r="E517" s="3"/>
      <c r="F517" t="s">
        <v>551</v>
      </c>
      <c r="H517" t="s">
        <v>1595</v>
      </c>
      <c r="J517" t="str">
        <f t="shared" si="8"/>
        <v>FORM N-PORT-C.9</v>
      </c>
      <c r="K517" t="s">
        <v>1607</v>
      </c>
      <c r="L517" t="s">
        <v>1187</v>
      </c>
      <c r="M517" t="s">
        <v>1608</v>
      </c>
      <c r="N517" t="s">
        <v>1609</v>
      </c>
      <c r="Q517" s="18" t="s">
        <v>1341</v>
      </c>
    </row>
    <row r="518" spans="1:17" x14ac:dyDescent="0.35">
      <c r="A518" t="s">
        <v>1334</v>
      </c>
      <c r="B518" s="3" t="s">
        <v>102</v>
      </c>
      <c r="C518" s="3"/>
      <c r="D518" s="3"/>
      <c r="E518" s="3"/>
      <c r="F518" t="s">
        <v>551</v>
      </c>
      <c r="H518" t="s">
        <v>1595</v>
      </c>
      <c r="J518" t="str">
        <f t="shared" si="8"/>
        <v>FORM N-PORT-C.9</v>
      </c>
      <c r="K518" t="s">
        <v>1610</v>
      </c>
      <c r="L518" t="s">
        <v>1187</v>
      </c>
      <c r="M518" t="s">
        <v>1611</v>
      </c>
      <c r="N518" t="s">
        <v>1612</v>
      </c>
      <c r="Q518" s="18" t="s">
        <v>1341</v>
      </c>
    </row>
    <row r="519" spans="1:17" x14ac:dyDescent="0.35">
      <c r="A519" t="s">
        <v>1334</v>
      </c>
      <c r="B519" s="3" t="s">
        <v>102</v>
      </c>
      <c r="C519" s="3"/>
      <c r="D519" s="3"/>
      <c r="E519" s="3"/>
      <c r="F519" t="s">
        <v>551</v>
      </c>
      <c r="H519" t="s">
        <v>1595</v>
      </c>
      <c r="J519" t="str">
        <f t="shared" si="8"/>
        <v>FORM N-PORT-C.9</v>
      </c>
      <c r="K519" t="s">
        <v>1613</v>
      </c>
      <c r="L519" t="s">
        <v>1187</v>
      </c>
      <c r="M519" t="s">
        <v>1614</v>
      </c>
      <c r="N519" t="s">
        <v>1615</v>
      </c>
      <c r="Q519" s="18" t="s">
        <v>1590</v>
      </c>
    </row>
    <row r="520" spans="1:17" x14ac:dyDescent="0.35">
      <c r="A520" t="s">
        <v>1334</v>
      </c>
      <c r="B520" s="3" t="s">
        <v>102</v>
      </c>
      <c r="C520" s="3"/>
      <c r="D520" s="3"/>
      <c r="E520" s="3"/>
      <c r="F520" t="s">
        <v>551</v>
      </c>
      <c r="H520" t="s">
        <v>1595</v>
      </c>
      <c r="J520" t="str">
        <f t="shared" si="8"/>
        <v>FORM N-PORT-C.9</v>
      </c>
      <c r="K520" t="s">
        <v>1616</v>
      </c>
      <c r="L520" t="s">
        <v>1187</v>
      </c>
      <c r="M520" t="s">
        <v>1617</v>
      </c>
      <c r="N520" t="s">
        <v>1618</v>
      </c>
      <c r="Q520" s="18" t="s">
        <v>1590</v>
      </c>
    </row>
    <row r="521" spans="1:17" x14ac:dyDescent="0.35">
      <c r="A521" t="s">
        <v>1334</v>
      </c>
      <c r="B521" s="3" t="s">
        <v>102</v>
      </c>
      <c r="C521" s="3"/>
      <c r="D521" s="3"/>
      <c r="E521" s="3"/>
      <c r="F521" t="s">
        <v>551</v>
      </c>
      <c r="H521" t="s">
        <v>1595</v>
      </c>
      <c r="J521" t="str">
        <f t="shared" si="8"/>
        <v>FORM N-PORT-C.9</v>
      </c>
      <c r="K521" t="s">
        <v>1619</v>
      </c>
      <c r="L521" t="s">
        <v>1502</v>
      </c>
      <c r="M521" t="s">
        <v>1620</v>
      </c>
      <c r="N521" t="s">
        <v>1621</v>
      </c>
      <c r="Q521" s="18" t="s">
        <v>1590</v>
      </c>
    </row>
    <row r="522" spans="1:17" x14ac:dyDescent="0.35">
      <c r="A522" t="s">
        <v>1334</v>
      </c>
      <c r="B522" s="3" t="s">
        <v>102</v>
      </c>
      <c r="C522" s="3"/>
      <c r="D522" s="3"/>
      <c r="E522" s="3"/>
      <c r="F522" t="s">
        <v>551</v>
      </c>
      <c r="H522" t="s">
        <v>1595</v>
      </c>
      <c r="J522" t="str">
        <f t="shared" si="8"/>
        <v>FORM N-PORT-C.9</v>
      </c>
      <c r="K522" t="s">
        <v>1622</v>
      </c>
      <c r="L522" t="s">
        <v>783</v>
      </c>
      <c r="M522" t="s">
        <v>1623</v>
      </c>
      <c r="N522" t="s">
        <v>1624</v>
      </c>
      <c r="Q522" s="18" t="s">
        <v>1590</v>
      </c>
    </row>
    <row r="523" spans="1:17" x14ac:dyDescent="0.35">
      <c r="A523" t="s">
        <v>1334</v>
      </c>
      <c r="B523" s="3" t="s">
        <v>102</v>
      </c>
      <c r="C523" s="3"/>
      <c r="D523" s="3"/>
      <c r="E523" s="3"/>
      <c r="F523" t="s">
        <v>551</v>
      </c>
      <c r="H523" t="s">
        <v>1595</v>
      </c>
      <c r="J523" t="str">
        <f t="shared" si="8"/>
        <v>FORM N-PORT-C.9</v>
      </c>
      <c r="K523" t="s">
        <v>1625</v>
      </c>
      <c r="L523" t="s">
        <v>783</v>
      </c>
      <c r="M523" t="s">
        <v>1626</v>
      </c>
      <c r="N523" t="s">
        <v>1627</v>
      </c>
      <c r="Q523" s="18" t="s">
        <v>1590</v>
      </c>
    </row>
    <row r="524" spans="1:17" x14ac:dyDescent="0.35">
      <c r="A524" t="s">
        <v>1334</v>
      </c>
      <c r="B524" s="3" t="s">
        <v>102</v>
      </c>
      <c r="C524" s="3"/>
      <c r="D524" s="3"/>
      <c r="E524" s="3"/>
      <c r="F524" t="s">
        <v>551</v>
      </c>
      <c r="H524" t="s">
        <v>1628</v>
      </c>
      <c r="J524" t="str">
        <f t="shared" si="8"/>
        <v>FORM N-PORT-C.10</v>
      </c>
      <c r="K524" t="s">
        <v>1629</v>
      </c>
      <c r="L524" t="s">
        <v>1566</v>
      </c>
      <c r="M524" t="s">
        <v>1630</v>
      </c>
      <c r="N524" t="s">
        <v>1631</v>
      </c>
      <c r="Q524" s="18" t="s">
        <v>1590</v>
      </c>
    </row>
    <row r="525" spans="1:17" x14ac:dyDescent="0.35">
      <c r="A525" t="s">
        <v>1334</v>
      </c>
      <c r="B525" s="3" t="s">
        <v>102</v>
      </c>
      <c r="C525" s="3"/>
      <c r="D525" s="3"/>
      <c r="E525" s="3"/>
      <c r="F525" t="s">
        <v>551</v>
      </c>
      <c r="H525" t="s">
        <v>1628</v>
      </c>
      <c r="J525" t="str">
        <f t="shared" si="8"/>
        <v>FORM N-PORT-C.10</v>
      </c>
      <c r="K525" t="s">
        <v>1632</v>
      </c>
      <c r="L525" t="s">
        <v>1502</v>
      </c>
      <c r="M525" t="s">
        <v>1633</v>
      </c>
      <c r="N525" t="s">
        <v>1634</v>
      </c>
      <c r="Q525" s="18" t="s">
        <v>1590</v>
      </c>
    </row>
    <row r="526" spans="1:17" x14ac:dyDescent="0.35">
      <c r="A526" t="s">
        <v>1334</v>
      </c>
      <c r="B526" s="3" t="s">
        <v>102</v>
      </c>
      <c r="C526" s="3"/>
      <c r="D526" s="3"/>
      <c r="E526" s="3"/>
      <c r="F526" t="s">
        <v>551</v>
      </c>
      <c r="H526" t="s">
        <v>1628</v>
      </c>
      <c r="J526" t="str">
        <f t="shared" si="8"/>
        <v>FORM N-PORT-C.10</v>
      </c>
      <c r="K526" t="s">
        <v>1635</v>
      </c>
      <c r="L526" t="s">
        <v>1187</v>
      </c>
      <c r="M526" t="s">
        <v>1636</v>
      </c>
      <c r="N526" t="s">
        <v>1637</v>
      </c>
      <c r="Q526" s="18" t="s">
        <v>1590</v>
      </c>
    </row>
    <row r="527" spans="1:17" x14ac:dyDescent="0.35">
      <c r="A527" t="s">
        <v>1334</v>
      </c>
      <c r="B527" s="3" t="s">
        <v>102</v>
      </c>
      <c r="C527" s="3"/>
      <c r="D527" s="3"/>
      <c r="E527" s="3"/>
      <c r="F527" t="s">
        <v>551</v>
      </c>
      <c r="H527" t="s">
        <v>1628</v>
      </c>
      <c r="J527" t="str">
        <f t="shared" si="8"/>
        <v>FORM N-PORT-C.10</v>
      </c>
      <c r="K527" t="s">
        <v>1638</v>
      </c>
      <c r="L527" t="s">
        <v>1502</v>
      </c>
      <c r="M527" t="s">
        <v>1639</v>
      </c>
      <c r="N527" t="s">
        <v>1640</v>
      </c>
      <c r="Q527" s="18" t="s">
        <v>1590</v>
      </c>
    </row>
    <row r="528" spans="1:17" x14ac:dyDescent="0.35">
      <c r="A528" t="s">
        <v>1334</v>
      </c>
      <c r="B528" s="3" t="s">
        <v>102</v>
      </c>
      <c r="C528" s="3"/>
      <c r="D528" s="3"/>
      <c r="E528" s="3"/>
      <c r="F528" t="s">
        <v>551</v>
      </c>
      <c r="H528" t="s">
        <v>1628</v>
      </c>
      <c r="J528" t="str">
        <f t="shared" si="8"/>
        <v>FORM N-PORT-C.10</v>
      </c>
      <c r="K528" t="s">
        <v>1641</v>
      </c>
      <c r="L528" t="s">
        <v>1187</v>
      </c>
      <c r="M528" t="s">
        <v>1642</v>
      </c>
      <c r="N528" t="s">
        <v>1643</v>
      </c>
      <c r="Q528" s="18" t="s">
        <v>1590</v>
      </c>
    </row>
    <row r="529" spans="1:17" x14ac:dyDescent="0.35">
      <c r="A529" t="s">
        <v>1334</v>
      </c>
      <c r="B529" s="3" t="s">
        <v>102</v>
      </c>
      <c r="C529" s="3"/>
      <c r="D529" s="3"/>
      <c r="E529" s="3"/>
      <c r="F529" t="s">
        <v>551</v>
      </c>
      <c r="H529" t="s">
        <v>1628</v>
      </c>
      <c r="J529" t="str">
        <f t="shared" si="8"/>
        <v>FORM N-PORT-C.10</v>
      </c>
      <c r="K529" t="s">
        <v>1644</v>
      </c>
      <c r="L529" t="s">
        <v>1198</v>
      </c>
      <c r="M529" t="s">
        <v>1645</v>
      </c>
      <c r="N529" t="s">
        <v>1646</v>
      </c>
      <c r="Q529" s="18" t="s">
        <v>1590</v>
      </c>
    </row>
    <row r="530" spans="1:17" x14ac:dyDescent="0.35">
      <c r="A530" t="s">
        <v>1334</v>
      </c>
      <c r="B530" s="3" t="s">
        <v>102</v>
      </c>
      <c r="C530" s="3"/>
      <c r="D530" s="3"/>
      <c r="E530" s="3"/>
      <c r="F530" t="s">
        <v>551</v>
      </c>
      <c r="H530" t="s">
        <v>1628</v>
      </c>
      <c r="J530" t="str">
        <f t="shared" si="8"/>
        <v>FORM N-PORT-C.10</v>
      </c>
      <c r="K530" t="s">
        <v>1647</v>
      </c>
      <c r="L530" t="s">
        <v>1331</v>
      </c>
      <c r="M530" t="s">
        <v>1648</v>
      </c>
      <c r="N530" t="s">
        <v>1649</v>
      </c>
      <c r="Q530" s="18" t="s">
        <v>1590</v>
      </c>
    </row>
    <row r="531" spans="1:17" x14ac:dyDescent="0.35">
      <c r="A531" t="s">
        <v>1334</v>
      </c>
      <c r="B531" s="3" t="s">
        <v>102</v>
      </c>
      <c r="C531" s="3"/>
      <c r="D531" s="3"/>
      <c r="E531" s="3"/>
      <c r="F531" t="s">
        <v>551</v>
      </c>
      <c r="H531" t="s">
        <v>1628</v>
      </c>
      <c r="J531" t="str">
        <f t="shared" si="8"/>
        <v>FORM N-PORT-C.10</v>
      </c>
      <c r="K531" t="s">
        <v>1650</v>
      </c>
      <c r="L531" t="s">
        <v>783</v>
      </c>
      <c r="M531" t="s">
        <v>1651</v>
      </c>
      <c r="N531" t="s">
        <v>1652</v>
      </c>
      <c r="Q531" s="18" t="s">
        <v>1590</v>
      </c>
    </row>
    <row r="532" spans="1:17" x14ac:dyDescent="0.35">
      <c r="A532" t="s">
        <v>1334</v>
      </c>
      <c r="B532" s="3" t="s">
        <v>102</v>
      </c>
      <c r="C532" s="3"/>
      <c r="D532" s="3"/>
      <c r="E532" s="3"/>
      <c r="F532" t="s">
        <v>551</v>
      </c>
      <c r="H532" t="s">
        <v>1628</v>
      </c>
      <c r="J532" t="str">
        <f t="shared" si="8"/>
        <v>FORM N-PORT-C.10</v>
      </c>
      <c r="K532" t="s">
        <v>1653</v>
      </c>
      <c r="L532" t="s">
        <v>783</v>
      </c>
      <c r="M532" t="s">
        <v>1654</v>
      </c>
      <c r="N532" t="s">
        <v>1655</v>
      </c>
      <c r="Q532" s="18" t="s">
        <v>1590</v>
      </c>
    </row>
    <row r="533" spans="1:17" x14ac:dyDescent="0.35">
      <c r="A533" t="s">
        <v>1334</v>
      </c>
      <c r="B533" s="3" t="s">
        <v>102</v>
      </c>
      <c r="C533" s="3"/>
      <c r="D533" s="3"/>
      <c r="E533" s="3"/>
      <c r="F533" t="s">
        <v>551</v>
      </c>
      <c r="H533" t="s">
        <v>1628</v>
      </c>
      <c r="J533" t="str">
        <f t="shared" si="8"/>
        <v>FORM N-PORT-C.10</v>
      </c>
      <c r="K533" t="s">
        <v>1656</v>
      </c>
      <c r="L533" t="s">
        <v>1566</v>
      </c>
      <c r="M533" t="s">
        <v>1657</v>
      </c>
      <c r="N533" t="s">
        <v>1658</v>
      </c>
      <c r="Q533" s="18" t="s">
        <v>1590</v>
      </c>
    </row>
    <row r="534" spans="1:17" x14ac:dyDescent="0.35">
      <c r="A534" t="s">
        <v>1334</v>
      </c>
      <c r="B534" s="3" t="s">
        <v>102</v>
      </c>
      <c r="C534" s="3"/>
      <c r="D534" s="3"/>
      <c r="E534" s="3"/>
      <c r="F534" t="s">
        <v>551</v>
      </c>
      <c r="H534" t="s">
        <v>1659</v>
      </c>
      <c r="J534" t="str">
        <f t="shared" si="8"/>
        <v>FORM N-PORT-C.11</v>
      </c>
      <c r="K534" t="s">
        <v>1660</v>
      </c>
      <c r="L534" t="s">
        <v>1566</v>
      </c>
      <c r="M534" t="s">
        <v>1661</v>
      </c>
      <c r="N534" t="s">
        <v>1662</v>
      </c>
      <c r="Q534" s="18" t="s">
        <v>1590</v>
      </c>
    </row>
    <row r="535" spans="1:17" x14ac:dyDescent="0.35">
      <c r="A535" t="s">
        <v>1334</v>
      </c>
      <c r="B535" s="3" t="s">
        <v>102</v>
      </c>
      <c r="C535" s="3"/>
      <c r="D535" s="3"/>
      <c r="E535" s="3"/>
      <c r="F535" t="s">
        <v>551</v>
      </c>
      <c r="H535" t="s">
        <v>1659</v>
      </c>
      <c r="J535" t="str">
        <f t="shared" si="8"/>
        <v>FORM N-PORT-C.11</v>
      </c>
      <c r="K535" t="s">
        <v>1663</v>
      </c>
      <c r="L535" t="s">
        <v>1502</v>
      </c>
      <c r="M535" t="s">
        <v>1664</v>
      </c>
      <c r="N535" t="s">
        <v>1665</v>
      </c>
      <c r="Q535" s="18" t="s">
        <v>1590</v>
      </c>
    </row>
    <row r="536" spans="1:17" x14ac:dyDescent="0.35">
      <c r="A536" t="s">
        <v>1334</v>
      </c>
      <c r="B536" s="3" t="s">
        <v>102</v>
      </c>
      <c r="C536" s="3"/>
      <c r="D536" s="3"/>
      <c r="E536" s="3"/>
      <c r="F536" t="s">
        <v>551</v>
      </c>
      <c r="H536" t="s">
        <v>1659</v>
      </c>
      <c r="J536" t="str">
        <f t="shared" si="8"/>
        <v>FORM N-PORT-C.11</v>
      </c>
      <c r="K536" t="s">
        <v>1666</v>
      </c>
      <c r="L536" t="s">
        <v>1566</v>
      </c>
      <c r="M536" t="s">
        <v>1667</v>
      </c>
      <c r="N536" t="s">
        <v>1668</v>
      </c>
      <c r="Q536" s="18" t="s">
        <v>1590</v>
      </c>
    </row>
    <row r="537" spans="1:17" x14ac:dyDescent="0.35">
      <c r="A537" t="s">
        <v>1334</v>
      </c>
      <c r="B537" s="3" t="s">
        <v>102</v>
      </c>
      <c r="C537" s="3"/>
      <c r="D537" s="3"/>
      <c r="E537" s="3"/>
      <c r="F537" t="s">
        <v>551</v>
      </c>
      <c r="H537" t="s">
        <v>1659</v>
      </c>
      <c r="J537" t="str">
        <f t="shared" si="8"/>
        <v>FORM N-PORT-C.11</v>
      </c>
      <c r="K537" t="s">
        <v>1669</v>
      </c>
      <c r="L537" t="s">
        <v>1566</v>
      </c>
      <c r="M537" t="s">
        <v>1670</v>
      </c>
      <c r="N537" t="s">
        <v>1671</v>
      </c>
      <c r="Q537" s="18" t="s">
        <v>1590</v>
      </c>
    </row>
    <row r="538" spans="1:17" x14ac:dyDescent="0.35">
      <c r="A538" t="s">
        <v>1334</v>
      </c>
      <c r="B538" s="3" t="s">
        <v>102</v>
      </c>
      <c r="C538" s="3"/>
      <c r="D538" s="3"/>
      <c r="E538" s="3"/>
      <c r="F538" t="s">
        <v>551</v>
      </c>
      <c r="H538" t="s">
        <v>1659</v>
      </c>
      <c r="J538" t="str">
        <f t="shared" si="8"/>
        <v>FORM N-PORT-C.11</v>
      </c>
      <c r="K538" t="s">
        <v>1672</v>
      </c>
      <c r="L538" t="s">
        <v>1502</v>
      </c>
      <c r="M538" t="s">
        <v>1673</v>
      </c>
      <c r="N538" t="s">
        <v>1674</v>
      </c>
      <c r="Q538" s="18" t="s">
        <v>1590</v>
      </c>
    </row>
    <row r="539" spans="1:17" x14ac:dyDescent="0.35">
      <c r="A539" t="s">
        <v>1334</v>
      </c>
      <c r="B539" s="3" t="s">
        <v>102</v>
      </c>
      <c r="C539" s="3"/>
      <c r="D539" s="3"/>
      <c r="E539" s="3"/>
      <c r="F539" t="s">
        <v>551</v>
      </c>
      <c r="H539" t="s">
        <v>1659</v>
      </c>
      <c r="J539" t="str">
        <f t="shared" si="8"/>
        <v>FORM N-PORT-C.11</v>
      </c>
      <c r="K539" t="s">
        <v>1675</v>
      </c>
      <c r="L539" t="s">
        <v>783</v>
      </c>
      <c r="M539" t="s">
        <v>1676</v>
      </c>
      <c r="N539" t="s">
        <v>1677</v>
      </c>
      <c r="Q539" s="18" t="s">
        <v>1590</v>
      </c>
    </row>
    <row r="540" spans="1:17" x14ac:dyDescent="0.35">
      <c r="A540" t="s">
        <v>1334</v>
      </c>
      <c r="B540" s="3" t="s">
        <v>102</v>
      </c>
      <c r="C540" s="3"/>
      <c r="D540" s="3"/>
      <c r="E540" s="3"/>
      <c r="F540" t="s">
        <v>551</v>
      </c>
      <c r="H540" t="s">
        <v>1659</v>
      </c>
      <c r="J540" t="str">
        <f t="shared" si="8"/>
        <v>FORM N-PORT-C.11</v>
      </c>
      <c r="K540" t="s">
        <v>1678</v>
      </c>
      <c r="L540" t="s">
        <v>783</v>
      </c>
      <c r="M540" t="s">
        <v>1679</v>
      </c>
      <c r="N540" t="s">
        <v>1680</v>
      </c>
      <c r="Q540" s="18" t="s">
        <v>1590</v>
      </c>
    </row>
    <row r="541" spans="1:17" x14ac:dyDescent="0.35">
      <c r="A541" t="s">
        <v>1334</v>
      </c>
      <c r="B541" s="3" t="s">
        <v>102</v>
      </c>
      <c r="C541" s="3"/>
      <c r="D541" s="3"/>
      <c r="E541" s="3"/>
      <c r="F541" t="s">
        <v>551</v>
      </c>
      <c r="H541" t="s">
        <v>1659</v>
      </c>
      <c r="J541" t="str">
        <f t="shared" si="8"/>
        <v>FORM N-PORT-C.11</v>
      </c>
      <c r="K541" t="s">
        <v>1681</v>
      </c>
      <c r="L541" t="s">
        <v>1331</v>
      </c>
      <c r="M541" t="s">
        <v>1682</v>
      </c>
      <c r="N541" t="s">
        <v>1683</v>
      </c>
      <c r="Q541" s="18" t="s">
        <v>1590</v>
      </c>
    </row>
    <row r="542" spans="1:17" x14ac:dyDescent="0.35">
      <c r="A542" t="s">
        <v>1334</v>
      </c>
      <c r="B542" s="3" t="s">
        <v>102</v>
      </c>
      <c r="C542" s="3"/>
      <c r="D542" s="3"/>
      <c r="E542" s="3"/>
      <c r="F542" t="s">
        <v>551</v>
      </c>
      <c r="H542" t="s">
        <v>1659</v>
      </c>
      <c r="J542" t="str">
        <f t="shared" si="8"/>
        <v>FORM N-PORT-C.11</v>
      </c>
      <c r="K542" t="s">
        <v>1684</v>
      </c>
      <c r="L542" t="s">
        <v>783</v>
      </c>
      <c r="M542" t="s">
        <v>1685</v>
      </c>
      <c r="N542" t="s">
        <v>1686</v>
      </c>
      <c r="Q542" s="18" t="s">
        <v>1590</v>
      </c>
    </row>
    <row r="543" spans="1:17" x14ac:dyDescent="0.35">
      <c r="A543" t="s">
        <v>1334</v>
      </c>
      <c r="B543" s="3" t="s">
        <v>102</v>
      </c>
      <c r="C543" s="3"/>
      <c r="D543" s="3"/>
      <c r="E543" s="3"/>
      <c r="F543" t="s">
        <v>551</v>
      </c>
      <c r="H543" t="s">
        <v>1659</v>
      </c>
      <c r="J543" t="str">
        <f t="shared" si="8"/>
        <v>FORM N-PORT-C.11</v>
      </c>
      <c r="K543" t="s">
        <v>1687</v>
      </c>
      <c r="L543" t="s">
        <v>783</v>
      </c>
      <c r="M543" t="s">
        <v>1688</v>
      </c>
      <c r="N543" t="s">
        <v>1689</v>
      </c>
      <c r="Q543" s="18" t="s">
        <v>1590</v>
      </c>
    </row>
    <row r="544" spans="1:17" x14ac:dyDescent="0.35">
      <c r="A544" t="s">
        <v>1334</v>
      </c>
      <c r="B544" s="3" t="s">
        <v>102</v>
      </c>
      <c r="C544" s="3"/>
      <c r="D544" s="3"/>
      <c r="E544" s="3"/>
      <c r="F544" t="s">
        <v>551</v>
      </c>
      <c r="H544" t="s">
        <v>1659</v>
      </c>
      <c r="J544" t="str">
        <f t="shared" si="8"/>
        <v>FORM N-PORT-C.11</v>
      </c>
      <c r="K544" t="s">
        <v>1690</v>
      </c>
      <c r="L544" t="s">
        <v>1566</v>
      </c>
      <c r="M544" t="s">
        <v>1691</v>
      </c>
      <c r="N544" t="s">
        <v>1692</v>
      </c>
      <c r="Q544" s="18" t="s">
        <v>1590</v>
      </c>
    </row>
    <row r="545" spans="1:17" x14ac:dyDescent="0.35">
      <c r="A545" t="s">
        <v>1334</v>
      </c>
      <c r="B545" s="3" t="s">
        <v>102</v>
      </c>
      <c r="C545" s="3"/>
      <c r="D545" s="3"/>
      <c r="E545" s="3"/>
      <c r="F545" t="s">
        <v>551</v>
      </c>
      <c r="H545" t="s">
        <v>1659</v>
      </c>
      <c r="J545" t="str">
        <f t="shared" si="8"/>
        <v>FORM N-PORT-C.11</v>
      </c>
      <c r="K545" t="s">
        <v>1693</v>
      </c>
      <c r="L545" t="s">
        <v>1502</v>
      </c>
      <c r="M545" t="s">
        <v>1694</v>
      </c>
      <c r="N545" t="s">
        <v>1695</v>
      </c>
      <c r="Q545" s="18" t="s">
        <v>1590</v>
      </c>
    </row>
    <row r="546" spans="1:17" x14ac:dyDescent="0.35">
      <c r="A546" t="s">
        <v>1334</v>
      </c>
      <c r="B546" s="3" t="s">
        <v>102</v>
      </c>
      <c r="C546" s="3"/>
      <c r="D546" s="3"/>
      <c r="E546" s="3"/>
      <c r="F546" t="s">
        <v>551</v>
      </c>
      <c r="H546" t="s">
        <v>1659</v>
      </c>
      <c r="J546" t="str">
        <f t="shared" si="8"/>
        <v>FORM N-PORT-C.11</v>
      </c>
      <c r="K546" t="s">
        <v>1696</v>
      </c>
      <c r="L546" t="s">
        <v>1331</v>
      </c>
      <c r="M546" t="s">
        <v>1697</v>
      </c>
      <c r="N546" t="s">
        <v>1698</v>
      </c>
      <c r="Q546" s="18" t="s">
        <v>1590</v>
      </c>
    </row>
    <row r="547" spans="1:17" x14ac:dyDescent="0.35">
      <c r="A547" t="s">
        <v>1334</v>
      </c>
      <c r="B547" s="3" t="s">
        <v>102</v>
      </c>
      <c r="C547" s="3"/>
      <c r="D547" s="3"/>
      <c r="E547" s="3"/>
      <c r="F547" t="s">
        <v>551</v>
      </c>
      <c r="H547" t="s">
        <v>1659</v>
      </c>
      <c r="J547" t="str">
        <f t="shared" si="8"/>
        <v>FORM N-PORT-C.11</v>
      </c>
      <c r="K547" t="s">
        <v>1699</v>
      </c>
      <c r="L547" t="s">
        <v>783</v>
      </c>
      <c r="M547" t="s">
        <v>1700</v>
      </c>
      <c r="N547" t="s">
        <v>1701</v>
      </c>
      <c r="Q547" s="18" t="s">
        <v>1590</v>
      </c>
    </row>
    <row r="548" spans="1:17" x14ac:dyDescent="0.35">
      <c r="A548" t="s">
        <v>1334</v>
      </c>
      <c r="B548" s="3" t="s">
        <v>102</v>
      </c>
      <c r="C548" s="3"/>
      <c r="D548" s="3"/>
      <c r="E548" s="3"/>
      <c r="F548" t="s">
        <v>551</v>
      </c>
      <c r="H548" t="s">
        <v>1659</v>
      </c>
      <c r="J548" t="str">
        <f t="shared" si="8"/>
        <v>FORM N-PORT-C.11</v>
      </c>
      <c r="K548" t="s">
        <v>1702</v>
      </c>
      <c r="L548" t="s">
        <v>783</v>
      </c>
      <c r="M548" t="s">
        <v>1688</v>
      </c>
      <c r="N548" t="s">
        <v>1703</v>
      </c>
      <c r="Q548" s="18" t="s">
        <v>1590</v>
      </c>
    </row>
    <row r="549" spans="1:17" x14ac:dyDescent="0.35">
      <c r="A549" t="s">
        <v>1334</v>
      </c>
      <c r="B549" s="3" t="s">
        <v>102</v>
      </c>
      <c r="C549" s="3"/>
      <c r="D549" s="3"/>
      <c r="E549" s="3"/>
      <c r="F549" t="s">
        <v>551</v>
      </c>
      <c r="H549" t="s">
        <v>1659</v>
      </c>
      <c r="J549" t="str">
        <f t="shared" si="8"/>
        <v>FORM N-PORT-C.11</v>
      </c>
      <c r="K549" t="s">
        <v>1704</v>
      </c>
      <c r="L549" t="s">
        <v>229</v>
      </c>
      <c r="M549" t="s">
        <v>1705</v>
      </c>
      <c r="N549" t="s">
        <v>1706</v>
      </c>
      <c r="Q549" s="18" t="s">
        <v>1590</v>
      </c>
    </row>
    <row r="550" spans="1:17" x14ac:dyDescent="0.35">
      <c r="A550" t="s">
        <v>1334</v>
      </c>
      <c r="B550" s="3" t="s">
        <v>102</v>
      </c>
      <c r="C550" s="3"/>
      <c r="D550" s="3"/>
      <c r="E550" s="3"/>
      <c r="F550" t="s">
        <v>551</v>
      </c>
      <c r="H550" t="s">
        <v>1659</v>
      </c>
      <c r="J550" t="str">
        <f t="shared" si="8"/>
        <v>FORM N-PORT-C.11</v>
      </c>
      <c r="K550" t="s">
        <v>1707</v>
      </c>
      <c r="L550" t="s">
        <v>229</v>
      </c>
      <c r="M550" t="s">
        <v>1708</v>
      </c>
      <c r="N550" t="s">
        <v>1709</v>
      </c>
      <c r="Q550" s="18" t="s">
        <v>1590</v>
      </c>
    </row>
    <row r="551" spans="1:17" x14ac:dyDescent="0.35">
      <c r="A551" t="s">
        <v>1334</v>
      </c>
      <c r="B551" s="3" t="s">
        <v>102</v>
      </c>
      <c r="C551" s="3"/>
      <c r="D551" s="3"/>
      <c r="E551" s="3"/>
      <c r="F551" t="s">
        <v>551</v>
      </c>
      <c r="H551" t="s">
        <v>1659</v>
      </c>
      <c r="J551" t="str">
        <f t="shared" si="8"/>
        <v>FORM N-PORT-C.11</v>
      </c>
      <c r="K551" t="s">
        <v>1710</v>
      </c>
      <c r="L551" t="s">
        <v>1331</v>
      </c>
      <c r="M551" t="s">
        <v>1711</v>
      </c>
      <c r="N551" t="s">
        <v>1712</v>
      </c>
      <c r="Q551" s="18" t="s">
        <v>1590</v>
      </c>
    </row>
    <row r="552" spans="1:17" x14ac:dyDescent="0.35">
      <c r="A552" t="s">
        <v>1334</v>
      </c>
      <c r="B552" s="3" t="s">
        <v>102</v>
      </c>
      <c r="C552" s="3"/>
      <c r="D552" s="3"/>
      <c r="E552" s="3"/>
      <c r="F552" t="s">
        <v>551</v>
      </c>
      <c r="H552" t="s">
        <v>1659</v>
      </c>
      <c r="J552" t="str">
        <f t="shared" si="8"/>
        <v>FORM N-PORT-C.11</v>
      </c>
      <c r="K552" t="s">
        <v>1713</v>
      </c>
      <c r="L552" t="s">
        <v>783</v>
      </c>
      <c r="M552" t="s">
        <v>1688</v>
      </c>
      <c r="N552" t="s">
        <v>1714</v>
      </c>
      <c r="Q552" s="18" t="s">
        <v>1590</v>
      </c>
    </row>
    <row r="553" spans="1:17" x14ac:dyDescent="0.35">
      <c r="A553" t="s">
        <v>1334</v>
      </c>
      <c r="B553" s="3" t="s">
        <v>102</v>
      </c>
      <c r="C553" s="3"/>
      <c r="D553" s="3"/>
      <c r="E553" s="3"/>
      <c r="F553" t="s">
        <v>551</v>
      </c>
      <c r="H553" t="s">
        <v>1659</v>
      </c>
      <c r="J553" t="str">
        <f t="shared" si="8"/>
        <v>FORM N-PORT-C.11</v>
      </c>
      <c r="K553" t="s">
        <v>1715</v>
      </c>
      <c r="L553" t="s">
        <v>229</v>
      </c>
      <c r="M553" t="s">
        <v>1716</v>
      </c>
      <c r="N553" t="s">
        <v>1717</v>
      </c>
      <c r="Q553" s="18" t="s">
        <v>1590</v>
      </c>
    </row>
    <row r="554" spans="1:17" x14ac:dyDescent="0.35">
      <c r="A554" t="s">
        <v>1334</v>
      </c>
      <c r="B554" s="3" t="s">
        <v>102</v>
      </c>
      <c r="C554" s="3"/>
      <c r="D554" s="3"/>
      <c r="E554" s="3"/>
      <c r="F554" t="s">
        <v>551</v>
      </c>
      <c r="H554" t="s">
        <v>1659</v>
      </c>
      <c r="J554" t="str">
        <f t="shared" si="8"/>
        <v>FORM N-PORT-C.11</v>
      </c>
      <c r="K554" t="s">
        <v>1718</v>
      </c>
      <c r="L554" t="s">
        <v>1331</v>
      </c>
      <c r="M554" t="s">
        <v>1719</v>
      </c>
      <c r="N554" t="s">
        <v>1720</v>
      </c>
      <c r="Q554" s="18" t="s">
        <v>1590</v>
      </c>
    </row>
    <row r="555" spans="1:17" x14ac:dyDescent="0.35">
      <c r="A555" t="s">
        <v>1334</v>
      </c>
      <c r="B555" s="3" t="s">
        <v>102</v>
      </c>
      <c r="C555" s="3"/>
      <c r="D555" s="3"/>
      <c r="E555" s="3"/>
      <c r="F555" t="s">
        <v>551</v>
      </c>
      <c r="H555" t="s">
        <v>1659</v>
      </c>
      <c r="J555" t="str">
        <f t="shared" si="8"/>
        <v>FORM N-PORT-C.11</v>
      </c>
      <c r="K555" t="s">
        <v>1721</v>
      </c>
      <c r="L555" t="s">
        <v>783</v>
      </c>
      <c r="M555" t="s">
        <v>1722</v>
      </c>
      <c r="N555" t="s">
        <v>1723</v>
      </c>
      <c r="Q555" s="18" t="s">
        <v>1590</v>
      </c>
    </row>
    <row r="556" spans="1:17" x14ac:dyDescent="0.35">
      <c r="A556" t="s">
        <v>1334</v>
      </c>
      <c r="B556" s="3" t="s">
        <v>102</v>
      </c>
      <c r="C556" s="3"/>
      <c r="D556" s="3"/>
      <c r="E556" s="3"/>
      <c r="F556" t="s">
        <v>551</v>
      </c>
      <c r="H556" t="s">
        <v>1659</v>
      </c>
      <c r="J556" t="str">
        <f t="shared" si="8"/>
        <v>FORM N-PORT-C.11</v>
      </c>
      <c r="K556" t="s">
        <v>1724</v>
      </c>
      <c r="L556" t="s">
        <v>783</v>
      </c>
      <c r="M556" t="s">
        <v>1725</v>
      </c>
      <c r="N556" t="s">
        <v>1726</v>
      </c>
      <c r="Q556" s="18" t="s">
        <v>1590</v>
      </c>
    </row>
    <row r="557" spans="1:17" x14ac:dyDescent="0.35">
      <c r="A557" t="s">
        <v>1334</v>
      </c>
      <c r="B557" s="3" t="s">
        <v>102</v>
      </c>
      <c r="C557" s="3"/>
      <c r="D557" s="3"/>
      <c r="E557" s="3"/>
      <c r="F557" t="s">
        <v>551</v>
      </c>
      <c r="H557" t="s">
        <v>1659</v>
      </c>
      <c r="J557" t="str">
        <f t="shared" si="8"/>
        <v>FORM N-PORT-C.11</v>
      </c>
      <c r="K557" t="s">
        <v>1727</v>
      </c>
      <c r="L557" t="s">
        <v>783</v>
      </c>
      <c r="M557" t="s">
        <v>1688</v>
      </c>
      <c r="N557" t="s">
        <v>1728</v>
      </c>
      <c r="Q557" s="18" t="s">
        <v>1590</v>
      </c>
    </row>
    <row r="558" spans="1:17" x14ac:dyDescent="0.35">
      <c r="A558" t="s">
        <v>1334</v>
      </c>
      <c r="B558" s="3" t="s">
        <v>102</v>
      </c>
      <c r="C558" s="3"/>
      <c r="D558" s="3"/>
      <c r="E558" s="3"/>
      <c r="F558" t="s">
        <v>551</v>
      </c>
      <c r="H558" t="s">
        <v>1729</v>
      </c>
      <c r="J558" t="str">
        <f t="shared" si="8"/>
        <v>FORM N-PORT-C.12</v>
      </c>
      <c r="K558" t="s">
        <v>1730</v>
      </c>
      <c r="L558" t="s">
        <v>1187</v>
      </c>
      <c r="M558" t="s">
        <v>1731</v>
      </c>
      <c r="N558" t="s">
        <v>1732</v>
      </c>
      <c r="Q558" s="18" t="s">
        <v>1341</v>
      </c>
    </row>
    <row r="559" spans="1:17" x14ac:dyDescent="0.35">
      <c r="A559" t="s">
        <v>1334</v>
      </c>
      <c r="B559" s="3" t="s">
        <v>102</v>
      </c>
      <c r="C559" s="3"/>
      <c r="D559" s="3"/>
      <c r="E559" s="3"/>
      <c r="F559" t="s">
        <v>551</v>
      </c>
      <c r="H559" t="s">
        <v>1729</v>
      </c>
      <c r="J559" t="str">
        <f t="shared" si="8"/>
        <v>FORM N-PORT-C.12</v>
      </c>
      <c r="K559" t="s">
        <v>1733</v>
      </c>
      <c r="L559" t="s">
        <v>783</v>
      </c>
      <c r="M559" t="s">
        <v>1734</v>
      </c>
      <c r="N559" t="s">
        <v>1735</v>
      </c>
      <c r="Q559" s="18" t="s">
        <v>1590</v>
      </c>
    </row>
    <row r="560" spans="1:17" x14ac:dyDescent="0.35">
      <c r="A560" t="s">
        <v>1334</v>
      </c>
      <c r="B560" s="3" t="s">
        <v>102</v>
      </c>
      <c r="C560" s="3"/>
      <c r="D560" s="3"/>
      <c r="E560" s="3"/>
      <c r="F560" t="s">
        <v>551</v>
      </c>
      <c r="H560" t="s">
        <v>1729</v>
      </c>
      <c r="J560" t="str">
        <f t="shared" si="8"/>
        <v>FORM N-PORT-C.12</v>
      </c>
      <c r="K560" t="s">
        <v>1736</v>
      </c>
      <c r="L560" t="s">
        <v>1187</v>
      </c>
      <c r="M560" t="s">
        <v>1737</v>
      </c>
      <c r="N560" t="s">
        <v>1738</v>
      </c>
      <c r="Q560" s="18" t="s">
        <v>1341</v>
      </c>
    </row>
    <row r="561" spans="1:17" x14ac:dyDescent="0.35">
      <c r="A561" t="s">
        <v>1334</v>
      </c>
      <c r="B561" s="3" t="s">
        <v>102</v>
      </c>
      <c r="C561" s="3"/>
      <c r="D561" s="3"/>
      <c r="E561" s="3"/>
      <c r="F561" t="s">
        <v>551</v>
      </c>
      <c r="H561" t="s">
        <v>1729</v>
      </c>
      <c r="J561" t="str">
        <f t="shared" si="8"/>
        <v>FORM N-PORT-C.12</v>
      </c>
      <c r="K561" t="s">
        <v>1739</v>
      </c>
      <c r="L561" t="s">
        <v>783</v>
      </c>
      <c r="M561" t="s">
        <v>1740</v>
      </c>
      <c r="N561" t="s">
        <v>1741</v>
      </c>
      <c r="Q561" s="18" t="s">
        <v>1590</v>
      </c>
    </row>
    <row r="562" spans="1:17" x14ac:dyDescent="0.35">
      <c r="A562" t="s">
        <v>1334</v>
      </c>
      <c r="B562" s="3" t="s">
        <v>102</v>
      </c>
      <c r="C562" s="3"/>
      <c r="D562" s="3"/>
      <c r="E562" s="3"/>
      <c r="F562" t="s">
        <v>551</v>
      </c>
      <c r="H562" t="s">
        <v>1729</v>
      </c>
      <c r="J562" t="str">
        <f t="shared" si="8"/>
        <v>FORM N-PORT-C.12</v>
      </c>
      <c r="K562" t="s">
        <v>1742</v>
      </c>
      <c r="L562" t="s">
        <v>1187</v>
      </c>
      <c r="M562" t="s">
        <v>1743</v>
      </c>
      <c r="N562" t="s">
        <v>1744</v>
      </c>
      <c r="Q562" s="18" t="s">
        <v>1341</v>
      </c>
    </row>
    <row r="563" spans="1:17" x14ac:dyDescent="0.35">
      <c r="A563" t="s">
        <v>1334</v>
      </c>
      <c r="B563" s="3" t="s">
        <v>102</v>
      </c>
      <c r="C563" s="3"/>
      <c r="D563" s="3"/>
      <c r="E563" s="3"/>
      <c r="F563" t="s">
        <v>551</v>
      </c>
      <c r="H563" t="s">
        <v>1729</v>
      </c>
      <c r="J563" t="str">
        <f t="shared" si="8"/>
        <v>FORM N-PORT-C.12</v>
      </c>
      <c r="K563" t="s">
        <v>1745</v>
      </c>
      <c r="L563" t="s">
        <v>783</v>
      </c>
      <c r="M563" t="s">
        <v>1746</v>
      </c>
      <c r="N563" t="s">
        <v>1747</v>
      </c>
      <c r="Q563" s="18" t="s">
        <v>1590</v>
      </c>
    </row>
    <row r="564" spans="1:17" x14ac:dyDescent="0.35">
      <c r="A564" t="s">
        <v>1334</v>
      </c>
      <c r="B564" s="3" t="s">
        <v>102</v>
      </c>
      <c r="C564" s="3"/>
      <c r="D564" s="3"/>
      <c r="E564" s="3"/>
      <c r="F564" t="s">
        <v>551</v>
      </c>
      <c r="H564" t="s">
        <v>593</v>
      </c>
      <c r="J564" t="str">
        <f t="shared" si="8"/>
        <v>FORM N-PORT-C.1</v>
      </c>
      <c r="K564" t="s">
        <v>1522</v>
      </c>
      <c r="L564" t="s">
        <v>229</v>
      </c>
      <c r="M564" t="s">
        <v>1523</v>
      </c>
      <c r="N564" t="s">
        <v>1524</v>
      </c>
      <c r="Q564" s="18" t="s">
        <v>9173</v>
      </c>
    </row>
    <row r="565" spans="1:17" x14ac:dyDescent="0.35">
      <c r="A565" t="s">
        <v>1334</v>
      </c>
      <c r="B565" s="3" t="s">
        <v>102</v>
      </c>
      <c r="C565" s="3"/>
      <c r="D565" s="3"/>
      <c r="E565" s="3"/>
      <c r="F565" t="s">
        <v>551</v>
      </c>
      <c r="H565" t="s">
        <v>593</v>
      </c>
      <c r="J565" t="str">
        <f t="shared" si="8"/>
        <v>FORM N-PORT-C.1</v>
      </c>
      <c r="K565" t="s">
        <v>1526</v>
      </c>
      <c r="L565" t="s">
        <v>1313</v>
      </c>
      <c r="M565" t="s">
        <v>1527</v>
      </c>
      <c r="N565" t="s">
        <v>1528</v>
      </c>
      <c r="Q565" s="18" t="s">
        <v>9174</v>
      </c>
    </row>
    <row r="566" spans="1:17" x14ac:dyDescent="0.35">
      <c r="A566" t="s">
        <v>1334</v>
      </c>
      <c r="B566" s="3" t="s">
        <v>102</v>
      </c>
      <c r="C566" s="3"/>
      <c r="D566" s="3"/>
      <c r="E566" s="3"/>
      <c r="F566" t="s">
        <v>551</v>
      </c>
      <c r="H566" t="s">
        <v>593</v>
      </c>
      <c r="J566" t="str">
        <f t="shared" si="8"/>
        <v>FORM N-PORT-C.1</v>
      </c>
      <c r="K566" t="s">
        <v>1530</v>
      </c>
      <c r="L566" t="s">
        <v>229</v>
      </c>
      <c r="M566" t="s">
        <v>1531</v>
      </c>
      <c r="N566" t="s">
        <v>1532</v>
      </c>
      <c r="Q566" s="18" t="s">
        <v>9175</v>
      </c>
    </row>
    <row r="567" spans="1:17" x14ac:dyDescent="0.35">
      <c r="A567" t="s">
        <v>1334</v>
      </c>
      <c r="B567" s="3" t="s">
        <v>102</v>
      </c>
      <c r="C567" s="3"/>
      <c r="D567" s="3"/>
      <c r="E567" s="3"/>
      <c r="F567" t="s">
        <v>551</v>
      </c>
      <c r="H567" t="s">
        <v>593</v>
      </c>
      <c r="J567" t="str">
        <f t="shared" si="8"/>
        <v>FORM N-PORT-C.1</v>
      </c>
      <c r="K567" t="s">
        <v>1534</v>
      </c>
      <c r="L567" t="s">
        <v>1313</v>
      </c>
      <c r="M567" t="s">
        <v>1535</v>
      </c>
      <c r="N567" t="s">
        <v>1536</v>
      </c>
      <c r="Q567" s="18" t="s">
        <v>1590</v>
      </c>
    </row>
    <row r="568" spans="1:17" x14ac:dyDescent="0.35">
      <c r="A568" t="s">
        <v>1334</v>
      </c>
      <c r="B568" s="3" t="s">
        <v>102</v>
      </c>
      <c r="C568" s="3"/>
      <c r="D568" s="3"/>
      <c r="E568" s="3"/>
      <c r="F568" t="s">
        <v>551</v>
      </c>
      <c r="H568" t="s">
        <v>593</v>
      </c>
      <c r="J568" t="str">
        <f t="shared" si="8"/>
        <v>FORM N-PORT-C.1</v>
      </c>
      <c r="K568" t="s">
        <v>1538</v>
      </c>
      <c r="L568" t="s">
        <v>1313</v>
      </c>
      <c r="M568" t="s">
        <v>1539</v>
      </c>
      <c r="N568" t="s">
        <v>1540</v>
      </c>
      <c r="Q568" s="18" t="s">
        <v>9176</v>
      </c>
    </row>
    <row r="569" spans="1:17" x14ac:dyDescent="0.35">
      <c r="A569" t="s">
        <v>1334</v>
      </c>
      <c r="B569" s="3" t="s">
        <v>102</v>
      </c>
      <c r="C569" s="3"/>
      <c r="D569" s="3"/>
      <c r="E569" s="3"/>
      <c r="F569" t="s">
        <v>551</v>
      </c>
      <c r="H569" t="s">
        <v>1542</v>
      </c>
      <c r="J569" t="str">
        <f t="shared" si="8"/>
        <v>FORM N-PORT-C.2</v>
      </c>
      <c r="K569" t="s">
        <v>1543</v>
      </c>
      <c r="L569" t="s">
        <v>783</v>
      </c>
      <c r="M569" t="s">
        <v>1544</v>
      </c>
      <c r="N569" t="s">
        <v>1545</v>
      </c>
      <c r="Q569" s="18">
        <v>14970000</v>
      </c>
    </row>
    <row r="570" spans="1:17" x14ac:dyDescent="0.35">
      <c r="A570" t="s">
        <v>1334</v>
      </c>
      <c r="B570" s="3" t="s">
        <v>102</v>
      </c>
      <c r="C570" s="3"/>
      <c r="D570" s="3"/>
      <c r="E570" s="3"/>
      <c r="F570" t="s">
        <v>551</v>
      </c>
      <c r="H570" t="s">
        <v>1542</v>
      </c>
      <c r="J570" t="str">
        <f t="shared" si="8"/>
        <v>FORM N-PORT-C.2</v>
      </c>
      <c r="K570" t="s">
        <v>1546</v>
      </c>
      <c r="L570" t="s">
        <v>1502</v>
      </c>
      <c r="M570" t="s">
        <v>1547</v>
      </c>
      <c r="N570" t="s">
        <v>1548</v>
      </c>
      <c r="Q570" s="18" t="s">
        <v>1549</v>
      </c>
    </row>
    <row r="571" spans="1:17" x14ac:dyDescent="0.35">
      <c r="A571" t="s">
        <v>1334</v>
      </c>
      <c r="B571" s="3" t="s">
        <v>102</v>
      </c>
      <c r="C571" s="3"/>
      <c r="D571" s="3"/>
      <c r="E571" s="3"/>
      <c r="F571" t="s">
        <v>551</v>
      </c>
      <c r="H571" t="s">
        <v>1542</v>
      </c>
      <c r="J571" t="str">
        <f t="shared" si="8"/>
        <v>FORM N-PORT-C.2</v>
      </c>
      <c r="K571" t="s">
        <v>1550</v>
      </c>
      <c r="L571" t="s">
        <v>783</v>
      </c>
      <c r="M571" t="s">
        <v>1551</v>
      </c>
      <c r="N571" t="s">
        <v>1552</v>
      </c>
      <c r="Q571" s="18">
        <v>15391869.57</v>
      </c>
    </row>
    <row r="572" spans="1:17" x14ac:dyDescent="0.35">
      <c r="A572" t="s">
        <v>1334</v>
      </c>
      <c r="B572" s="3" t="s">
        <v>102</v>
      </c>
      <c r="C572" s="3"/>
      <c r="D572" s="3"/>
      <c r="E572" s="3"/>
      <c r="F572" t="s">
        <v>551</v>
      </c>
      <c r="H572" t="s">
        <v>1542</v>
      </c>
      <c r="J572" t="str">
        <f t="shared" si="8"/>
        <v>FORM N-PORT-C.2</v>
      </c>
      <c r="K572" t="s">
        <v>1553</v>
      </c>
      <c r="L572" t="s">
        <v>1198</v>
      </c>
      <c r="M572" t="s">
        <v>1554</v>
      </c>
      <c r="N572" t="s">
        <v>1555</v>
      </c>
      <c r="Q572" s="18">
        <v>6.5907498000000002E-3</v>
      </c>
    </row>
    <row r="573" spans="1:17" x14ac:dyDescent="0.35">
      <c r="A573" t="s">
        <v>1334</v>
      </c>
      <c r="B573" s="3" t="s">
        <v>102</v>
      </c>
      <c r="C573" s="3"/>
      <c r="D573" s="3"/>
      <c r="E573" s="3"/>
      <c r="F573" t="s">
        <v>551</v>
      </c>
      <c r="H573" t="s">
        <v>1542</v>
      </c>
      <c r="J573" t="str">
        <f t="shared" si="8"/>
        <v>FORM N-PORT-C.2</v>
      </c>
      <c r="K573" t="s">
        <v>1556</v>
      </c>
      <c r="L573" t="s">
        <v>1187</v>
      </c>
      <c r="M573" t="s">
        <v>1557</v>
      </c>
      <c r="N573" t="s">
        <v>1558</v>
      </c>
      <c r="Q573" s="18" t="s">
        <v>1590</v>
      </c>
    </row>
    <row r="574" spans="1:17" x14ac:dyDescent="0.35">
      <c r="A574" t="s">
        <v>1334</v>
      </c>
      <c r="B574" s="3" t="s">
        <v>102</v>
      </c>
      <c r="C574" s="3"/>
      <c r="D574" s="3"/>
      <c r="E574" s="3"/>
      <c r="F574" t="s">
        <v>551</v>
      </c>
      <c r="H574" t="s">
        <v>1559</v>
      </c>
      <c r="J574" t="str">
        <f t="shared" si="8"/>
        <v>FORM N-PORT-C.3</v>
      </c>
      <c r="K574" t="s">
        <v>1560</v>
      </c>
      <c r="L574" t="s">
        <v>229</v>
      </c>
      <c r="M574" t="s">
        <v>1561</v>
      </c>
      <c r="N574" t="s">
        <v>1562</v>
      </c>
      <c r="Q574" s="18" t="s">
        <v>1563</v>
      </c>
    </row>
    <row r="575" spans="1:17" x14ac:dyDescent="0.35">
      <c r="A575" t="s">
        <v>1334</v>
      </c>
      <c r="B575" s="3" t="s">
        <v>102</v>
      </c>
      <c r="C575" s="3"/>
      <c r="D575" s="3"/>
      <c r="E575" s="3"/>
      <c r="F575" t="s">
        <v>551</v>
      </c>
      <c r="H575" t="s">
        <v>1564</v>
      </c>
      <c r="J575" t="str">
        <f t="shared" si="8"/>
        <v>FORM N-PORT-C.4</v>
      </c>
      <c r="K575" t="s">
        <v>1565</v>
      </c>
      <c r="L575" t="s">
        <v>1566</v>
      </c>
      <c r="M575" t="s">
        <v>1567</v>
      </c>
      <c r="N575" t="s">
        <v>1568</v>
      </c>
      <c r="Q575" s="18" t="s">
        <v>1569</v>
      </c>
    </row>
    <row r="576" spans="1:17" x14ac:dyDescent="0.35">
      <c r="A576" t="s">
        <v>1334</v>
      </c>
      <c r="B576" s="3" t="s">
        <v>102</v>
      </c>
      <c r="C576" s="3"/>
      <c r="D576" s="3"/>
      <c r="E576" s="3"/>
      <c r="F576" t="s">
        <v>551</v>
      </c>
      <c r="H576" t="s">
        <v>1564</v>
      </c>
      <c r="J576" t="str">
        <f t="shared" si="8"/>
        <v>FORM N-PORT-C.4</v>
      </c>
      <c r="K576" t="s">
        <v>1570</v>
      </c>
      <c r="L576" t="s">
        <v>1566</v>
      </c>
      <c r="M576" t="s">
        <v>1571</v>
      </c>
      <c r="N576" t="s">
        <v>1572</v>
      </c>
      <c r="Q576" s="18" t="s">
        <v>1573</v>
      </c>
    </row>
    <row r="577" spans="1:17" x14ac:dyDescent="0.35">
      <c r="A577" t="s">
        <v>1334</v>
      </c>
      <c r="B577" s="3" t="s">
        <v>102</v>
      </c>
      <c r="C577" s="3"/>
      <c r="D577" s="3"/>
      <c r="E577" s="3"/>
      <c r="F577" t="s">
        <v>551</v>
      </c>
      <c r="H577" t="s">
        <v>1574</v>
      </c>
      <c r="J577" t="str">
        <f t="shared" si="8"/>
        <v>FORM N-PORT-C.5</v>
      </c>
      <c r="K577" t="s">
        <v>1575</v>
      </c>
      <c r="L577" t="s">
        <v>1502</v>
      </c>
      <c r="M577" t="s">
        <v>1576</v>
      </c>
      <c r="N577" t="s">
        <v>1577</v>
      </c>
      <c r="Q577" s="18" t="s">
        <v>9177</v>
      </c>
    </row>
    <row r="578" spans="1:17" x14ac:dyDescent="0.35">
      <c r="A578" t="s">
        <v>1334</v>
      </c>
      <c r="B578" s="3" t="s">
        <v>102</v>
      </c>
      <c r="C578" s="3"/>
      <c r="D578" s="3"/>
      <c r="E578" s="3"/>
      <c r="F578" t="s">
        <v>551</v>
      </c>
      <c r="H578" t="s">
        <v>1574</v>
      </c>
      <c r="J578" t="str">
        <f t="shared" si="8"/>
        <v>FORM N-PORT-C.5</v>
      </c>
      <c r="K578" t="s">
        <v>1579</v>
      </c>
      <c r="L578" t="s">
        <v>1502</v>
      </c>
      <c r="M578" t="s">
        <v>1580</v>
      </c>
      <c r="N578" t="s">
        <v>1581</v>
      </c>
      <c r="Q578" s="18" t="s">
        <v>1590</v>
      </c>
    </row>
    <row r="579" spans="1:17" x14ac:dyDescent="0.35">
      <c r="A579" t="s">
        <v>1334</v>
      </c>
      <c r="B579" s="3" t="s">
        <v>102</v>
      </c>
      <c r="C579" s="3"/>
      <c r="D579" s="3"/>
      <c r="E579" s="3"/>
      <c r="F579" t="s">
        <v>551</v>
      </c>
      <c r="H579" t="s">
        <v>1582</v>
      </c>
      <c r="J579" t="str">
        <f t="shared" ref="J579:J642" si="9">_xlfn.CONCAT(A579,"-",H579)</f>
        <v>FORM N-PORT-C.6</v>
      </c>
      <c r="K579" t="s">
        <v>1583</v>
      </c>
      <c r="L579" t="s">
        <v>1187</v>
      </c>
      <c r="M579" t="s">
        <v>1584</v>
      </c>
      <c r="N579" t="s">
        <v>1585</v>
      </c>
      <c r="Q579" s="18" t="s">
        <v>27</v>
      </c>
    </row>
    <row r="580" spans="1:17" x14ac:dyDescent="0.35">
      <c r="A580" t="s">
        <v>1334</v>
      </c>
      <c r="B580" s="3" t="s">
        <v>102</v>
      </c>
      <c r="C580" s="3"/>
      <c r="D580" s="3"/>
      <c r="E580" s="3"/>
      <c r="F580" t="s">
        <v>551</v>
      </c>
      <c r="H580" t="s">
        <v>1586</v>
      </c>
      <c r="J580" t="str">
        <f t="shared" si="9"/>
        <v>FORM N-PORT-C.7</v>
      </c>
      <c r="K580" t="s">
        <v>1587</v>
      </c>
      <c r="L580" t="s">
        <v>1566</v>
      </c>
      <c r="M580" t="s">
        <v>1588</v>
      </c>
      <c r="N580" t="s">
        <v>1589</v>
      </c>
      <c r="Q580" s="18" t="s">
        <v>1590</v>
      </c>
    </row>
    <row r="581" spans="1:17" x14ac:dyDescent="0.35">
      <c r="A581" t="s">
        <v>1334</v>
      </c>
      <c r="B581" s="3" t="s">
        <v>102</v>
      </c>
      <c r="C581" s="3"/>
      <c r="D581" s="3"/>
      <c r="E581" s="3"/>
      <c r="F581" t="s">
        <v>551</v>
      </c>
      <c r="H581" t="s">
        <v>1591</v>
      </c>
      <c r="J581" t="str">
        <f t="shared" si="9"/>
        <v>FORM N-PORT-C.8</v>
      </c>
      <c r="K581" t="s">
        <v>1592</v>
      </c>
      <c r="L581" t="s">
        <v>241</v>
      </c>
      <c r="M581" t="s">
        <v>1593</v>
      </c>
      <c r="N581" t="s">
        <v>1594</v>
      </c>
      <c r="Q581" s="18">
        <v>2</v>
      </c>
    </row>
    <row r="582" spans="1:17" x14ac:dyDescent="0.35">
      <c r="A582" t="s">
        <v>1334</v>
      </c>
      <c r="B582" s="3" t="s">
        <v>102</v>
      </c>
      <c r="C582" s="3"/>
      <c r="D582" s="3"/>
      <c r="E582" s="3"/>
      <c r="F582" t="s">
        <v>551</v>
      </c>
      <c r="H582" t="s">
        <v>1595</v>
      </c>
      <c r="J582" t="str">
        <f t="shared" si="9"/>
        <v>FORM N-PORT-C.9</v>
      </c>
      <c r="K582" t="s">
        <v>1596</v>
      </c>
      <c r="L582" t="s">
        <v>1331</v>
      </c>
      <c r="M582" t="s">
        <v>1597</v>
      </c>
      <c r="N582" t="s">
        <v>1598</v>
      </c>
      <c r="Q582" s="17">
        <v>50459</v>
      </c>
    </row>
    <row r="583" spans="1:17" x14ac:dyDescent="0.35">
      <c r="A583" t="s">
        <v>1334</v>
      </c>
      <c r="B583" s="3" t="s">
        <v>102</v>
      </c>
      <c r="C583" s="3"/>
      <c r="D583" s="3"/>
      <c r="E583" s="3"/>
      <c r="F583" t="s">
        <v>551</v>
      </c>
      <c r="H583" t="s">
        <v>1595</v>
      </c>
      <c r="J583" t="str">
        <f t="shared" si="9"/>
        <v>FORM N-PORT-C.9</v>
      </c>
      <c r="K583" t="s">
        <v>1599</v>
      </c>
      <c r="L583" t="s">
        <v>1600</v>
      </c>
      <c r="M583" t="s">
        <v>1601</v>
      </c>
      <c r="N583" t="s">
        <v>1602</v>
      </c>
      <c r="Q583" s="18" t="s">
        <v>9178</v>
      </c>
    </row>
    <row r="584" spans="1:17" x14ac:dyDescent="0.35">
      <c r="A584" t="s">
        <v>1334</v>
      </c>
      <c r="B584" s="3" t="s">
        <v>102</v>
      </c>
      <c r="C584" s="3"/>
      <c r="D584" s="3"/>
      <c r="E584" s="3"/>
      <c r="F584" t="s">
        <v>551</v>
      </c>
      <c r="H584" t="s">
        <v>1595</v>
      </c>
      <c r="J584" t="str">
        <f t="shared" si="9"/>
        <v>FORM N-PORT-C.9</v>
      </c>
      <c r="K584" t="s">
        <v>1604</v>
      </c>
      <c r="L584" t="s">
        <v>1187</v>
      </c>
      <c r="M584" t="s">
        <v>1605</v>
      </c>
      <c r="N584" t="s">
        <v>1606</v>
      </c>
      <c r="Q584" s="18" t="s">
        <v>1341</v>
      </c>
    </row>
    <row r="585" spans="1:17" x14ac:dyDescent="0.35">
      <c r="A585" t="s">
        <v>1334</v>
      </c>
      <c r="B585" s="3" t="s">
        <v>102</v>
      </c>
      <c r="C585" s="3"/>
      <c r="D585" s="3"/>
      <c r="E585" s="3"/>
      <c r="F585" t="s">
        <v>551</v>
      </c>
      <c r="H585" t="s">
        <v>1595</v>
      </c>
      <c r="J585" t="str">
        <f t="shared" si="9"/>
        <v>FORM N-PORT-C.9</v>
      </c>
      <c r="K585" t="s">
        <v>1607</v>
      </c>
      <c r="L585" t="s">
        <v>1187</v>
      </c>
      <c r="M585" t="s">
        <v>1608</v>
      </c>
      <c r="N585" t="s">
        <v>1609</v>
      </c>
      <c r="Q585" s="18" t="s">
        <v>1341</v>
      </c>
    </row>
    <row r="586" spans="1:17" x14ac:dyDescent="0.35">
      <c r="A586" t="s">
        <v>1334</v>
      </c>
      <c r="B586" s="3" t="s">
        <v>102</v>
      </c>
      <c r="C586" s="3"/>
      <c r="D586" s="3"/>
      <c r="E586" s="3"/>
      <c r="F586" t="s">
        <v>551</v>
      </c>
      <c r="H586" t="s">
        <v>1595</v>
      </c>
      <c r="J586" t="str">
        <f t="shared" si="9"/>
        <v>FORM N-PORT-C.9</v>
      </c>
      <c r="K586" t="s">
        <v>1610</v>
      </c>
      <c r="L586" t="s">
        <v>1187</v>
      </c>
      <c r="M586" t="s">
        <v>1611</v>
      </c>
      <c r="N586" t="s">
        <v>1612</v>
      </c>
      <c r="Q586" s="18" t="s">
        <v>1341</v>
      </c>
    </row>
    <row r="587" spans="1:17" x14ac:dyDescent="0.35">
      <c r="A587" t="s">
        <v>1334</v>
      </c>
      <c r="B587" s="3" t="s">
        <v>102</v>
      </c>
      <c r="C587" s="3"/>
      <c r="D587" s="3"/>
      <c r="E587" s="3"/>
      <c r="F587" t="s">
        <v>551</v>
      </c>
      <c r="H587" t="s">
        <v>1595</v>
      </c>
      <c r="J587" t="str">
        <f t="shared" si="9"/>
        <v>FORM N-PORT-C.9</v>
      </c>
      <c r="K587" t="s">
        <v>1613</v>
      </c>
      <c r="L587" t="s">
        <v>1187</v>
      </c>
      <c r="M587" t="s">
        <v>1614</v>
      </c>
      <c r="N587" t="s">
        <v>1615</v>
      </c>
      <c r="Q587" s="18" t="s">
        <v>1590</v>
      </c>
    </row>
    <row r="588" spans="1:17" x14ac:dyDescent="0.35">
      <c r="A588" t="s">
        <v>1334</v>
      </c>
      <c r="B588" s="3" t="s">
        <v>102</v>
      </c>
      <c r="C588" s="3"/>
      <c r="D588" s="3"/>
      <c r="E588" s="3"/>
      <c r="F588" t="s">
        <v>551</v>
      </c>
      <c r="H588" t="s">
        <v>1595</v>
      </c>
      <c r="J588" t="str">
        <f t="shared" si="9"/>
        <v>FORM N-PORT-C.9</v>
      </c>
      <c r="K588" t="s">
        <v>1616</v>
      </c>
      <c r="L588" t="s">
        <v>1187</v>
      </c>
      <c r="M588" t="s">
        <v>1617</v>
      </c>
      <c r="N588" t="s">
        <v>1618</v>
      </c>
      <c r="Q588" s="18" t="s">
        <v>1590</v>
      </c>
    </row>
    <row r="589" spans="1:17" x14ac:dyDescent="0.35">
      <c r="A589" t="s">
        <v>1334</v>
      </c>
      <c r="B589" s="3" t="s">
        <v>102</v>
      </c>
      <c r="C589" s="3"/>
      <c r="D589" s="3"/>
      <c r="E589" s="3"/>
      <c r="F589" t="s">
        <v>551</v>
      </c>
      <c r="H589" t="s">
        <v>1595</v>
      </c>
      <c r="J589" t="str">
        <f t="shared" si="9"/>
        <v>FORM N-PORT-C.9</v>
      </c>
      <c r="K589" t="s">
        <v>1619</v>
      </c>
      <c r="L589" t="s">
        <v>1502</v>
      </c>
      <c r="M589" t="s">
        <v>1620</v>
      </c>
      <c r="N589" t="s">
        <v>1621</v>
      </c>
      <c r="Q589" s="18" t="s">
        <v>1590</v>
      </c>
    </row>
    <row r="590" spans="1:17" x14ac:dyDescent="0.35">
      <c r="A590" t="s">
        <v>1334</v>
      </c>
      <c r="B590" s="3" t="s">
        <v>102</v>
      </c>
      <c r="C590" s="3"/>
      <c r="D590" s="3"/>
      <c r="E590" s="3"/>
      <c r="F590" t="s">
        <v>551</v>
      </c>
      <c r="H590" t="s">
        <v>1595</v>
      </c>
      <c r="J590" t="str">
        <f t="shared" si="9"/>
        <v>FORM N-PORT-C.9</v>
      </c>
      <c r="K590" t="s">
        <v>1622</v>
      </c>
      <c r="L590" t="s">
        <v>783</v>
      </c>
      <c r="M590" t="s">
        <v>1623</v>
      </c>
      <c r="N590" t="s">
        <v>1624</v>
      </c>
      <c r="Q590" s="18" t="s">
        <v>1590</v>
      </c>
    </row>
    <row r="591" spans="1:17" x14ac:dyDescent="0.35">
      <c r="A591" t="s">
        <v>1334</v>
      </c>
      <c r="B591" s="3" t="s">
        <v>102</v>
      </c>
      <c r="C591" s="3"/>
      <c r="D591" s="3"/>
      <c r="E591" s="3"/>
      <c r="F591" t="s">
        <v>551</v>
      </c>
      <c r="H591" t="s">
        <v>1595</v>
      </c>
      <c r="J591" t="str">
        <f t="shared" si="9"/>
        <v>FORM N-PORT-C.9</v>
      </c>
      <c r="K591" t="s">
        <v>1625</v>
      </c>
      <c r="L591" t="s">
        <v>783</v>
      </c>
      <c r="M591" t="s">
        <v>1626</v>
      </c>
      <c r="N591" t="s">
        <v>1627</v>
      </c>
      <c r="Q591" s="18" t="s">
        <v>1590</v>
      </c>
    </row>
    <row r="592" spans="1:17" x14ac:dyDescent="0.35">
      <c r="A592" t="s">
        <v>1334</v>
      </c>
      <c r="B592" s="3" t="s">
        <v>102</v>
      </c>
      <c r="C592" s="3"/>
      <c r="D592" s="3"/>
      <c r="E592" s="3"/>
      <c r="F592" t="s">
        <v>551</v>
      </c>
      <c r="H592" t="s">
        <v>1628</v>
      </c>
      <c r="J592" t="str">
        <f t="shared" si="9"/>
        <v>FORM N-PORT-C.10</v>
      </c>
      <c r="K592" t="s">
        <v>1629</v>
      </c>
      <c r="L592" t="s">
        <v>1566</v>
      </c>
      <c r="M592" t="s">
        <v>1630</v>
      </c>
      <c r="N592" t="s">
        <v>1631</v>
      </c>
      <c r="Q592" s="18" t="s">
        <v>1590</v>
      </c>
    </row>
    <row r="593" spans="1:17" x14ac:dyDescent="0.35">
      <c r="A593" t="s">
        <v>1334</v>
      </c>
      <c r="B593" s="3" t="s">
        <v>102</v>
      </c>
      <c r="C593" s="3"/>
      <c r="D593" s="3"/>
      <c r="E593" s="3"/>
      <c r="F593" t="s">
        <v>551</v>
      </c>
      <c r="H593" t="s">
        <v>1628</v>
      </c>
      <c r="J593" t="str">
        <f t="shared" si="9"/>
        <v>FORM N-PORT-C.10</v>
      </c>
      <c r="K593" t="s">
        <v>1632</v>
      </c>
      <c r="L593" t="s">
        <v>1502</v>
      </c>
      <c r="M593" t="s">
        <v>1633</v>
      </c>
      <c r="N593" t="s">
        <v>1634</v>
      </c>
      <c r="Q593" s="18" t="s">
        <v>1590</v>
      </c>
    </row>
    <row r="594" spans="1:17" x14ac:dyDescent="0.35">
      <c r="A594" t="s">
        <v>1334</v>
      </c>
      <c r="B594" s="3" t="s">
        <v>102</v>
      </c>
      <c r="C594" s="3"/>
      <c r="D594" s="3"/>
      <c r="E594" s="3"/>
      <c r="F594" t="s">
        <v>551</v>
      </c>
      <c r="H594" t="s">
        <v>1628</v>
      </c>
      <c r="J594" t="str">
        <f t="shared" si="9"/>
        <v>FORM N-PORT-C.10</v>
      </c>
      <c r="K594" t="s">
        <v>1635</v>
      </c>
      <c r="L594" t="s">
        <v>1187</v>
      </c>
      <c r="M594" t="s">
        <v>1636</v>
      </c>
      <c r="N594" t="s">
        <v>1637</v>
      </c>
      <c r="Q594" s="18" t="s">
        <v>1590</v>
      </c>
    </row>
    <row r="595" spans="1:17" x14ac:dyDescent="0.35">
      <c r="A595" t="s">
        <v>1334</v>
      </c>
      <c r="B595" s="3" t="s">
        <v>102</v>
      </c>
      <c r="C595" s="3"/>
      <c r="D595" s="3"/>
      <c r="E595" s="3"/>
      <c r="F595" t="s">
        <v>551</v>
      </c>
      <c r="H595" t="s">
        <v>1628</v>
      </c>
      <c r="J595" t="str">
        <f t="shared" si="9"/>
        <v>FORM N-PORT-C.10</v>
      </c>
      <c r="K595" t="s">
        <v>1638</v>
      </c>
      <c r="L595" t="s">
        <v>1502</v>
      </c>
      <c r="M595" t="s">
        <v>1639</v>
      </c>
      <c r="N595" t="s">
        <v>1640</v>
      </c>
      <c r="Q595" s="18" t="s">
        <v>1590</v>
      </c>
    </row>
    <row r="596" spans="1:17" x14ac:dyDescent="0.35">
      <c r="A596" t="s">
        <v>1334</v>
      </c>
      <c r="B596" s="3" t="s">
        <v>102</v>
      </c>
      <c r="C596" s="3"/>
      <c r="D596" s="3"/>
      <c r="E596" s="3"/>
      <c r="F596" t="s">
        <v>551</v>
      </c>
      <c r="H596" t="s">
        <v>1628</v>
      </c>
      <c r="J596" t="str">
        <f t="shared" si="9"/>
        <v>FORM N-PORT-C.10</v>
      </c>
      <c r="K596" t="s">
        <v>1641</v>
      </c>
      <c r="L596" t="s">
        <v>1187</v>
      </c>
      <c r="M596" t="s">
        <v>1642</v>
      </c>
      <c r="N596" t="s">
        <v>1643</v>
      </c>
      <c r="Q596" s="18" t="s">
        <v>1590</v>
      </c>
    </row>
    <row r="597" spans="1:17" x14ac:dyDescent="0.35">
      <c r="A597" t="s">
        <v>1334</v>
      </c>
      <c r="B597" s="3" t="s">
        <v>102</v>
      </c>
      <c r="C597" s="3"/>
      <c r="D597" s="3"/>
      <c r="E597" s="3"/>
      <c r="F597" t="s">
        <v>551</v>
      </c>
      <c r="H597" t="s">
        <v>1628</v>
      </c>
      <c r="J597" t="str">
        <f t="shared" si="9"/>
        <v>FORM N-PORT-C.10</v>
      </c>
      <c r="K597" t="s">
        <v>1644</v>
      </c>
      <c r="L597" t="s">
        <v>1198</v>
      </c>
      <c r="M597" t="s">
        <v>1645</v>
      </c>
      <c r="N597" t="s">
        <v>1646</v>
      </c>
      <c r="Q597" s="18" t="s">
        <v>1590</v>
      </c>
    </row>
    <row r="598" spans="1:17" x14ac:dyDescent="0.35">
      <c r="A598" t="s">
        <v>1334</v>
      </c>
      <c r="B598" s="3" t="s">
        <v>102</v>
      </c>
      <c r="C598" s="3"/>
      <c r="D598" s="3"/>
      <c r="E598" s="3"/>
      <c r="F598" t="s">
        <v>551</v>
      </c>
      <c r="H598" t="s">
        <v>1628</v>
      </c>
      <c r="J598" t="str">
        <f t="shared" si="9"/>
        <v>FORM N-PORT-C.10</v>
      </c>
      <c r="K598" t="s">
        <v>1647</v>
      </c>
      <c r="L598" t="s">
        <v>1331</v>
      </c>
      <c r="M598" t="s">
        <v>1648</v>
      </c>
      <c r="N598" t="s">
        <v>1649</v>
      </c>
      <c r="Q598" s="18" t="s">
        <v>1590</v>
      </c>
    </row>
    <row r="599" spans="1:17" x14ac:dyDescent="0.35">
      <c r="A599" t="s">
        <v>1334</v>
      </c>
      <c r="B599" s="3" t="s">
        <v>102</v>
      </c>
      <c r="C599" s="3"/>
      <c r="D599" s="3"/>
      <c r="E599" s="3"/>
      <c r="F599" t="s">
        <v>551</v>
      </c>
      <c r="H599" t="s">
        <v>1628</v>
      </c>
      <c r="J599" t="str">
        <f t="shared" si="9"/>
        <v>FORM N-PORT-C.10</v>
      </c>
      <c r="K599" t="s">
        <v>1650</v>
      </c>
      <c r="L599" t="s">
        <v>783</v>
      </c>
      <c r="M599" t="s">
        <v>1651</v>
      </c>
      <c r="N599" t="s">
        <v>1652</v>
      </c>
      <c r="Q599" s="18" t="s">
        <v>1590</v>
      </c>
    </row>
    <row r="600" spans="1:17" x14ac:dyDescent="0.35">
      <c r="A600" t="s">
        <v>1334</v>
      </c>
      <c r="B600" s="3" t="s">
        <v>102</v>
      </c>
      <c r="C600" s="3"/>
      <c r="D600" s="3"/>
      <c r="E600" s="3"/>
      <c r="F600" t="s">
        <v>551</v>
      </c>
      <c r="H600" t="s">
        <v>1628</v>
      </c>
      <c r="J600" t="str">
        <f t="shared" si="9"/>
        <v>FORM N-PORT-C.10</v>
      </c>
      <c r="K600" t="s">
        <v>1653</v>
      </c>
      <c r="L600" t="s">
        <v>783</v>
      </c>
      <c r="M600" t="s">
        <v>1654</v>
      </c>
      <c r="N600" t="s">
        <v>1655</v>
      </c>
      <c r="Q600" s="18" t="s">
        <v>1590</v>
      </c>
    </row>
    <row r="601" spans="1:17" x14ac:dyDescent="0.35">
      <c r="A601" t="s">
        <v>1334</v>
      </c>
      <c r="B601" s="3" t="s">
        <v>102</v>
      </c>
      <c r="C601" s="3"/>
      <c r="D601" s="3"/>
      <c r="E601" s="3"/>
      <c r="F601" t="s">
        <v>551</v>
      </c>
      <c r="H601" t="s">
        <v>1628</v>
      </c>
      <c r="J601" t="str">
        <f t="shared" si="9"/>
        <v>FORM N-PORT-C.10</v>
      </c>
      <c r="K601" t="s">
        <v>1656</v>
      </c>
      <c r="L601" t="s">
        <v>1566</v>
      </c>
      <c r="M601" t="s">
        <v>1657</v>
      </c>
      <c r="N601" t="s">
        <v>1658</v>
      </c>
      <c r="Q601" s="18" t="s">
        <v>1590</v>
      </c>
    </row>
    <row r="602" spans="1:17" x14ac:dyDescent="0.35">
      <c r="A602" t="s">
        <v>1334</v>
      </c>
      <c r="B602" s="3" t="s">
        <v>102</v>
      </c>
      <c r="C602" s="3"/>
      <c r="D602" s="3"/>
      <c r="E602" s="3"/>
      <c r="F602" t="s">
        <v>551</v>
      </c>
      <c r="H602" t="s">
        <v>1659</v>
      </c>
      <c r="J602" t="str">
        <f t="shared" si="9"/>
        <v>FORM N-PORT-C.11</v>
      </c>
      <c r="K602" t="s">
        <v>1660</v>
      </c>
      <c r="L602" t="s">
        <v>1566</v>
      </c>
      <c r="M602" t="s">
        <v>1661</v>
      </c>
      <c r="N602" t="s">
        <v>1662</v>
      </c>
      <c r="Q602" s="18" t="s">
        <v>1590</v>
      </c>
    </row>
    <row r="603" spans="1:17" x14ac:dyDescent="0.35">
      <c r="A603" t="s">
        <v>1334</v>
      </c>
      <c r="B603" s="3" t="s">
        <v>102</v>
      </c>
      <c r="C603" s="3"/>
      <c r="D603" s="3"/>
      <c r="E603" s="3"/>
      <c r="F603" t="s">
        <v>551</v>
      </c>
      <c r="H603" t="s">
        <v>1659</v>
      </c>
      <c r="J603" t="str">
        <f t="shared" si="9"/>
        <v>FORM N-PORT-C.11</v>
      </c>
      <c r="K603" t="s">
        <v>1663</v>
      </c>
      <c r="L603" t="s">
        <v>1502</v>
      </c>
      <c r="M603" t="s">
        <v>1664</v>
      </c>
      <c r="N603" t="s">
        <v>1665</v>
      </c>
      <c r="Q603" s="18" t="s">
        <v>1590</v>
      </c>
    </row>
    <row r="604" spans="1:17" x14ac:dyDescent="0.35">
      <c r="A604" t="s">
        <v>1334</v>
      </c>
      <c r="B604" s="3" t="s">
        <v>102</v>
      </c>
      <c r="C604" s="3"/>
      <c r="D604" s="3"/>
      <c r="E604" s="3"/>
      <c r="F604" t="s">
        <v>551</v>
      </c>
      <c r="H604" t="s">
        <v>1659</v>
      </c>
      <c r="J604" t="str">
        <f t="shared" si="9"/>
        <v>FORM N-PORT-C.11</v>
      </c>
      <c r="K604" t="s">
        <v>1666</v>
      </c>
      <c r="L604" t="s">
        <v>1566</v>
      </c>
      <c r="M604" t="s">
        <v>1667</v>
      </c>
      <c r="N604" t="s">
        <v>1668</v>
      </c>
      <c r="Q604" s="18" t="s">
        <v>1590</v>
      </c>
    </row>
    <row r="605" spans="1:17" x14ac:dyDescent="0.35">
      <c r="A605" t="s">
        <v>1334</v>
      </c>
      <c r="B605" s="3" t="s">
        <v>102</v>
      </c>
      <c r="C605" s="3"/>
      <c r="D605" s="3"/>
      <c r="E605" s="3"/>
      <c r="F605" t="s">
        <v>551</v>
      </c>
      <c r="H605" t="s">
        <v>1659</v>
      </c>
      <c r="J605" t="str">
        <f t="shared" si="9"/>
        <v>FORM N-PORT-C.11</v>
      </c>
      <c r="K605" t="s">
        <v>1669</v>
      </c>
      <c r="L605" t="s">
        <v>1566</v>
      </c>
      <c r="M605" t="s">
        <v>1670</v>
      </c>
      <c r="N605" t="s">
        <v>1671</v>
      </c>
      <c r="Q605" s="18" t="s">
        <v>1590</v>
      </c>
    </row>
    <row r="606" spans="1:17" x14ac:dyDescent="0.35">
      <c r="A606" t="s">
        <v>1334</v>
      </c>
      <c r="B606" s="3" t="s">
        <v>102</v>
      </c>
      <c r="C606" s="3"/>
      <c r="D606" s="3"/>
      <c r="E606" s="3"/>
      <c r="F606" t="s">
        <v>551</v>
      </c>
      <c r="H606" t="s">
        <v>1659</v>
      </c>
      <c r="J606" t="str">
        <f t="shared" si="9"/>
        <v>FORM N-PORT-C.11</v>
      </c>
      <c r="K606" t="s">
        <v>1672</v>
      </c>
      <c r="L606" t="s">
        <v>1502</v>
      </c>
      <c r="M606" t="s">
        <v>1673</v>
      </c>
      <c r="N606" t="s">
        <v>1674</v>
      </c>
      <c r="Q606" s="18" t="s">
        <v>1590</v>
      </c>
    </row>
    <row r="607" spans="1:17" x14ac:dyDescent="0.35">
      <c r="A607" t="s">
        <v>1334</v>
      </c>
      <c r="B607" s="3" t="s">
        <v>102</v>
      </c>
      <c r="C607" s="3"/>
      <c r="D607" s="3"/>
      <c r="E607" s="3"/>
      <c r="F607" t="s">
        <v>551</v>
      </c>
      <c r="H607" t="s">
        <v>1659</v>
      </c>
      <c r="J607" t="str">
        <f t="shared" si="9"/>
        <v>FORM N-PORT-C.11</v>
      </c>
      <c r="K607" t="s">
        <v>1675</v>
      </c>
      <c r="L607" t="s">
        <v>783</v>
      </c>
      <c r="M607" t="s">
        <v>1676</v>
      </c>
      <c r="N607" t="s">
        <v>1677</v>
      </c>
      <c r="Q607" s="18" t="s">
        <v>1590</v>
      </c>
    </row>
    <row r="608" spans="1:17" x14ac:dyDescent="0.35">
      <c r="A608" t="s">
        <v>1334</v>
      </c>
      <c r="B608" s="3" t="s">
        <v>102</v>
      </c>
      <c r="C608" s="3"/>
      <c r="D608" s="3"/>
      <c r="E608" s="3"/>
      <c r="F608" t="s">
        <v>551</v>
      </c>
      <c r="H608" t="s">
        <v>1659</v>
      </c>
      <c r="J608" t="str">
        <f t="shared" si="9"/>
        <v>FORM N-PORT-C.11</v>
      </c>
      <c r="K608" t="s">
        <v>1678</v>
      </c>
      <c r="L608" t="s">
        <v>783</v>
      </c>
      <c r="M608" t="s">
        <v>1679</v>
      </c>
      <c r="N608" t="s">
        <v>1680</v>
      </c>
      <c r="Q608" s="18" t="s">
        <v>1590</v>
      </c>
    </row>
    <row r="609" spans="1:17" x14ac:dyDescent="0.35">
      <c r="A609" t="s">
        <v>1334</v>
      </c>
      <c r="B609" s="3" t="s">
        <v>102</v>
      </c>
      <c r="C609" s="3"/>
      <c r="D609" s="3"/>
      <c r="E609" s="3"/>
      <c r="F609" t="s">
        <v>551</v>
      </c>
      <c r="H609" t="s">
        <v>1659</v>
      </c>
      <c r="J609" t="str">
        <f t="shared" si="9"/>
        <v>FORM N-PORT-C.11</v>
      </c>
      <c r="K609" t="s">
        <v>1681</v>
      </c>
      <c r="L609" t="s">
        <v>1331</v>
      </c>
      <c r="M609" t="s">
        <v>1682</v>
      </c>
      <c r="N609" t="s">
        <v>1683</v>
      </c>
      <c r="Q609" s="18" t="s">
        <v>1590</v>
      </c>
    </row>
    <row r="610" spans="1:17" x14ac:dyDescent="0.35">
      <c r="A610" t="s">
        <v>1334</v>
      </c>
      <c r="B610" s="3" t="s">
        <v>102</v>
      </c>
      <c r="C610" s="3"/>
      <c r="D610" s="3"/>
      <c r="E610" s="3"/>
      <c r="F610" t="s">
        <v>551</v>
      </c>
      <c r="H610" t="s">
        <v>1659</v>
      </c>
      <c r="J610" t="str">
        <f t="shared" si="9"/>
        <v>FORM N-PORT-C.11</v>
      </c>
      <c r="K610" t="s">
        <v>1684</v>
      </c>
      <c r="L610" t="s">
        <v>783</v>
      </c>
      <c r="M610" t="s">
        <v>1685</v>
      </c>
      <c r="N610" t="s">
        <v>1686</v>
      </c>
      <c r="Q610" s="18" t="s">
        <v>1590</v>
      </c>
    </row>
    <row r="611" spans="1:17" x14ac:dyDescent="0.35">
      <c r="A611" t="s">
        <v>1334</v>
      </c>
      <c r="B611" s="3" t="s">
        <v>102</v>
      </c>
      <c r="C611" s="3"/>
      <c r="D611" s="3"/>
      <c r="E611" s="3"/>
      <c r="F611" t="s">
        <v>551</v>
      </c>
      <c r="H611" t="s">
        <v>1659</v>
      </c>
      <c r="J611" t="str">
        <f t="shared" si="9"/>
        <v>FORM N-PORT-C.11</v>
      </c>
      <c r="K611" t="s">
        <v>1687</v>
      </c>
      <c r="L611" t="s">
        <v>783</v>
      </c>
      <c r="M611" t="s">
        <v>1688</v>
      </c>
      <c r="N611" t="s">
        <v>1689</v>
      </c>
      <c r="Q611" s="18" t="s">
        <v>1590</v>
      </c>
    </row>
    <row r="612" spans="1:17" x14ac:dyDescent="0.35">
      <c r="A612" t="s">
        <v>1334</v>
      </c>
      <c r="B612" s="3" t="s">
        <v>102</v>
      </c>
      <c r="C612" s="3"/>
      <c r="D612" s="3"/>
      <c r="E612" s="3"/>
      <c r="F612" t="s">
        <v>551</v>
      </c>
      <c r="H612" t="s">
        <v>1659</v>
      </c>
      <c r="J612" t="str">
        <f t="shared" si="9"/>
        <v>FORM N-PORT-C.11</v>
      </c>
      <c r="K612" t="s">
        <v>1690</v>
      </c>
      <c r="L612" t="s">
        <v>1566</v>
      </c>
      <c r="M612" t="s">
        <v>1691</v>
      </c>
      <c r="N612" t="s">
        <v>1692</v>
      </c>
      <c r="Q612" s="18" t="s">
        <v>1590</v>
      </c>
    </row>
    <row r="613" spans="1:17" x14ac:dyDescent="0.35">
      <c r="A613" t="s">
        <v>1334</v>
      </c>
      <c r="B613" s="3" t="s">
        <v>102</v>
      </c>
      <c r="C613" s="3"/>
      <c r="D613" s="3"/>
      <c r="E613" s="3"/>
      <c r="F613" t="s">
        <v>551</v>
      </c>
      <c r="H613" t="s">
        <v>1659</v>
      </c>
      <c r="J613" t="str">
        <f t="shared" si="9"/>
        <v>FORM N-PORT-C.11</v>
      </c>
      <c r="K613" t="s">
        <v>1693</v>
      </c>
      <c r="L613" t="s">
        <v>1502</v>
      </c>
      <c r="M613" t="s">
        <v>1694</v>
      </c>
      <c r="N613" t="s">
        <v>1695</v>
      </c>
      <c r="Q613" s="18" t="s">
        <v>1590</v>
      </c>
    </row>
    <row r="614" spans="1:17" x14ac:dyDescent="0.35">
      <c r="A614" t="s">
        <v>1334</v>
      </c>
      <c r="B614" s="3" t="s">
        <v>102</v>
      </c>
      <c r="C614" s="3"/>
      <c r="D614" s="3"/>
      <c r="E614" s="3"/>
      <c r="F614" t="s">
        <v>551</v>
      </c>
      <c r="H614" t="s">
        <v>1659</v>
      </c>
      <c r="J614" t="str">
        <f t="shared" si="9"/>
        <v>FORM N-PORT-C.11</v>
      </c>
      <c r="K614" t="s">
        <v>1696</v>
      </c>
      <c r="L614" t="s">
        <v>1331</v>
      </c>
      <c r="M614" t="s">
        <v>1697</v>
      </c>
      <c r="N614" t="s">
        <v>1698</v>
      </c>
      <c r="Q614" s="18" t="s">
        <v>1590</v>
      </c>
    </row>
    <row r="615" spans="1:17" x14ac:dyDescent="0.35">
      <c r="A615" t="s">
        <v>1334</v>
      </c>
      <c r="B615" s="3" t="s">
        <v>102</v>
      </c>
      <c r="C615" s="3"/>
      <c r="D615" s="3"/>
      <c r="E615" s="3"/>
      <c r="F615" t="s">
        <v>551</v>
      </c>
      <c r="H615" t="s">
        <v>1659</v>
      </c>
      <c r="J615" t="str">
        <f t="shared" si="9"/>
        <v>FORM N-PORT-C.11</v>
      </c>
      <c r="K615" t="s">
        <v>1699</v>
      </c>
      <c r="L615" t="s">
        <v>783</v>
      </c>
      <c r="M615" t="s">
        <v>1700</v>
      </c>
      <c r="N615" t="s">
        <v>1701</v>
      </c>
      <c r="Q615" s="18" t="s">
        <v>1590</v>
      </c>
    </row>
    <row r="616" spans="1:17" x14ac:dyDescent="0.35">
      <c r="A616" t="s">
        <v>1334</v>
      </c>
      <c r="B616" s="3" t="s">
        <v>102</v>
      </c>
      <c r="C616" s="3"/>
      <c r="D616" s="3"/>
      <c r="E616" s="3"/>
      <c r="F616" t="s">
        <v>551</v>
      </c>
      <c r="H616" t="s">
        <v>1659</v>
      </c>
      <c r="J616" t="str">
        <f t="shared" si="9"/>
        <v>FORM N-PORT-C.11</v>
      </c>
      <c r="K616" t="s">
        <v>1702</v>
      </c>
      <c r="L616" t="s">
        <v>783</v>
      </c>
      <c r="M616" t="s">
        <v>1688</v>
      </c>
      <c r="N616" t="s">
        <v>1703</v>
      </c>
      <c r="Q616" s="18" t="s">
        <v>1590</v>
      </c>
    </row>
    <row r="617" spans="1:17" x14ac:dyDescent="0.35">
      <c r="A617" t="s">
        <v>1334</v>
      </c>
      <c r="B617" s="3" t="s">
        <v>102</v>
      </c>
      <c r="C617" s="3"/>
      <c r="D617" s="3"/>
      <c r="E617" s="3"/>
      <c r="F617" t="s">
        <v>551</v>
      </c>
      <c r="H617" t="s">
        <v>1659</v>
      </c>
      <c r="J617" t="str">
        <f t="shared" si="9"/>
        <v>FORM N-PORT-C.11</v>
      </c>
      <c r="K617" t="s">
        <v>1704</v>
      </c>
      <c r="L617" t="s">
        <v>229</v>
      </c>
      <c r="M617" t="s">
        <v>1705</v>
      </c>
      <c r="N617" t="s">
        <v>1706</v>
      </c>
      <c r="Q617" s="18" t="s">
        <v>1590</v>
      </c>
    </row>
    <row r="618" spans="1:17" x14ac:dyDescent="0.35">
      <c r="A618" t="s">
        <v>1334</v>
      </c>
      <c r="B618" s="3" t="s">
        <v>102</v>
      </c>
      <c r="C618" s="3"/>
      <c r="D618" s="3"/>
      <c r="E618" s="3"/>
      <c r="F618" t="s">
        <v>551</v>
      </c>
      <c r="H618" t="s">
        <v>1659</v>
      </c>
      <c r="J618" t="str">
        <f t="shared" si="9"/>
        <v>FORM N-PORT-C.11</v>
      </c>
      <c r="K618" t="s">
        <v>1707</v>
      </c>
      <c r="L618" t="s">
        <v>229</v>
      </c>
      <c r="M618" t="s">
        <v>1708</v>
      </c>
      <c r="N618" t="s">
        <v>1709</v>
      </c>
      <c r="Q618" s="18" t="s">
        <v>1590</v>
      </c>
    </row>
    <row r="619" spans="1:17" x14ac:dyDescent="0.35">
      <c r="A619" t="s">
        <v>1334</v>
      </c>
      <c r="B619" s="3" t="s">
        <v>102</v>
      </c>
      <c r="C619" s="3"/>
      <c r="D619" s="3"/>
      <c r="E619" s="3"/>
      <c r="F619" t="s">
        <v>551</v>
      </c>
      <c r="H619" t="s">
        <v>1659</v>
      </c>
      <c r="J619" t="str">
        <f t="shared" si="9"/>
        <v>FORM N-PORT-C.11</v>
      </c>
      <c r="K619" t="s">
        <v>1710</v>
      </c>
      <c r="L619" t="s">
        <v>1331</v>
      </c>
      <c r="M619" t="s">
        <v>1711</v>
      </c>
      <c r="N619" t="s">
        <v>1712</v>
      </c>
      <c r="Q619" s="18" t="s">
        <v>1590</v>
      </c>
    </row>
    <row r="620" spans="1:17" x14ac:dyDescent="0.35">
      <c r="A620" t="s">
        <v>1334</v>
      </c>
      <c r="B620" s="3" t="s">
        <v>102</v>
      </c>
      <c r="C620" s="3"/>
      <c r="D620" s="3"/>
      <c r="E620" s="3"/>
      <c r="F620" t="s">
        <v>551</v>
      </c>
      <c r="H620" t="s">
        <v>1659</v>
      </c>
      <c r="J620" t="str">
        <f t="shared" si="9"/>
        <v>FORM N-PORT-C.11</v>
      </c>
      <c r="K620" t="s">
        <v>1713</v>
      </c>
      <c r="L620" t="s">
        <v>783</v>
      </c>
      <c r="M620" t="s">
        <v>1688</v>
      </c>
      <c r="N620" t="s">
        <v>1714</v>
      </c>
      <c r="Q620" s="18" t="s">
        <v>1590</v>
      </c>
    </row>
    <row r="621" spans="1:17" x14ac:dyDescent="0.35">
      <c r="A621" t="s">
        <v>1334</v>
      </c>
      <c r="B621" s="3" t="s">
        <v>102</v>
      </c>
      <c r="C621" s="3"/>
      <c r="D621" s="3"/>
      <c r="E621" s="3"/>
      <c r="F621" t="s">
        <v>551</v>
      </c>
      <c r="H621" t="s">
        <v>1659</v>
      </c>
      <c r="J621" t="str">
        <f t="shared" si="9"/>
        <v>FORM N-PORT-C.11</v>
      </c>
      <c r="K621" t="s">
        <v>1715</v>
      </c>
      <c r="L621" t="s">
        <v>229</v>
      </c>
      <c r="M621" t="s">
        <v>1716</v>
      </c>
      <c r="N621" t="s">
        <v>1717</v>
      </c>
      <c r="Q621" s="18" t="s">
        <v>1590</v>
      </c>
    </row>
    <row r="622" spans="1:17" x14ac:dyDescent="0.35">
      <c r="A622" t="s">
        <v>1334</v>
      </c>
      <c r="B622" s="3" t="s">
        <v>102</v>
      </c>
      <c r="C622" s="3"/>
      <c r="D622" s="3"/>
      <c r="E622" s="3"/>
      <c r="F622" t="s">
        <v>551</v>
      </c>
      <c r="H622" t="s">
        <v>1659</v>
      </c>
      <c r="J622" t="str">
        <f t="shared" si="9"/>
        <v>FORM N-PORT-C.11</v>
      </c>
      <c r="K622" t="s">
        <v>1718</v>
      </c>
      <c r="L622" t="s">
        <v>1331</v>
      </c>
      <c r="M622" t="s">
        <v>1719</v>
      </c>
      <c r="N622" t="s">
        <v>1720</v>
      </c>
      <c r="Q622" s="18" t="s">
        <v>1590</v>
      </c>
    </row>
    <row r="623" spans="1:17" x14ac:dyDescent="0.35">
      <c r="A623" t="s">
        <v>1334</v>
      </c>
      <c r="B623" s="3" t="s">
        <v>102</v>
      </c>
      <c r="C623" s="3"/>
      <c r="D623" s="3"/>
      <c r="E623" s="3"/>
      <c r="F623" t="s">
        <v>551</v>
      </c>
      <c r="H623" t="s">
        <v>1659</v>
      </c>
      <c r="J623" t="str">
        <f t="shared" si="9"/>
        <v>FORM N-PORT-C.11</v>
      </c>
      <c r="K623" t="s">
        <v>1721</v>
      </c>
      <c r="L623" t="s">
        <v>783</v>
      </c>
      <c r="M623" t="s">
        <v>1722</v>
      </c>
      <c r="N623" t="s">
        <v>1723</v>
      </c>
      <c r="Q623" s="18" t="s">
        <v>1590</v>
      </c>
    </row>
    <row r="624" spans="1:17" x14ac:dyDescent="0.35">
      <c r="A624" t="s">
        <v>1334</v>
      </c>
      <c r="B624" s="3" t="s">
        <v>102</v>
      </c>
      <c r="C624" s="3"/>
      <c r="D624" s="3"/>
      <c r="E624" s="3"/>
      <c r="F624" t="s">
        <v>551</v>
      </c>
      <c r="H624" t="s">
        <v>1659</v>
      </c>
      <c r="J624" t="str">
        <f t="shared" si="9"/>
        <v>FORM N-PORT-C.11</v>
      </c>
      <c r="K624" t="s">
        <v>1724</v>
      </c>
      <c r="L624" t="s">
        <v>783</v>
      </c>
      <c r="M624" t="s">
        <v>1725</v>
      </c>
      <c r="N624" t="s">
        <v>1726</v>
      </c>
      <c r="Q624" s="18" t="s">
        <v>1590</v>
      </c>
    </row>
    <row r="625" spans="1:17" x14ac:dyDescent="0.35">
      <c r="A625" t="s">
        <v>1334</v>
      </c>
      <c r="B625" s="3" t="s">
        <v>102</v>
      </c>
      <c r="C625" s="3"/>
      <c r="D625" s="3"/>
      <c r="E625" s="3"/>
      <c r="F625" t="s">
        <v>551</v>
      </c>
      <c r="H625" t="s">
        <v>1659</v>
      </c>
      <c r="J625" t="str">
        <f t="shared" si="9"/>
        <v>FORM N-PORT-C.11</v>
      </c>
      <c r="K625" t="s">
        <v>1727</v>
      </c>
      <c r="L625" t="s">
        <v>783</v>
      </c>
      <c r="M625" t="s">
        <v>1688</v>
      </c>
      <c r="N625" t="s">
        <v>1728</v>
      </c>
      <c r="Q625" s="18" t="s">
        <v>1590</v>
      </c>
    </row>
    <row r="626" spans="1:17" x14ac:dyDescent="0.35">
      <c r="A626" t="s">
        <v>1334</v>
      </c>
      <c r="B626" s="3" t="s">
        <v>102</v>
      </c>
      <c r="C626" s="3"/>
      <c r="D626" s="3"/>
      <c r="E626" s="3"/>
      <c r="F626" t="s">
        <v>551</v>
      </c>
      <c r="H626" t="s">
        <v>1729</v>
      </c>
      <c r="J626" t="str">
        <f t="shared" si="9"/>
        <v>FORM N-PORT-C.12</v>
      </c>
      <c r="K626" t="s">
        <v>1730</v>
      </c>
      <c r="L626" t="s">
        <v>1187</v>
      </c>
      <c r="M626" t="s">
        <v>1731</v>
      </c>
      <c r="N626" t="s">
        <v>1732</v>
      </c>
      <c r="Q626" s="18" t="s">
        <v>1341</v>
      </c>
    </row>
    <row r="627" spans="1:17" x14ac:dyDescent="0.35">
      <c r="A627" t="s">
        <v>1334</v>
      </c>
      <c r="B627" s="3" t="s">
        <v>102</v>
      </c>
      <c r="C627" s="3"/>
      <c r="D627" s="3"/>
      <c r="E627" s="3"/>
      <c r="F627" t="s">
        <v>551</v>
      </c>
      <c r="H627" t="s">
        <v>1729</v>
      </c>
      <c r="J627" t="str">
        <f t="shared" si="9"/>
        <v>FORM N-PORT-C.12</v>
      </c>
      <c r="K627" t="s">
        <v>1733</v>
      </c>
      <c r="L627" t="s">
        <v>783</v>
      </c>
      <c r="M627" t="s">
        <v>1734</v>
      </c>
      <c r="N627" t="s">
        <v>1735</v>
      </c>
      <c r="Q627" s="18" t="s">
        <v>1590</v>
      </c>
    </row>
    <row r="628" spans="1:17" x14ac:dyDescent="0.35">
      <c r="A628" t="s">
        <v>1334</v>
      </c>
      <c r="B628" s="3" t="s">
        <v>102</v>
      </c>
      <c r="C628" s="3"/>
      <c r="D628" s="3"/>
      <c r="E628" s="3"/>
      <c r="F628" t="s">
        <v>551</v>
      </c>
      <c r="H628" t="s">
        <v>1729</v>
      </c>
      <c r="J628" t="str">
        <f t="shared" si="9"/>
        <v>FORM N-PORT-C.12</v>
      </c>
      <c r="K628" t="s">
        <v>1736</v>
      </c>
      <c r="L628" t="s">
        <v>1187</v>
      </c>
      <c r="M628" t="s">
        <v>1737</v>
      </c>
      <c r="N628" t="s">
        <v>1738</v>
      </c>
      <c r="Q628" s="18" t="s">
        <v>1341</v>
      </c>
    </row>
    <row r="629" spans="1:17" x14ac:dyDescent="0.35">
      <c r="A629" t="s">
        <v>1334</v>
      </c>
      <c r="B629" s="3" t="s">
        <v>102</v>
      </c>
      <c r="C629" s="3"/>
      <c r="D629" s="3"/>
      <c r="E629" s="3"/>
      <c r="F629" t="s">
        <v>551</v>
      </c>
      <c r="H629" t="s">
        <v>1729</v>
      </c>
      <c r="J629" t="str">
        <f t="shared" si="9"/>
        <v>FORM N-PORT-C.12</v>
      </c>
      <c r="K629" t="s">
        <v>1739</v>
      </c>
      <c r="L629" t="s">
        <v>783</v>
      </c>
      <c r="M629" t="s">
        <v>1740</v>
      </c>
      <c r="N629" t="s">
        <v>1741</v>
      </c>
      <c r="Q629" s="18" t="s">
        <v>1590</v>
      </c>
    </row>
    <row r="630" spans="1:17" x14ac:dyDescent="0.35">
      <c r="A630" t="s">
        <v>1334</v>
      </c>
      <c r="B630" s="3" t="s">
        <v>102</v>
      </c>
      <c r="C630" s="3"/>
      <c r="D630" s="3"/>
      <c r="E630" s="3"/>
      <c r="F630" t="s">
        <v>551</v>
      </c>
      <c r="H630" t="s">
        <v>1729</v>
      </c>
      <c r="J630" t="str">
        <f t="shared" si="9"/>
        <v>FORM N-PORT-C.12</v>
      </c>
      <c r="K630" t="s">
        <v>1742</v>
      </c>
      <c r="L630" t="s">
        <v>1187</v>
      </c>
      <c r="M630" t="s">
        <v>1743</v>
      </c>
      <c r="N630" t="s">
        <v>1744</v>
      </c>
      <c r="Q630" s="18" t="s">
        <v>1341</v>
      </c>
    </row>
    <row r="631" spans="1:17" x14ac:dyDescent="0.35">
      <c r="A631" t="s">
        <v>1334</v>
      </c>
      <c r="B631" s="3" t="s">
        <v>102</v>
      </c>
      <c r="C631" s="3"/>
      <c r="D631" s="3"/>
      <c r="E631" s="3"/>
      <c r="F631" t="s">
        <v>551</v>
      </c>
      <c r="H631" t="s">
        <v>1729</v>
      </c>
      <c r="J631" t="str">
        <f t="shared" si="9"/>
        <v>FORM N-PORT-C.12</v>
      </c>
      <c r="K631" t="s">
        <v>1745</v>
      </c>
      <c r="L631" t="s">
        <v>783</v>
      </c>
      <c r="M631" t="s">
        <v>1746</v>
      </c>
      <c r="N631" t="s">
        <v>1747</v>
      </c>
      <c r="Q631" s="18" t="s">
        <v>1590</v>
      </c>
    </row>
    <row r="632" spans="1:17" x14ac:dyDescent="0.35">
      <c r="A632" t="s">
        <v>1334</v>
      </c>
      <c r="B632" s="3" t="s">
        <v>102</v>
      </c>
      <c r="C632" s="3"/>
      <c r="D632" s="3"/>
      <c r="E632" s="3"/>
      <c r="F632" t="s">
        <v>551</v>
      </c>
      <c r="H632" t="s">
        <v>593</v>
      </c>
      <c r="J632" t="str">
        <f t="shared" si="9"/>
        <v>FORM N-PORT-C.1</v>
      </c>
      <c r="K632" t="s">
        <v>1522</v>
      </c>
      <c r="L632" t="s">
        <v>229</v>
      </c>
      <c r="M632" t="s">
        <v>1523</v>
      </c>
      <c r="N632" t="s">
        <v>1524</v>
      </c>
      <c r="Q632" s="18" t="s">
        <v>9173</v>
      </c>
    </row>
    <row r="633" spans="1:17" x14ac:dyDescent="0.35">
      <c r="A633" t="s">
        <v>1334</v>
      </c>
      <c r="B633" s="3" t="s">
        <v>102</v>
      </c>
      <c r="C633" s="3"/>
      <c r="D633" s="3"/>
      <c r="E633" s="3"/>
      <c r="F633" t="s">
        <v>551</v>
      </c>
      <c r="H633" t="s">
        <v>593</v>
      </c>
      <c r="J633" t="str">
        <f t="shared" si="9"/>
        <v>FORM N-PORT-C.1</v>
      </c>
      <c r="K633" t="s">
        <v>1526</v>
      </c>
      <c r="L633" t="s">
        <v>1313</v>
      </c>
      <c r="M633" t="s">
        <v>1527</v>
      </c>
      <c r="N633" t="s">
        <v>1528</v>
      </c>
      <c r="Q633" s="18" t="s">
        <v>9174</v>
      </c>
    </row>
    <row r="634" spans="1:17" x14ac:dyDescent="0.35">
      <c r="A634" t="s">
        <v>1334</v>
      </c>
      <c r="B634" s="3" t="s">
        <v>102</v>
      </c>
      <c r="C634" s="3"/>
      <c r="D634" s="3"/>
      <c r="E634" s="3"/>
      <c r="F634" t="s">
        <v>551</v>
      </c>
      <c r="H634" t="s">
        <v>593</v>
      </c>
      <c r="J634" t="str">
        <f t="shared" si="9"/>
        <v>FORM N-PORT-C.1</v>
      </c>
      <c r="K634" t="s">
        <v>1530</v>
      </c>
      <c r="L634" t="s">
        <v>229</v>
      </c>
      <c r="M634" t="s">
        <v>1531</v>
      </c>
      <c r="N634" t="s">
        <v>1532</v>
      </c>
      <c r="Q634" s="18" t="s">
        <v>9179</v>
      </c>
    </row>
    <row r="635" spans="1:17" x14ac:dyDescent="0.35">
      <c r="A635" t="s">
        <v>1334</v>
      </c>
      <c r="B635" s="3" t="s">
        <v>102</v>
      </c>
      <c r="C635" s="3"/>
      <c r="D635" s="3"/>
      <c r="E635" s="3"/>
      <c r="F635" t="s">
        <v>551</v>
      </c>
      <c r="H635" t="s">
        <v>593</v>
      </c>
      <c r="J635" t="str">
        <f t="shared" si="9"/>
        <v>FORM N-PORT-C.1</v>
      </c>
      <c r="K635" t="s">
        <v>1534</v>
      </c>
      <c r="L635" t="s">
        <v>1313</v>
      </c>
      <c r="M635" t="s">
        <v>1535</v>
      </c>
      <c r="N635" t="s">
        <v>1536</v>
      </c>
      <c r="Q635" s="18" t="s">
        <v>1590</v>
      </c>
    </row>
    <row r="636" spans="1:17" x14ac:dyDescent="0.35">
      <c r="A636" t="s">
        <v>1334</v>
      </c>
      <c r="B636" s="3" t="s">
        <v>102</v>
      </c>
      <c r="C636" s="3"/>
      <c r="D636" s="3"/>
      <c r="E636" s="3"/>
      <c r="F636" t="s">
        <v>551</v>
      </c>
      <c r="H636" t="s">
        <v>593</v>
      </c>
      <c r="J636" t="str">
        <f t="shared" si="9"/>
        <v>FORM N-PORT-C.1</v>
      </c>
      <c r="K636" t="s">
        <v>1538</v>
      </c>
      <c r="L636" t="s">
        <v>1313</v>
      </c>
      <c r="M636" t="s">
        <v>1539</v>
      </c>
      <c r="N636" t="s">
        <v>1540</v>
      </c>
      <c r="Q636" s="18" t="s">
        <v>9180</v>
      </c>
    </row>
    <row r="637" spans="1:17" x14ac:dyDescent="0.35">
      <c r="A637" t="s">
        <v>1334</v>
      </c>
      <c r="B637" s="3" t="s">
        <v>102</v>
      </c>
      <c r="C637" s="3"/>
      <c r="D637" s="3"/>
      <c r="E637" s="3"/>
      <c r="F637" t="s">
        <v>551</v>
      </c>
      <c r="H637" t="s">
        <v>1542</v>
      </c>
      <c r="J637" t="str">
        <f t="shared" si="9"/>
        <v>FORM N-PORT-C.2</v>
      </c>
      <c r="K637" t="s">
        <v>1543</v>
      </c>
      <c r="L637" t="s">
        <v>783</v>
      </c>
      <c r="M637" t="s">
        <v>1544</v>
      </c>
      <c r="N637" t="s">
        <v>1545</v>
      </c>
      <c r="Q637" s="18">
        <v>8660000</v>
      </c>
    </row>
    <row r="638" spans="1:17" x14ac:dyDescent="0.35">
      <c r="A638" t="s">
        <v>1334</v>
      </c>
      <c r="B638" s="3" t="s">
        <v>102</v>
      </c>
      <c r="C638" s="3"/>
      <c r="D638" s="3"/>
      <c r="E638" s="3"/>
      <c r="F638" t="s">
        <v>551</v>
      </c>
      <c r="H638" t="s">
        <v>1542</v>
      </c>
      <c r="J638" t="str">
        <f t="shared" si="9"/>
        <v>FORM N-PORT-C.2</v>
      </c>
      <c r="K638" t="s">
        <v>1546</v>
      </c>
      <c r="L638" t="s">
        <v>1502</v>
      </c>
      <c r="M638" t="s">
        <v>1547</v>
      </c>
      <c r="N638" t="s">
        <v>1548</v>
      </c>
      <c r="Q638" s="18" t="s">
        <v>1549</v>
      </c>
    </row>
    <row r="639" spans="1:17" x14ac:dyDescent="0.35">
      <c r="A639" t="s">
        <v>1334</v>
      </c>
      <c r="B639" s="3" t="s">
        <v>102</v>
      </c>
      <c r="C639" s="3"/>
      <c r="D639" s="3"/>
      <c r="E639" s="3"/>
      <c r="F639" t="s">
        <v>551</v>
      </c>
      <c r="H639" t="s">
        <v>1542</v>
      </c>
      <c r="J639" t="str">
        <f t="shared" si="9"/>
        <v>FORM N-PORT-C.2</v>
      </c>
      <c r="K639" t="s">
        <v>1550</v>
      </c>
      <c r="L639" t="s">
        <v>783</v>
      </c>
      <c r="M639" t="s">
        <v>1551</v>
      </c>
      <c r="N639" t="s">
        <v>1552</v>
      </c>
      <c r="Q639" s="18">
        <v>9052618.4199999999</v>
      </c>
    </row>
    <row r="640" spans="1:17" x14ac:dyDescent="0.35">
      <c r="A640" t="s">
        <v>1334</v>
      </c>
      <c r="B640" s="3" t="s">
        <v>102</v>
      </c>
      <c r="C640" s="3"/>
      <c r="D640" s="3"/>
      <c r="E640" s="3"/>
      <c r="F640" t="s">
        <v>551</v>
      </c>
      <c r="H640" t="s">
        <v>1542</v>
      </c>
      <c r="J640" t="str">
        <f t="shared" si="9"/>
        <v>FORM N-PORT-C.2</v>
      </c>
      <c r="K640" t="s">
        <v>1553</v>
      </c>
      <c r="L640" t="s">
        <v>1198</v>
      </c>
      <c r="M640" t="s">
        <v>1554</v>
      </c>
      <c r="N640" t="s">
        <v>1555</v>
      </c>
      <c r="Q640" s="18">
        <v>3.8763025E-3</v>
      </c>
    </row>
    <row r="641" spans="1:17" x14ac:dyDescent="0.35">
      <c r="A641" t="s">
        <v>1334</v>
      </c>
      <c r="B641" s="3" t="s">
        <v>102</v>
      </c>
      <c r="C641" s="3"/>
      <c r="D641" s="3"/>
      <c r="E641" s="3"/>
      <c r="F641" t="s">
        <v>551</v>
      </c>
      <c r="H641" t="s">
        <v>1542</v>
      </c>
      <c r="J641" t="str">
        <f t="shared" si="9"/>
        <v>FORM N-PORT-C.2</v>
      </c>
      <c r="K641" t="s">
        <v>1556</v>
      </c>
      <c r="L641" t="s">
        <v>1187</v>
      </c>
      <c r="M641" t="s">
        <v>1557</v>
      </c>
      <c r="N641" t="s">
        <v>1558</v>
      </c>
      <c r="Q641" s="18" t="s">
        <v>1590</v>
      </c>
    </row>
    <row r="642" spans="1:17" x14ac:dyDescent="0.35">
      <c r="A642" t="s">
        <v>1334</v>
      </c>
      <c r="B642" s="3" t="s">
        <v>102</v>
      </c>
      <c r="C642" s="3"/>
      <c r="D642" s="3"/>
      <c r="E642" s="3"/>
      <c r="F642" t="s">
        <v>551</v>
      </c>
      <c r="H642" t="s">
        <v>1559</v>
      </c>
      <c r="J642" t="str">
        <f t="shared" si="9"/>
        <v>FORM N-PORT-C.3</v>
      </c>
      <c r="K642" t="s">
        <v>1560</v>
      </c>
      <c r="L642" t="s">
        <v>229</v>
      </c>
      <c r="M642" t="s">
        <v>1561</v>
      </c>
      <c r="N642" t="s">
        <v>1562</v>
      </c>
      <c r="Q642" s="18" t="s">
        <v>1563</v>
      </c>
    </row>
    <row r="643" spans="1:17" x14ac:dyDescent="0.35">
      <c r="A643" t="s">
        <v>1334</v>
      </c>
      <c r="B643" s="3" t="s">
        <v>102</v>
      </c>
      <c r="C643" s="3"/>
      <c r="D643" s="3"/>
      <c r="E643" s="3"/>
      <c r="F643" t="s">
        <v>551</v>
      </c>
      <c r="H643" t="s">
        <v>1564</v>
      </c>
      <c r="J643" t="str">
        <f t="shared" ref="J643:J706" si="10">_xlfn.CONCAT(A643,"-",H643)</f>
        <v>FORM N-PORT-C.4</v>
      </c>
      <c r="K643" t="s">
        <v>1565</v>
      </c>
      <c r="L643" t="s">
        <v>1566</v>
      </c>
      <c r="M643" t="s">
        <v>1567</v>
      </c>
      <c r="N643" t="s">
        <v>1568</v>
      </c>
      <c r="Q643" s="18" t="s">
        <v>1569</v>
      </c>
    </row>
    <row r="644" spans="1:17" x14ac:dyDescent="0.35">
      <c r="A644" t="s">
        <v>1334</v>
      </c>
      <c r="B644" s="3" t="s">
        <v>102</v>
      </c>
      <c r="C644" s="3"/>
      <c r="D644" s="3"/>
      <c r="E644" s="3"/>
      <c r="F644" t="s">
        <v>551</v>
      </c>
      <c r="H644" t="s">
        <v>1564</v>
      </c>
      <c r="J644" t="str">
        <f t="shared" si="10"/>
        <v>FORM N-PORT-C.4</v>
      </c>
      <c r="K644" t="s">
        <v>1570</v>
      </c>
      <c r="L644" t="s">
        <v>1566</v>
      </c>
      <c r="M644" t="s">
        <v>1571</v>
      </c>
      <c r="N644" t="s">
        <v>1572</v>
      </c>
      <c r="Q644" s="18" t="s">
        <v>1573</v>
      </c>
    </row>
    <row r="645" spans="1:17" x14ac:dyDescent="0.35">
      <c r="A645" t="s">
        <v>1334</v>
      </c>
      <c r="B645" s="3" t="s">
        <v>102</v>
      </c>
      <c r="C645" s="3"/>
      <c r="D645" s="3"/>
      <c r="E645" s="3"/>
      <c r="F645" t="s">
        <v>551</v>
      </c>
      <c r="H645" t="s">
        <v>1574</v>
      </c>
      <c r="J645" t="str">
        <f t="shared" si="10"/>
        <v>FORM N-PORT-C.5</v>
      </c>
      <c r="K645" t="s">
        <v>1575</v>
      </c>
      <c r="L645" t="s">
        <v>1502</v>
      </c>
      <c r="M645" t="s">
        <v>1576</v>
      </c>
      <c r="N645" t="s">
        <v>1577</v>
      </c>
      <c r="Q645" s="18" t="s">
        <v>9177</v>
      </c>
    </row>
    <row r="646" spans="1:17" x14ac:dyDescent="0.35">
      <c r="A646" t="s">
        <v>1334</v>
      </c>
      <c r="B646" s="3" t="s">
        <v>102</v>
      </c>
      <c r="C646" s="3"/>
      <c r="D646" s="3"/>
      <c r="E646" s="3"/>
      <c r="F646" t="s">
        <v>551</v>
      </c>
      <c r="H646" t="s">
        <v>1574</v>
      </c>
      <c r="J646" t="str">
        <f t="shared" si="10"/>
        <v>FORM N-PORT-C.5</v>
      </c>
      <c r="K646" t="s">
        <v>1579</v>
      </c>
      <c r="L646" t="s">
        <v>1502</v>
      </c>
      <c r="M646" t="s">
        <v>1580</v>
      </c>
      <c r="N646" t="s">
        <v>1581</v>
      </c>
      <c r="Q646" s="18" t="s">
        <v>1590</v>
      </c>
    </row>
    <row r="647" spans="1:17" x14ac:dyDescent="0.35">
      <c r="A647" t="s">
        <v>1334</v>
      </c>
      <c r="B647" s="3" t="s">
        <v>102</v>
      </c>
      <c r="C647" s="3"/>
      <c r="D647" s="3"/>
      <c r="E647" s="3"/>
      <c r="F647" t="s">
        <v>551</v>
      </c>
      <c r="H647" t="s">
        <v>1582</v>
      </c>
      <c r="J647" t="str">
        <f t="shared" si="10"/>
        <v>FORM N-PORT-C.6</v>
      </c>
      <c r="K647" t="s">
        <v>1583</v>
      </c>
      <c r="L647" t="s">
        <v>1187</v>
      </c>
      <c r="M647" t="s">
        <v>1584</v>
      </c>
      <c r="N647" t="s">
        <v>1585</v>
      </c>
      <c r="Q647" s="18" t="s">
        <v>27</v>
      </c>
    </row>
    <row r="648" spans="1:17" x14ac:dyDescent="0.35">
      <c r="A648" t="s">
        <v>1334</v>
      </c>
      <c r="B648" s="3" t="s">
        <v>102</v>
      </c>
      <c r="C648" s="3"/>
      <c r="D648" s="3"/>
      <c r="E648" s="3"/>
      <c r="F648" t="s">
        <v>551</v>
      </c>
      <c r="H648" t="s">
        <v>1586</v>
      </c>
      <c r="J648" t="str">
        <f t="shared" si="10"/>
        <v>FORM N-PORT-C.7</v>
      </c>
      <c r="K648" t="s">
        <v>1587</v>
      </c>
      <c r="L648" t="s">
        <v>1566</v>
      </c>
      <c r="M648" t="s">
        <v>1588</v>
      </c>
      <c r="N648" t="s">
        <v>1589</v>
      </c>
      <c r="Q648" s="18" t="s">
        <v>1590</v>
      </c>
    </row>
    <row r="649" spans="1:17" x14ac:dyDescent="0.35">
      <c r="A649" t="s">
        <v>1334</v>
      </c>
      <c r="B649" s="3" t="s">
        <v>102</v>
      </c>
      <c r="C649" s="3"/>
      <c r="D649" s="3"/>
      <c r="E649" s="3"/>
      <c r="F649" t="s">
        <v>551</v>
      </c>
      <c r="H649" t="s">
        <v>1591</v>
      </c>
      <c r="J649" t="str">
        <f t="shared" si="10"/>
        <v>FORM N-PORT-C.8</v>
      </c>
      <c r="K649" t="s">
        <v>1592</v>
      </c>
      <c r="L649" t="s">
        <v>241</v>
      </c>
      <c r="M649" t="s">
        <v>1593</v>
      </c>
      <c r="N649" t="s">
        <v>1594</v>
      </c>
      <c r="Q649" s="18">
        <v>2</v>
      </c>
    </row>
    <row r="650" spans="1:17" x14ac:dyDescent="0.35">
      <c r="A650" t="s">
        <v>1334</v>
      </c>
      <c r="B650" s="3" t="s">
        <v>102</v>
      </c>
      <c r="C650" s="3"/>
      <c r="D650" s="3"/>
      <c r="E650" s="3"/>
      <c r="F650" t="s">
        <v>551</v>
      </c>
      <c r="H650" t="s">
        <v>1595</v>
      </c>
      <c r="J650" t="str">
        <f t="shared" si="10"/>
        <v>FORM N-PORT-C.9</v>
      </c>
      <c r="K650" t="s">
        <v>1596</v>
      </c>
      <c r="L650" t="s">
        <v>1331</v>
      </c>
      <c r="M650" t="s">
        <v>1597</v>
      </c>
      <c r="N650" t="s">
        <v>1598</v>
      </c>
      <c r="Q650" s="17">
        <v>51920</v>
      </c>
    </row>
    <row r="651" spans="1:17" x14ac:dyDescent="0.35">
      <c r="A651" t="s">
        <v>1334</v>
      </c>
      <c r="B651" s="3" t="s">
        <v>102</v>
      </c>
      <c r="C651" s="3"/>
      <c r="D651" s="3"/>
      <c r="E651" s="3"/>
      <c r="F651" t="s">
        <v>551</v>
      </c>
      <c r="H651" t="s">
        <v>1595</v>
      </c>
      <c r="J651" t="str">
        <f t="shared" si="10"/>
        <v>FORM N-PORT-C.9</v>
      </c>
      <c r="K651" t="s">
        <v>1599</v>
      </c>
      <c r="L651" t="s">
        <v>1600</v>
      </c>
      <c r="M651" t="s">
        <v>1601</v>
      </c>
      <c r="N651" t="s">
        <v>1602</v>
      </c>
      <c r="Q651" s="18" t="s">
        <v>9181</v>
      </c>
    </row>
    <row r="652" spans="1:17" x14ac:dyDescent="0.35">
      <c r="A652" t="s">
        <v>1334</v>
      </c>
      <c r="B652" s="3" t="s">
        <v>102</v>
      </c>
      <c r="C652" s="3"/>
      <c r="D652" s="3"/>
      <c r="E652" s="3"/>
      <c r="F652" t="s">
        <v>551</v>
      </c>
      <c r="H652" t="s">
        <v>1595</v>
      </c>
      <c r="J652" t="str">
        <f t="shared" si="10"/>
        <v>FORM N-PORT-C.9</v>
      </c>
      <c r="K652" t="s">
        <v>1604</v>
      </c>
      <c r="L652" t="s">
        <v>1187</v>
      </c>
      <c r="M652" t="s">
        <v>1605</v>
      </c>
      <c r="N652" t="s">
        <v>1606</v>
      </c>
      <c r="Q652" s="18" t="s">
        <v>1341</v>
      </c>
    </row>
    <row r="653" spans="1:17" x14ac:dyDescent="0.35">
      <c r="A653" t="s">
        <v>1334</v>
      </c>
      <c r="B653" s="3" t="s">
        <v>102</v>
      </c>
      <c r="C653" s="3"/>
      <c r="D653" s="3"/>
      <c r="E653" s="3"/>
      <c r="F653" t="s">
        <v>551</v>
      </c>
      <c r="H653" t="s">
        <v>1595</v>
      </c>
      <c r="J653" t="str">
        <f t="shared" si="10"/>
        <v>FORM N-PORT-C.9</v>
      </c>
      <c r="K653" t="s">
        <v>1607</v>
      </c>
      <c r="L653" t="s">
        <v>1187</v>
      </c>
      <c r="M653" t="s">
        <v>1608</v>
      </c>
      <c r="N653" t="s">
        <v>1609</v>
      </c>
      <c r="Q653" s="18" t="s">
        <v>1341</v>
      </c>
    </row>
    <row r="654" spans="1:17" x14ac:dyDescent="0.35">
      <c r="A654" t="s">
        <v>1334</v>
      </c>
      <c r="B654" s="3" t="s">
        <v>102</v>
      </c>
      <c r="C654" s="3"/>
      <c r="D654" s="3"/>
      <c r="E654" s="3"/>
      <c r="F654" t="s">
        <v>551</v>
      </c>
      <c r="H654" t="s">
        <v>1595</v>
      </c>
      <c r="J654" t="str">
        <f t="shared" si="10"/>
        <v>FORM N-PORT-C.9</v>
      </c>
      <c r="K654" t="s">
        <v>1610</v>
      </c>
      <c r="L654" t="s">
        <v>1187</v>
      </c>
      <c r="M654" t="s">
        <v>1611</v>
      </c>
      <c r="N654" t="s">
        <v>1612</v>
      </c>
      <c r="Q654" s="18" t="s">
        <v>1341</v>
      </c>
    </row>
    <row r="655" spans="1:17" x14ac:dyDescent="0.35">
      <c r="A655" t="s">
        <v>1334</v>
      </c>
      <c r="B655" s="3" t="s">
        <v>102</v>
      </c>
      <c r="C655" s="3"/>
      <c r="D655" s="3"/>
      <c r="E655" s="3"/>
      <c r="F655" t="s">
        <v>551</v>
      </c>
      <c r="H655" t="s">
        <v>1595</v>
      </c>
      <c r="J655" t="str">
        <f t="shared" si="10"/>
        <v>FORM N-PORT-C.9</v>
      </c>
      <c r="K655" t="s">
        <v>1613</v>
      </c>
      <c r="L655" t="s">
        <v>1187</v>
      </c>
      <c r="M655" t="s">
        <v>1614</v>
      </c>
      <c r="N655" t="s">
        <v>1615</v>
      </c>
      <c r="Q655" s="18" t="s">
        <v>1590</v>
      </c>
    </row>
    <row r="656" spans="1:17" x14ac:dyDescent="0.35">
      <c r="A656" t="s">
        <v>1334</v>
      </c>
      <c r="B656" s="3" t="s">
        <v>102</v>
      </c>
      <c r="C656" s="3"/>
      <c r="D656" s="3"/>
      <c r="E656" s="3"/>
      <c r="F656" t="s">
        <v>551</v>
      </c>
      <c r="H656" t="s">
        <v>1595</v>
      </c>
      <c r="J656" t="str">
        <f t="shared" si="10"/>
        <v>FORM N-PORT-C.9</v>
      </c>
      <c r="K656" t="s">
        <v>1616</v>
      </c>
      <c r="L656" t="s">
        <v>1187</v>
      </c>
      <c r="M656" t="s">
        <v>1617</v>
      </c>
      <c r="N656" t="s">
        <v>1618</v>
      </c>
      <c r="Q656" s="18" t="s">
        <v>1590</v>
      </c>
    </row>
    <row r="657" spans="1:17" x14ac:dyDescent="0.35">
      <c r="A657" t="s">
        <v>1334</v>
      </c>
      <c r="B657" s="3" t="s">
        <v>102</v>
      </c>
      <c r="C657" s="3"/>
      <c r="D657" s="3"/>
      <c r="E657" s="3"/>
      <c r="F657" t="s">
        <v>551</v>
      </c>
      <c r="H657" t="s">
        <v>1595</v>
      </c>
      <c r="J657" t="str">
        <f t="shared" si="10"/>
        <v>FORM N-PORT-C.9</v>
      </c>
      <c r="K657" t="s">
        <v>1619</v>
      </c>
      <c r="L657" t="s">
        <v>1502</v>
      </c>
      <c r="M657" t="s">
        <v>1620</v>
      </c>
      <c r="N657" t="s">
        <v>1621</v>
      </c>
      <c r="Q657" s="18" t="s">
        <v>1590</v>
      </c>
    </row>
    <row r="658" spans="1:17" x14ac:dyDescent="0.35">
      <c r="A658" t="s">
        <v>1334</v>
      </c>
      <c r="B658" s="3" t="s">
        <v>102</v>
      </c>
      <c r="C658" s="3"/>
      <c r="D658" s="3"/>
      <c r="E658" s="3"/>
      <c r="F658" t="s">
        <v>551</v>
      </c>
      <c r="H658" t="s">
        <v>1595</v>
      </c>
      <c r="J658" t="str">
        <f t="shared" si="10"/>
        <v>FORM N-PORT-C.9</v>
      </c>
      <c r="K658" t="s">
        <v>1622</v>
      </c>
      <c r="L658" t="s">
        <v>783</v>
      </c>
      <c r="M658" t="s">
        <v>1623</v>
      </c>
      <c r="N658" t="s">
        <v>1624</v>
      </c>
      <c r="Q658" s="18" t="s">
        <v>1590</v>
      </c>
    </row>
    <row r="659" spans="1:17" x14ac:dyDescent="0.35">
      <c r="A659" t="s">
        <v>1334</v>
      </c>
      <c r="B659" s="3" t="s">
        <v>102</v>
      </c>
      <c r="C659" s="3"/>
      <c r="D659" s="3"/>
      <c r="E659" s="3"/>
      <c r="F659" t="s">
        <v>551</v>
      </c>
      <c r="H659" t="s">
        <v>1595</v>
      </c>
      <c r="J659" t="str">
        <f t="shared" si="10"/>
        <v>FORM N-PORT-C.9</v>
      </c>
      <c r="K659" t="s">
        <v>1625</v>
      </c>
      <c r="L659" t="s">
        <v>783</v>
      </c>
      <c r="M659" t="s">
        <v>1626</v>
      </c>
      <c r="N659" t="s">
        <v>1627</v>
      </c>
      <c r="Q659" s="18" t="s">
        <v>1590</v>
      </c>
    </row>
    <row r="660" spans="1:17" x14ac:dyDescent="0.35">
      <c r="A660" t="s">
        <v>1334</v>
      </c>
      <c r="B660" s="3" t="s">
        <v>102</v>
      </c>
      <c r="C660" s="3"/>
      <c r="D660" s="3"/>
      <c r="E660" s="3"/>
      <c r="F660" t="s">
        <v>551</v>
      </c>
      <c r="H660" t="s">
        <v>1628</v>
      </c>
      <c r="J660" t="str">
        <f t="shared" si="10"/>
        <v>FORM N-PORT-C.10</v>
      </c>
      <c r="K660" t="s">
        <v>1629</v>
      </c>
      <c r="L660" t="s">
        <v>1566</v>
      </c>
      <c r="M660" t="s">
        <v>1630</v>
      </c>
      <c r="N660" t="s">
        <v>1631</v>
      </c>
      <c r="Q660" s="18" t="s">
        <v>1590</v>
      </c>
    </row>
    <row r="661" spans="1:17" x14ac:dyDescent="0.35">
      <c r="A661" t="s">
        <v>1334</v>
      </c>
      <c r="B661" s="3" t="s">
        <v>102</v>
      </c>
      <c r="C661" s="3"/>
      <c r="D661" s="3"/>
      <c r="E661" s="3"/>
      <c r="F661" t="s">
        <v>551</v>
      </c>
      <c r="H661" t="s">
        <v>1628</v>
      </c>
      <c r="J661" t="str">
        <f t="shared" si="10"/>
        <v>FORM N-PORT-C.10</v>
      </c>
      <c r="K661" t="s">
        <v>1632</v>
      </c>
      <c r="L661" t="s">
        <v>1502</v>
      </c>
      <c r="M661" t="s">
        <v>1633</v>
      </c>
      <c r="N661" t="s">
        <v>1634</v>
      </c>
      <c r="Q661" s="18" t="s">
        <v>1590</v>
      </c>
    </row>
    <row r="662" spans="1:17" x14ac:dyDescent="0.35">
      <c r="A662" t="s">
        <v>1334</v>
      </c>
      <c r="B662" s="3" t="s">
        <v>102</v>
      </c>
      <c r="C662" s="3"/>
      <c r="D662" s="3"/>
      <c r="E662" s="3"/>
      <c r="F662" t="s">
        <v>551</v>
      </c>
      <c r="H662" t="s">
        <v>1628</v>
      </c>
      <c r="J662" t="str">
        <f t="shared" si="10"/>
        <v>FORM N-PORT-C.10</v>
      </c>
      <c r="K662" t="s">
        <v>1635</v>
      </c>
      <c r="L662" t="s">
        <v>1187</v>
      </c>
      <c r="M662" t="s">
        <v>1636</v>
      </c>
      <c r="N662" t="s">
        <v>1637</v>
      </c>
      <c r="Q662" s="18" t="s">
        <v>1590</v>
      </c>
    </row>
    <row r="663" spans="1:17" x14ac:dyDescent="0.35">
      <c r="A663" t="s">
        <v>1334</v>
      </c>
      <c r="B663" s="3" t="s">
        <v>102</v>
      </c>
      <c r="C663" s="3"/>
      <c r="D663" s="3"/>
      <c r="E663" s="3"/>
      <c r="F663" t="s">
        <v>551</v>
      </c>
      <c r="H663" t="s">
        <v>1628</v>
      </c>
      <c r="J663" t="str">
        <f t="shared" si="10"/>
        <v>FORM N-PORT-C.10</v>
      </c>
      <c r="K663" t="s">
        <v>1638</v>
      </c>
      <c r="L663" t="s">
        <v>1502</v>
      </c>
      <c r="M663" t="s">
        <v>1639</v>
      </c>
      <c r="N663" t="s">
        <v>1640</v>
      </c>
      <c r="Q663" s="18" t="s">
        <v>1590</v>
      </c>
    </row>
    <row r="664" spans="1:17" x14ac:dyDescent="0.35">
      <c r="A664" t="s">
        <v>1334</v>
      </c>
      <c r="B664" s="3" t="s">
        <v>102</v>
      </c>
      <c r="C664" s="3"/>
      <c r="D664" s="3"/>
      <c r="E664" s="3"/>
      <c r="F664" t="s">
        <v>551</v>
      </c>
      <c r="H664" t="s">
        <v>1628</v>
      </c>
      <c r="J664" t="str">
        <f t="shared" si="10"/>
        <v>FORM N-PORT-C.10</v>
      </c>
      <c r="K664" t="s">
        <v>1641</v>
      </c>
      <c r="L664" t="s">
        <v>1187</v>
      </c>
      <c r="M664" t="s">
        <v>1642</v>
      </c>
      <c r="N664" t="s">
        <v>1643</v>
      </c>
      <c r="Q664" s="18" t="s">
        <v>1590</v>
      </c>
    </row>
    <row r="665" spans="1:17" x14ac:dyDescent="0.35">
      <c r="A665" t="s">
        <v>1334</v>
      </c>
      <c r="B665" s="3" t="s">
        <v>102</v>
      </c>
      <c r="C665" s="3"/>
      <c r="D665" s="3"/>
      <c r="E665" s="3"/>
      <c r="F665" t="s">
        <v>551</v>
      </c>
      <c r="H665" t="s">
        <v>1628</v>
      </c>
      <c r="J665" t="str">
        <f t="shared" si="10"/>
        <v>FORM N-PORT-C.10</v>
      </c>
      <c r="K665" t="s">
        <v>1644</v>
      </c>
      <c r="L665" t="s">
        <v>1198</v>
      </c>
      <c r="M665" t="s">
        <v>1645</v>
      </c>
      <c r="N665" t="s">
        <v>1646</v>
      </c>
      <c r="Q665" s="18" t="s">
        <v>1590</v>
      </c>
    </row>
    <row r="666" spans="1:17" x14ac:dyDescent="0.35">
      <c r="A666" t="s">
        <v>1334</v>
      </c>
      <c r="B666" s="3" t="s">
        <v>102</v>
      </c>
      <c r="C666" s="3"/>
      <c r="D666" s="3"/>
      <c r="E666" s="3"/>
      <c r="F666" t="s">
        <v>551</v>
      </c>
      <c r="H666" t="s">
        <v>1628</v>
      </c>
      <c r="J666" t="str">
        <f t="shared" si="10"/>
        <v>FORM N-PORT-C.10</v>
      </c>
      <c r="K666" t="s">
        <v>1647</v>
      </c>
      <c r="L666" t="s">
        <v>1331</v>
      </c>
      <c r="M666" t="s">
        <v>1648</v>
      </c>
      <c r="N666" t="s">
        <v>1649</v>
      </c>
      <c r="Q666" s="18" t="s">
        <v>1590</v>
      </c>
    </row>
    <row r="667" spans="1:17" x14ac:dyDescent="0.35">
      <c r="A667" t="s">
        <v>1334</v>
      </c>
      <c r="B667" s="3" t="s">
        <v>102</v>
      </c>
      <c r="C667" s="3"/>
      <c r="D667" s="3"/>
      <c r="E667" s="3"/>
      <c r="F667" t="s">
        <v>551</v>
      </c>
      <c r="H667" t="s">
        <v>1628</v>
      </c>
      <c r="J667" t="str">
        <f t="shared" si="10"/>
        <v>FORM N-PORT-C.10</v>
      </c>
      <c r="K667" t="s">
        <v>1650</v>
      </c>
      <c r="L667" t="s">
        <v>783</v>
      </c>
      <c r="M667" t="s">
        <v>1651</v>
      </c>
      <c r="N667" t="s">
        <v>1652</v>
      </c>
      <c r="Q667" s="18" t="s">
        <v>1590</v>
      </c>
    </row>
    <row r="668" spans="1:17" x14ac:dyDescent="0.35">
      <c r="A668" t="s">
        <v>1334</v>
      </c>
      <c r="B668" s="3" t="s">
        <v>102</v>
      </c>
      <c r="C668" s="3"/>
      <c r="D668" s="3"/>
      <c r="E668" s="3"/>
      <c r="F668" t="s">
        <v>551</v>
      </c>
      <c r="H668" t="s">
        <v>1628</v>
      </c>
      <c r="J668" t="str">
        <f t="shared" si="10"/>
        <v>FORM N-PORT-C.10</v>
      </c>
      <c r="K668" t="s">
        <v>1653</v>
      </c>
      <c r="L668" t="s">
        <v>783</v>
      </c>
      <c r="M668" t="s">
        <v>1654</v>
      </c>
      <c r="N668" t="s">
        <v>1655</v>
      </c>
      <c r="Q668" s="18" t="s">
        <v>1590</v>
      </c>
    </row>
    <row r="669" spans="1:17" x14ac:dyDescent="0.35">
      <c r="A669" t="s">
        <v>1334</v>
      </c>
      <c r="B669" s="3" t="s">
        <v>102</v>
      </c>
      <c r="C669" s="3"/>
      <c r="D669" s="3"/>
      <c r="E669" s="3"/>
      <c r="F669" t="s">
        <v>551</v>
      </c>
      <c r="H669" t="s">
        <v>1628</v>
      </c>
      <c r="J669" t="str">
        <f t="shared" si="10"/>
        <v>FORM N-PORT-C.10</v>
      </c>
      <c r="K669" t="s">
        <v>1656</v>
      </c>
      <c r="L669" t="s">
        <v>1566</v>
      </c>
      <c r="M669" t="s">
        <v>1657</v>
      </c>
      <c r="N669" t="s">
        <v>1658</v>
      </c>
      <c r="Q669" s="18" t="s">
        <v>1590</v>
      </c>
    </row>
    <row r="670" spans="1:17" x14ac:dyDescent="0.35">
      <c r="A670" t="s">
        <v>1334</v>
      </c>
      <c r="B670" s="3" t="s">
        <v>102</v>
      </c>
      <c r="C670" s="3"/>
      <c r="D670" s="3"/>
      <c r="E670" s="3"/>
      <c r="F670" t="s">
        <v>551</v>
      </c>
      <c r="H670" t="s">
        <v>1659</v>
      </c>
      <c r="J670" t="str">
        <f t="shared" si="10"/>
        <v>FORM N-PORT-C.11</v>
      </c>
      <c r="K670" t="s">
        <v>1660</v>
      </c>
      <c r="L670" t="s">
        <v>1566</v>
      </c>
      <c r="M670" t="s">
        <v>1661</v>
      </c>
      <c r="N670" t="s">
        <v>1662</v>
      </c>
      <c r="Q670" s="18" t="s">
        <v>1590</v>
      </c>
    </row>
    <row r="671" spans="1:17" x14ac:dyDescent="0.35">
      <c r="A671" t="s">
        <v>1334</v>
      </c>
      <c r="B671" s="3" t="s">
        <v>102</v>
      </c>
      <c r="C671" s="3"/>
      <c r="D671" s="3"/>
      <c r="E671" s="3"/>
      <c r="F671" t="s">
        <v>551</v>
      </c>
      <c r="H671" t="s">
        <v>1659</v>
      </c>
      <c r="J671" t="str">
        <f t="shared" si="10"/>
        <v>FORM N-PORT-C.11</v>
      </c>
      <c r="K671" t="s">
        <v>1663</v>
      </c>
      <c r="L671" t="s">
        <v>1502</v>
      </c>
      <c r="M671" t="s">
        <v>1664</v>
      </c>
      <c r="N671" t="s">
        <v>1665</v>
      </c>
      <c r="Q671" s="18" t="s">
        <v>1590</v>
      </c>
    </row>
    <row r="672" spans="1:17" x14ac:dyDescent="0.35">
      <c r="A672" t="s">
        <v>1334</v>
      </c>
      <c r="B672" s="3" t="s">
        <v>102</v>
      </c>
      <c r="C672" s="3"/>
      <c r="D672" s="3"/>
      <c r="E672" s="3"/>
      <c r="F672" t="s">
        <v>551</v>
      </c>
      <c r="H672" t="s">
        <v>1659</v>
      </c>
      <c r="J672" t="str">
        <f t="shared" si="10"/>
        <v>FORM N-PORT-C.11</v>
      </c>
      <c r="K672" t="s">
        <v>1666</v>
      </c>
      <c r="L672" t="s">
        <v>1566</v>
      </c>
      <c r="M672" t="s">
        <v>1667</v>
      </c>
      <c r="N672" t="s">
        <v>1668</v>
      </c>
      <c r="Q672" s="18" t="s">
        <v>1590</v>
      </c>
    </row>
    <row r="673" spans="1:17" x14ac:dyDescent="0.35">
      <c r="A673" t="s">
        <v>1334</v>
      </c>
      <c r="B673" s="3" t="s">
        <v>102</v>
      </c>
      <c r="C673" s="3"/>
      <c r="D673" s="3"/>
      <c r="E673" s="3"/>
      <c r="F673" t="s">
        <v>551</v>
      </c>
      <c r="H673" t="s">
        <v>1659</v>
      </c>
      <c r="J673" t="str">
        <f t="shared" si="10"/>
        <v>FORM N-PORT-C.11</v>
      </c>
      <c r="K673" t="s">
        <v>1669</v>
      </c>
      <c r="L673" t="s">
        <v>1566</v>
      </c>
      <c r="M673" t="s">
        <v>1670</v>
      </c>
      <c r="N673" t="s">
        <v>1671</v>
      </c>
      <c r="Q673" s="18" t="s">
        <v>1590</v>
      </c>
    </row>
    <row r="674" spans="1:17" x14ac:dyDescent="0.35">
      <c r="A674" t="s">
        <v>1334</v>
      </c>
      <c r="B674" s="3" t="s">
        <v>102</v>
      </c>
      <c r="C674" s="3"/>
      <c r="D674" s="3"/>
      <c r="E674" s="3"/>
      <c r="F674" t="s">
        <v>551</v>
      </c>
      <c r="H674" t="s">
        <v>1659</v>
      </c>
      <c r="J674" t="str">
        <f t="shared" si="10"/>
        <v>FORM N-PORT-C.11</v>
      </c>
      <c r="K674" t="s">
        <v>1672</v>
      </c>
      <c r="L674" t="s">
        <v>1502</v>
      </c>
      <c r="M674" t="s">
        <v>1673</v>
      </c>
      <c r="N674" t="s">
        <v>1674</v>
      </c>
      <c r="Q674" s="18" t="s">
        <v>1590</v>
      </c>
    </row>
    <row r="675" spans="1:17" x14ac:dyDescent="0.35">
      <c r="A675" t="s">
        <v>1334</v>
      </c>
      <c r="B675" s="3" t="s">
        <v>102</v>
      </c>
      <c r="C675" s="3"/>
      <c r="D675" s="3"/>
      <c r="E675" s="3"/>
      <c r="F675" t="s">
        <v>551</v>
      </c>
      <c r="H675" t="s">
        <v>1659</v>
      </c>
      <c r="J675" t="str">
        <f t="shared" si="10"/>
        <v>FORM N-PORT-C.11</v>
      </c>
      <c r="K675" t="s">
        <v>1675</v>
      </c>
      <c r="L675" t="s">
        <v>783</v>
      </c>
      <c r="M675" t="s">
        <v>1676</v>
      </c>
      <c r="N675" t="s">
        <v>1677</v>
      </c>
      <c r="Q675" s="18" t="s">
        <v>1590</v>
      </c>
    </row>
    <row r="676" spans="1:17" x14ac:dyDescent="0.35">
      <c r="A676" t="s">
        <v>1334</v>
      </c>
      <c r="B676" s="3" t="s">
        <v>102</v>
      </c>
      <c r="C676" s="3"/>
      <c r="D676" s="3"/>
      <c r="E676" s="3"/>
      <c r="F676" t="s">
        <v>551</v>
      </c>
      <c r="H676" t="s">
        <v>1659</v>
      </c>
      <c r="J676" t="str">
        <f t="shared" si="10"/>
        <v>FORM N-PORT-C.11</v>
      </c>
      <c r="K676" t="s">
        <v>1678</v>
      </c>
      <c r="L676" t="s">
        <v>783</v>
      </c>
      <c r="M676" t="s">
        <v>1679</v>
      </c>
      <c r="N676" t="s">
        <v>1680</v>
      </c>
      <c r="Q676" s="18" t="s">
        <v>1590</v>
      </c>
    </row>
    <row r="677" spans="1:17" x14ac:dyDescent="0.35">
      <c r="A677" t="s">
        <v>1334</v>
      </c>
      <c r="B677" s="3" t="s">
        <v>102</v>
      </c>
      <c r="C677" s="3"/>
      <c r="D677" s="3"/>
      <c r="E677" s="3"/>
      <c r="F677" t="s">
        <v>551</v>
      </c>
      <c r="H677" t="s">
        <v>1659</v>
      </c>
      <c r="J677" t="str">
        <f t="shared" si="10"/>
        <v>FORM N-PORT-C.11</v>
      </c>
      <c r="K677" t="s">
        <v>1681</v>
      </c>
      <c r="L677" t="s">
        <v>1331</v>
      </c>
      <c r="M677" t="s">
        <v>1682</v>
      </c>
      <c r="N677" t="s">
        <v>1683</v>
      </c>
      <c r="Q677" s="18" t="s">
        <v>1590</v>
      </c>
    </row>
    <row r="678" spans="1:17" x14ac:dyDescent="0.35">
      <c r="A678" t="s">
        <v>1334</v>
      </c>
      <c r="B678" s="3" t="s">
        <v>102</v>
      </c>
      <c r="C678" s="3"/>
      <c r="D678" s="3"/>
      <c r="E678" s="3"/>
      <c r="F678" t="s">
        <v>551</v>
      </c>
      <c r="H678" t="s">
        <v>1659</v>
      </c>
      <c r="J678" t="str">
        <f t="shared" si="10"/>
        <v>FORM N-PORT-C.11</v>
      </c>
      <c r="K678" t="s">
        <v>1684</v>
      </c>
      <c r="L678" t="s">
        <v>783</v>
      </c>
      <c r="M678" t="s">
        <v>1685</v>
      </c>
      <c r="N678" t="s">
        <v>1686</v>
      </c>
      <c r="Q678" s="18" t="s">
        <v>1590</v>
      </c>
    </row>
    <row r="679" spans="1:17" x14ac:dyDescent="0.35">
      <c r="A679" t="s">
        <v>1334</v>
      </c>
      <c r="B679" s="3" t="s">
        <v>102</v>
      </c>
      <c r="C679" s="3"/>
      <c r="D679" s="3"/>
      <c r="E679" s="3"/>
      <c r="F679" t="s">
        <v>551</v>
      </c>
      <c r="H679" t="s">
        <v>1659</v>
      </c>
      <c r="J679" t="str">
        <f t="shared" si="10"/>
        <v>FORM N-PORT-C.11</v>
      </c>
      <c r="K679" t="s">
        <v>1687</v>
      </c>
      <c r="L679" t="s">
        <v>783</v>
      </c>
      <c r="M679" t="s">
        <v>1688</v>
      </c>
      <c r="N679" t="s">
        <v>1689</v>
      </c>
      <c r="Q679" s="18" t="s">
        <v>1590</v>
      </c>
    </row>
    <row r="680" spans="1:17" x14ac:dyDescent="0.35">
      <c r="A680" t="s">
        <v>1334</v>
      </c>
      <c r="B680" s="3" t="s">
        <v>102</v>
      </c>
      <c r="C680" s="3"/>
      <c r="D680" s="3"/>
      <c r="E680" s="3"/>
      <c r="F680" t="s">
        <v>551</v>
      </c>
      <c r="H680" t="s">
        <v>1659</v>
      </c>
      <c r="J680" t="str">
        <f t="shared" si="10"/>
        <v>FORM N-PORT-C.11</v>
      </c>
      <c r="K680" t="s">
        <v>1690</v>
      </c>
      <c r="L680" t="s">
        <v>1566</v>
      </c>
      <c r="M680" t="s">
        <v>1691</v>
      </c>
      <c r="N680" t="s">
        <v>1692</v>
      </c>
      <c r="Q680" s="18" t="s">
        <v>1590</v>
      </c>
    </row>
    <row r="681" spans="1:17" x14ac:dyDescent="0.35">
      <c r="A681" t="s">
        <v>1334</v>
      </c>
      <c r="B681" s="3" t="s">
        <v>102</v>
      </c>
      <c r="C681" s="3"/>
      <c r="D681" s="3"/>
      <c r="E681" s="3"/>
      <c r="F681" t="s">
        <v>551</v>
      </c>
      <c r="H681" t="s">
        <v>1659</v>
      </c>
      <c r="J681" t="str">
        <f t="shared" si="10"/>
        <v>FORM N-PORT-C.11</v>
      </c>
      <c r="K681" t="s">
        <v>1693</v>
      </c>
      <c r="L681" t="s">
        <v>1502</v>
      </c>
      <c r="M681" t="s">
        <v>1694</v>
      </c>
      <c r="N681" t="s">
        <v>1695</v>
      </c>
      <c r="Q681" s="18" t="s">
        <v>1590</v>
      </c>
    </row>
    <row r="682" spans="1:17" x14ac:dyDescent="0.35">
      <c r="A682" t="s">
        <v>1334</v>
      </c>
      <c r="B682" s="3" t="s">
        <v>102</v>
      </c>
      <c r="C682" s="3"/>
      <c r="D682" s="3"/>
      <c r="E682" s="3"/>
      <c r="F682" t="s">
        <v>551</v>
      </c>
      <c r="H682" t="s">
        <v>1659</v>
      </c>
      <c r="J682" t="str">
        <f t="shared" si="10"/>
        <v>FORM N-PORT-C.11</v>
      </c>
      <c r="K682" t="s">
        <v>1696</v>
      </c>
      <c r="L682" t="s">
        <v>1331</v>
      </c>
      <c r="M682" t="s">
        <v>1697</v>
      </c>
      <c r="N682" t="s">
        <v>1698</v>
      </c>
      <c r="Q682" s="18" t="s">
        <v>1590</v>
      </c>
    </row>
    <row r="683" spans="1:17" x14ac:dyDescent="0.35">
      <c r="A683" t="s">
        <v>1334</v>
      </c>
      <c r="B683" s="3" t="s">
        <v>102</v>
      </c>
      <c r="C683" s="3"/>
      <c r="D683" s="3"/>
      <c r="E683" s="3"/>
      <c r="F683" t="s">
        <v>551</v>
      </c>
      <c r="H683" t="s">
        <v>1659</v>
      </c>
      <c r="J683" t="str">
        <f t="shared" si="10"/>
        <v>FORM N-PORT-C.11</v>
      </c>
      <c r="K683" t="s">
        <v>1699</v>
      </c>
      <c r="L683" t="s">
        <v>783</v>
      </c>
      <c r="M683" t="s">
        <v>1700</v>
      </c>
      <c r="N683" t="s">
        <v>1701</v>
      </c>
      <c r="Q683" s="18" t="s">
        <v>1590</v>
      </c>
    </row>
    <row r="684" spans="1:17" x14ac:dyDescent="0.35">
      <c r="A684" t="s">
        <v>1334</v>
      </c>
      <c r="B684" s="3" t="s">
        <v>102</v>
      </c>
      <c r="C684" s="3"/>
      <c r="D684" s="3"/>
      <c r="E684" s="3"/>
      <c r="F684" t="s">
        <v>551</v>
      </c>
      <c r="H684" t="s">
        <v>1659</v>
      </c>
      <c r="J684" t="str">
        <f t="shared" si="10"/>
        <v>FORM N-PORT-C.11</v>
      </c>
      <c r="K684" t="s">
        <v>1702</v>
      </c>
      <c r="L684" t="s">
        <v>783</v>
      </c>
      <c r="M684" t="s">
        <v>1688</v>
      </c>
      <c r="N684" t="s">
        <v>1703</v>
      </c>
      <c r="Q684" s="18" t="s">
        <v>1590</v>
      </c>
    </row>
    <row r="685" spans="1:17" x14ac:dyDescent="0.35">
      <c r="A685" t="s">
        <v>1334</v>
      </c>
      <c r="B685" s="3" t="s">
        <v>102</v>
      </c>
      <c r="C685" s="3"/>
      <c r="D685" s="3"/>
      <c r="E685" s="3"/>
      <c r="F685" t="s">
        <v>551</v>
      </c>
      <c r="H685" t="s">
        <v>1659</v>
      </c>
      <c r="J685" t="str">
        <f t="shared" si="10"/>
        <v>FORM N-PORT-C.11</v>
      </c>
      <c r="K685" t="s">
        <v>1704</v>
      </c>
      <c r="L685" t="s">
        <v>229</v>
      </c>
      <c r="M685" t="s">
        <v>1705</v>
      </c>
      <c r="N685" t="s">
        <v>1706</v>
      </c>
      <c r="Q685" s="18" t="s">
        <v>1590</v>
      </c>
    </row>
    <row r="686" spans="1:17" x14ac:dyDescent="0.35">
      <c r="A686" t="s">
        <v>1334</v>
      </c>
      <c r="B686" s="3" t="s">
        <v>102</v>
      </c>
      <c r="C686" s="3"/>
      <c r="D686" s="3"/>
      <c r="E686" s="3"/>
      <c r="F686" t="s">
        <v>551</v>
      </c>
      <c r="H686" t="s">
        <v>1659</v>
      </c>
      <c r="J686" t="str">
        <f t="shared" si="10"/>
        <v>FORM N-PORT-C.11</v>
      </c>
      <c r="K686" t="s">
        <v>1707</v>
      </c>
      <c r="L686" t="s">
        <v>229</v>
      </c>
      <c r="M686" t="s">
        <v>1708</v>
      </c>
      <c r="N686" t="s">
        <v>1709</v>
      </c>
      <c r="Q686" s="18" t="s">
        <v>1590</v>
      </c>
    </row>
    <row r="687" spans="1:17" x14ac:dyDescent="0.35">
      <c r="A687" t="s">
        <v>1334</v>
      </c>
      <c r="B687" s="3" t="s">
        <v>102</v>
      </c>
      <c r="C687" s="3"/>
      <c r="D687" s="3"/>
      <c r="E687" s="3"/>
      <c r="F687" t="s">
        <v>551</v>
      </c>
      <c r="H687" t="s">
        <v>1659</v>
      </c>
      <c r="J687" t="str">
        <f t="shared" si="10"/>
        <v>FORM N-PORT-C.11</v>
      </c>
      <c r="K687" t="s">
        <v>1710</v>
      </c>
      <c r="L687" t="s">
        <v>1331</v>
      </c>
      <c r="M687" t="s">
        <v>1711</v>
      </c>
      <c r="N687" t="s">
        <v>1712</v>
      </c>
      <c r="Q687" s="18" t="s">
        <v>1590</v>
      </c>
    </row>
    <row r="688" spans="1:17" x14ac:dyDescent="0.35">
      <c r="A688" t="s">
        <v>1334</v>
      </c>
      <c r="B688" s="3" t="s">
        <v>102</v>
      </c>
      <c r="C688" s="3"/>
      <c r="D688" s="3"/>
      <c r="E688" s="3"/>
      <c r="F688" t="s">
        <v>551</v>
      </c>
      <c r="H688" t="s">
        <v>1659</v>
      </c>
      <c r="J688" t="str">
        <f t="shared" si="10"/>
        <v>FORM N-PORT-C.11</v>
      </c>
      <c r="K688" t="s">
        <v>1713</v>
      </c>
      <c r="L688" t="s">
        <v>783</v>
      </c>
      <c r="M688" t="s">
        <v>1688</v>
      </c>
      <c r="N688" t="s">
        <v>1714</v>
      </c>
      <c r="Q688" s="18" t="s">
        <v>1590</v>
      </c>
    </row>
    <row r="689" spans="1:17" x14ac:dyDescent="0.35">
      <c r="A689" t="s">
        <v>1334</v>
      </c>
      <c r="B689" s="3" t="s">
        <v>102</v>
      </c>
      <c r="C689" s="3"/>
      <c r="D689" s="3"/>
      <c r="E689" s="3"/>
      <c r="F689" t="s">
        <v>551</v>
      </c>
      <c r="H689" t="s">
        <v>1659</v>
      </c>
      <c r="J689" t="str">
        <f t="shared" si="10"/>
        <v>FORM N-PORT-C.11</v>
      </c>
      <c r="K689" t="s">
        <v>1715</v>
      </c>
      <c r="L689" t="s">
        <v>229</v>
      </c>
      <c r="M689" t="s">
        <v>1716</v>
      </c>
      <c r="N689" t="s">
        <v>1717</v>
      </c>
      <c r="Q689" s="18" t="s">
        <v>1590</v>
      </c>
    </row>
    <row r="690" spans="1:17" x14ac:dyDescent="0.35">
      <c r="A690" t="s">
        <v>1334</v>
      </c>
      <c r="B690" s="3" t="s">
        <v>102</v>
      </c>
      <c r="C690" s="3"/>
      <c r="D690" s="3"/>
      <c r="E690" s="3"/>
      <c r="F690" t="s">
        <v>551</v>
      </c>
      <c r="H690" t="s">
        <v>1659</v>
      </c>
      <c r="J690" t="str">
        <f t="shared" si="10"/>
        <v>FORM N-PORT-C.11</v>
      </c>
      <c r="K690" t="s">
        <v>1718</v>
      </c>
      <c r="L690" t="s">
        <v>1331</v>
      </c>
      <c r="M690" t="s">
        <v>1719</v>
      </c>
      <c r="N690" t="s">
        <v>1720</v>
      </c>
      <c r="Q690" s="18" t="s">
        <v>1590</v>
      </c>
    </row>
    <row r="691" spans="1:17" x14ac:dyDescent="0.35">
      <c r="A691" t="s">
        <v>1334</v>
      </c>
      <c r="B691" s="3" t="s">
        <v>102</v>
      </c>
      <c r="C691" s="3"/>
      <c r="D691" s="3"/>
      <c r="E691" s="3"/>
      <c r="F691" t="s">
        <v>551</v>
      </c>
      <c r="H691" t="s">
        <v>1659</v>
      </c>
      <c r="J691" t="str">
        <f t="shared" si="10"/>
        <v>FORM N-PORT-C.11</v>
      </c>
      <c r="K691" t="s">
        <v>1721</v>
      </c>
      <c r="L691" t="s">
        <v>783</v>
      </c>
      <c r="M691" t="s">
        <v>1722</v>
      </c>
      <c r="N691" t="s">
        <v>1723</v>
      </c>
      <c r="Q691" s="18" t="s">
        <v>1590</v>
      </c>
    </row>
    <row r="692" spans="1:17" x14ac:dyDescent="0.35">
      <c r="A692" t="s">
        <v>1334</v>
      </c>
      <c r="B692" s="3" t="s">
        <v>102</v>
      </c>
      <c r="C692" s="3"/>
      <c r="D692" s="3"/>
      <c r="E692" s="3"/>
      <c r="F692" t="s">
        <v>551</v>
      </c>
      <c r="H692" t="s">
        <v>1659</v>
      </c>
      <c r="J692" t="str">
        <f t="shared" si="10"/>
        <v>FORM N-PORT-C.11</v>
      </c>
      <c r="K692" t="s">
        <v>1724</v>
      </c>
      <c r="L692" t="s">
        <v>783</v>
      </c>
      <c r="M692" t="s">
        <v>1725</v>
      </c>
      <c r="N692" t="s">
        <v>1726</v>
      </c>
      <c r="Q692" s="18" t="s">
        <v>1590</v>
      </c>
    </row>
    <row r="693" spans="1:17" x14ac:dyDescent="0.35">
      <c r="A693" t="s">
        <v>1334</v>
      </c>
      <c r="B693" s="3" t="s">
        <v>102</v>
      </c>
      <c r="C693" s="3"/>
      <c r="D693" s="3"/>
      <c r="E693" s="3"/>
      <c r="F693" t="s">
        <v>551</v>
      </c>
      <c r="H693" t="s">
        <v>1659</v>
      </c>
      <c r="J693" t="str">
        <f t="shared" si="10"/>
        <v>FORM N-PORT-C.11</v>
      </c>
      <c r="K693" t="s">
        <v>1727</v>
      </c>
      <c r="L693" t="s">
        <v>783</v>
      </c>
      <c r="M693" t="s">
        <v>1688</v>
      </c>
      <c r="N693" t="s">
        <v>1728</v>
      </c>
      <c r="Q693" s="18" t="s">
        <v>1590</v>
      </c>
    </row>
    <row r="694" spans="1:17" x14ac:dyDescent="0.35">
      <c r="A694" t="s">
        <v>1334</v>
      </c>
      <c r="B694" s="3" t="s">
        <v>102</v>
      </c>
      <c r="C694" s="3"/>
      <c r="D694" s="3"/>
      <c r="E694" s="3"/>
      <c r="F694" t="s">
        <v>551</v>
      </c>
      <c r="H694" t="s">
        <v>1729</v>
      </c>
      <c r="J694" t="str">
        <f t="shared" si="10"/>
        <v>FORM N-PORT-C.12</v>
      </c>
      <c r="K694" t="s">
        <v>1730</v>
      </c>
      <c r="L694" t="s">
        <v>1187</v>
      </c>
      <c r="M694" t="s">
        <v>1731</v>
      </c>
      <c r="N694" t="s">
        <v>1732</v>
      </c>
      <c r="Q694" s="18" t="s">
        <v>1341</v>
      </c>
    </row>
    <row r="695" spans="1:17" x14ac:dyDescent="0.35">
      <c r="A695" t="s">
        <v>1334</v>
      </c>
      <c r="B695" s="3" t="s">
        <v>102</v>
      </c>
      <c r="C695" s="3"/>
      <c r="D695" s="3"/>
      <c r="E695" s="3"/>
      <c r="F695" t="s">
        <v>551</v>
      </c>
      <c r="H695" t="s">
        <v>1729</v>
      </c>
      <c r="J695" t="str">
        <f t="shared" si="10"/>
        <v>FORM N-PORT-C.12</v>
      </c>
      <c r="K695" t="s">
        <v>1733</v>
      </c>
      <c r="L695" t="s">
        <v>783</v>
      </c>
      <c r="M695" t="s">
        <v>1734</v>
      </c>
      <c r="N695" t="s">
        <v>1735</v>
      </c>
      <c r="Q695" s="18" t="s">
        <v>1590</v>
      </c>
    </row>
    <row r="696" spans="1:17" x14ac:dyDescent="0.35">
      <c r="A696" t="s">
        <v>1334</v>
      </c>
      <c r="B696" s="3" t="s">
        <v>102</v>
      </c>
      <c r="C696" s="3"/>
      <c r="D696" s="3"/>
      <c r="E696" s="3"/>
      <c r="F696" t="s">
        <v>551</v>
      </c>
      <c r="H696" t="s">
        <v>1729</v>
      </c>
      <c r="J696" t="str">
        <f t="shared" si="10"/>
        <v>FORM N-PORT-C.12</v>
      </c>
      <c r="K696" t="s">
        <v>1736</v>
      </c>
      <c r="L696" t="s">
        <v>1187</v>
      </c>
      <c r="M696" t="s">
        <v>1737</v>
      </c>
      <c r="N696" t="s">
        <v>1738</v>
      </c>
      <c r="Q696" s="18" t="s">
        <v>1341</v>
      </c>
    </row>
    <row r="697" spans="1:17" x14ac:dyDescent="0.35">
      <c r="A697" t="s">
        <v>1334</v>
      </c>
      <c r="B697" s="3" t="s">
        <v>102</v>
      </c>
      <c r="C697" s="3"/>
      <c r="D697" s="3"/>
      <c r="E697" s="3"/>
      <c r="F697" t="s">
        <v>551</v>
      </c>
      <c r="H697" t="s">
        <v>1729</v>
      </c>
      <c r="J697" t="str">
        <f t="shared" si="10"/>
        <v>FORM N-PORT-C.12</v>
      </c>
      <c r="K697" t="s">
        <v>1739</v>
      </c>
      <c r="L697" t="s">
        <v>783</v>
      </c>
      <c r="M697" t="s">
        <v>1740</v>
      </c>
      <c r="N697" t="s">
        <v>1741</v>
      </c>
      <c r="Q697" s="18" t="s">
        <v>1590</v>
      </c>
    </row>
    <row r="698" spans="1:17" x14ac:dyDescent="0.35">
      <c r="A698" t="s">
        <v>1334</v>
      </c>
      <c r="B698" s="3" t="s">
        <v>102</v>
      </c>
      <c r="C698" s="3"/>
      <c r="D698" s="3"/>
      <c r="E698" s="3"/>
      <c r="F698" t="s">
        <v>551</v>
      </c>
      <c r="H698" t="s">
        <v>1729</v>
      </c>
      <c r="J698" t="str">
        <f t="shared" si="10"/>
        <v>FORM N-PORT-C.12</v>
      </c>
      <c r="K698" t="s">
        <v>1742</v>
      </c>
      <c r="L698" t="s">
        <v>1187</v>
      </c>
      <c r="M698" t="s">
        <v>1743</v>
      </c>
      <c r="N698" t="s">
        <v>1744</v>
      </c>
      <c r="Q698" s="18" t="s">
        <v>1341</v>
      </c>
    </row>
    <row r="699" spans="1:17" x14ac:dyDescent="0.35">
      <c r="A699" t="s">
        <v>1334</v>
      </c>
      <c r="B699" s="3" t="s">
        <v>102</v>
      </c>
      <c r="C699" s="3"/>
      <c r="D699" s="3"/>
      <c r="E699" s="3"/>
      <c r="F699" t="s">
        <v>551</v>
      </c>
      <c r="H699" t="s">
        <v>1729</v>
      </c>
      <c r="J699" t="str">
        <f t="shared" si="10"/>
        <v>FORM N-PORT-C.12</v>
      </c>
      <c r="K699" t="s">
        <v>1745</v>
      </c>
      <c r="L699" t="s">
        <v>783</v>
      </c>
      <c r="M699" t="s">
        <v>1746</v>
      </c>
      <c r="N699" t="s">
        <v>1747</v>
      </c>
      <c r="Q699" s="18" t="s">
        <v>1590</v>
      </c>
    </row>
    <row r="700" spans="1:17" x14ac:dyDescent="0.35">
      <c r="A700" t="s">
        <v>1334</v>
      </c>
      <c r="B700" s="3" t="s">
        <v>102</v>
      </c>
      <c r="C700" s="3"/>
      <c r="D700" s="3"/>
      <c r="E700" s="3"/>
      <c r="F700" t="s">
        <v>551</v>
      </c>
      <c r="H700" t="s">
        <v>593</v>
      </c>
      <c r="J700" t="str">
        <f t="shared" si="10"/>
        <v>FORM N-PORT-C.1</v>
      </c>
      <c r="K700" t="s">
        <v>1522</v>
      </c>
      <c r="L700" t="s">
        <v>229</v>
      </c>
      <c r="M700" t="s">
        <v>1523</v>
      </c>
      <c r="N700" t="s">
        <v>1524</v>
      </c>
      <c r="Q700" s="18" t="s">
        <v>9182</v>
      </c>
    </row>
    <row r="701" spans="1:17" x14ac:dyDescent="0.35">
      <c r="A701" t="s">
        <v>1334</v>
      </c>
      <c r="B701" s="3" t="s">
        <v>102</v>
      </c>
      <c r="C701" s="3"/>
      <c r="D701" s="3"/>
      <c r="E701" s="3"/>
      <c r="F701" t="s">
        <v>551</v>
      </c>
      <c r="H701" t="s">
        <v>593</v>
      </c>
      <c r="J701" t="str">
        <f t="shared" si="10"/>
        <v>FORM N-PORT-C.1</v>
      </c>
      <c r="K701" t="s">
        <v>1526</v>
      </c>
      <c r="L701" t="s">
        <v>1313</v>
      </c>
      <c r="M701" t="s">
        <v>1527</v>
      </c>
      <c r="N701" t="s">
        <v>1528</v>
      </c>
      <c r="Q701" s="18" t="s">
        <v>9183</v>
      </c>
    </row>
    <row r="702" spans="1:17" x14ac:dyDescent="0.35">
      <c r="A702" t="s">
        <v>1334</v>
      </c>
      <c r="B702" s="3" t="s">
        <v>102</v>
      </c>
      <c r="C702" s="3"/>
      <c r="D702" s="3"/>
      <c r="E702" s="3"/>
      <c r="F702" t="s">
        <v>551</v>
      </c>
      <c r="H702" t="s">
        <v>593</v>
      </c>
      <c r="J702" t="str">
        <f t="shared" si="10"/>
        <v>FORM N-PORT-C.1</v>
      </c>
      <c r="K702" t="s">
        <v>1530</v>
      </c>
      <c r="L702" t="s">
        <v>229</v>
      </c>
      <c r="M702" t="s">
        <v>1531</v>
      </c>
      <c r="N702" t="s">
        <v>1532</v>
      </c>
      <c r="Q702" s="18" t="s">
        <v>9184</v>
      </c>
    </row>
    <row r="703" spans="1:17" x14ac:dyDescent="0.35">
      <c r="A703" t="s">
        <v>1334</v>
      </c>
      <c r="B703" s="3" t="s">
        <v>102</v>
      </c>
      <c r="C703" s="3"/>
      <c r="D703" s="3"/>
      <c r="E703" s="3"/>
      <c r="F703" t="s">
        <v>551</v>
      </c>
      <c r="H703" t="s">
        <v>593</v>
      </c>
      <c r="J703" t="str">
        <f t="shared" si="10"/>
        <v>FORM N-PORT-C.1</v>
      </c>
      <c r="K703" t="s">
        <v>1534</v>
      </c>
      <c r="L703" t="s">
        <v>1313</v>
      </c>
      <c r="M703" t="s">
        <v>1535</v>
      </c>
      <c r="N703" t="s">
        <v>1536</v>
      </c>
      <c r="Q703" s="18" t="s">
        <v>9185</v>
      </c>
    </row>
    <row r="704" spans="1:17" x14ac:dyDescent="0.35">
      <c r="A704" t="s">
        <v>1334</v>
      </c>
      <c r="B704" s="3" t="s">
        <v>102</v>
      </c>
      <c r="C704" s="3"/>
      <c r="D704" s="3"/>
      <c r="E704" s="3"/>
      <c r="F704" t="s">
        <v>551</v>
      </c>
      <c r="H704" t="s">
        <v>593</v>
      </c>
      <c r="J704" t="str">
        <f t="shared" si="10"/>
        <v>FORM N-PORT-C.1</v>
      </c>
      <c r="K704" t="s">
        <v>1538</v>
      </c>
      <c r="L704" t="s">
        <v>1313</v>
      </c>
      <c r="M704" t="s">
        <v>1539</v>
      </c>
      <c r="N704" t="s">
        <v>1540</v>
      </c>
      <c r="Q704" s="18" t="s">
        <v>9186</v>
      </c>
    </row>
    <row r="705" spans="1:17" x14ac:dyDescent="0.35">
      <c r="A705" t="s">
        <v>1334</v>
      </c>
      <c r="B705" s="3" t="s">
        <v>102</v>
      </c>
      <c r="C705" s="3"/>
      <c r="D705" s="3"/>
      <c r="E705" s="3"/>
      <c r="F705" t="s">
        <v>551</v>
      </c>
      <c r="H705" t="s">
        <v>1542</v>
      </c>
      <c r="J705" t="str">
        <f t="shared" si="10"/>
        <v>FORM N-PORT-C.2</v>
      </c>
      <c r="K705" t="s">
        <v>1543</v>
      </c>
      <c r="L705" t="s">
        <v>783</v>
      </c>
      <c r="M705" t="s">
        <v>1544</v>
      </c>
      <c r="N705" t="s">
        <v>1545</v>
      </c>
      <c r="Q705" s="18">
        <v>22817000</v>
      </c>
    </row>
    <row r="706" spans="1:17" x14ac:dyDescent="0.35">
      <c r="A706" t="s">
        <v>1334</v>
      </c>
      <c r="B706" s="3" t="s">
        <v>102</v>
      </c>
      <c r="C706" s="3"/>
      <c r="D706" s="3"/>
      <c r="E706" s="3"/>
      <c r="F706" t="s">
        <v>551</v>
      </c>
      <c r="H706" t="s">
        <v>1542</v>
      </c>
      <c r="J706" t="str">
        <f t="shared" si="10"/>
        <v>FORM N-PORT-C.2</v>
      </c>
      <c r="K706" t="s">
        <v>1546</v>
      </c>
      <c r="L706" t="s">
        <v>1502</v>
      </c>
      <c r="M706" t="s">
        <v>1547</v>
      </c>
      <c r="N706" t="s">
        <v>1548</v>
      </c>
      <c r="Q706" s="18" t="s">
        <v>1549</v>
      </c>
    </row>
    <row r="707" spans="1:17" x14ac:dyDescent="0.35">
      <c r="A707" t="s">
        <v>1334</v>
      </c>
      <c r="B707" s="3" t="s">
        <v>102</v>
      </c>
      <c r="C707" s="3"/>
      <c r="D707" s="3"/>
      <c r="E707" s="3"/>
      <c r="F707" t="s">
        <v>551</v>
      </c>
      <c r="H707" t="s">
        <v>1542</v>
      </c>
      <c r="J707" t="str">
        <f t="shared" ref="J707:J770" si="11">_xlfn.CONCAT(A707,"-",H707)</f>
        <v>FORM N-PORT-C.2</v>
      </c>
      <c r="K707" t="s">
        <v>1550</v>
      </c>
      <c r="L707" t="s">
        <v>783</v>
      </c>
      <c r="M707" t="s">
        <v>1551</v>
      </c>
      <c r="N707" t="s">
        <v>1552</v>
      </c>
      <c r="Q707" s="18">
        <v>22969257.84</v>
      </c>
    </row>
    <row r="708" spans="1:17" x14ac:dyDescent="0.35">
      <c r="A708" t="s">
        <v>1334</v>
      </c>
      <c r="B708" s="3" t="s">
        <v>102</v>
      </c>
      <c r="C708" s="3"/>
      <c r="D708" s="3"/>
      <c r="E708" s="3"/>
      <c r="F708" t="s">
        <v>551</v>
      </c>
      <c r="H708" t="s">
        <v>1542</v>
      </c>
      <c r="J708" t="str">
        <f t="shared" si="11"/>
        <v>FORM N-PORT-C.2</v>
      </c>
      <c r="K708" t="s">
        <v>1553</v>
      </c>
      <c r="L708" t="s">
        <v>1198</v>
      </c>
      <c r="M708" t="s">
        <v>1554</v>
      </c>
      <c r="N708" t="s">
        <v>1555</v>
      </c>
      <c r="Q708" s="18">
        <v>9.8353634999999995E-3</v>
      </c>
    </row>
    <row r="709" spans="1:17" x14ac:dyDescent="0.35">
      <c r="A709" t="s">
        <v>1334</v>
      </c>
      <c r="B709" s="3" t="s">
        <v>102</v>
      </c>
      <c r="C709" s="3"/>
      <c r="D709" s="3"/>
      <c r="E709" s="3"/>
      <c r="F709" t="s">
        <v>551</v>
      </c>
      <c r="H709" t="s">
        <v>1542</v>
      </c>
      <c r="J709" t="str">
        <f t="shared" si="11"/>
        <v>FORM N-PORT-C.2</v>
      </c>
      <c r="K709" t="s">
        <v>1556</v>
      </c>
      <c r="L709" t="s">
        <v>1187</v>
      </c>
      <c r="M709" t="s">
        <v>1557</v>
      </c>
      <c r="N709" t="s">
        <v>1558</v>
      </c>
      <c r="Q709" s="18" t="s">
        <v>1590</v>
      </c>
    </row>
    <row r="710" spans="1:17" x14ac:dyDescent="0.35">
      <c r="A710" t="s">
        <v>1334</v>
      </c>
      <c r="B710" s="3" t="s">
        <v>102</v>
      </c>
      <c r="C710" s="3"/>
      <c r="D710" s="3"/>
      <c r="E710" s="3"/>
      <c r="F710" t="s">
        <v>551</v>
      </c>
      <c r="H710" t="s">
        <v>1559</v>
      </c>
      <c r="J710" t="str">
        <f t="shared" si="11"/>
        <v>FORM N-PORT-C.3</v>
      </c>
      <c r="K710" t="s">
        <v>1560</v>
      </c>
      <c r="L710" t="s">
        <v>229</v>
      </c>
      <c r="M710" t="s">
        <v>1561</v>
      </c>
      <c r="N710" t="s">
        <v>1562</v>
      </c>
      <c r="Q710" s="18" t="s">
        <v>1563</v>
      </c>
    </row>
    <row r="711" spans="1:17" x14ac:dyDescent="0.35">
      <c r="A711" t="s">
        <v>1334</v>
      </c>
      <c r="B711" s="3" t="s">
        <v>102</v>
      </c>
      <c r="C711" s="3"/>
      <c r="D711" s="3"/>
      <c r="E711" s="3"/>
      <c r="F711" t="s">
        <v>551</v>
      </c>
      <c r="H711" t="s">
        <v>1564</v>
      </c>
      <c r="J711" t="str">
        <f t="shared" si="11"/>
        <v>FORM N-PORT-C.4</v>
      </c>
      <c r="K711" t="s">
        <v>1565</v>
      </c>
      <c r="L711" t="s">
        <v>1566</v>
      </c>
      <c r="M711" t="s">
        <v>1567</v>
      </c>
      <c r="N711" t="s">
        <v>1568</v>
      </c>
      <c r="Q711" s="18" t="s">
        <v>1569</v>
      </c>
    </row>
    <row r="712" spans="1:17" x14ac:dyDescent="0.35">
      <c r="A712" t="s">
        <v>1334</v>
      </c>
      <c r="B712" s="3" t="s">
        <v>102</v>
      </c>
      <c r="C712" s="3"/>
      <c r="D712" s="3"/>
      <c r="E712" s="3"/>
      <c r="F712" t="s">
        <v>551</v>
      </c>
      <c r="H712" t="s">
        <v>1564</v>
      </c>
      <c r="J712" t="str">
        <f t="shared" si="11"/>
        <v>FORM N-PORT-C.4</v>
      </c>
      <c r="K712" t="s">
        <v>1570</v>
      </c>
      <c r="L712" t="s">
        <v>1566</v>
      </c>
      <c r="M712" t="s">
        <v>1571</v>
      </c>
      <c r="N712" t="s">
        <v>1572</v>
      </c>
      <c r="Q712" s="18" t="s">
        <v>1573</v>
      </c>
    </row>
    <row r="713" spans="1:17" x14ac:dyDescent="0.35">
      <c r="A713" t="s">
        <v>1334</v>
      </c>
      <c r="B713" s="3" t="s">
        <v>102</v>
      </c>
      <c r="C713" s="3"/>
      <c r="D713" s="3"/>
      <c r="E713" s="3"/>
      <c r="F713" t="s">
        <v>551</v>
      </c>
      <c r="H713" t="s">
        <v>1574</v>
      </c>
      <c r="J713" t="str">
        <f t="shared" si="11"/>
        <v>FORM N-PORT-C.5</v>
      </c>
      <c r="K713" t="s">
        <v>1575</v>
      </c>
      <c r="L713" t="s">
        <v>1502</v>
      </c>
      <c r="M713" t="s">
        <v>1576</v>
      </c>
      <c r="N713" t="s">
        <v>1577</v>
      </c>
      <c r="Q713" s="18" t="s">
        <v>1578</v>
      </c>
    </row>
    <row r="714" spans="1:17" x14ac:dyDescent="0.35">
      <c r="A714" t="s">
        <v>1334</v>
      </c>
      <c r="B714" s="3" t="s">
        <v>102</v>
      </c>
      <c r="C714" s="3"/>
      <c r="D714" s="3"/>
      <c r="E714" s="3"/>
      <c r="F714" t="s">
        <v>551</v>
      </c>
      <c r="H714" t="s">
        <v>1574</v>
      </c>
      <c r="J714" t="str">
        <f t="shared" si="11"/>
        <v>FORM N-PORT-C.5</v>
      </c>
      <c r="K714" t="s">
        <v>1579</v>
      </c>
      <c r="L714" t="s">
        <v>1502</v>
      </c>
      <c r="M714" t="s">
        <v>1580</v>
      </c>
      <c r="N714" t="s">
        <v>1581</v>
      </c>
      <c r="Q714" s="18" t="s">
        <v>1590</v>
      </c>
    </row>
    <row r="715" spans="1:17" x14ac:dyDescent="0.35">
      <c r="A715" t="s">
        <v>1334</v>
      </c>
      <c r="B715" s="3" t="s">
        <v>102</v>
      </c>
      <c r="C715" s="3"/>
      <c r="D715" s="3"/>
      <c r="E715" s="3"/>
      <c r="F715" t="s">
        <v>551</v>
      </c>
      <c r="H715" t="s">
        <v>1582</v>
      </c>
      <c r="J715" t="str">
        <f t="shared" si="11"/>
        <v>FORM N-PORT-C.6</v>
      </c>
      <c r="K715" t="s">
        <v>1583</v>
      </c>
      <c r="L715" t="s">
        <v>1187</v>
      </c>
      <c r="M715" t="s">
        <v>1584</v>
      </c>
      <c r="N715" t="s">
        <v>1585</v>
      </c>
      <c r="Q715" s="18" t="s">
        <v>1341</v>
      </c>
    </row>
    <row r="716" spans="1:17" x14ac:dyDescent="0.35">
      <c r="A716" t="s">
        <v>1334</v>
      </c>
      <c r="B716" s="3" t="s">
        <v>102</v>
      </c>
      <c r="C716" s="3"/>
      <c r="D716" s="3"/>
      <c r="E716" s="3"/>
      <c r="F716" t="s">
        <v>551</v>
      </c>
      <c r="H716" t="s">
        <v>1586</v>
      </c>
      <c r="J716" t="str">
        <f t="shared" si="11"/>
        <v>FORM N-PORT-C.7</v>
      </c>
      <c r="K716" t="s">
        <v>1587</v>
      </c>
      <c r="L716" t="s">
        <v>1566</v>
      </c>
      <c r="M716" t="s">
        <v>1588</v>
      </c>
      <c r="N716" t="s">
        <v>1589</v>
      </c>
      <c r="Q716" s="18" t="s">
        <v>1590</v>
      </c>
    </row>
    <row r="717" spans="1:17" x14ac:dyDescent="0.35">
      <c r="A717" t="s">
        <v>1334</v>
      </c>
      <c r="B717" s="3" t="s">
        <v>102</v>
      </c>
      <c r="C717" s="3"/>
      <c r="D717" s="3"/>
      <c r="E717" s="3"/>
      <c r="F717" t="s">
        <v>551</v>
      </c>
      <c r="H717" t="s">
        <v>1591</v>
      </c>
      <c r="J717" t="str">
        <f t="shared" si="11"/>
        <v>FORM N-PORT-C.8</v>
      </c>
      <c r="K717" t="s">
        <v>1592</v>
      </c>
      <c r="L717" t="s">
        <v>241</v>
      </c>
      <c r="M717" t="s">
        <v>1593</v>
      </c>
      <c r="N717" t="s">
        <v>1594</v>
      </c>
      <c r="Q717" s="18">
        <v>2</v>
      </c>
    </row>
    <row r="718" spans="1:17" x14ac:dyDescent="0.35">
      <c r="A718" t="s">
        <v>1334</v>
      </c>
      <c r="B718" s="3" t="s">
        <v>102</v>
      </c>
      <c r="C718" s="3"/>
      <c r="D718" s="3"/>
      <c r="E718" s="3"/>
      <c r="F718" t="s">
        <v>551</v>
      </c>
      <c r="H718" t="s">
        <v>1595</v>
      </c>
      <c r="J718" t="str">
        <f t="shared" si="11"/>
        <v>FORM N-PORT-C.9</v>
      </c>
      <c r="K718" t="s">
        <v>1596</v>
      </c>
      <c r="L718" t="s">
        <v>1331</v>
      </c>
      <c r="M718" t="s">
        <v>1597</v>
      </c>
      <c r="N718" t="s">
        <v>1598</v>
      </c>
      <c r="Q718" s="17">
        <v>46889</v>
      </c>
    </row>
    <row r="719" spans="1:17" x14ac:dyDescent="0.35">
      <c r="A719" t="s">
        <v>1334</v>
      </c>
      <c r="B719" s="3" t="s">
        <v>102</v>
      </c>
      <c r="C719" s="3"/>
      <c r="D719" s="3"/>
      <c r="E719" s="3"/>
      <c r="F719" t="s">
        <v>551</v>
      </c>
      <c r="H719" t="s">
        <v>1595</v>
      </c>
      <c r="J719" t="str">
        <f t="shared" si="11"/>
        <v>FORM N-PORT-C.9</v>
      </c>
      <c r="K719" t="s">
        <v>1599</v>
      </c>
      <c r="L719" t="s">
        <v>1600</v>
      </c>
      <c r="M719" t="s">
        <v>1601</v>
      </c>
      <c r="N719" t="s">
        <v>1602</v>
      </c>
      <c r="Q719" s="18" t="s">
        <v>9187</v>
      </c>
    </row>
    <row r="720" spans="1:17" x14ac:dyDescent="0.35">
      <c r="A720" t="s">
        <v>1334</v>
      </c>
      <c r="B720" s="3" t="s">
        <v>102</v>
      </c>
      <c r="C720" s="3"/>
      <c r="D720" s="3"/>
      <c r="E720" s="3"/>
      <c r="F720" t="s">
        <v>551</v>
      </c>
      <c r="H720" t="s">
        <v>1595</v>
      </c>
      <c r="J720" t="str">
        <f t="shared" si="11"/>
        <v>FORM N-PORT-C.9</v>
      </c>
      <c r="K720" t="s">
        <v>1604</v>
      </c>
      <c r="L720" t="s">
        <v>1187</v>
      </c>
      <c r="M720" t="s">
        <v>1605</v>
      </c>
      <c r="N720" t="s">
        <v>1606</v>
      </c>
      <c r="Q720" s="18" t="s">
        <v>1341</v>
      </c>
    </row>
    <row r="721" spans="1:17" x14ac:dyDescent="0.35">
      <c r="A721" t="s">
        <v>1334</v>
      </c>
      <c r="B721" s="3" t="s">
        <v>102</v>
      </c>
      <c r="C721" s="3"/>
      <c r="D721" s="3"/>
      <c r="E721" s="3"/>
      <c r="F721" t="s">
        <v>551</v>
      </c>
      <c r="H721" t="s">
        <v>1595</v>
      </c>
      <c r="J721" t="str">
        <f t="shared" si="11"/>
        <v>FORM N-PORT-C.9</v>
      </c>
      <c r="K721" t="s">
        <v>1607</v>
      </c>
      <c r="L721" t="s">
        <v>1187</v>
      </c>
      <c r="M721" t="s">
        <v>1608</v>
      </c>
      <c r="N721" t="s">
        <v>1609</v>
      </c>
      <c r="Q721" s="18" t="s">
        <v>1341</v>
      </c>
    </row>
    <row r="722" spans="1:17" x14ac:dyDescent="0.35">
      <c r="A722" t="s">
        <v>1334</v>
      </c>
      <c r="B722" s="3" t="s">
        <v>102</v>
      </c>
      <c r="C722" s="3"/>
      <c r="D722" s="3"/>
      <c r="E722" s="3"/>
      <c r="F722" t="s">
        <v>551</v>
      </c>
      <c r="H722" t="s">
        <v>1595</v>
      </c>
      <c r="J722" t="str">
        <f t="shared" si="11"/>
        <v>FORM N-PORT-C.9</v>
      </c>
      <c r="K722" t="s">
        <v>1610</v>
      </c>
      <c r="L722" t="s">
        <v>1187</v>
      </c>
      <c r="M722" t="s">
        <v>1611</v>
      </c>
      <c r="N722" t="s">
        <v>1612</v>
      </c>
      <c r="Q722" s="18" t="s">
        <v>1341</v>
      </c>
    </row>
    <row r="723" spans="1:17" x14ac:dyDescent="0.35">
      <c r="A723" t="s">
        <v>1334</v>
      </c>
      <c r="B723" s="3" t="s">
        <v>102</v>
      </c>
      <c r="C723" s="3"/>
      <c r="D723" s="3"/>
      <c r="E723" s="3"/>
      <c r="F723" t="s">
        <v>551</v>
      </c>
      <c r="H723" t="s">
        <v>1595</v>
      </c>
      <c r="J723" t="str">
        <f t="shared" si="11"/>
        <v>FORM N-PORT-C.9</v>
      </c>
      <c r="K723" t="s">
        <v>1613</v>
      </c>
      <c r="L723" t="s">
        <v>1187</v>
      </c>
      <c r="M723" t="s">
        <v>1614</v>
      </c>
      <c r="N723" t="s">
        <v>1615</v>
      </c>
      <c r="Q723" s="18" t="s">
        <v>1590</v>
      </c>
    </row>
    <row r="724" spans="1:17" x14ac:dyDescent="0.35">
      <c r="A724" t="s">
        <v>1334</v>
      </c>
      <c r="B724" s="3" t="s">
        <v>102</v>
      </c>
      <c r="C724" s="3"/>
      <c r="D724" s="3"/>
      <c r="E724" s="3"/>
      <c r="F724" t="s">
        <v>551</v>
      </c>
      <c r="H724" t="s">
        <v>1595</v>
      </c>
      <c r="J724" t="str">
        <f t="shared" si="11"/>
        <v>FORM N-PORT-C.9</v>
      </c>
      <c r="K724" t="s">
        <v>1616</v>
      </c>
      <c r="L724" t="s">
        <v>1187</v>
      </c>
      <c r="M724" t="s">
        <v>1617</v>
      </c>
      <c r="N724" t="s">
        <v>1618</v>
      </c>
      <c r="Q724" s="18" t="s">
        <v>1590</v>
      </c>
    </row>
    <row r="725" spans="1:17" x14ac:dyDescent="0.35">
      <c r="A725" t="s">
        <v>1334</v>
      </c>
      <c r="B725" s="3" t="s">
        <v>102</v>
      </c>
      <c r="C725" s="3"/>
      <c r="D725" s="3"/>
      <c r="E725" s="3"/>
      <c r="F725" t="s">
        <v>551</v>
      </c>
      <c r="H725" t="s">
        <v>1595</v>
      </c>
      <c r="J725" t="str">
        <f t="shared" si="11"/>
        <v>FORM N-PORT-C.9</v>
      </c>
      <c r="K725" t="s">
        <v>1619</v>
      </c>
      <c r="L725" t="s">
        <v>1502</v>
      </c>
      <c r="M725" t="s">
        <v>1620</v>
      </c>
      <c r="N725" t="s">
        <v>1621</v>
      </c>
      <c r="Q725" s="18" t="s">
        <v>1590</v>
      </c>
    </row>
    <row r="726" spans="1:17" x14ac:dyDescent="0.35">
      <c r="A726" t="s">
        <v>1334</v>
      </c>
      <c r="B726" s="3" t="s">
        <v>102</v>
      </c>
      <c r="C726" s="3"/>
      <c r="D726" s="3"/>
      <c r="E726" s="3"/>
      <c r="F726" t="s">
        <v>551</v>
      </c>
      <c r="H726" t="s">
        <v>1595</v>
      </c>
      <c r="J726" t="str">
        <f t="shared" si="11"/>
        <v>FORM N-PORT-C.9</v>
      </c>
      <c r="K726" t="s">
        <v>1622</v>
      </c>
      <c r="L726" t="s">
        <v>783</v>
      </c>
      <c r="M726" t="s">
        <v>1623</v>
      </c>
      <c r="N726" t="s">
        <v>1624</v>
      </c>
      <c r="Q726" s="18" t="s">
        <v>1590</v>
      </c>
    </row>
    <row r="727" spans="1:17" x14ac:dyDescent="0.35">
      <c r="A727" t="s">
        <v>1334</v>
      </c>
      <c r="B727" s="3" t="s">
        <v>102</v>
      </c>
      <c r="C727" s="3"/>
      <c r="D727" s="3"/>
      <c r="E727" s="3"/>
      <c r="F727" t="s">
        <v>551</v>
      </c>
      <c r="H727" t="s">
        <v>1595</v>
      </c>
      <c r="J727" t="str">
        <f t="shared" si="11"/>
        <v>FORM N-PORT-C.9</v>
      </c>
      <c r="K727" t="s">
        <v>1625</v>
      </c>
      <c r="L727" t="s">
        <v>783</v>
      </c>
      <c r="M727" t="s">
        <v>1626</v>
      </c>
      <c r="N727" t="s">
        <v>1627</v>
      </c>
      <c r="Q727" s="18" t="s">
        <v>1590</v>
      </c>
    </row>
    <row r="728" spans="1:17" x14ac:dyDescent="0.35">
      <c r="A728" t="s">
        <v>1334</v>
      </c>
      <c r="B728" s="3" t="s">
        <v>102</v>
      </c>
      <c r="C728" s="3"/>
      <c r="D728" s="3"/>
      <c r="E728" s="3"/>
      <c r="F728" t="s">
        <v>551</v>
      </c>
      <c r="H728" t="s">
        <v>1628</v>
      </c>
      <c r="J728" t="str">
        <f t="shared" si="11"/>
        <v>FORM N-PORT-C.10</v>
      </c>
      <c r="K728" t="s">
        <v>1629</v>
      </c>
      <c r="L728" t="s">
        <v>1566</v>
      </c>
      <c r="M728" t="s">
        <v>1630</v>
      </c>
      <c r="N728" t="s">
        <v>1631</v>
      </c>
      <c r="Q728" s="18" t="s">
        <v>1590</v>
      </c>
    </row>
    <row r="729" spans="1:17" x14ac:dyDescent="0.35">
      <c r="A729" t="s">
        <v>1334</v>
      </c>
      <c r="B729" s="3" t="s">
        <v>102</v>
      </c>
      <c r="C729" s="3"/>
      <c r="D729" s="3"/>
      <c r="E729" s="3"/>
      <c r="F729" t="s">
        <v>551</v>
      </c>
      <c r="H729" t="s">
        <v>1628</v>
      </c>
      <c r="J729" t="str">
        <f t="shared" si="11"/>
        <v>FORM N-PORT-C.10</v>
      </c>
      <c r="K729" t="s">
        <v>1632</v>
      </c>
      <c r="L729" t="s">
        <v>1502</v>
      </c>
      <c r="M729" t="s">
        <v>1633</v>
      </c>
      <c r="N729" t="s">
        <v>1634</v>
      </c>
      <c r="Q729" s="18" t="s">
        <v>1590</v>
      </c>
    </row>
    <row r="730" spans="1:17" x14ac:dyDescent="0.35">
      <c r="A730" t="s">
        <v>1334</v>
      </c>
      <c r="B730" s="3" t="s">
        <v>102</v>
      </c>
      <c r="C730" s="3"/>
      <c r="D730" s="3"/>
      <c r="E730" s="3"/>
      <c r="F730" t="s">
        <v>551</v>
      </c>
      <c r="H730" t="s">
        <v>1628</v>
      </c>
      <c r="J730" t="str">
        <f t="shared" si="11"/>
        <v>FORM N-PORT-C.10</v>
      </c>
      <c r="K730" t="s">
        <v>1635</v>
      </c>
      <c r="L730" t="s">
        <v>1187</v>
      </c>
      <c r="M730" t="s">
        <v>1636</v>
      </c>
      <c r="N730" t="s">
        <v>1637</v>
      </c>
      <c r="Q730" s="18" t="s">
        <v>1590</v>
      </c>
    </row>
    <row r="731" spans="1:17" x14ac:dyDescent="0.35">
      <c r="A731" t="s">
        <v>1334</v>
      </c>
      <c r="B731" s="3" t="s">
        <v>102</v>
      </c>
      <c r="C731" s="3"/>
      <c r="D731" s="3"/>
      <c r="E731" s="3"/>
      <c r="F731" t="s">
        <v>551</v>
      </c>
      <c r="H731" t="s">
        <v>1628</v>
      </c>
      <c r="J731" t="str">
        <f t="shared" si="11"/>
        <v>FORM N-PORT-C.10</v>
      </c>
      <c r="K731" t="s">
        <v>1638</v>
      </c>
      <c r="L731" t="s">
        <v>1502</v>
      </c>
      <c r="M731" t="s">
        <v>1639</v>
      </c>
      <c r="N731" t="s">
        <v>1640</v>
      </c>
      <c r="Q731" s="18" t="s">
        <v>1590</v>
      </c>
    </row>
    <row r="732" spans="1:17" x14ac:dyDescent="0.35">
      <c r="A732" t="s">
        <v>1334</v>
      </c>
      <c r="B732" s="3" t="s">
        <v>102</v>
      </c>
      <c r="C732" s="3"/>
      <c r="D732" s="3"/>
      <c r="E732" s="3"/>
      <c r="F732" t="s">
        <v>551</v>
      </c>
      <c r="H732" t="s">
        <v>1628</v>
      </c>
      <c r="J732" t="str">
        <f t="shared" si="11"/>
        <v>FORM N-PORT-C.10</v>
      </c>
      <c r="K732" t="s">
        <v>1641</v>
      </c>
      <c r="L732" t="s">
        <v>1187</v>
      </c>
      <c r="M732" t="s">
        <v>1642</v>
      </c>
      <c r="N732" t="s">
        <v>1643</v>
      </c>
      <c r="Q732" s="18" t="s">
        <v>1590</v>
      </c>
    </row>
    <row r="733" spans="1:17" x14ac:dyDescent="0.35">
      <c r="A733" t="s">
        <v>1334</v>
      </c>
      <c r="B733" s="3" t="s">
        <v>102</v>
      </c>
      <c r="C733" s="3"/>
      <c r="D733" s="3"/>
      <c r="E733" s="3"/>
      <c r="F733" t="s">
        <v>551</v>
      </c>
      <c r="H733" t="s">
        <v>1628</v>
      </c>
      <c r="J733" t="str">
        <f t="shared" si="11"/>
        <v>FORM N-PORT-C.10</v>
      </c>
      <c r="K733" t="s">
        <v>1644</v>
      </c>
      <c r="L733" t="s">
        <v>1198</v>
      </c>
      <c r="M733" t="s">
        <v>1645</v>
      </c>
      <c r="N733" t="s">
        <v>1646</v>
      </c>
      <c r="Q733" s="18" t="s">
        <v>1590</v>
      </c>
    </row>
    <row r="734" spans="1:17" x14ac:dyDescent="0.35">
      <c r="A734" t="s">
        <v>1334</v>
      </c>
      <c r="B734" s="3" t="s">
        <v>102</v>
      </c>
      <c r="C734" s="3"/>
      <c r="D734" s="3"/>
      <c r="E734" s="3"/>
      <c r="F734" t="s">
        <v>551</v>
      </c>
      <c r="H734" t="s">
        <v>1628</v>
      </c>
      <c r="J734" t="str">
        <f t="shared" si="11"/>
        <v>FORM N-PORT-C.10</v>
      </c>
      <c r="K734" t="s">
        <v>1647</v>
      </c>
      <c r="L734" t="s">
        <v>1331</v>
      </c>
      <c r="M734" t="s">
        <v>1648</v>
      </c>
      <c r="N734" t="s">
        <v>1649</v>
      </c>
      <c r="Q734" s="18" t="s">
        <v>1590</v>
      </c>
    </row>
    <row r="735" spans="1:17" x14ac:dyDescent="0.35">
      <c r="A735" t="s">
        <v>1334</v>
      </c>
      <c r="B735" s="3" t="s">
        <v>102</v>
      </c>
      <c r="C735" s="3"/>
      <c r="D735" s="3"/>
      <c r="E735" s="3"/>
      <c r="F735" t="s">
        <v>551</v>
      </c>
      <c r="H735" t="s">
        <v>1628</v>
      </c>
      <c r="J735" t="str">
        <f t="shared" si="11"/>
        <v>FORM N-PORT-C.10</v>
      </c>
      <c r="K735" t="s">
        <v>1650</v>
      </c>
      <c r="L735" t="s">
        <v>783</v>
      </c>
      <c r="M735" t="s">
        <v>1651</v>
      </c>
      <c r="N735" t="s">
        <v>1652</v>
      </c>
      <c r="Q735" s="18" t="s">
        <v>1590</v>
      </c>
    </row>
    <row r="736" spans="1:17" x14ac:dyDescent="0.35">
      <c r="A736" t="s">
        <v>1334</v>
      </c>
      <c r="B736" s="3" t="s">
        <v>102</v>
      </c>
      <c r="C736" s="3"/>
      <c r="D736" s="3"/>
      <c r="E736" s="3"/>
      <c r="F736" t="s">
        <v>551</v>
      </c>
      <c r="H736" t="s">
        <v>1628</v>
      </c>
      <c r="J736" t="str">
        <f t="shared" si="11"/>
        <v>FORM N-PORT-C.10</v>
      </c>
      <c r="K736" t="s">
        <v>1653</v>
      </c>
      <c r="L736" t="s">
        <v>783</v>
      </c>
      <c r="M736" t="s">
        <v>1654</v>
      </c>
      <c r="N736" t="s">
        <v>1655</v>
      </c>
      <c r="Q736" s="18" t="s">
        <v>1590</v>
      </c>
    </row>
    <row r="737" spans="1:17" x14ac:dyDescent="0.35">
      <c r="A737" t="s">
        <v>1334</v>
      </c>
      <c r="B737" s="3" t="s">
        <v>102</v>
      </c>
      <c r="C737" s="3"/>
      <c r="D737" s="3"/>
      <c r="E737" s="3"/>
      <c r="F737" t="s">
        <v>551</v>
      </c>
      <c r="H737" t="s">
        <v>1628</v>
      </c>
      <c r="J737" t="str">
        <f t="shared" si="11"/>
        <v>FORM N-PORT-C.10</v>
      </c>
      <c r="K737" t="s">
        <v>1656</v>
      </c>
      <c r="L737" t="s">
        <v>1566</v>
      </c>
      <c r="M737" t="s">
        <v>1657</v>
      </c>
      <c r="N737" t="s">
        <v>1658</v>
      </c>
      <c r="Q737" s="18" t="s">
        <v>1590</v>
      </c>
    </row>
    <row r="738" spans="1:17" x14ac:dyDescent="0.35">
      <c r="A738" t="s">
        <v>1334</v>
      </c>
      <c r="B738" s="3" t="s">
        <v>102</v>
      </c>
      <c r="C738" s="3"/>
      <c r="D738" s="3"/>
      <c r="E738" s="3"/>
      <c r="F738" t="s">
        <v>551</v>
      </c>
      <c r="H738" t="s">
        <v>1659</v>
      </c>
      <c r="J738" t="str">
        <f t="shared" si="11"/>
        <v>FORM N-PORT-C.11</v>
      </c>
      <c r="K738" t="s">
        <v>1660</v>
      </c>
      <c r="L738" t="s">
        <v>1566</v>
      </c>
      <c r="M738" t="s">
        <v>1661</v>
      </c>
      <c r="N738" t="s">
        <v>1662</v>
      </c>
      <c r="Q738" s="18" t="s">
        <v>1590</v>
      </c>
    </row>
    <row r="739" spans="1:17" x14ac:dyDescent="0.35">
      <c r="A739" t="s">
        <v>1334</v>
      </c>
      <c r="B739" s="3" t="s">
        <v>102</v>
      </c>
      <c r="C739" s="3"/>
      <c r="D739" s="3"/>
      <c r="E739" s="3"/>
      <c r="F739" t="s">
        <v>551</v>
      </c>
      <c r="H739" t="s">
        <v>1659</v>
      </c>
      <c r="J739" t="str">
        <f t="shared" si="11"/>
        <v>FORM N-PORT-C.11</v>
      </c>
      <c r="K739" t="s">
        <v>1663</v>
      </c>
      <c r="L739" t="s">
        <v>1502</v>
      </c>
      <c r="M739" t="s">
        <v>1664</v>
      </c>
      <c r="N739" t="s">
        <v>1665</v>
      </c>
      <c r="Q739" s="18" t="s">
        <v>1590</v>
      </c>
    </row>
    <row r="740" spans="1:17" x14ac:dyDescent="0.35">
      <c r="A740" t="s">
        <v>1334</v>
      </c>
      <c r="B740" s="3" t="s">
        <v>102</v>
      </c>
      <c r="C740" s="3"/>
      <c r="D740" s="3"/>
      <c r="E740" s="3"/>
      <c r="F740" t="s">
        <v>551</v>
      </c>
      <c r="H740" t="s">
        <v>1659</v>
      </c>
      <c r="J740" t="str">
        <f t="shared" si="11"/>
        <v>FORM N-PORT-C.11</v>
      </c>
      <c r="K740" t="s">
        <v>1666</v>
      </c>
      <c r="L740" t="s">
        <v>1566</v>
      </c>
      <c r="M740" t="s">
        <v>1667</v>
      </c>
      <c r="N740" t="s">
        <v>1668</v>
      </c>
      <c r="Q740" s="18" t="s">
        <v>1590</v>
      </c>
    </row>
    <row r="741" spans="1:17" x14ac:dyDescent="0.35">
      <c r="A741" t="s">
        <v>1334</v>
      </c>
      <c r="B741" s="3" t="s">
        <v>102</v>
      </c>
      <c r="C741" s="3"/>
      <c r="D741" s="3"/>
      <c r="E741" s="3"/>
      <c r="F741" t="s">
        <v>551</v>
      </c>
      <c r="H741" t="s">
        <v>1659</v>
      </c>
      <c r="J741" t="str">
        <f t="shared" si="11"/>
        <v>FORM N-PORT-C.11</v>
      </c>
      <c r="K741" t="s">
        <v>1669</v>
      </c>
      <c r="L741" t="s">
        <v>1566</v>
      </c>
      <c r="M741" t="s">
        <v>1670</v>
      </c>
      <c r="N741" t="s">
        <v>1671</v>
      </c>
      <c r="Q741" s="18" t="s">
        <v>1590</v>
      </c>
    </row>
    <row r="742" spans="1:17" x14ac:dyDescent="0.35">
      <c r="A742" t="s">
        <v>1334</v>
      </c>
      <c r="B742" s="3" t="s">
        <v>102</v>
      </c>
      <c r="C742" s="3"/>
      <c r="D742" s="3"/>
      <c r="E742" s="3"/>
      <c r="F742" t="s">
        <v>551</v>
      </c>
      <c r="H742" t="s">
        <v>1659</v>
      </c>
      <c r="J742" t="str">
        <f t="shared" si="11"/>
        <v>FORM N-PORT-C.11</v>
      </c>
      <c r="K742" t="s">
        <v>1672</v>
      </c>
      <c r="L742" t="s">
        <v>1502</v>
      </c>
      <c r="M742" t="s">
        <v>1673</v>
      </c>
      <c r="N742" t="s">
        <v>1674</v>
      </c>
      <c r="Q742" s="18" t="s">
        <v>1590</v>
      </c>
    </row>
    <row r="743" spans="1:17" x14ac:dyDescent="0.35">
      <c r="A743" t="s">
        <v>1334</v>
      </c>
      <c r="B743" s="3" t="s">
        <v>102</v>
      </c>
      <c r="C743" s="3"/>
      <c r="D743" s="3"/>
      <c r="E743" s="3"/>
      <c r="F743" t="s">
        <v>551</v>
      </c>
      <c r="H743" t="s">
        <v>1659</v>
      </c>
      <c r="J743" t="str">
        <f t="shared" si="11"/>
        <v>FORM N-PORT-C.11</v>
      </c>
      <c r="K743" t="s">
        <v>1675</v>
      </c>
      <c r="L743" t="s">
        <v>783</v>
      </c>
      <c r="M743" t="s">
        <v>1676</v>
      </c>
      <c r="N743" t="s">
        <v>1677</v>
      </c>
      <c r="Q743" s="18" t="s">
        <v>1590</v>
      </c>
    </row>
    <row r="744" spans="1:17" x14ac:dyDescent="0.35">
      <c r="A744" t="s">
        <v>1334</v>
      </c>
      <c r="B744" s="3" t="s">
        <v>102</v>
      </c>
      <c r="C744" s="3"/>
      <c r="D744" s="3"/>
      <c r="E744" s="3"/>
      <c r="F744" t="s">
        <v>551</v>
      </c>
      <c r="H744" t="s">
        <v>1659</v>
      </c>
      <c r="J744" t="str">
        <f t="shared" si="11"/>
        <v>FORM N-PORT-C.11</v>
      </c>
      <c r="K744" t="s">
        <v>1678</v>
      </c>
      <c r="L744" t="s">
        <v>783</v>
      </c>
      <c r="M744" t="s">
        <v>1679</v>
      </c>
      <c r="N744" t="s">
        <v>1680</v>
      </c>
      <c r="Q744" s="18" t="s">
        <v>1590</v>
      </c>
    </row>
    <row r="745" spans="1:17" x14ac:dyDescent="0.35">
      <c r="A745" t="s">
        <v>1334</v>
      </c>
      <c r="B745" s="3" t="s">
        <v>102</v>
      </c>
      <c r="C745" s="3"/>
      <c r="D745" s="3"/>
      <c r="E745" s="3"/>
      <c r="F745" t="s">
        <v>551</v>
      </c>
      <c r="H745" t="s">
        <v>1659</v>
      </c>
      <c r="J745" t="str">
        <f t="shared" si="11"/>
        <v>FORM N-PORT-C.11</v>
      </c>
      <c r="K745" t="s">
        <v>1681</v>
      </c>
      <c r="L745" t="s">
        <v>1331</v>
      </c>
      <c r="M745" t="s">
        <v>1682</v>
      </c>
      <c r="N745" t="s">
        <v>1683</v>
      </c>
      <c r="Q745" s="18" t="s">
        <v>1590</v>
      </c>
    </row>
    <row r="746" spans="1:17" x14ac:dyDescent="0.35">
      <c r="A746" t="s">
        <v>1334</v>
      </c>
      <c r="B746" s="3" t="s">
        <v>102</v>
      </c>
      <c r="C746" s="3"/>
      <c r="D746" s="3"/>
      <c r="E746" s="3"/>
      <c r="F746" t="s">
        <v>551</v>
      </c>
      <c r="H746" t="s">
        <v>1659</v>
      </c>
      <c r="J746" t="str">
        <f t="shared" si="11"/>
        <v>FORM N-PORT-C.11</v>
      </c>
      <c r="K746" t="s">
        <v>1684</v>
      </c>
      <c r="L746" t="s">
        <v>783</v>
      </c>
      <c r="M746" t="s">
        <v>1685</v>
      </c>
      <c r="N746" t="s">
        <v>1686</v>
      </c>
      <c r="Q746" s="18" t="s">
        <v>1590</v>
      </c>
    </row>
    <row r="747" spans="1:17" x14ac:dyDescent="0.35">
      <c r="A747" t="s">
        <v>1334</v>
      </c>
      <c r="B747" s="3" t="s">
        <v>102</v>
      </c>
      <c r="C747" s="3"/>
      <c r="D747" s="3"/>
      <c r="E747" s="3"/>
      <c r="F747" t="s">
        <v>551</v>
      </c>
      <c r="H747" t="s">
        <v>1659</v>
      </c>
      <c r="J747" t="str">
        <f t="shared" si="11"/>
        <v>FORM N-PORT-C.11</v>
      </c>
      <c r="K747" t="s">
        <v>1687</v>
      </c>
      <c r="L747" t="s">
        <v>783</v>
      </c>
      <c r="M747" t="s">
        <v>1688</v>
      </c>
      <c r="N747" t="s">
        <v>1689</v>
      </c>
      <c r="Q747" s="18" t="s">
        <v>1590</v>
      </c>
    </row>
    <row r="748" spans="1:17" x14ac:dyDescent="0.35">
      <c r="A748" t="s">
        <v>1334</v>
      </c>
      <c r="B748" s="3" t="s">
        <v>102</v>
      </c>
      <c r="C748" s="3"/>
      <c r="D748" s="3"/>
      <c r="E748" s="3"/>
      <c r="F748" t="s">
        <v>551</v>
      </c>
      <c r="H748" t="s">
        <v>1659</v>
      </c>
      <c r="J748" t="str">
        <f t="shared" si="11"/>
        <v>FORM N-PORT-C.11</v>
      </c>
      <c r="K748" t="s">
        <v>1690</v>
      </c>
      <c r="L748" t="s">
        <v>1566</v>
      </c>
      <c r="M748" t="s">
        <v>1691</v>
      </c>
      <c r="N748" t="s">
        <v>1692</v>
      </c>
      <c r="Q748" s="18" t="s">
        <v>1590</v>
      </c>
    </row>
    <row r="749" spans="1:17" x14ac:dyDescent="0.35">
      <c r="A749" t="s">
        <v>1334</v>
      </c>
      <c r="B749" s="3" t="s">
        <v>102</v>
      </c>
      <c r="C749" s="3"/>
      <c r="D749" s="3"/>
      <c r="E749" s="3"/>
      <c r="F749" t="s">
        <v>551</v>
      </c>
      <c r="H749" t="s">
        <v>1659</v>
      </c>
      <c r="J749" t="str">
        <f t="shared" si="11"/>
        <v>FORM N-PORT-C.11</v>
      </c>
      <c r="K749" t="s">
        <v>1693</v>
      </c>
      <c r="L749" t="s">
        <v>1502</v>
      </c>
      <c r="M749" t="s">
        <v>1694</v>
      </c>
      <c r="N749" t="s">
        <v>1695</v>
      </c>
      <c r="Q749" s="18" t="s">
        <v>1590</v>
      </c>
    </row>
    <row r="750" spans="1:17" x14ac:dyDescent="0.35">
      <c r="A750" t="s">
        <v>1334</v>
      </c>
      <c r="B750" s="3" t="s">
        <v>102</v>
      </c>
      <c r="C750" s="3"/>
      <c r="D750" s="3"/>
      <c r="E750" s="3"/>
      <c r="F750" t="s">
        <v>551</v>
      </c>
      <c r="H750" t="s">
        <v>1659</v>
      </c>
      <c r="J750" t="str">
        <f t="shared" si="11"/>
        <v>FORM N-PORT-C.11</v>
      </c>
      <c r="K750" t="s">
        <v>1696</v>
      </c>
      <c r="L750" t="s">
        <v>1331</v>
      </c>
      <c r="M750" t="s">
        <v>1697</v>
      </c>
      <c r="N750" t="s">
        <v>1698</v>
      </c>
      <c r="Q750" s="18" t="s">
        <v>1590</v>
      </c>
    </row>
    <row r="751" spans="1:17" x14ac:dyDescent="0.35">
      <c r="A751" t="s">
        <v>1334</v>
      </c>
      <c r="B751" s="3" t="s">
        <v>102</v>
      </c>
      <c r="C751" s="3"/>
      <c r="D751" s="3"/>
      <c r="E751" s="3"/>
      <c r="F751" t="s">
        <v>551</v>
      </c>
      <c r="H751" t="s">
        <v>1659</v>
      </c>
      <c r="J751" t="str">
        <f t="shared" si="11"/>
        <v>FORM N-PORT-C.11</v>
      </c>
      <c r="K751" t="s">
        <v>1699</v>
      </c>
      <c r="L751" t="s">
        <v>783</v>
      </c>
      <c r="M751" t="s">
        <v>1700</v>
      </c>
      <c r="N751" t="s">
        <v>1701</v>
      </c>
      <c r="Q751" s="18" t="s">
        <v>1590</v>
      </c>
    </row>
    <row r="752" spans="1:17" x14ac:dyDescent="0.35">
      <c r="A752" t="s">
        <v>1334</v>
      </c>
      <c r="B752" s="3" t="s">
        <v>102</v>
      </c>
      <c r="C752" s="3"/>
      <c r="D752" s="3"/>
      <c r="E752" s="3"/>
      <c r="F752" t="s">
        <v>551</v>
      </c>
      <c r="H752" t="s">
        <v>1659</v>
      </c>
      <c r="J752" t="str">
        <f t="shared" si="11"/>
        <v>FORM N-PORT-C.11</v>
      </c>
      <c r="K752" t="s">
        <v>1702</v>
      </c>
      <c r="L752" t="s">
        <v>783</v>
      </c>
      <c r="M752" t="s">
        <v>1688</v>
      </c>
      <c r="N752" t="s">
        <v>1703</v>
      </c>
      <c r="Q752" s="18" t="s">
        <v>1590</v>
      </c>
    </row>
    <row r="753" spans="1:17" x14ac:dyDescent="0.35">
      <c r="A753" t="s">
        <v>1334</v>
      </c>
      <c r="B753" s="3" t="s">
        <v>102</v>
      </c>
      <c r="C753" s="3"/>
      <c r="D753" s="3"/>
      <c r="E753" s="3"/>
      <c r="F753" t="s">
        <v>551</v>
      </c>
      <c r="H753" t="s">
        <v>1659</v>
      </c>
      <c r="J753" t="str">
        <f t="shared" si="11"/>
        <v>FORM N-PORT-C.11</v>
      </c>
      <c r="K753" t="s">
        <v>1704</v>
      </c>
      <c r="L753" t="s">
        <v>229</v>
      </c>
      <c r="M753" t="s">
        <v>1705</v>
      </c>
      <c r="N753" t="s">
        <v>1706</v>
      </c>
      <c r="Q753" s="18" t="s">
        <v>1590</v>
      </c>
    </row>
    <row r="754" spans="1:17" x14ac:dyDescent="0.35">
      <c r="A754" t="s">
        <v>1334</v>
      </c>
      <c r="B754" s="3" t="s">
        <v>102</v>
      </c>
      <c r="C754" s="3"/>
      <c r="D754" s="3"/>
      <c r="E754" s="3"/>
      <c r="F754" t="s">
        <v>551</v>
      </c>
      <c r="H754" t="s">
        <v>1659</v>
      </c>
      <c r="J754" t="str">
        <f t="shared" si="11"/>
        <v>FORM N-PORT-C.11</v>
      </c>
      <c r="K754" t="s">
        <v>1707</v>
      </c>
      <c r="L754" t="s">
        <v>229</v>
      </c>
      <c r="M754" t="s">
        <v>1708</v>
      </c>
      <c r="N754" t="s">
        <v>1709</v>
      </c>
      <c r="Q754" s="18" t="s">
        <v>1590</v>
      </c>
    </row>
    <row r="755" spans="1:17" x14ac:dyDescent="0.35">
      <c r="A755" t="s">
        <v>1334</v>
      </c>
      <c r="B755" s="3" t="s">
        <v>102</v>
      </c>
      <c r="C755" s="3"/>
      <c r="D755" s="3"/>
      <c r="E755" s="3"/>
      <c r="F755" t="s">
        <v>551</v>
      </c>
      <c r="H755" t="s">
        <v>1659</v>
      </c>
      <c r="J755" t="str">
        <f t="shared" si="11"/>
        <v>FORM N-PORT-C.11</v>
      </c>
      <c r="K755" t="s">
        <v>1710</v>
      </c>
      <c r="L755" t="s">
        <v>1331</v>
      </c>
      <c r="M755" t="s">
        <v>1711</v>
      </c>
      <c r="N755" t="s">
        <v>1712</v>
      </c>
      <c r="Q755" s="18" t="s">
        <v>1590</v>
      </c>
    </row>
    <row r="756" spans="1:17" x14ac:dyDescent="0.35">
      <c r="A756" t="s">
        <v>1334</v>
      </c>
      <c r="B756" s="3" t="s">
        <v>102</v>
      </c>
      <c r="C756" s="3"/>
      <c r="D756" s="3"/>
      <c r="E756" s="3"/>
      <c r="F756" t="s">
        <v>551</v>
      </c>
      <c r="H756" t="s">
        <v>1659</v>
      </c>
      <c r="J756" t="str">
        <f t="shared" si="11"/>
        <v>FORM N-PORT-C.11</v>
      </c>
      <c r="K756" t="s">
        <v>1713</v>
      </c>
      <c r="L756" t="s">
        <v>783</v>
      </c>
      <c r="M756" t="s">
        <v>1688</v>
      </c>
      <c r="N756" t="s">
        <v>1714</v>
      </c>
      <c r="Q756" s="18" t="s">
        <v>1590</v>
      </c>
    </row>
    <row r="757" spans="1:17" x14ac:dyDescent="0.35">
      <c r="A757" t="s">
        <v>1334</v>
      </c>
      <c r="B757" s="3" t="s">
        <v>102</v>
      </c>
      <c r="C757" s="3"/>
      <c r="D757" s="3"/>
      <c r="E757" s="3"/>
      <c r="F757" t="s">
        <v>551</v>
      </c>
      <c r="H757" t="s">
        <v>1659</v>
      </c>
      <c r="J757" t="str">
        <f t="shared" si="11"/>
        <v>FORM N-PORT-C.11</v>
      </c>
      <c r="K757" t="s">
        <v>1715</v>
      </c>
      <c r="L757" t="s">
        <v>229</v>
      </c>
      <c r="M757" t="s">
        <v>1716</v>
      </c>
      <c r="N757" t="s">
        <v>1717</v>
      </c>
      <c r="Q757" s="18" t="s">
        <v>1590</v>
      </c>
    </row>
    <row r="758" spans="1:17" x14ac:dyDescent="0.35">
      <c r="A758" t="s">
        <v>1334</v>
      </c>
      <c r="B758" s="3" t="s">
        <v>102</v>
      </c>
      <c r="C758" s="3"/>
      <c r="D758" s="3"/>
      <c r="E758" s="3"/>
      <c r="F758" t="s">
        <v>551</v>
      </c>
      <c r="H758" t="s">
        <v>1659</v>
      </c>
      <c r="J758" t="str">
        <f t="shared" si="11"/>
        <v>FORM N-PORT-C.11</v>
      </c>
      <c r="K758" t="s">
        <v>1718</v>
      </c>
      <c r="L758" t="s">
        <v>1331</v>
      </c>
      <c r="M758" t="s">
        <v>1719</v>
      </c>
      <c r="N758" t="s">
        <v>1720</v>
      </c>
      <c r="Q758" s="18" t="s">
        <v>1590</v>
      </c>
    </row>
    <row r="759" spans="1:17" x14ac:dyDescent="0.35">
      <c r="A759" t="s">
        <v>1334</v>
      </c>
      <c r="B759" s="3" t="s">
        <v>102</v>
      </c>
      <c r="C759" s="3"/>
      <c r="D759" s="3"/>
      <c r="E759" s="3"/>
      <c r="F759" t="s">
        <v>551</v>
      </c>
      <c r="H759" t="s">
        <v>1659</v>
      </c>
      <c r="J759" t="str">
        <f t="shared" si="11"/>
        <v>FORM N-PORT-C.11</v>
      </c>
      <c r="K759" t="s">
        <v>1721</v>
      </c>
      <c r="L759" t="s">
        <v>783</v>
      </c>
      <c r="M759" t="s">
        <v>1722</v>
      </c>
      <c r="N759" t="s">
        <v>1723</v>
      </c>
      <c r="Q759" s="18" t="s">
        <v>1590</v>
      </c>
    </row>
    <row r="760" spans="1:17" x14ac:dyDescent="0.35">
      <c r="A760" t="s">
        <v>1334</v>
      </c>
      <c r="B760" s="3" t="s">
        <v>102</v>
      </c>
      <c r="C760" s="3"/>
      <c r="D760" s="3"/>
      <c r="E760" s="3"/>
      <c r="F760" t="s">
        <v>551</v>
      </c>
      <c r="H760" t="s">
        <v>1659</v>
      </c>
      <c r="J760" t="str">
        <f t="shared" si="11"/>
        <v>FORM N-PORT-C.11</v>
      </c>
      <c r="K760" t="s">
        <v>1724</v>
      </c>
      <c r="L760" t="s">
        <v>783</v>
      </c>
      <c r="M760" t="s">
        <v>1725</v>
      </c>
      <c r="N760" t="s">
        <v>1726</v>
      </c>
      <c r="Q760" s="18" t="s">
        <v>1590</v>
      </c>
    </row>
    <row r="761" spans="1:17" x14ac:dyDescent="0.35">
      <c r="A761" t="s">
        <v>1334</v>
      </c>
      <c r="B761" s="3" t="s">
        <v>102</v>
      </c>
      <c r="C761" s="3"/>
      <c r="D761" s="3"/>
      <c r="E761" s="3"/>
      <c r="F761" t="s">
        <v>551</v>
      </c>
      <c r="H761" t="s">
        <v>1659</v>
      </c>
      <c r="J761" t="str">
        <f t="shared" si="11"/>
        <v>FORM N-PORT-C.11</v>
      </c>
      <c r="K761" t="s">
        <v>1727</v>
      </c>
      <c r="L761" t="s">
        <v>783</v>
      </c>
      <c r="M761" t="s">
        <v>1688</v>
      </c>
      <c r="N761" t="s">
        <v>1728</v>
      </c>
      <c r="Q761" s="18" t="s">
        <v>1590</v>
      </c>
    </row>
    <row r="762" spans="1:17" x14ac:dyDescent="0.35">
      <c r="A762" t="s">
        <v>1334</v>
      </c>
      <c r="B762" s="3" t="s">
        <v>102</v>
      </c>
      <c r="C762" s="3"/>
      <c r="D762" s="3"/>
      <c r="E762" s="3"/>
      <c r="F762" t="s">
        <v>551</v>
      </c>
      <c r="H762" t="s">
        <v>1729</v>
      </c>
      <c r="J762" t="str">
        <f t="shared" si="11"/>
        <v>FORM N-PORT-C.12</v>
      </c>
      <c r="K762" t="s">
        <v>1730</v>
      </c>
      <c r="L762" t="s">
        <v>1187</v>
      </c>
      <c r="M762" t="s">
        <v>1731</v>
      </c>
      <c r="N762" t="s">
        <v>1732</v>
      </c>
      <c r="Q762" s="18" t="s">
        <v>1341</v>
      </c>
    </row>
    <row r="763" spans="1:17" x14ac:dyDescent="0.35">
      <c r="A763" t="s">
        <v>1334</v>
      </c>
      <c r="B763" s="3" t="s">
        <v>102</v>
      </c>
      <c r="C763" s="3"/>
      <c r="D763" s="3"/>
      <c r="E763" s="3"/>
      <c r="F763" t="s">
        <v>551</v>
      </c>
      <c r="H763" t="s">
        <v>1729</v>
      </c>
      <c r="J763" t="str">
        <f t="shared" si="11"/>
        <v>FORM N-PORT-C.12</v>
      </c>
      <c r="K763" t="s">
        <v>1733</v>
      </c>
      <c r="L763" t="s">
        <v>783</v>
      </c>
      <c r="M763" t="s">
        <v>1734</v>
      </c>
      <c r="N763" t="s">
        <v>1735</v>
      </c>
      <c r="Q763" s="18" t="s">
        <v>1590</v>
      </c>
    </row>
    <row r="764" spans="1:17" x14ac:dyDescent="0.35">
      <c r="A764" t="s">
        <v>1334</v>
      </c>
      <c r="B764" s="3" t="s">
        <v>102</v>
      </c>
      <c r="C764" s="3"/>
      <c r="D764" s="3"/>
      <c r="E764" s="3"/>
      <c r="F764" t="s">
        <v>551</v>
      </c>
      <c r="H764" t="s">
        <v>1729</v>
      </c>
      <c r="J764" t="str">
        <f t="shared" si="11"/>
        <v>FORM N-PORT-C.12</v>
      </c>
      <c r="K764" t="s">
        <v>1736</v>
      </c>
      <c r="L764" t="s">
        <v>1187</v>
      </c>
      <c r="M764" t="s">
        <v>1737</v>
      </c>
      <c r="N764" t="s">
        <v>1738</v>
      </c>
      <c r="Q764" s="18" t="s">
        <v>1341</v>
      </c>
    </row>
    <row r="765" spans="1:17" x14ac:dyDescent="0.35">
      <c r="A765" t="s">
        <v>1334</v>
      </c>
      <c r="B765" s="3" t="s">
        <v>102</v>
      </c>
      <c r="C765" s="3"/>
      <c r="D765" s="3"/>
      <c r="E765" s="3"/>
      <c r="F765" t="s">
        <v>551</v>
      </c>
      <c r="H765" t="s">
        <v>1729</v>
      </c>
      <c r="J765" t="str">
        <f t="shared" si="11"/>
        <v>FORM N-PORT-C.12</v>
      </c>
      <c r="K765" t="s">
        <v>1739</v>
      </c>
      <c r="L765" t="s">
        <v>783</v>
      </c>
      <c r="M765" t="s">
        <v>1740</v>
      </c>
      <c r="N765" t="s">
        <v>1741</v>
      </c>
      <c r="Q765" s="18" t="s">
        <v>1590</v>
      </c>
    </row>
    <row r="766" spans="1:17" x14ac:dyDescent="0.35">
      <c r="A766" t="s">
        <v>1334</v>
      </c>
      <c r="B766" s="3" t="s">
        <v>102</v>
      </c>
      <c r="C766" s="3"/>
      <c r="D766" s="3"/>
      <c r="E766" s="3"/>
      <c r="F766" t="s">
        <v>551</v>
      </c>
      <c r="H766" t="s">
        <v>1729</v>
      </c>
      <c r="J766" t="str">
        <f t="shared" si="11"/>
        <v>FORM N-PORT-C.12</v>
      </c>
      <c r="K766" t="s">
        <v>1742</v>
      </c>
      <c r="L766" t="s">
        <v>1187</v>
      </c>
      <c r="M766" t="s">
        <v>1743</v>
      </c>
      <c r="N766" t="s">
        <v>1744</v>
      </c>
      <c r="Q766" s="18" t="s">
        <v>1341</v>
      </c>
    </row>
    <row r="767" spans="1:17" x14ac:dyDescent="0.35">
      <c r="A767" t="s">
        <v>1334</v>
      </c>
      <c r="B767" s="3" t="s">
        <v>102</v>
      </c>
      <c r="C767" s="3"/>
      <c r="D767" s="3"/>
      <c r="E767" s="3"/>
      <c r="F767" t="s">
        <v>551</v>
      </c>
      <c r="H767" t="s">
        <v>1729</v>
      </c>
      <c r="J767" t="str">
        <f t="shared" si="11"/>
        <v>FORM N-PORT-C.12</v>
      </c>
      <c r="K767" t="s">
        <v>1745</v>
      </c>
      <c r="L767" t="s">
        <v>783</v>
      </c>
      <c r="M767" t="s">
        <v>1746</v>
      </c>
      <c r="N767" t="s">
        <v>1747</v>
      </c>
      <c r="Q767" s="18" t="s">
        <v>1590</v>
      </c>
    </row>
    <row r="768" spans="1:17" x14ac:dyDescent="0.35">
      <c r="A768" t="s">
        <v>1334</v>
      </c>
      <c r="B768" s="3" t="s">
        <v>102</v>
      </c>
      <c r="C768" s="3"/>
      <c r="D768" s="3"/>
      <c r="E768" s="3"/>
      <c r="F768" t="s">
        <v>551</v>
      </c>
      <c r="H768" t="s">
        <v>593</v>
      </c>
      <c r="J768" t="str">
        <f t="shared" si="11"/>
        <v>FORM N-PORT-C.1</v>
      </c>
      <c r="K768" t="s">
        <v>1522</v>
      </c>
      <c r="L768" t="s">
        <v>229</v>
      </c>
      <c r="M768" t="s">
        <v>1523</v>
      </c>
      <c r="N768" t="s">
        <v>1524</v>
      </c>
      <c r="Q768" s="18" t="s">
        <v>9188</v>
      </c>
    </row>
    <row r="769" spans="1:17" x14ac:dyDescent="0.35">
      <c r="A769" t="s">
        <v>1334</v>
      </c>
      <c r="B769" s="3" t="s">
        <v>102</v>
      </c>
      <c r="C769" s="3"/>
      <c r="D769" s="3"/>
      <c r="E769" s="3"/>
      <c r="F769" t="s">
        <v>551</v>
      </c>
      <c r="H769" t="s">
        <v>593</v>
      </c>
      <c r="J769" t="str">
        <f t="shared" si="11"/>
        <v>FORM N-PORT-C.1</v>
      </c>
      <c r="K769" t="s">
        <v>1526</v>
      </c>
      <c r="L769" t="s">
        <v>1313</v>
      </c>
      <c r="M769" t="s">
        <v>1527</v>
      </c>
      <c r="N769" t="s">
        <v>1528</v>
      </c>
      <c r="Q769" s="18" t="s">
        <v>9183</v>
      </c>
    </row>
    <row r="770" spans="1:17" x14ac:dyDescent="0.35">
      <c r="A770" t="s">
        <v>1334</v>
      </c>
      <c r="B770" s="3" t="s">
        <v>102</v>
      </c>
      <c r="C770" s="3"/>
      <c r="D770" s="3"/>
      <c r="E770" s="3"/>
      <c r="F770" t="s">
        <v>551</v>
      </c>
      <c r="H770" t="s">
        <v>593</v>
      </c>
      <c r="J770" t="str">
        <f t="shared" si="11"/>
        <v>FORM N-PORT-C.1</v>
      </c>
      <c r="K770" t="s">
        <v>1530</v>
      </c>
      <c r="L770" t="s">
        <v>229</v>
      </c>
      <c r="M770" t="s">
        <v>1531</v>
      </c>
      <c r="N770" t="s">
        <v>1532</v>
      </c>
      <c r="Q770" s="18" t="s">
        <v>9189</v>
      </c>
    </row>
    <row r="771" spans="1:17" x14ac:dyDescent="0.35">
      <c r="A771" t="s">
        <v>1334</v>
      </c>
      <c r="B771" s="3" t="s">
        <v>102</v>
      </c>
      <c r="C771" s="3"/>
      <c r="D771" s="3"/>
      <c r="E771" s="3"/>
      <c r="F771" t="s">
        <v>551</v>
      </c>
      <c r="H771" t="s">
        <v>593</v>
      </c>
      <c r="J771" t="str">
        <f t="shared" ref="J771:J834" si="12">_xlfn.CONCAT(A771,"-",H771)</f>
        <v>FORM N-PORT-C.1</v>
      </c>
      <c r="K771" t="s">
        <v>1534</v>
      </c>
      <c r="L771" t="s">
        <v>1313</v>
      </c>
      <c r="M771" t="s">
        <v>1535</v>
      </c>
      <c r="N771" t="s">
        <v>1536</v>
      </c>
      <c r="Q771" s="18" t="s">
        <v>9190</v>
      </c>
    </row>
    <row r="772" spans="1:17" x14ac:dyDescent="0.35">
      <c r="A772" t="s">
        <v>1334</v>
      </c>
      <c r="B772" s="3" t="s">
        <v>102</v>
      </c>
      <c r="C772" s="3"/>
      <c r="D772" s="3"/>
      <c r="E772" s="3"/>
      <c r="F772" t="s">
        <v>551</v>
      </c>
      <c r="H772" t="s">
        <v>593</v>
      </c>
      <c r="J772" t="str">
        <f t="shared" si="12"/>
        <v>FORM N-PORT-C.1</v>
      </c>
      <c r="K772" t="s">
        <v>1538</v>
      </c>
      <c r="L772" t="s">
        <v>1313</v>
      </c>
      <c r="M772" t="s">
        <v>1539</v>
      </c>
      <c r="N772" t="s">
        <v>1540</v>
      </c>
      <c r="Q772" s="18" t="s">
        <v>9191</v>
      </c>
    </row>
    <row r="773" spans="1:17" x14ac:dyDescent="0.35">
      <c r="A773" t="s">
        <v>1334</v>
      </c>
      <c r="B773" s="3" t="s">
        <v>102</v>
      </c>
      <c r="C773" s="3"/>
      <c r="D773" s="3"/>
      <c r="E773" s="3"/>
      <c r="F773" t="s">
        <v>551</v>
      </c>
      <c r="H773" t="s">
        <v>1542</v>
      </c>
      <c r="J773" t="str">
        <f t="shared" si="12"/>
        <v>FORM N-PORT-C.2</v>
      </c>
      <c r="K773" t="s">
        <v>1543</v>
      </c>
      <c r="L773" t="s">
        <v>783</v>
      </c>
      <c r="M773" t="s">
        <v>1544</v>
      </c>
      <c r="N773" t="s">
        <v>1545</v>
      </c>
      <c r="Q773" s="18">
        <v>21488000</v>
      </c>
    </row>
    <row r="774" spans="1:17" x14ac:dyDescent="0.35">
      <c r="A774" t="s">
        <v>1334</v>
      </c>
      <c r="B774" s="3" t="s">
        <v>102</v>
      </c>
      <c r="C774" s="3"/>
      <c r="D774" s="3"/>
      <c r="E774" s="3"/>
      <c r="F774" t="s">
        <v>551</v>
      </c>
      <c r="H774" t="s">
        <v>1542</v>
      </c>
      <c r="J774" t="str">
        <f t="shared" si="12"/>
        <v>FORM N-PORT-C.2</v>
      </c>
      <c r="K774" t="s">
        <v>1546</v>
      </c>
      <c r="L774" t="s">
        <v>1502</v>
      </c>
      <c r="M774" t="s">
        <v>1547</v>
      </c>
      <c r="N774" t="s">
        <v>1548</v>
      </c>
      <c r="Q774" s="18" t="s">
        <v>1549</v>
      </c>
    </row>
    <row r="775" spans="1:17" x14ac:dyDescent="0.35">
      <c r="A775" t="s">
        <v>1334</v>
      </c>
      <c r="B775" s="3" t="s">
        <v>102</v>
      </c>
      <c r="C775" s="3"/>
      <c r="D775" s="3"/>
      <c r="E775" s="3"/>
      <c r="F775" t="s">
        <v>551</v>
      </c>
      <c r="H775" t="s">
        <v>1542</v>
      </c>
      <c r="J775" t="str">
        <f t="shared" si="12"/>
        <v>FORM N-PORT-C.2</v>
      </c>
      <c r="K775" t="s">
        <v>1550</v>
      </c>
      <c r="L775" t="s">
        <v>783</v>
      </c>
      <c r="M775" t="s">
        <v>1551</v>
      </c>
      <c r="N775" t="s">
        <v>1552</v>
      </c>
      <c r="Q775" s="18">
        <v>21349380.91</v>
      </c>
    </row>
    <row r="776" spans="1:17" x14ac:dyDescent="0.35">
      <c r="A776" t="s">
        <v>1334</v>
      </c>
      <c r="B776" s="3" t="s">
        <v>102</v>
      </c>
      <c r="C776" s="3"/>
      <c r="D776" s="3"/>
      <c r="E776" s="3"/>
      <c r="F776" t="s">
        <v>551</v>
      </c>
      <c r="H776" t="s">
        <v>1542</v>
      </c>
      <c r="J776" t="str">
        <f t="shared" si="12"/>
        <v>FORM N-PORT-C.2</v>
      </c>
      <c r="K776" t="s">
        <v>1553</v>
      </c>
      <c r="L776" t="s">
        <v>1198</v>
      </c>
      <c r="M776" t="s">
        <v>1554</v>
      </c>
      <c r="N776" t="s">
        <v>1555</v>
      </c>
      <c r="Q776" s="18">
        <v>9.1417372999999993E-3</v>
      </c>
    </row>
    <row r="777" spans="1:17" x14ac:dyDescent="0.35">
      <c r="A777" t="s">
        <v>1334</v>
      </c>
      <c r="B777" s="3" t="s">
        <v>102</v>
      </c>
      <c r="C777" s="3"/>
      <c r="D777" s="3"/>
      <c r="E777" s="3"/>
      <c r="F777" t="s">
        <v>551</v>
      </c>
      <c r="H777" t="s">
        <v>1542</v>
      </c>
      <c r="J777" t="str">
        <f t="shared" si="12"/>
        <v>FORM N-PORT-C.2</v>
      </c>
      <c r="K777" t="s">
        <v>1556</v>
      </c>
      <c r="L777" t="s">
        <v>1187</v>
      </c>
      <c r="M777" t="s">
        <v>1557</v>
      </c>
      <c r="N777" t="s">
        <v>1558</v>
      </c>
      <c r="Q777" s="18" t="s">
        <v>1590</v>
      </c>
    </row>
    <row r="778" spans="1:17" x14ac:dyDescent="0.35">
      <c r="A778" t="s">
        <v>1334</v>
      </c>
      <c r="B778" s="3" t="s">
        <v>102</v>
      </c>
      <c r="C778" s="3"/>
      <c r="D778" s="3"/>
      <c r="E778" s="3"/>
      <c r="F778" t="s">
        <v>551</v>
      </c>
      <c r="H778" t="s">
        <v>1559</v>
      </c>
      <c r="J778" t="str">
        <f t="shared" si="12"/>
        <v>FORM N-PORT-C.3</v>
      </c>
      <c r="K778" t="s">
        <v>1560</v>
      </c>
      <c r="L778" t="s">
        <v>229</v>
      </c>
      <c r="M778" t="s">
        <v>1561</v>
      </c>
      <c r="N778" t="s">
        <v>1562</v>
      </c>
      <c r="Q778" s="18" t="s">
        <v>1563</v>
      </c>
    </row>
    <row r="779" spans="1:17" x14ac:dyDescent="0.35">
      <c r="A779" t="s">
        <v>1334</v>
      </c>
      <c r="B779" s="3" t="s">
        <v>102</v>
      </c>
      <c r="C779" s="3"/>
      <c r="D779" s="3"/>
      <c r="E779" s="3"/>
      <c r="F779" t="s">
        <v>551</v>
      </c>
      <c r="H779" t="s">
        <v>1564</v>
      </c>
      <c r="J779" t="str">
        <f t="shared" si="12"/>
        <v>FORM N-PORT-C.4</v>
      </c>
      <c r="K779" t="s">
        <v>1565</v>
      </c>
      <c r="L779" t="s">
        <v>1566</v>
      </c>
      <c r="M779" t="s">
        <v>1567</v>
      </c>
      <c r="N779" t="s">
        <v>1568</v>
      </c>
      <c r="Q779" s="18" t="s">
        <v>1569</v>
      </c>
    </row>
    <row r="780" spans="1:17" x14ac:dyDescent="0.35">
      <c r="A780" t="s">
        <v>1334</v>
      </c>
      <c r="B780" s="3" t="s">
        <v>102</v>
      </c>
      <c r="C780" s="3"/>
      <c r="D780" s="3"/>
      <c r="E780" s="3"/>
      <c r="F780" t="s">
        <v>551</v>
      </c>
      <c r="H780" t="s">
        <v>1564</v>
      </c>
      <c r="J780" t="str">
        <f t="shared" si="12"/>
        <v>FORM N-PORT-C.4</v>
      </c>
      <c r="K780" t="s">
        <v>1570</v>
      </c>
      <c r="L780" t="s">
        <v>1566</v>
      </c>
      <c r="M780" t="s">
        <v>1571</v>
      </c>
      <c r="N780" t="s">
        <v>1572</v>
      </c>
      <c r="Q780" s="18" t="s">
        <v>1573</v>
      </c>
    </row>
    <row r="781" spans="1:17" x14ac:dyDescent="0.35">
      <c r="A781" t="s">
        <v>1334</v>
      </c>
      <c r="B781" s="3" t="s">
        <v>102</v>
      </c>
      <c r="C781" s="3"/>
      <c r="D781" s="3"/>
      <c r="E781" s="3"/>
      <c r="F781" t="s">
        <v>551</v>
      </c>
      <c r="H781" t="s">
        <v>1574</v>
      </c>
      <c r="J781" t="str">
        <f t="shared" si="12"/>
        <v>FORM N-PORT-C.5</v>
      </c>
      <c r="K781" t="s">
        <v>1575</v>
      </c>
      <c r="L781" t="s">
        <v>1502</v>
      </c>
      <c r="M781" t="s">
        <v>1576</v>
      </c>
      <c r="N781" t="s">
        <v>1577</v>
      </c>
      <c r="Q781" s="18" t="s">
        <v>1578</v>
      </c>
    </row>
    <row r="782" spans="1:17" x14ac:dyDescent="0.35">
      <c r="A782" t="s">
        <v>1334</v>
      </c>
      <c r="B782" s="3" t="s">
        <v>102</v>
      </c>
      <c r="C782" s="3"/>
      <c r="D782" s="3"/>
      <c r="E782" s="3"/>
      <c r="F782" t="s">
        <v>551</v>
      </c>
      <c r="H782" t="s">
        <v>1574</v>
      </c>
      <c r="J782" t="str">
        <f t="shared" si="12"/>
        <v>FORM N-PORT-C.5</v>
      </c>
      <c r="K782" t="s">
        <v>1579</v>
      </c>
      <c r="L782" t="s">
        <v>1502</v>
      </c>
      <c r="M782" t="s">
        <v>1580</v>
      </c>
      <c r="N782" t="s">
        <v>1581</v>
      </c>
      <c r="Q782" s="18" t="s">
        <v>1590</v>
      </c>
    </row>
    <row r="783" spans="1:17" x14ac:dyDescent="0.35">
      <c r="A783" t="s">
        <v>1334</v>
      </c>
      <c r="B783" s="3" t="s">
        <v>102</v>
      </c>
      <c r="C783" s="3"/>
      <c r="D783" s="3"/>
      <c r="E783" s="3"/>
      <c r="F783" t="s">
        <v>551</v>
      </c>
      <c r="H783" t="s">
        <v>1582</v>
      </c>
      <c r="J783" t="str">
        <f t="shared" si="12"/>
        <v>FORM N-PORT-C.6</v>
      </c>
      <c r="K783" t="s">
        <v>1583</v>
      </c>
      <c r="L783" t="s">
        <v>1187</v>
      </c>
      <c r="M783" t="s">
        <v>1584</v>
      </c>
      <c r="N783" t="s">
        <v>1585</v>
      </c>
      <c r="Q783" s="18" t="s">
        <v>1341</v>
      </c>
    </row>
    <row r="784" spans="1:17" x14ac:dyDescent="0.35">
      <c r="A784" t="s">
        <v>1334</v>
      </c>
      <c r="B784" s="3" t="s">
        <v>102</v>
      </c>
      <c r="C784" s="3"/>
      <c r="D784" s="3"/>
      <c r="E784" s="3"/>
      <c r="F784" t="s">
        <v>551</v>
      </c>
      <c r="H784" t="s">
        <v>1586</v>
      </c>
      <c r="J784" t="str">
        <f t="shared" si="12"/>
        <v>FORM N-PORT-C.7</v>
      </c>
      <c r="K784" t="s">
        <v>1587</v>
      </c>
      <c r="L784" t="s">
        <v>1566</v>
      </c>
      <c r="M784" t="s">
        <v>1588</v>
      </c>
      <c r="N784" t="s">
        <v>1589</v>
      </c>
      <c r="Q784" s="18" t="s">
        <v>1590</v>
      </c>
    </row>
    <row r="785" spans="1:17" x14ac:dyDescent="0.35">
      <c r="A785" t="s">
        <v>1334</v>
      </c>
      <c r="B785" s="3" t="s">
        <v>102</v>
      </c>
      <c r="C785" s="3"/>
      <c r="D785" s="3"/>
      <c r="E785" s="3"/>
      <c r="F785" t="s">
        <v>551</v>
      </c>
      <c r="H785" t="s">
        <v>1591</v>
      </c>
      <c r="J785" t="str">
        <f t="shared" si="12"/>
        <v>FORM N-PORT-C.8</v>
      </c>
      <c r="K785" t="s">
        <v>1592</v>
      </c>
      <c r="L785" t="s">
        <v>241</v>
      </c>
      <c r="M785" t="s">
        <v>1593</v>
      </c>
      <c r="N785" t="s">
        <v>1594</v>
      </c>
      <c r="Q785" s="18">
        <v>2</v>
      </c>
    </row>
    <row r="786" spans="1:17" x14ac:dyDescent="0.35">
      <c r="A786" t="s">
        <v>1334</v>
      </c>
      <c r="B786" s="3" t="s">
        <v>102</v>
      </c>
      <c r="C786" s="3"/>
      <c r="D786" s="3"/>
      <c r="E786" s="3"/>
      <c r="F786" t="s">
        <v>551</v>
      </c>
      <c r="H786" t="s">
        <v>1595</v>
      </c>
      <c r="J786" t="str">
        <f t="shared" si="12"/>
        <v>FORM N-PORT-C.9</v>
      </c>
      <c r="K786" t="s">
        <v>1596</v>
      </c>
      <c r="L786" t="s">
        <v>1331</v>
      </c>
      <c r="M786" t="s">
        <v>1597</v>
      </c>
      <c r="N786" t="s">
        <v>1598</v>
      </c>
      <c r="Q786" s="17">
        <v>48716</v>
      </c>
    </row>
    <row r="787" spans="1:17" x14ac:dyDescent="0.35">
      <c r="A787" t="s">
        <v>1334</v>
      </c>
      <c r="B787" s="3" t="s">
        <v>102</v>
      </c>
      <c r="C787" s="3"/>
      <c r="D787" s="3"/>
      <c r="E787" s="3"/>
      <c r="F787" t="s">
        <v>551</v>
      </c>
      <c r="H787" t="s">
        <v>1595</v>
      </c>
      <c r="J787" t="str">
        <f t="shared" si="12"/>
        <v>FORM N-PORT-C.9</v>
      </c>
      <c r="K787" t="s">
        <v>1599</v>
      </c>
      <c r="L787" t="s">
        <v>1600</v>
      </c>
      <c r="M787" t="s">
        <v>1601</v>
      </c>
      <c r="N787" t="s">
        <v>1602</v>
      </c>
      <c r="Q787" s="18" t="s">
        <v>9192</v>
      </c>
    </row>
    <row r="788" spans="1:17" x14ac:dyDescent="0.35">
      <c r="A788" t="s">
        <v>1334</v>
      </c>
      <c r="B788" s="3" t="s">
        <v>102</v>
      </c>
      <c r="C788" s="3"/>
      <c r="D788" s="3"/>
      <c r="E788" s="3"/>
      <c r="F788" t="s">
        <v>551</v>
      </c>
      <c r="H788" t="s">
        <v>1595</v>
      </c>
      <c r="J788" t="str">
        <f t="shared" si="12"/>
        <v>FORM N-PORT-C.9</v>
      </c>
      <c r="K788" t="s">
        <v>1604</v>
      </c>
      <c r="L788" t="s">
        <v>1187</v>
      </c>
      <c r="M788" t="s">
        <v>1605</v>
      </c>
      <c r="N788" t="s">
        <v>1606</v>
      </c>
      <c r="Q788" s="18" t="s">
        <v>1341</v>
      </c>
    </row>
    <row r="789" spans="1:17" x14ac:dyDescent="0.35">
      <c r="A789" t="s">
        <v>1334</v>
      </c>
      <c r="B789" s="3" t="s">
        <v>102</v>
      </c>
      <c r="C789" s="3"/>
      <c r="D789" s="3"/>
      <c r="E789" s="3"/>
      <c r="F789" t="s">
        <v>551</v>
      </c>
      <c r="H789" t="s">
        <v>1595</v>
      </c>
      <c r="J789" t="str">
        <f t="shared" si="12"/>
        <v>FORM N-PORT-C.9</v>
      </c>
      <c r="K789" t="s">
        <v>1607</v>
      </c>
      <c r="L789" t="s">
        <v>1187</v>
      </c>
      <c r="M789" t="s">
        <v>1608</v>
      </c>
      <c r="N789" t="s">
        <v>1609</v>
      </c>
      <c r="Q789" s="18" t="s">
        <v>1341</v>
      </c>
    </row>
    <row r="790" spans="1:17" x14ac:dyDescent="0.35">
      <c r="A790" t="s">
        <v>1334</v>
      </c>
      <c r="B790" s="3" t="s">
        <v>102</v>
      </c>
      <c r="C790" s="3"/>
      <c r="D790" s="3"/>
      <c r="E790" s="3"/>
      <c r="F790" t="s">
        <v>551</v>
      </c>
      <c r="H790" t="s">
        <v>1595</v>
      </c>
      <c r="J790" t="str">
        <f t="shared" si="12"/>
        <v>FORM N-PORT-C.9</v>
      </c>
      <c r="K790" t="s">
        <v>1610</v>
      </c>
      <c r="L790" t="s">
        <v>1187</v>
      </c>
      <c r="M790" t="s">
        <v>1611</v>
      </c>
      <c r="N790" t="s">
        <v>1612</v>
      </c>
      <c r="Q790" s="18" t="s">
        <v>1341</v>
      </c>
    </row>
    <row r="791" spans="1:17" x14ac:dyDescent="0.35">
      <c r="A791" t="s">
        <v>1334</v>
      </c>
      <c r="B791" s="3" t="s">
        <v>102</v>
      </c>
      <c r="C791" s="3"/>
      <c r="D791" s="3"/>
      <c r="E791" s="3"/>
      <c r="F791" t="s">
        <v>551</v>
      </c>
      <c r="H791" t="s">
        <v>1595</v>
      </c>
      <c r="J791" t="str">
        <f t="shared" si="12"/>
        <v>FORM N-PORT-C.9</v>
      </c>
      <c r="K791" t="s">
        <v>1613</v>
      </c>
      <c r="L791" t="s">
        <v>1187</v>
      </c>
      <c r="M791" t="s">
        <v>1614</v>
      </c>
      <c r="N791" t="s">
        <v>1615</v>
      </c>
      <c r="Q791" s="18" t="s">
        <v>1590</v>
      </c>
    </row>
    <row r="792" spans="1:17" x14ac:dyDescent="0.35">
      <c r="A792" t="s">
        <v>1334</v>
      </c>
      <c r="B792" s="3" t="s">
        <v>102</v>
      </c>
      <c r="C792" s="3"/>
      <c r="D792" s="3"/>
      <c r="E792" s="3"/>
      <c r="F792" t="s">
        <v>551</v>
      </c>
      <c r="H792" t="s">
        <v>1595</v>
      </c>
      <c r="J792" t="str">
        <f t="shared" si="12"/>
        <v>FORM N-PORT-C.9</v>
      </c>
      <c r="K792" t="s">
        <v>1616</v>
      </c>
      <c r="L792" t="s">
        <v>1187</v>
      </c>
      <c r="M792" t="s">
        <v>1617</v>
      </c>
      <c r="N792" t="s">
        <v>1618</v>
      </c>
      <c r="Q792" s="18" t="s">
        <v>1590</v>
      </c>
    </row>
    <row r="793" spans="1:17" x14ac:dyDescent="0.35">
      <c r="A793" t="s">
        <v>1334</v>
      </c>
      <c r="B793" s="3" t="s">
        <v>102</v>
      </c>
      <c r="C793" s="3"/>
      <c r="D793" s="3"/>
      <c r="E793" s="3"/>
      <c r="F793" t="s">
        <v>551</v>
      </c>
      <c r="H793" t="s">
        <v>1595</v>
      </c>
      <c r="J793" t="str">
        <f t="shared" si="12"/>
        <v>FORM N-PORT-C.9</v>
      </c>
      <c r="K793" t="s">
        <v>1619</v>
      </c>
      <c r="L793" t="s">
        <v>1502</v>
      </c>
      <c r="M793" t="s">
        <v>1620</v>
      </c>
      <c r="N793" t="s">
        <v>1621</v>
      </c>
      <c r="Q793" s="18" t="s">
        <v>1590</v>
      </c>
    </row>
    <row r="794" spans="1:17" x14ac:dyDescent="0.35">
      <c r="A794" t="s">
        <v>1334</v>
      </c>
      <c r="B794" s="3" t="s">
        <v>102</v>
      </c>
      <c r="C794" s="3"/>
      <c r="D794" s="3"/>
      <c r="E794" s="3"/>
      <c r="F794" t="s">
        <v>551</v>
      </c>
      <c r="H794" t="s">
        <v>1595</v>
      </c>
      <c r="J794" t="str">
        <f t="shared" si="12"/>
        <v>FORM N-PORT-C.9</v>
      </c>
      <c r="K794" t="s">
        <v>1622</v>
      </c>
      <c r="L794" t="s">
        <v>783</v>
      </c>
      <c r="M794" t="s">
        <v>1623</v>
      </c>
      <c r="N794" t="s">
        <v>1624</v>
      </c>
      <c r="Q794" s="18" t="s">
        <v>1590</v>
      </c>
    </row>
    <row r="795" spans="1:17" x14ac:dyDescent="0.35">
      <c r="A795" t="s">
        <v>1334</v>
      </c>
      <c r="B795" s="3" t="s">
        <v>102</v>
      </c>
      <c r="C795" s="3"/>
      <c r="D795" s="3"/>
      <c r="E795" s="3"/>
      <c r="F795" t="s">
        <v>551</v>
      </c>
      <c r="H795" t="s">
        <v>1595</v>
      </c>
      <c r="J795" t="str">
        <f t="shared" si="12"/>
        <v>FORM N-PORT-C.9</v>
      </c>
      <c r="K795" t="s">
        <v>1625</v>
      </c>
      <c r="L795" t="s">
        <v>783</v>
      </c>
      <c r="M795" t="s">
        <v>1626</v>
      </c>
      <c r="N795" t="s">
        <v>1627</v>
      </c>
      <c r="Q795" s="18" t="s">
        <v>1590</v>
      </c>
    </row>
    <row r="796" spans="1:17" x14ac:dyDescent="0.35">
      <c r="A796" t="s">
        <v>1334</v>
      </c>
      <c r="B796" s="3" t="s">
        <v>102</v>
      </c>
      <c r="C796" s="3"/>
      <c r="D796" s="3"/>
      <c r="E796" s="3"/>
      <c r="F796" t="s">
        <v>551</v>
      </c>
      <c r="H796" t="s">
        <v>1628</v>
      </c>
      <c r="J796" t="str">
        <f t="shared" si="12"/>
        <v>FORM N-PORT-C.10</v>
      </c>
      <c r="K796" t="s">
        <v>1629</v>
      </c>
      <c r="L796" t="s">
        <v>1566</v>
      </c>
      <c r="M796" t="s">
        <v>1630</v>
      </c>
      <c r="N796" t="s">
        <v>1631</v>
      </c>
      <c r="Q796" s="18" t="s">
        <v>1590</v>
      </c>
    </row>
    <row r="797" spans="1:17" x14ac:dyDescent="0.35">
      <c r="A797" t="s">
        <v>1334</v>
      </c>
      <c r="B797" s="3" t="s">
        <v>102</v>
      </c>
      <c r="C797" s="3"/>
      <c r="D797" s="3"/>
      <c r="E797" s="3"/>
      <c r="F797" t="s">
        <v>551</v>
      </c>
      <c r="H797" t="s">
        <v>1628</v>
      </c>
      <c r="J797" t="str">
        <f t="shared" si="12"/>
        <v>FORM N-PORT-C.10</v>
      </c>
      <c r="K797" t="s">
        <v>1632</v>
      </c>
      <c r="L797" t="s">
        <v>1502</v>
      </c>
      <c r="M797" t="s">
        <v>1633</v>
      </c>
      <c r="N797" t="s">
        <v>1634</v>
      </c>
      <c r="Q797" s="18" t="s">
        <v>1590</v>
      </c>
    </row>
    <row r="798" spans="1:17" x14ac:dyDescent="0.35">
      <c r="A798" t="s">
        <v>1334</v>
      </c>
      <c r="B798" s="3" t="s">
        <v>102</v>
      </c>
      <c r="C798" s="3"/>
      <c r="D798" s="3"/>
      <c r="E798" s="3"/>
      <c r="F798" t="s">
        <v>551</v>
      </c>
      <c r="H798" t="s">
        <v>1628</v>
      </c>
      <c r="J798" t="str">
        <f t="shared" si="12"/>
        <v>FORM N-PORT-C.10</v>
      </c>
      <c r="K798" t="s">
        <v>1635</v>
      </c>
      <c r="L798" t="s">
        <v>1187</v>
      </c>
      <c r="M798" t="s">
        <v>1636</v>
      </c>
      <c r="N798" t="s">
        <v>1637</v>
      </c>
      <c r="Q798" s="18" t="s">
        <v>1590</v>
      </c>
    </row>
    <row r="799" spans="1:17" x14ac:dyDescent="0.35">
      <c r="A799" t="s">
        <v>1334</v>
      </c>
      <c r="B799" s="3" t="s">
        <v>102</v>
      </c>
      <c r="C799" s="3"/>
      <c r="D799" s="3"/>
      <c r="E799" s="3"/>
      <c r="F799" t="s">
        <v>551</v>
      </c>
      <c r="H799" t="s">
        <v>1628</v>
      </c>
      <c r="J799" t="str">
        <f t="shared" si="12"/>
        <v>FORM N-PORT-C.10</v>
      </c>
      <c r="K799" t="s">
        <v>1638</v>
      </c>
      <c r="L799" t="s">
        <v>1502</v>
      </c>
      <c r="M799" t="s">
        <v>1639</v>
      </c>
      <c r="N799" t="s">
        <v>1640</v>
      </c>
      <c r="Q799" s="18" t="s">
        <v>1590</v>
      </c>
    </row>
    <row r="800" spans="1:17" x14ac:dyDescent="0.35">
      <c r="A800" t="s">
        <v>1334</v>
      </c>
      <c r="B800" s="3" t="s">
        <v>102</v>
      </c>
      <c r="C800" s="3"/>
      <c r="D800" s="3"/>
      <c r="E800" s="3"/>
      <c r="F800" t="s">
        <v>551</v>
      </c>
      <c r="H800" t="s">
        <v>1628</v>
      </c>
      <c r="J800" t="str">
        <f t="shared" si="12"/>
        <v>FORM N-PORT-C.10</v>
      </c>
      <c r="K800" t="s">
        <v>1641</v>
      </c>
      <c r="L800" t="s">
        <v>1187</v>
      </c>
      <c r="M800" t="s">
        <v>1642</v>
      </c>
      <c r="N800" t="s">
        <v>1643</v>
      </c>
      <c r="Q800" s="18" t="s">
        <v>1590</v>
      </c>
    </row>
    <row r="801" spans="1:17" x14ac:dyDescent="0.35">
      <c r="A801" t="s">
        <v>1334</v>
      </c>
      <c r="B801" s="3" t="s">
        <v>102</v>
      </c>
      <c r="C801" s="3"/>
      <c r="D801" s="3"/>
      <c r="E801" s="3"/>
      <c r="F801" t="s">
        <v>551</v>
      </c>
      <c r="H801" t="s">
        <v>1628</v>
      </c>
      <c r="J801" t="str">
        <f t="shared" si="12"/>
        <v>FORM N-PORT-C.10</v>
      </c>
      <c r="K801" t="s">
        <v>1644</v>
      </c>
      <c r="L801" t="s">
        <v>1198</v>
      </c>
      <c r="M801" t="s">
        <v>1645</v>
      </c>
      <c r="N801" t="s">
        <v>1646</v>
      </c>
      <c r="Q801" s="18" t="s">
        <v>1590</v>
      </c>
    </row>
    <row r="802" spans="1:17" x14ac:dyDescent="0.35">
      <c r="A802" t="s">
        <v>1334</v>
      </c>
      <c r="B802" s="3" t="s">
        <v>102</v>
      </c>
      <c r="C802" s="3"/>
      <c r="D802" s="3"/>
      <c r="E802" s="3"/>
      <c r="F802" t="s">
        <v>551</v>
      </c>
      <c r="H802" t="s">
        <v>1628</v>
      </c>
      <c r="J802" t="str">
        <f t="shared" si="12"/>
        <v>FORM N-PORT-C.10</v>
      </c>
      <c r="K802" t="s">
        <v>1647</v>
      </c>
      <c r="L802" t="s">
        <v>1331</v>
      </c>
      <c r="M802" t="s">
        <v>1648</v>
      </c>
      <c r="N802" t="s">
        <v>1649</v>
      </c>
      <c r="Q802" s="18" t="s">
        <v>1590</v>
      </c>
    </row>
    <row r="803" spans="1:17" x14ac:dyDescent="0.35">
      <c r="A803" t="s">
        <v>1334</v>
      </c>
      <c r="B803" s="3" t="s">
        <v>102</v>
      </c>
      <c r="C803" s="3"/>
      <c r="D803" s="3"/>
      <c r="E803" s="3"/>
      <c r="F803" t="s">
        <v>551</v>
      </c>
      <c r="H803" t="s">
        <v>1628</v>
      </c>
      <c r="J803" t="str">
        <f t="shared" si="12"/>
        <v>FORM N-PORT-C.10</v>
      </c>
      <c r="K803" t="s">
        <v>1650</v>
      </c>
      <c r="L803" t="s">
        <v>783</v>
      </c>
      <c r="M803" t="s">
        <v>1651</v>
      </c>
      <c r="N803" t="s">
        <v>1652</v>
      </c>
      <c r="Q803" s="18" t="s">
        <v>1590</v>
      </c>
    </row>
    <row r="804" spans="1:17" x14ac:dyDescent="0.35">
      <c r="A804" t="s">
        <v>1334</v>
      </c>
      <c r="B804" s="3" t="s">
        <v>102</v>
      </c>
      <c r="C804" s="3"/>
      <c r="D804" s="3"/>
      <c r="E804" s="3"/>
      <c r="F804" t="s">
        <v>551</v>
      </c>
      <c r="H804" t="s">
        <v>1628</v>
      </c>
      <c r="J804" t="str">
        <f t="shared" si="12"/>
        <v>FORM N-PORT-C.10</v>
      </c>
      <c r="K804" t="s">
        <v>1653</v>
      </c>
      <c r="L804" t="s">
        <v>783</v>
      </c>
      <c r="M804" t="s">
        <v>1654</v>
      </c>
      <c r="N804" t="s">
        <v>1655</v>
      </c>
      <c r="Q804" s="18" t="s">
        <v>1590</v>
      </c>
    </row>
    <row r="805" spans="1:17" x14ac:dyDescent="0.35">
      <c r="A805" t="s">
        <v>1334</v>
      </c>
      <c r="B805" s="3" t="s">
        <v>102</v>
      </c>
      <c r="C805" s="3"/>
      <c r="D805" s="3"/>
      <c r="E805" s="3"/>
      <c r="F805" t="s">
        <v>551</v>
      </c>
      <c r="H805" t="s">
        <v>1628</v>
      </c>
      <c r="J805" t="str">
        <f t="shared" si="12"/>
        <v>FORM N-PORT-C.10</v>
      </c>
      <c r="K805" t="s">
        <v>1656</v>
      </c>
      <c r="L805" t="s">
        <v>1566</v>
      </c>
      <c r="M805" t="s">
        <v>1657</v>
      </c>
      <c r="N805" t="s">
        <v>1658</v>
      </c>
      <c r="Q805" s="18" t="s">
        <v>1590</v>
      </c>
    </row>
    <row r="806" spans="1:17" x14ac:dyDescent="0.35">
      <c r="A806" t="s">
        <v>1334</v>
      </c>
      <c r="B806" s="3" t="s">
        <v>102</v>
      </c>
      <c r="C806" s="3"/>
      <c r="D806" s="3"/>
      <c r="E806" s="3"/>
      <c r="F806" t="s">
        <v>551</v>
      </c>
      <c r="H806" t="s">
        <v>1659</v>
      </c>
      <c r="J806" t="str">
        <f t="shared" si="12"/>
        <v>FORM N-PORT-C.11</v>
      </c>
      <c r="K806" t="s">
        <v>1660</v>
      </c>
      <c r="L806" t="s">
        <v>1566</v>
      </c>
      <c r="M806" t="s">
        <v>1661</v>
      </c>
      <c r="N806" t="s">
        <v>1662</v>
      </c>
      <c r="Q806" s="18" t="s">
        <v>1590</v>
      </c>
    </row>
    <row r="807" spans="1:17" x14ac:dyDescent="0.35">
      <c r="A807" t="s">
        <v>1334</v>
      </c>
      <c r="B807" s="3" t="s">
        <v>102</v>
      </c>
      <c r="C807" s="3"/>
      <c r="D807" s="3"/>
      <c r="E807" s="3"/>
      <c r="F807" t="s">
        <v>551</v>
      </c>
      <c r="H807" t="s">
        <v>1659</v>
      </c>
      <c r="J807" t="str">
        <f t="shared" si="12"/>
        <v>FORM N-PORT-C.11</v>
      </c>
      <c r="K807" t="s">
        <v>1663</v>
      </c>
      <c r="L807" t="s">
        <v>1502</v>
      </c>
      <c r="M807" t="s">
        <v>1664</v>
      </c>
      <c r="N807" t="s">
        <v>1665</v>
      </c>
      <c r="Q807" s="18" t="s">
        <v>1590</v>
      </c>
    </row>
    <row r="808" spans="1:17" x14ac:dyDescent="0.35">
      <c r="A808" t="s">
        <v>1334</v>
      </c>
      <c r="B808" s="3" t="s">
        <v>102</v>
      </c>
      <c r="C808" s="3"/>
      <c r="D808" s="3"/>
      <c r="E808" s="3"/>
      <c r="F808" t="s">
        <v>551</v>
      </c>
      <c r="H808" t="s">
        <v>1659</v>
      </c>
      <c r="J808" t="str">
        <f t="shared" si="12"/>
        <v>FORM N-PORT-C.11</v>
      </c>
      <c r="K808" t="s">
        <v>1666</v>
      </c>
      <c r="L808" t="s">
        <v>1566</v>
      </c>
      <c r="M808" t="s">
        <v>1667</v>
      </c>
      <c r="N808" t="s">
        <v>1668</v>
      </c>
      <c r="Q808" s="18" t="s">
        <v>1590</v>
      </c>
    </row>
    <row r="809" spans="1:17" x14ac:dyDescent="0.35">
      <c r="A809" t="s">
        <v>1334</v>
      </c>
      <c r="B809" s="3" t="s">
        <v>102</v>
      </c>
      <c r="C809" s="3"/>
      <c r="D809" s="3"/>
      <c r="E809" s="3"/>
      <c r="F809" t="s">
        <v>551</v>
      </c>
      <c r="H809" t="s">
        <v>1659</v>
      </c>
      <c r="J809" t="str">
        <f t="shared" si="12"/>
        <v>FORM N-PORT-C.11</v>
      </c>
      <c r="K809" t="s">
        <v>1669</v>
      </c>
      <c r="L809" t="s">
        <v>1566</v>
      </c>
      <c r="M809" t="s">
        <v>1670</v>
      </c>
      <c r="N809" t="s">
        <v>1671</v>
      </c>
      <c r="Q809" s="18" t="s">
        <v>1590</v>
      </c>
    </row>
    <row r="810" spans="1:17" x14ac:dyDescent="0.35">
      <c r="A810" t="s">
        <v>1334</v>
      </c>
      <c r="B810" s="3" t="s">
        <v>102</v>
      </c>
      <c r="C810" s="3"/>
      <c r="D810" s="3"/>
      <c r="E810" s="3"/>
      <c r="F810" t="s">
        <v>551</v>
      </c>
      <c r="H810" t="s">
        <v>1659</v>
      </c>
      <c r="J810" t="str">
        <f t="shared" si="12"/>
        <v>FORM N-PORT-C.11</v>
      </c>
      <c r="K810" t="s">
        <v>1672</v>
      </c>
      <c r="L810" t="s">
        <v>1502</v>
      </c>
      <c r="M810" t="s">
        <v>1673</v>
      </c>
      <c r="N810" t="s">
        <v>1674</v>
      </c>
      <c r="Q810" s="18" t="s">
        <v>1590</v>
      </c>
    </row>
    <row r="811" spans="1:17" x14ac:dyDescent="0.35">
      <c r="A811" t="s">
        <v>1334</v>
      </c>
      <c r="B811" s="3" t="s">
        <v>102</v>
      </c>
      <c r="C811" s="3"/>
      <c r="D811" s="3"/>
      <c r="E811" s="3"/>
      <c r="F811" t="s">
        <v>551</v>
      </c>
      <c r="H811" t="s">
        <v>1659</v>
      </c>
      <c r="J811" t="str">
        <f t="shared" si="12"/>
        <v>FORM N-PORT-C.11</v>
      </c>
      <c r="K811" t="s">
        <v>1675</v>
      </c>
      <c r="L811" t="s">
        <v>783</v>
      </c>
      <c r="M811" t="s">
        <v>1676</v>
      </c>
      <c r="N811" t="s">
        <v>1677</v>
      </c>
      <c r="Q811" s="18" t="s">
        <v>1590</v>
      </c>
    </row>
    <row r="812" spans="1:17" x14ac:dyDescent="0.35">
      <c r="A812" t="s">
        <v>1334</v>
      </c>
      <c r="B812" s="3" t="s">
        <v>102</v>
      </c>
      <c r="C812" s="3"/>
      <c r="D812" s="3"/>
      <c r="E812" s="3"/>
      <c r="F812" t="s">
        <v>551</v>
      </c>
      <c r="H812" t="s">
        <v>1659</v>
      </c>
      <c r="J812" t="str">
        <f t="shared" si="12"/>
        <v>FORM N-PORT-C.11</v>
      </c>
      <c r="K812" t="s">
        <v>1678</v>
      </c>
      <c r="L812" t="s">
        <v>783</v>
      </c>
      <c r="M812" t="s">
        <v>1679</v>
      </c>
      <c r="N812" t="s">
        <v>1680</v>
      </c>
      <c r="Q812" s="18" t="s">
        <v>1590</v>
      </c>
    </row>
    <row r="813" spans="1:17" x14ac:dyDescent="0.35">
      <c r="A813" t="s">
        <v>1334</v>
      </c>
      <c r="B813" s="3" t="s">
        <v>102</v>
      </c>
      <c r="C813" s="3"/>
      <c r="D813" s="3"/>
      <c r="E813" s="3"/>
      <c r="F813" t="s">
        <v>551</v>
      </c>
      <c r="H813" t="s">
        <v>1659</v>
      </c>
      <c r="J813" t="str">
        <f t="shared" si="12"/>
        <v>FORM N-PORT-C.11</v>
      </c>
      <c r="K813" t="s">
        <v>1681</v>
      </c>
      <c r="L813" t="s">
        <v>1331</v>
      </c>
      <c r="M813" t="s">
        <v>1682</v>
      </c>
      <c r="N813" t="s">
        <v>1683</v>
      </c>
      <c r="Q813" s="18" t="s">
        <v>1590</v>
      </c>
    </row>
    <row r="814" spans="1:17" x14ac:dyDescent="0.35">
      <c r="A814" t="s">
        <v>1334</v>
      </c>
      <c r="B814" s="3" t="s">
        <v>102</v>
      </c>
      <c r="C814" s="3"/>
      <c r="D814" s="3"/>
      <c r="E814" s="3"/>
      <c r="F814" t="s">
        <v>551</v>
      </c>
      <c r="H814" t="s">
        <v>1659</v>
      </c>
      <c r="J814" t="str">
        <f t="shared" si="12"/>
        <v>FORM N-PORT-C.11</v>
      </c>
      <c r="K814" t="s">
        <v>1684</v>
      </c>
      <c r="L814" t="s">
        <v>783</v>
      </c>
      <c r="M814" t="s">
        <v>1685</v>
      </c>
      <c r="N814" t="s">
        <v>1686</v>
      </c>
      <c r="Q814" s="18" t="s">
        <v>1590</v>
      </c>
    </row>
    <row r="815" spans="1:17" x14ac:dyDescent="0.35">
      <c r="A815" t="s">
        <v>1334</v>
      </c>
      <c r="B815" s="3" t="s">
        <v>102</v>
      </c>
      <c r="C815" s="3"/>
      <c r="D815" s="3"/>
      <c r="E815" s="3"/>
      <c r="F815" t="s">
        <v>551</v>
      </c>
      <c r="H815" t="s">
        <v>1659</v>
      </c>
      <c r="J815" t="str">
        <f t="shared" si="12"/>
        <v>FORM N-PORT-C.11</v>
      </c>
      <c r="K815" t="s">
        <v>1687</v>
      </c>
      <c r="L815" t="s">
        <v>783</v>
      </c>
      <c r="M815" t="s">
        <v>1688</v>
      </c>
      <c r="N815" t="s">
        <v>1689</v>
      </c>
      <c r="Q815" s="18" t="s">
        <v>1590</v>
      </c>
    </row>
    <row r="816" spans="1:17" x14ac:dyDescent="0.35">
      <c r="A816" t="s">
        <v>1334</v>
      </c>
      <c r="B816" s="3" t="s">
        <v>102</v>
      </c>
      <c r="C816" s="3"/>
      <c r="D816" s="3"/>
      <c r="E816" s="3"/>
      <c r="F816" t="s">
        <v>551</v>
      </c>
      <c r="H816" t="s">
        <v>1659</v>
      </c>
      <c r="J816" t="str">
        <f t="shared" si="12"/>
        <v>FORM N-PORT-C.11</v>
      </c>
      <c r="K816" t="s">
        <v>1690</v>
      </c>
      <c r="L816" t="s">
        <v>1566</v>
      </c>
      <c r="M816" t="s">
        <v>1691</v>
      </c>
      <c r="N816" t="s">
        <v>1692</v>
      </c>
      <c r="Q816" s="18" t="s">
        <v>1590</v>
      </c>
    </row>
    <row r="817" spans="1:17" x14ac:dyDescent="0.35">
      <c r="A817" t="s">
        <v>1334</v>
      </c>
      <c r="B817" s="3" t="s">
        <v>102</v>
      </c>
      <c r="C817" s="3"/>
      <c r="D817" s="3"/>
      <c r="E817" s="3"/>
      <c r="F817" t="s">
        <v>551</v>
      </c>
      <c r="H817" t="s">
        <v>1659</v>
      </c>
      <c r="J817" t="str">
        <f t="shared" si="12"/>
        <v>FORM N-PORT-C.11</v>
      </c>
      <c r="K817" t="s">
        <v>1693</v>
      </c>
      <c r="L817" t="s">
        <v>1502</v>
      </c>
      <c r="M817" t="s">
        <v>1694</v>
      </c>
      <c r="N817" t="s">
        <v>1695</v>
      </c>
      <c r="Q817" s="18" t="s">
        <v>1590</v>
      </c>
    </row>
    <row r="818" spans="1:17" x14ac:dyDescent="0.35">
      <c r="A818" t="s">
        <v>1334</v>
      </c>
      <c r="B818" s="3" t="s">
        <v>102</v>
      </c>
      <c r="C818" s="3"/>
      <c r="D818" s="3"/>
      <c r="E818" s="3"/>
      <c r="F818" t="s">
        <v>551</v>
      </c>
      <c r="H818" t="s">
        <v>1659</v>
      </c>
      <c r="J818" t="str">
        <f t="shared" si="12"/>
        <v>FORM N-PORT-C.11</v>
      </c>
      <c r="K818" t="s">
        <v>1696</v>
      </c>
      <c r="L818" t="s">
        <v>1331</v>
      </c>
      <c r="M818" t="s">
        <v>1697</v>
      </c>
      <c r="N818" t="s">
        <v>1698</v>
      </c>
      <c r="Q818" s="18" t="s">
        <v>1590</v>
      </c>
    </row>
    <row r="819" spans="1:17" x14ac:dyDescent="0.35">
      <c r="A819" t="s">
        <v>1334</v>
      </c>
      <c r="B819" s="3" t="s">
        <v>102</v>
      </c>
      <c r="C819" s="3"/>
      <c r="D819" s="3"/>
      <c r="E819" s="3"/>
      <c r="F819" t="s">
        <v>551</v>
      </c>
      <c r="H819" t="s">
        <v>1659</v>
      </c>
      <c r="J819" t="str">
        <f t="shared" si="12"/>
        <v>FORM N-PORT-C.11</v>
      </c>
      <c r="K819" t="s">
        <v>1699</v>
      </c>
      <c r="L819" t="s">
        <v>783</v>
      </c>
      <c r="M819" t="s">
        <v>1700</v>
      </c>
      <c r="N819" t="s">
        <v>1701</v>
      </c>
      <c r="Q819" s="18" t="s">
        <v>1590</v>
      </c>
    </row>
    <row r="820" spans="1:17" x14ac:dyDescent="0.35">
      <c r="A820" t="s">
        <v>1334</v>
      </c>
      <c r="B820" s="3" t="s">
        <v>102</v>
      </c>
      <c r="C820" s="3"/>
      <c r="D820" s="3"/>
      <c r="E820" s="3"/>
      <c r="F820" t="s">
        <v>551</v>
      </c>
      <c r="H820" t="s">
        <v>1659</v>
      </c>
      <c r="J820" t="str">
        <f t="shared" si="12"/>
        <v>FORM N-PORT-C.11</v>
      </c>
      <c r="K820" t="s">
        <v>1702</v>
      </c>
      <c r="L820" t="s">
        <v>783</v>
      </c>
      <c r="M820" t="s">
        <v>1688</v>
      </c>
      <c r="N820" t="s">
        <v>1703</v>
      </c>
      <c r="Q820" s="18" t="s">
        <v>1590</v>
      </c>
    </row>
    <row r="821" spans="1:17" x14ac:dyDescent="0.35">
      <c r="A821" t="s">
        <v>1334</v>
      </c>
      <c r="B821" s="3" t="s">
        <v>102</v>
      </c>
      <c r="C821" s="3"/>
      <c r="D821" s="3"/>
      <c r="E821" s="3"/>
      <c r="F821" t="s">
        <v>551</v>
      </c>
      <c r="H821" t="s">
        <v>1659</v>
      </c>
      <c r="J821" t="str">
        <f t="shared" si="12"/>
        <v>FORM N-PORT-C.11</v>
      </c>
      <c r="K821" t="s">
        <v>1704</v>
      </c>
      <c r="L821" t="s">
        <v>229</v>
      </c>
      <c r="M821" t="s">
        <v>1705</v>
      </c>
      <c r="N821" t="s">
        <v>1706</v>
      </c>
      <c r="Q821" s="18" t="s">
        <v>1590</v>
      </c>
    </row>
    <row r="822" spans="1:17" x14ac:dyDescent="0.35">
      <c r="A822" t="s">
        <v>1334</v>
      </c>
      <c r="B822" s="3" t="s">
        <v>102</v>
      </c>
      <c r="C822" s="3"/>
      <c r="D822" s="3"/>
      <c r="E822" s="3"/>
      <c r="F822" t="s">
        <v>551</v>
      </c>
      <c r="H822" t="s">
        <v>1659</v>
      </c>
      <c r="J822" t="str">
        <f t="shared" si="12"/>
        <v>FORM N-PORT-C.11</v>
      </c>
      <c r="K822" t="s">
        <v>1707</v>
      </c>
      <c r="L822" t="s">
        <v>229</v>
      </c>
      <c r="M822" t="s">
        <v>1708</v>
      </c>
      <c r="N822" t="s">
        <v>1709</v>
      </c>
      <c r="Q822" s="18" t="s">
        <v>1590</v>
      </c>
    </row>
    <row r="823" spans="1:17" x14ac:dyDescent="0.35">
      <c r="A823" t="s">
        <v>1334</v>
      </c>
      <c r="B823" s="3" t="s">
        <v>102</v>
      </c>
      <c r="C823" s="3"/>
      <c r="D823" s="3"/>
      <c r="E823" s="3"/>
      <c r="F823" t="s">
        <v>551</v>
      </c>
      <c r="H823" t="s">
        <v>1659</v>
      </c>
      <c r="J823" t="str">
        <f t="shared" si="12"/>
        <v>FORM N-PORT-C.11</v>
      </c>
      <c r="K823" t="s">
        <v>1710</v>
      </c>
      <c r="L823" t="s">
        <v>1331</v>
      </c>
      <c r="M823" t="s">
        <v>1711</v>
      </c>
      <c r="N823" t="s">
        <v>1712</v>
      </c>
      <c r="Q823" s="18" t="s">
        <v>1590</v>
      </c>
    </row>
    <row r="824" spans="1:17" x14ac:dyDescent="0.35">
      <c r="A824" t="s">
        <v>1334</v>
      </c>
      <c r="B824" s="3" t="s">
        <v>102</v>
      </c>
      <c r="C824" s="3"/>
      <c r="D824" s="3"/>
      <c r="E824" s="3"/>
      <c r="F824" t="s">
        <v>551</v>
      </c>
      <c r="H824" t="s">
        <v>1659</v>
      </c>
      <c r="J824" t="str">
        <f t="shared" si="12"/>
        <v>FORM N-PORT-C.11</v>
      </c>
      <c r="K824" t="s">
        <v>1713</v>
      </c>
      <c r="L824" t="s">
        <v>783</v>
      </c>
      <c r="M824" t="s">
        <v>1688</v>
      </c>
      <c r="N824" t="s">
        <v>1714</v>
      </c>
      <c r="Q824" s="18" t="s">
        <v>1590</v>
      </c>
    </row>
    <row r="825" spans="1:17" x14ac:dyDescent="0.35">
      <c r="A825" t="s">
        <v>1334</v>
      </c>
      <c r="B825" s="3" t="s">
        <v>102</v>
      </c>
      <c r="C825" s="3"/>
      <c r="D825" s="3"/>
      <c r="E825" s="3"/>
      <c r="F825" t="s">
        <v>551</v>
      </c>
      <c r="H825" t="s">
        <v>1659</v>
      </c>
      <c r="J825" t="str">
        <f t="shared" si="12"/>
        <v>FORM N-PORT-C.11</v>
      </c>
      <c r="K825" t="s">
        <v>1715</v>
      </c>
      <c r="L825" t="s">
        <v>229</v>
      </c>
      <c r="M825" t="s">
        <v>1716</v>
      </c>
      <c r="N825" t="s">
        <v>1717</v>
      </c>
      <c r="Q825" s="18" t="s">
        <v>1590</v>
      </c>
    </row>
    <row r="826" spans="1:17" x14ac:dyDescent="0.35">
      <c r="A826" t="s">
        <v>1334</v>
      </c>
      <c r="B826" s="3" t="s">
        <v>102</v>
      </c>
      <c r="C826" s="3"/>
      <c r="D826" s="3"/>
      <c r="E826" s="3"/>
      <c r="F826" t="s">
        <v>551</v>
      </c>
      <c r="H826" t="s">
        <v>1659</v>
      </c>
      <c r="J826" t="str">
        <f t="shared" si="12"/>
        <v>FORM N-PORT-C.11</v>
      </c>
      <c r="K826" t="s">
        <v>1718</v>
      </c>
      <c r="L826" t="s">
        <v>1331</v>
      </c>
      <c r="M826" t="s">
        <v>1719</v>
      </c>
      <c r="N826" t="s">
        <v>1720</v>
      </c>
      <c r="Q826" s="18" t="s">
        <v>1590</v>
      </c>
    </row>
    <row r="827" spans="1:17" x14ac:dyDescent="0.35">
      <c r="A827" t="s">
        <v>1334</v>
      </c>
      <c r="B827" s="3" t="s">
        <v>102</v>
      </c>
      <c r="C827" s="3"/>
      <c r="D827" s="3"/>
      <c r="E827" s="3"/>
      <c r="F827" t="s">
        <v>551</v>
      </c>
      <c r="H827" t="s">
        <v>1659</v>
      </c>
      <c r="J827" t="str">
        <f t="shared" si="12"/>
        <v>FORM N-PORT-C.11</v>
      </c>
      <c r="K827" t="s">
        <v>1721</v>
      </c>
      <c r="L827" t="s">
        <v>783</v>
      </c>
      <c r="M827" t="s">
        <v>1722</v>
      </c>
      <c r="N827" t="s">
        <v>1723</v>
      </c>
      <c r="Q827" s="18" t="s">
        <v>1590</v>
      </c>
    </row>
    <row r="828" spans="1:17" x14ac:dyDescent="0.35">
      <c r="A828" t="s">
        <v>1334</v>
      </c>
      <c r="B828" s="3" t="s">
        <v>102</v>
      </c>
      <c r="C828" s="3"/>
      <c r="D828" s="3"/>
      <c r="E828" s="3"/>
      <c r="F828" t="s">
        <v>551</v>
      </c>
      <c r="H828" t="s">
        <v>1659</v>
      </c>
      <c r="J828" t="str">
        <f t="shared" si="12"/>
        <v>FORM N-PORT-C.11</v>
      </c>
      <c r="K828" t="s">
        <v>1724</v>
      </c>
      <c r="L828" t="s">
        <v>783</v>
      </c>
      <c r="M828" t="s">
        <v>1725</v>
      </c>
      <c r="N828" t="s">
        <v>1726</v>
      </c>
      <c r="Q828" s="18" t="s">
        <v>1590</v>
      </c>
    </row>
    <row r="829" spans="1:17" x14ac:dyDescent="0.35">
      <c r="A829" t="s">
        <v>1334</v>
      </c>
      <c r="B829" s="3" t="s">
        <v>102</v>
      </c>
      <c r="C829" s="3"/>
      <c r="D829" s="3"/>
      <c r="E829" s="3"/>
      <c r="F829" t="s">
        <v>551</v>
      </c>
      <c r="H829" t="s">
        <v>1659</v>
      </c>
      <c r="J829" t="str">
        <f t="shared" si="12"/>
        <v>FORM N-PORT-C.11</v>
      </c>
      <c r="K829" t="s">
        <v>1727</v>
      </c>
      <c r="L829" t="s">
        <v>783</v>
      </c>
      <c r="M829" t="s">
        <v>1688</v>
      </c>
      <c r="N829" t="s">
        <v>1728</v>
      </c>
      <c r="Q829" s="18" t="s">
        <v>1590</v>
      </c>
    </row>
    <row r="830" spans="1:17" x14ac:dyDescent="0.35">
      <c r="A830" t="s">
        <v>1334</v>
      </c>
      <c r="B830" s="3" t="s">
        <v>102</v>
      </c>
      <c r="C830" s="3"/>
      <c r="D830" s="3"/>
      <c r="E830" s="3"/>
      <c r="F830" t="s">
        <v>551</v>
      </c>
      <c r="H830" t="s">
        <v>1729</v>
      </c>
      <c r="J830" t="str">
        <f t="shared" si="12"/>
        <v>FORM N-PORT-C.12</v>
      </c>
      <c r="K830" t="s">
        <v>1730</v>
      </c>
      <c r="L830" t="s">
        <v>1187</v>
      </c>
      <c r="M830" t="s">
        <v>1731</v>
      </c>
      <c r="N830" t="s">
        <v>1732</v>
      </c>
      <c r="Q830" s="18" t="s">
        <v>1341</v>
      </c>
    </row>
    <row r="831" spans="1:17" x14ac:dyDescent="0.35">
      <c r="A831" t="s">
        <v>1334</v>
      </c>
      <c r="B831" s="3" t="s">
        <v>102</v>
      </c>
      <c r="C831" s="3"/>
      <c r="D831" s="3"/>
      <c r="E831" s="3"/>
      <c r="F831" t="s">
        <v>551</v>
      </c>
      <c r="H831" t="s">
        <v>1729</v>
      </c>
      <c r="J831" t="str">
        <f t="shared" si="12"/>
        <v>FORM N-PORT-C.12</v>
      </c>
      <c r="K831" t="s">
        <v>1733</v>
      </c>
      <c r="L831" t="s">
        <v>783</v>
      </c>
      <c r="M831" t="s">
        <v>1734</v>
      </c>
      <c r="N831" t="s">
        <v>1735</v>
      </c>
      <c r="Q831" s="18" t="s">
        <v>1590</v>
      </c>
    </row>
    <row r="832" spans="1:17" x14ac:dyDescent="0.35">
      <c r="A832" t="s">
        <v>1334</v>
      </c>
      <c r="B832" s="3" t="s">
        <v>102</v>
      </c>
      <c r="C832" s="3"/>
      <c r="D832" s="3"/>
      <c r="E832" s="3"/>
      <c r="F832" t="s">
        <v>551</v>
      </c>
      <c r="H832" t="s">
        <v>1729</v>
      </c>
      <c r="J832" t="str">
        <f t="shared" si="12"/>
        <v>FORM N-PORT-C.12</v>
      </c>
      <c r="K832" t="s">
        <v>1736</v>
      </c>
      <c r="L832" t="s">
        <v>1187</v>
      </c>
      <c r="M832" t="s">
        <v>1737</v>
      </c>
      <c r="N832" t="s">
        <v>1738</v>
      </c>
      <c r="Q832" s="18" t="s">
        <v>1341</v>
      </c>
    </row>
    <row r="833" spans="1:17" x14ac:dyDescent="0.35">
      <c r="A833" t="s">
        <v>1334</v>
      </c>
      <c r="B833" s="3" t="s">
        <v>102</v>
      </c>
      <c r="C833" s="3"/>
      <c r="D833" s="3"/>
      <c r="E833" s="3"/>
      <c r="F833" t="s">
        <v>551</v>
      </c>
      <c r="H833" t="s">
        <v>1729</v>
      </c>
      <c r="J833" t="str">
        <f t="shared" si="12"/>
        <v>FORM N-PORT-C.12</v>
      </c>
      <c r="K833" t="s">
        <v>1739</v>
      </c>
      <c r="L833" t="s">
        <v>783</v>
      </c>
      <c r="M833" t="s">
        <v>1740</v>
      </c>
      <c r="N833" t="s">
        <v>1741</v>
      </c>
      <c r="Q833" s="18" t="s">
        <v>1590</v>
      </c>
    </row>
    <row r="834" spans="1:17" x14ac:dyDescent="0.35">
      <c r="A834" t="s">
        <v>1334</v>
      </c>
      <c r="B834" s="3" t="s">
        <v>102</v>
      </c>
      <c r="C834" s="3"/>
      <c r="D834" s="3"/>
      <c r="E834" s="3"/>
      <c r="F834" t="s">
        <v>551</v>
      </c>
      <c r="H834" t="s">
        <v>1729</v>
      </c>
      <c r="J834" t="str">
        <f t="shared" si="12"/>
        <v>FORM N-PORT-C.12</v>
      </c>
      <c r="K834" t="s">
        <v>1742</v>
      </c>
      <c r="L834" t="s">
        <v>1187</v>
      </c>
      <c r="M834" t="s">
        <v>1743</v>
      </c>
      <c r="N834" t="s">
        <v>1744</v>
      </c>
      <c r="Q834" s="18" t="s">
        <v>1341</v>
      </c>
    </row>
    <row r="835" spans="1:17" x14ac:dyDescent="0.35">
      <c r="A835" t="s">
        <v>1334</v>
      </c>
      <c r="B835" s="3" t="s">
        <v>102</v>
      </c>
      <c r="C835" s="3"/>
      <c r="D835" s="3"/>
      <c r="E835" s="3"/>
      <c r="F835" t="s">
        <v>551</v>
      </c>
      <c r="H835" t="s">
        <v>1729</v>
      </c>
      <c r="J835" t="str">
        <f t="shared" ref="J835:J898" si="13">_xlfn.CONCAT(A835,"-",H835)</f>
        <v>FORM N-PORT-C.12</v>
      </c>
      <c r="K835" t="s">
        <v>1745</v>
      </c>
      <c r="L835" t="s">
        <v>783</v>
      </c>
      <c r="M835" t="s">
        <v>1746</v>
      </c>
      <c r="N835" t="s">
        <v>1747</v>
      </c>
      <c r="Q835" s="18" t="s">
        <v>1590</v>
      </c>
    </row>
    <row r="836" spans="1:17" x14ac:dyDescent="0.35">
      <c r="A836" t="s">
        <v>1334</v>
      </c>
      <c r="B836" s="3" t="s">
        <v>102</v>
      </c>
      <c r="C836" s="3"/>
      <c r="D836" s="3"/>
      <c r="E836" s="3"/>
      <c r="F836" t="s">
        <v>551</v>
      </c>
      <c r="H836" t="s">
        <v>593</v>
      </c>
      <c r="J836" t="str">
        <f t="shared" si="13"/>
        <v>FORM N-PORT-C.1</v>
      </c>
      <c r="K836" t="s">
        <v>1522</v>
      </c>
      <c r="L836" t="s">
        <v>229</v>
      </c>
      <c r="M836" t="s">
        <v>1523</v>
      </c>
      <c r="N836" t="s">
        <v>1524</v>
      </c>
      <c r="Q836" s="18" t="s">
        <v>9193</v>
      </c>
    </row>
    <row r="837" spans="1:17" x14ac:dyDescent="0.35">
      <c r="A837" t="s">
        <v>1334</v>
      </c>
      <c r="B837" s="3" t="s">
        <v>102</v>
      </c>
      <c r="C837" s="3"/>
      <c r="D837" s="3"/>
      <c r="E837" s="3"/>
      <c r="F837" t="s">
        <v>551</v>
      </c>
      <c r="H837" t="s">
        <v>593</v>
      </c>
      <c r="J837" t="str">
        <f t="shared" si="13"/>
        <v>FORM N-PORT-C.1</v>
      </c>
      <c r="K837" t="s">
        <v>1526</v>
      </c>
      <c r="L837" t="s">
        <v>1313</v>
      </c>
      <c r="M837" t="s">
        <v>1527</v>
      </c>
      <c r="N837" t="s">
        <v>1528</v>
      </c>
      <c r="Q837" s="18" t="s">
        <v>9194</v>
      </c>
    </row>
    <row r="838" spans="1:17" x14ac:dyDescent="0.35">
      <c r="A838" t="s">
        <v>1334</v>
      </c>
      <c r="B838" s="3" t="s">
        <v>102</v>
      </c>
      <c r="C838" s="3"/>
      <c r="D838" s="3"/>
      <c r="E838" s="3"/>
      <c r="F838" t="s">
        <v>551</v>
      </c>
      <c r="H838" t="s">
        <v>593</v>
      </c>
      <c r="J838" t="str">
        <f t="shared" si="13"/>
        <v>FORM N-PORT-C.1</v>
      </c>
      <c r="K838" t="s">
        <v>1530</v>
      </c>
      <c r="L838" t="s">
        <v>229</v>
      </c>
      <c r="M838" t="s">
        <v>1531</v>
      </c>
      <c r="N838" t="s">
        <v>1532</v>
      </c>
      <c r="Q838" s="18" t="s">
        <v>9195</v>
      </c>
    </row>
    <row r="839" spans="1:17" x14ac:dyDescent="0.35">
      <c r="A839" t="s">
        <v>1334</v>
      </c>
      <c r="B839" s="3" t="s">
        <v>102</v>
      </c>
      <c r="C839" s="3"/>
      <c r="D839" s="3"/>
      <c r="E839" s="3"/>
      <c r="F839" t="s">
        <v>551</v>
      </c>
      <c r="H839" t="s">
        <v>593</v>
      </c>
      <c r="J839" t="str">
        <f t="shared" si="13"/>
        <v>FORM N-PORT-C.1</v>
      </c>
      <c r="K839" t="s">
        <v>1534</v>
      </c>
      <c r="L839" t="s">
        <v>1313</v>
      </c>
      <c r="M839" t="s">
        <v>1535</v>
      </c>
      <c r="N839" t="s">
        <v>1536</v>
      </c>
      <c r="Q839" s="18" t="s">
        <v>9196</v>
      </c>
    </row>
    <row r="840" spans="1:17" x14ac:dyDescent="0.35">
      <c r="A840" t="s">
        <v>1334</v>
      </c>
      <c r="B840" s="3" t="s">
        <v>102</v>
      </c>
      <c r="C840" s="3"/>
      <c r="D840" s="3"/>
      <c r="E840" s="3"/>
      <c r="F840" t="s">
        <v>551</v>
      </c>
      <c r="H840" t="s">
        <v>593</v>
      </c>
      <c r="J840" t="str">
        <f t="shared" si="13"/>
        <v>FORM N-PORT-C.1</v>
      </c>
      <c r="K840" t="s">
        <v>1538</v>
      </c>
      <c r="L840" t="s">
        <v>1313</v>
      </c>
      <c r="M840" t="s">
        <v>1539</v>
      </c>
      <c r="N840" t="s">
        <v>1540</v>
      </c>
      <c r="Q840" s="18" t="s">
        <v>9197</v>
      </c>
    </row>
    <row r="841" spans="1:17" x14ac:dyDescent="0.35">
      <c r="A841" t="s">
        <v>1334</v>
      </c>
      <c r="B841" s="3" t="s">
        <v>102</v>
      </c>
      <c r="C841" s="3"/>
      <c r="D841" s="3"/>
      <c r="E841" s="3"/>
      <c r="F841" t="s">
        <v>551</v>
      </c>
      <c r="H841" t="s">
        <v>1542</v>
      </c>
      <c r="J841" t="str">
        <f t="shared" si="13"/>
        <v>FORM N-PORT-C.2</v>
      </c>
      <c r="K841" t="s">
        <v>1543</v>
      </c>
      <c r="L841" t="s">
        <v>783</v>
      </c>
      <c r="M841" t="s">
        <v>1544</v>
      </c>
      <c r="N841" t="s">
        <v>1545</v>
      </c>
      <c r="Q841" s="18">
        <v>5000000</v>
      </c>
    </row>
    <row r="842" spans="1:17" x14ac:dyDescent="0.35">
      <c r="A842" t="s">
        <v>1334</v>
      </c>
      <c r="B842" s="3" t="s">
        <v>102</v>
      </c>
      <c r="C842" s="3"/>
      <c r="D842" s="3"/>
      <c r="E842" s="3"/>
      <c r="F842" t="s">
        <v>551</v>
      </c>
      <c r="H842" t="s">
        <v>1542</v>
      </c>
      <c r="J842" t="str">
        <f t="shared" si="13"/>
        <v>FORM N-PORT-C.2</v>
      </c>
      <c r="K842" t="s">
        <v>1546</v>
      </c>
      <c r="L842" t="s">
        <v>1502</v>
      </c>
      <c r="M842" t="s">
        <v>1547</v>
      </c>
      <c r="N842" t="s">
        <v>1548</v>
      </c>
      <c r="Q842" s="18" t="s">
        <v>1549</v>
      </c>
    </row>
    <row r="843" spans="1:17" x14ac:dyDescent="0.35">
      <c r="A843" t="s">
        <v>1334</v>
      </c>
      <c r="B843" s="3" t="s">
        <v>102</v>
      </c>
      <c r="C843" s="3"/>
      <c r="D843" s="3"/>
      <c r="E843" s="3"/>
      <c r="F843" t="s">
        <v>551</v>
      </c>
      <c r="H843" t="s">
        <v>1542</v>
      </c>
      <c r="J843" t="str">
        <f t="shared" si="13"/>
        <v>FORM N-PORT-C.2</v>
      </c>
      <c r="K843" t="s">
        <v>1550</v>
      </c>
      <c r="L843" t="s">
        <v>783</v>
      </c>
      <c r="M843" t="s">
        <v>1551</v>
      </c>
      <c r="N843" t="s">
        <v>1552</v>
      </c>
      <c r="Q843" s="18">
        <v>5135040</v>
      </c>
    </row>
    <row r="844" spans="1:17" x14ac:dyDescent="0.35">
      <c r="A844" t="s">
        <v>1334</v>
      </c>
      <c r="B844" s="3" t="s">
        <v>102</v>
      </c>
      <c r="C844" s="3"/>
      <c r="D844" s="3"/>
      <c r="E844" s="3"/>
      <c r="F844" t="s">
        <v>551</v>
      </c>
      <c r="H844" t="s">
        <v>1542</v>
      </c>
      <c r="J844" t="str">
        <f t="shared" si="13"/>
        <v>FORM N-PORT-C.2</v>
      </c>
      <c r="K844" t="s">
        <v>1553</v>
      </c>
      <c r="L844" t="s">
        <v>1198</v>
      </c>
      <c r="M844" t="s">
        <v>1554</v>
      </c>
      <c r="N844" t="s">
        <v>1555</v>
      </c>
      <c r="Q844" s="18">
        <v>2.1988079E-3</v>
      </c>
    </row>
    <row r="845" spans="1:17" x14ac:dyDescent="0.35">
      <c r="A845" t="s">
        <v>1334</v>
      </c>
      <c r="B845" s="3" t="s">
        <v>102</v>
      </c>
      <c r="C845" s="3"/>
      <c r="D845" s="3"/>
      <c r="E845" s="3"/>
      <c r="F845" t="s">
        <v>551</v>
      </c>
      <c r="H845" t="s">
        <v>1542</v>
      </c>
      <c r="J845" t="str">
        <f t="shared" si="13"/>
        <v>FORM N-PORT-C.2</v>
      </c>
      <c r="K845" t="s">
        <v>1556</v>
      </c>
      <c r="L845" t="s">
        <v>1187</v>
      </c>
      <c r="M845" t="s">
        <v>1557</v>
      </c>
      <c r="N845" t="s">
        <v>1558</v>
      </c>
      <c r="Q845" s="18" t="s">
        <v>1590</v>
      </c>
    </row>
    <row r="846" spans="1:17" x14ac:dyDescent="0.35">
      <c r="A846" t="s">
        <v>1334</v>
      </c>
      <c r="B846" s="3" t="s">
        <v>102</v>
      </c>
      <c r="C846" s="3"/>
      <c r="D846" s="3"/>
      <c r="E846" s="3"/>
      <c r="F846" t="s">
        <v>551</v>
      </c>
      <c r="H846" t="s">
        <v>1559</v>
      </c>
      <c r="J846" t="str">
        <f t="shared" si="13"/>
        <v>FORM N-PORT-C.3</v>
      </c>
      <c r="K846" t="s">
        <v>1560</v>
      </c>
      <c r="L846" t="s">
        <v>229</v>
      </c>
      <c r="M846" t="s">
        <v>1561</v>
      </c>
      <c r="N846" t="s">
        <v>1562</v>
      </c>
      <c r="Q846" s="18" t="s">
        <v>1563</v>
      </c>
    </row>
    <row r="847" spans="1:17" x14ac:dyDescent="0.35">
      <c r="A847" t="s">
        <v>1334</v>
      </c>
      <c r="B847" s="3" t="s">
        <v>102</v>
      </c>
      <c r="C847" s="3"/>
      <c r="D847" s="3"/>
      <c r="E847" s="3"/>
      <c r="F847" t="s">
        <v>551</v>
      </c>
      <c r="H847" t="s">
        <v>1564</v>
      </c>
      <c r="J847" t="str">
        <f t="shared" si="13"/>
        <v>FORM N-PORT-C.4</v>
      </c>
      <c r="K847" t="s">
        <v>1565</v>
      </c>
      <c r="L847" t="s">
        <v>1566</v>
      </c>
      <c r="M847" t="s">
        <v>1567</v>
      </c>
      <c r="N847" t="s">
        <v>1568</v>
      </c>
      <c r="Q847" s="18" t="s">
        <v>1569</v>
      </c>
    </row>
    <row r="848" spans="1:17" x14ac:dyDescent="0.35">
      <c r="A848" t="s">
        <v>1334</v>
      </c>
      <c r="B848" s="3" t="s">
        <v>102</v>
      </c>
      <c r="C848" s="3"/>
      <c r="D848" s="3"/>
      <c r="E848" s="3"/>
      <c r="F848" t="s">
        <v>551</v>
      </c>
      <c r="H848" t="s">
        <v>1564</v>
      </c>
      <c r="J848" t="str">
        <f t="shared" si="13"/>
        <v>FORM N-PORT-C.4</v>
      </c>
      <c r="K848" t="s">
        <v>1570</v>
      </c>
      <c r="L848" t="s">
        <v>1566</v>
      </c>
      <c r="M848" t="s">
        <v>1571</v>
      </c>
      <c r="N848" t="s">
        <v>1572</v>
      </c>
      <c r="Q848" s="18" t="s">
        <v>1573</v>
      </c>
    </row>
    <row r="849" spans="1:17" x14ac:dyDescent="0.35">
      <c r="A849" t="s">
        <v>1334</v>
      </c>
      <c r="B849" s="3" t="s">
        <v>102</v>
      </c>
      <c r="C849" s="3"/>
      <c r="D849" s="3"/>
      <c r="E849" s="3"/>
      <c r="F849" t="s">
        <v>551</v>
      </c>
      <c r="H849" t="s">
        <v>1574</v>
      </c>
      <c r="J849" t="str">
        <f t="shared" si="13"/>
        <v>FORM N-PORT-C.5</v>
      </c>
      <c r="K849" t="s">
        <v>1575</v>
      </c>
      <c r="L849" t="s">
        <v>1502</v>
      </c>
      <c r="M849" t="s">
        <v>1576</v>
      </c>
      <c r="N849" t="s">
        <v>1577</v>
      </c>
      <c r="Q849" s="18" t="s">
        <v>1578</v>
      </c>
    </row>
    <row r="850" spans="1:17" x14ac:dyDescent="0.35">
      <c r="A850" t="s">
        <v>1334</v>
      </c>
      <c r="B850" s="3" t="s">
        <v>102</v>
      </c>
      <c r="C850" s="3"/>
      <c r="D850" s="3"/>
      <c r="E850" s="3"/>
      <c r="F850" t="s">
        <v>551</v>
      </c>
      <c r="H850" t="s">
        <v>1574</v>
      </c>
      <c r="J850" t="str">
        <f t="shared" si="13"/>
        <v>FORM N-PORT-C.5</v>
      </c>
      <c r="K850" t="s">
        <v>1579</v>
      </c>
      <c r="L850" t="s">
        <v>1502</v>
      </c>
      <c r="M850" t="s">
        <v>1580</v>
      </c>
      <c r="N850" t="s">
        <v>1581</v>
      </c>
      <c r="Q850" s="18" t="s">
        <v>1590</v>
      </c>
    </row>
    <row r="851" spans="1:17" x14ac:dyDescent="0.35">
      <c r="A851" t="s">
        <v>1334</v>
      </c>
      <c r="B851" s="3" t="s">
        <v>102</v>
      </c>
      <c r="C851" s="3"/>
      <c r="D851" s="3"/>
      <c r="E851" s="3"/>
      <c r="F851" t="s">
        <v>551</v>
      </c>
      <c r="H851" t="s">
        <v>1582</v>
      </c>
      <c r="J851" t="str">
        <f t="shared" si="13"/>
        <v>FORM N-PORT-C.6</v>
      </c>
      <c r="K851" t="s">
        <v>1583</v>
      </c>
      <c r="L851" t="s">
        <v>1187</v>
      </c>
      <c r="M851" t="s">
        <v>1584</v>
      </c>
      <c r="N851" t="s">
        <v>1585</v>
      </c>
      <c r="Q851" s="18" t="s">
        <v>1341</v>
      </c>
    </row>
    <row r="852" spans="1:17" x14ac:dyDescent="0.35">
      <c r="A852" t="s">
        <v>1334</v>
      </c>
      <c r="B852" s="3" t="s">
        <v>102</v>
      </c>
      <c r="C852" s="3"/>
      <c r="D852" s="3"/>
      <c r="E852" s="3"/>
      <c r="F852" t="s">
        <v>551</v>
      </c>
      <c r="H852" t="s">
        <v>1586</v>
      </c>
      <c r="J852" t="str">
        <f t="shared" si="13"/>
        <v>FORM N-PORT-C.7</v>
      </c>
      <c r="K852" t="s">
        <v>1587</v>
      </c>
      <c r="L852" t="s">
        <v>1566</v>
      </c>
      <c r="M852" t="s">
        <v>1588</v>
      </c>
      <c r="N852" t="s">
        <v>1589</v>
      </c>
      <c r="Q852" s="18" t="s">
        <v>1590</v>
      </c>
    </row>
    <row r="853" spans="1:17" x14ac:dyDescent="0.35">
      <c r="A853" t="s">
        <v>1334</v>
      </c>
      <c r="B853" s="3" t="s">
        <v>102</v>
      </c>
      <c r="C853" s="3"/>
      <c r="D853" s="3"/>
      <c r="E853" s="3"/>
      <c r="F853" t="s">
        <v>551</v>
      </c>
      <c r="H853" t="s">
        <v>1591</v>
      </c>
      <c r="J853" t="str">
        <f t="shared" si="13"/>
        <v>FORM N-PORT-C.8</v>
      </c>
      <c r="K853" t="s">
        <v>1592</v>
      </c>
      <c r="L853" t="s">
        <v>241</v>
      </c>
      <c r="M853" t="s">
        <v>1593</v>
      </c>
      <c r="N853" t="s">
        <v>1594</v>
      </c>
      <c r="Q853" s="18">
        <v>2</v>
      </c>
    </row>
    <row r="854" spans="1:17" x14ac:dyDescent="0.35">
      <c r="A854" t="s">
        <v>1334</v>
      </c>
      <c r="B854" s="3" t="s">
        <v>102</v>
      </c>
      <c r="C854" s="3"/>
      <c r="D854" s="3"/>
      <c r="E854" s="3"/>
      <c r="F854" t="s">
        <v>551</v>
      </c>
      <c r="H854" t="s">
        <v>1595</v>
      </c>
      <c r="J854" t="str">
        <f t="shared" si="13"/>
        <v>FORM N-PORT-C.9</v>
      </c>
      <c r="K854" t="s">
        <v>1596</v>
      </c>
      <c r="L854" t="s">
        <v>1331</v>
      </c>
      <c r="M854" t="s">
        <v>1597</v>
      </c>
      <c r="N854" t="s">
        <v>1598</v>
      </c>
      <c r="Q854" s="17">
        <v>46706</v>
      </c>
    </row>
    <row r="855" spans="1:17" x14ac:dyDescent="0.35">
      <c r="A855" t="s">
        <v>1334</v>
      </c>
      <c r="B855" s="3" t="s">
        <v>102</v>
      </c>
      <c r="C855" s="3"/>
      <c r="D855" s="3"/>
      <c r="E855" s="3"/>
      <c r="F855" t="s">
        <v>551</v>
      </c>
      <c r="H855" t="s">
        <v>1595</v>
      </c>
      <c r="J855" t="str">
        <f t="shared" si="13"/>
        <v>FORM N-PORT-C.9</v>
      </c>
      <c r="K855" t="s">
        <v>1599</v>
      </c>
      <c r="L855" t="s">
        <v>1600</v>
      </c>
      <c r="M855" t="s">
        <v>1601</v>
      </c>
      <c r="N855" t="s">
        <v>1602</v>
      </c>
      <c r="Q855" s="18" t="s">
        <v>9198</v>
      </c>
    </row>
    <row r="856" spans="1:17" x14ac:dyDescent="0.35">
      <c r="A856" t="s">
        <v>1334</v>
      </c>
      <c r="B856" s="3" t="s">
        <v>102</v>
      </c>
      <c r="C856" s="3"/>
      <c r="D856" s="3"/>
      <c r="E856" s="3"/>
      <c r="F856" t="s">
        <v>551</v>
      </c>
      <c r="H856" t="s">
        <v>1595</v>
      </c>
      <c r="J856" t="str">
        <f t="shared" si="13"/>
        <v>FORM N-PORT-C.9</v>
      </c>
      <c r="K856" t="s">
        <v>1604</v>
      </c>
      <c r="L856" t="s">
        <v>1187</v>
      </c>
      <c r="M856" t="s">
        <v>1605</v>
      </c>
      <c r="N856" t="s">
        <v>1606</v>
      </c>
      <c r="Q856" s="18" t="s">
        <v>1341</v>
      </c>
    </row>
    <row r="857" spans="1:17" x14ac:dyDescent="0.35">
      <c r="A857" t="s">
        <v>1334</v>
      </c>
      <c r="B857" s="3" t="s">
        <v>102</v>
      </c>
      <c r="C857" s="3"/>
      <c r="D857" s="3"/>
      <c r="E857" s="3"/>
      <c r="F857" t="s">
        <v>551</v>
      </c>
      <c r="H857" t="s">
        <v>1595</v>
      </c>
      <c r="J857" t="str">
        <f t="shared" si="13"/>
        <v>FORM N-PORT-C.9</v>
      </c>
      <c r="K857" t="s">
        <v>1607</v>
      </c>
      <c r="L857" t="s">
        <v>1187</v>
      </c>
      <c r="M857" t="s">
        <v>1608</v>
      </c>
      <c r="N857" t="s">
        <v>1609</v>
      </c>
      <c r="Q857" s="18" t="s">
        <v>1341</v>
      </c>
    </row>
    <row r="858" spans="1:17" x14ac:dyDescent="0.35">
      <c r="A858" t="s">
        <v>1334</v>
      </c>
      <c r="B858" s="3" t="s">
        <v>102</v>
      </c>
      <c r="C858" s="3"/>
      <c r="D858" s="3"/>
      <c r="E858" s="3"/>
      <c r="F858" t="s">
        <v>551</v>
      </c>
      <c r="H858" t="s">
        <v>1595</v>
      </c>
      <c r="J858" t="str">
        <f t="shared" si="13"/>
        <v>FORM N-PORT-C.9</v>
      </c>
      <c r="K858" t="s">
        <v>1610</v>
      </c>
      <c r="L858" t="s">
        <v>1187</v>
      </c>
      <c r="M858" t="s">
        <v>1611</v>
      </c>
      <c r="N858" t="s">
        <v>1612</v>
      </c>
      <c r="Q858" s="18" t="s">
        <v>1341</v>
      </c>
    </row>
    <row r="859" spans="1:17" x14ac:dyDescent="0.35">
      <c r="A859" t="s">
        <v>1334</v>
      </c>
      <c r="B859" s="3" t="s">
        <v>102</v>
      </c>
      <c r="C859" s="3"/>
      <c r="D859" s="3"/>
      <c r="E859" s="3"/>
      <c r="F859" t="s">
        <v>551</v>
      </c>
      <c r="H859" t="s">
        <v>1595</v>
      </c>
      <c r="J859" t="str">
        <f t="shared" si="13"/>
        <v>FORM N-PORT-C.9</v>
      </c>
      <c r="K859" t="s">
        <v>1613</v>
      </c>
      <c r="L859" t="s">
        <v>1187</v>
      </c>
      <c r="M859" t="s">
        <v>1614</v>
      </c>
      <c r="N859" t="s">
        <v>1615</v>
      </c>
      <c r="Q859" s="18" t="s">
        <v>1590</v>
      </c>
    </row>
    <row r="860" spans="1:17" x14ac:dyDescent="0.35">
      <c r="A860" t="s">
        <v>1334</v>
      </c>
      <c r="B860" s="3" t="s">
        <v>102</v>
      </c>
      <c r="C860" s="3"/>
      <c r="D860" s="3"/>
      <c r="E860" s="3"/>
      <c r="F860" t="s">
        <v>551</v>
      </c>
      <c r="H860" t="s">
        <v>1595</v>
      </c>
      <c r="J860" t="str">
        <f t="shared" si="13"/>
        <v>FORM N-PORT-C.9</v>
      </c>
      <c r="K860" t="s">
        <v>1616</v>
      </c>
      <c r="L860" t="s">
        <v>1187</v>
      </c>
      <c r="M860" t="s">
        <v>1617</v>
      </c>
      <c r="N860" t="s">
        <v>1618</v>
      </c>
      <c r="Q860" s="18" t="s">
        <v>1590</v>
      </c>
    </row>
    <row r="861" spans="1:17" x14ac:dyDescent="0.35">
      <c r="A861" t="s">
        <v>1334</v>
      </c>
      <c r="B861" s="3" t="s">
        <v>102</v>
      </c>
      <c r="C861" s="3"/>
      <c r="D861" s="3"/>
      <c r="E861" s="3"/>
      <c r="F861" t="s">
        <v>551</v>
      </c>
      <c r="H861" t="s">
        <v>1595</v>
      </c>
      <c r="J861" t="str">
        <f t="shared" si="13"/>
        <v>FORM N-PORT-C.9</v>
      </c>
      <c r="K861" t="s">
        <v>1619</v>
      </c>
      <c r="L861" t="s">
        <v>1502</v>
      </c>
      <c r="M861" t="s">
        <v>1620</v>
      </c>
      <c r="N861" t="s">
        <v>1621</v>
      </c>
      <c r="Q861" s="18" t="s">
        <v>1590</v>
      </c>
    </row>
    <row r="862" spans="1:17" x14ac:dyDescent="0.35">
      <c r="A862" t="s">
        <v>1334</v>
      </c>
      <c r="B862" s="3" t="s">
        <v>102</v>
      </c>
      <c r="C862" s="3"/>
      <c r="D862" s="3"/>
      <c r="E862" s="3"/>
      <c r="F862" t="s">
        <v>551</v>
      </c>
      <c r="H862" t="s">
        <v>1595</v>
      </c>
      <c r="J862" t="str">
        <f t="shared" si="13"/>
        <v>FORM N-PORT-C.9</v>
      </c>
      <c r="K862" t="s">
        <v>1622</v>
      </c>
      <c r="L862" t="s">
        <v>783</v>
      </c>
      <c r="M862" t="s">
        <v>1623</v>
      </c>
      <c r="N862" t="s">
        <v>1624</v>
      </c>
      <c r="Q862" s="18" t="s">
        <v>1590</v>
      </c>
    </row>
    <row r="863" spans="1:17" x14ac:dyDescent="0.35">
      <c r="A863" t="s">
        <v>1334</v>
      </c>
      <c r="B863" s="3" t="s">
        <v>102</v>
      </c>
      <c r="C863" s="3"/>
      <c r="D863" s="3"/>
      <c r="E863" s="3"/>
      <c r="F863" t="s">
        <v>551</v>
      </c>
      <c r="H863" t="s">
        <v>1595</v>
      </c>
      <c r="J863" t="str">
        <f t="shared" si="13"/>
        <v>FORM N-PORT-C.9</v>
      </c>
      <c r="K863" t="s">
        <v>1625</v>
      </c>
      <c r="L863" t="s">
        <v>783</v>
      </c>
      <c r="M863" t="s">
        <v>1626</v>
      </c>
      <c r="N863" t="s">
        <v>1627</v>
      </c>
      <c r="Q863" s="18" t="s">
        <v>1590</v>
      </c>
    </row>
    <row r="864" spans="1:17" x14ac:dyDescent="0.35">
      <c r="A864" t="s">
        <v>1334</v>
      </c>
      <c r="B864" s="3" t="s">
        <v>102</v>
      </c>
      <c r="C864" s="3"/>
      <c r="D864" s="3"/>
      <c r="E864" s="3"/>
      <c r="F864" t="s">
        <v>551</v>
      </c>
      <c r="H864" t="s">
        <v>1628</v>
      </c>
      <c r="J864" t="str">
        <f t="shared" si="13"/>
        <v>FORM N-PORT-C.10</v>
      </c>
      <c r="K864" t="s">
        <v>1629</v>
      </c>
      <c r="L864" t="s">
        <v>1566</v>
      </c>
      <c r="M864" t="s">
        <v>1630</v>
      </c>
      <c r="N864" t="s">
        <v>1631</v>
      </c>
      <c r="Q864" s="18" t="s">
        <v>1590</v>
      </c>
    </row>
    <row r="865" spans="1:17" x14ac:dyDescent="0.35">
      <c r="A865" t="s">
        <v>1334</v>
      </c>
      <c r="B865" s="3" t="s">
        <v>102</v>
      </c>
      <c r="C865" s="3"/>
      <c r="D865" s="3"/>
      <c r="E865" s="3"/>
      <c r="F865" t="s">
        <v>551</v>
      </c>
      <c r="H865" t="s">
        <v>1628</v>
      </c>
      <c r="J865" t="str">
        <f t="shared" si="13"/>
        <v>FORM N-PORT-C.10</v>
      </c>
      <c r="K865" t="s">
        <v>1632</v>
      </c>
      <c r="L865" t="s">
        <v>1502</v>
      </c>
      <c r="M865" t="s">
        <v>1633</v>
      </c>
      <c r="N865" t="s">
        <v>1634</v>
      </c>
      <c r="Q865" s="18" t="s">
        <v>1590</v>
      </c>
    </row>
    <row r="866" spans="1:17" x14ac:dyDescent="0.35">
      <c r="A866" t="s">
        <v>1334</v>
      </c>
      <c r="B866" s="3" t="s">
        <v>102</v>
      </c>
      <c r="C866" s="3"/>
      <c r="D866" s="3"/>
      <c r="E866" s="3"/>
      <c r="F866" t="s">
        <v>551</v>
      </c>
      <c r="H866" t="s">
        <v>1628</v>
      </c>
      <c r="J866" t="str">
        <f t="shared" si="13"/>
        <v>FORM N-PORT-C.10</v>
      </c>
      <c r="K866" t="s">
        <v>1635</v>
      </c>
      <c r="L866" t="s">
        <v>1187</v>
      </c>
      <c r="M866" t="s">
        <v>1636</v>
      </c>
      <c r="N866" t="s">
        <v>1637</v>
      </c>
      <c r="Q866" s="18" t="s">
        <v>1590</v>
      </c>
    </row>
    <row r="867" spans="1:17" x14ac:dyDescent="0.35">
      <c r="A867" t="s">
        <v>1334</v>
      </c>
      <c r="B867" s="3" t="s">
        <v>102</v>
      </c>
      <c r="C867" s="3"/>
      <c r="D867" s="3"/>
      <c r="E867" s="3"/>
      <c r="F867" t="s">
        <v>551</v>
      </c>
      <c r="H867" t="s">
        <v>1628</v>
      </c>
      <c r="J867" t="str">
        <f t="shared" si="13"/>
        <v>FORM N-PORT-C.10</v>
      </c>
      <c r="K867" t="s">
        <v>1638</v>
      </c>
      <c r="L867" t="s">
        <v>1502</v>
      </c>
      <c r="M867" t="s">
        <v>1639</v>
      </c>
      <c r="N867" t="s">
        <v>1640</v>
      </c>
      <c r="Q867" s="18" t="s">
        <v>1590</v>
      </c>
    </row>
    <row r="868" spans="1:17" x14ac:dyDescent="0.35">
      <c r="A868" t="s">
        <v>1334</v>
      </c>
      <c r="B868" s="3" t="s">
        <v>102</v>
      </c>
      <c r="C868" s="3"/>
      <c r="D868" s="3"/>
      <c r="E868" s="3"/>
      <c r="F868" t="s">
        <v>551</v>
      </c>
      <c r="H868" t="s">
        <v>1628</v>
      </c>
      <c r="J868" t="str">
        <f t="shared" si="13"/>
        <v>FORM N-PORT-C.10</v>
      </c>
      <c r="K868" t="s">
        <v>1641</v>
      </c>
      <c r="L868" t="s">
        <v>1187</v>
      </c>
      <c r="M868" t="s">
        <v>1642</v>
      </c>
      <c r="N868" t="s">
        <v>1643</v>
      </c>
      <c r="Q868" s="18" t="s">
        <v>1590</v>
      </c>
    </row>
    <row r="869" spans="1:17" x14ac:dyDescent="0.35">
      <c r="A869" t="s">
        <v>1334</v>
      </c>
      <c r="B869" s="3" t="s">
        <v>102</v>
      </c>
      <c r="C869" s="3"/>
      <c r="D869" s="3"/>
      <c r="E869" s="3"/>
      <c r="F869" t="s">
        <v>551</v>
      </c>
      <c r="H869" t="s">
        <v>1628</v>
      </c>
      <c r="J869" t="str">
        <f t="shared" si="13"/>
        <v>FORM N-PORT-C.10</v>
      </c>
      <c r="K869" t="s">
        <v>1644</v>
      </c>
      <c r="L869" t="s">
        <v>1198</v>
      </c>
      <c r="M869" t="s">
        <v>1645</v>
      </c>
      <c r="N869" t="s">
        <v>1646</v>
      </c>
      <c r="Q869" s="18" t="s">
        <v>1590</v>
      </c>
    </row>
    <row r="870" spans="1:17" x14ac:dyDescent="0.35">
      <c r="A870" t="s">
        <v>1334</v>
      </c>
      <c r="B870" s="3" t="s">
        <v>102</v>
      </c>
      <c r="C870" s="3"/>
      <c r="D870" s="3"/>
      <c r="E870" s="3"/>
      <c r="F870" t="s">
        <v>551</v>
      </c>
      <c r="H870" t="s">
        <v>1628</v>
      </c>
      <c r="J870" t="str">
        <f t="shared" si="13"/>
        <v>FORM N-PORT-C.10</v>
      </c>
      <c r="K870" t="s">
        <v>1647</v>
      </c>
      <c r="L870" t="s">
        <v>1331</v>
      </c>
      <c r="M870" t="s">
        <v>1648</v>
      </c>
      <c r="N870" t="s">
        <v>1649</v>
      </c>
      <c r="Q870" s="18" t="s">
        <v>1590</v>
      </c>
    </row>
    <row r="871" spans="1:17" x14ac:dyDescent="0.35">
      <c r="A871" t="s">
        <v>1334</v>
      </c>
      <c r="B871" s="3" t="s">
        <v>102</v>
      </c>
      <c r="C871" s="3"/>
      <c r="D871" s="3"/>
      <c r="E871" s="3"/>
      <c r="F871" t="s">
        <v>551</v>
      </c>
      <c r="H871" t="s">
        <v>1628</v>
      </c>
      <c r="J871" t="str">
        <f t="shared" si="13"/>
        <v>FORM N-PORT-C.10</v>
      </c>
      <c r="K871" t="s">
        <v>1650</v>
      </c>
      <c r="L871" t="s">
        <v>783</v>
      </c>
      <c r="M871" t="s">
        <v>1651</v>
      </c>
      <c r="N871" t="s">
        <v>1652</v>
      </c>
      <c r="Q871" s="18" t="s">
        <v>1590</v>
      </c>
    </row>
    <row r="872" spans="1:17" x14ac:dyDescent="0.35">
      <c r="A872" t="s">
        <v>1334</v>
      </c>
      <c r="B872" s="3" t="s">
        <v>102</v>
      </c>
      <c r="C872" s="3"/>
      <c r="D872" s="3"/>
      <c r="E872" s="3"/>
      <c r="F872" t="s">
        <v>551</v>
      </c>
      <c r="H872" t="s">
        <v>1628</v>
      </c>
      <c r="J872" t="str">
        <f t="shared" si="13"/>
        <v>FORM N-PORT-C.10</v>
      </c>
      <c r="K872" t="s">
        <v>1653</v>
      </c>
      <c r="L872" t="s">
        <v>783</v>
      </c>
      <c r="M872" t="s">
        <v>1654</v>
      </c>
      <c r="N872" t="s">
        <v>1655</v>
      </c>
      <c r="Q872" s="18" t="s">
        <v>1590</v>
      </c>
    </row>
    <row r="873" spans="1:17" x14ac:dyDescent="0.35">
      <c r="A873" t="s">
        <v>1334</v>
      </c>
      <c r="B873" s="3" t="s">
        <v>102</v>
      </c>
      <c r="C873" s="3"/>
      <c r="D873" s="3"/>
      <c r="E873" s="3"/>
      <c r="F873" t="s">
        <v>551</v>
      </c>
      <c r="H873" t="s">
        <v>1628</v>
      </c>
      <c r="J873" t="str">
        <f t="shared" si="13"/>
        <v>FORM N-PORT-C.10</v>
      </c>
      <c r="K873" t="s">
        <v>1656</v>
      </c>
      <c r="L873" t="s">
        <v>1566</v>
      </c>
      <c r="M873" t="s">
        <v>1657</v>
      </c>
      <c r="N873" t="s">
        <v>1658</v>
      </c>
      <c r="Q873" s="18" t="s">
        <v>1590</v>
      </c>
    </row>
    <row r="874" spans="1:17" x14ac:dyDescent="0.35">
      <c r="A874" t="s">
        <v>1334</v>
      </c>
      <c r="B874" s="3" t="s">
        <v>102</v>
      </c>
      <c r="C874" s="3"/>
      <c r="D874" s="3"/>
      <c r="E874" s="3"/>
      <c r="F874" t="s">
        <v>551</v>
      </c>
      <c r="H874" t="s">
        <v>1659</v>
      </c>
      <c r="J874" t="str">
        <f t="shared" si="13"/>
        <v>FORM N-PORT-C.11</v>
      </c>
      <c r="K874" t="s">
        <v>1660</v>
      </c>
      <c r="L874" t="s">
        <v>1566</v>
      </c>
      <c r="M874" t="s">
        <v>1661</v>
      </c>
      <c r="N874" t="s">
        <v>1662</v>
      </c>
      <c r="Q874" s="18" t="s">
        <v>1590</v>
      </c>
    </row>
    <row r="875" spans="1:17" x14ac:dyDescent="0.35">
      <c r="A875" t="s">
        <v>1334</v>
      </c>
      <c r="B875" s="3" t="s">
        <v>102</v>
      </c>
      <c r="C875" s="3"/>
      <c r="D875" s="3"/>
      <c r="E875" s="3"/>
      <c r="F875" t="s">
        <v>551</v>
      </c>
      <c r="H875" t="s">
        <v>1659</v>
      </c>
      <c r="J875" t="str">
        <f t="shared" si="13"/>
        <v>FORM N-PORT-C.11</v>
      </c>
      <c r="K875" t="s">
        <v>1663</v>
      </c>
      <c r="L875" t="s">
        <v>1502</v>
      </c>
      <c r="M875" t="s">
        <v>1664</v>
      </c>
      <c r="N875" t="s">
        <v>1665</v>
      </c>
      <c r="Q875" s="18" t="s">
        <v>1590</v>
      </c>
    </row>
    <row r="876" spans="1:17" x14ac:dyDescent="0.35">
      <c r="A876" t="s">
        <v>1334</v>
      </c>
      <c r="B876" s="3" t="s">
        <v>102</v>
      </c>
      <c r="C876" s="3"/>
      <c r="D876" s="3"/>
      <c r="E876" s="3"/>
      <c r="F876" t="s">
        <v>551</v>
      </c>
      <c r="H876" t="s">
        <v>1659</v>
      </c>
      <c r="J876" t="str">
        <f t="shared" si="13"/>
        <v>FORM N-PORT-C.11</v>
      </c>
      <c r="K876" t="s">
        <v>1666</v>
      </c>
      <c r="L876" t="s">
        <v>1566</v>
      </c>
      <c r="M876" t="s">
        <v>1667</v>
      </c>
      <c r="N876" t="s">
        <v>1668</v>
      </c>
      <c r="Q876" s="18" t="s">
        <v>1590</v>
      </c>
    </row>
    <row r="877" spans="1:17" x14ac:dyDescent="0.35">
      <c r="A877" t="s">
        <v>1334</v>
      </c>
      <c r="B877" s="3" t="s">
        <v>102</v>
      </c>
      <c r="C877" s="3"/>
      <c r="D877" s="3"/>
      <c r="E877" s="3"/>
      <c r="F877" t="s">
        <v>551</v>
      </c>
      <c r="H877" t="s">
        <v>1659</v>
      </c>
      <c r="J877" t="str">
        <f t="shared" si="13"/>
        <v>FORM N-PORT-C.11</v>
      </c>
      <c r="K877" t="s">
        <v>1669</v>
      </c>
      <c r="L877" t="s">
        <v>1566</v>
      </c>
      <c r="M877" t="s">
        <v>1670</v>
      </c>
      <c r="N877" t="s">
        <v>1671</v>
      </c>
      <c r="Q877" s="18" t="s">
        <v>1590</v>
      </c>
    </row>
    <row r="878" spans="1:17" x14ac:dyDescent="0.35">
      <c r="A878" t="s">
        <v>1334</v>
      </c>
      <c r="B878" s="3" t="s">
        <v>102</v>
      </c>
      <c r="C878" s="3"/>
      <c r="D878" s="3"/>
      <c r="E878" s="3"/>
      <c r="F878" t="s">
        <v>551</v>
      </c>
      <c r="H878" t="s">
        <v>1659</v>
      </c>
      <c r="J878" t="str">
        <f t="shared" si="13"/>
        <v>FORM N-PORT-C.11</v>
      </c>
      <c r="K878" t="s">
        <v>1672</v>
      </c>
      <c r="L878" t="s">
        <v>1502</v>
      </c>
      <c r="M878" t="s">
        <v>1673</v>
      </c>
      <c r="N878" t="s">
        <v>1674</v>
      </c>
      <c r="Q878" s="18" t="s">
        <v>1590</v>
      </c>
    </row>
    <row r="879" spans="1:17" x14ac:dyDescent="0.35">
      <c r="A879" t="s">
        <v>1334</v>
      </c>
      <c r="B879" s="3" t="s">
        <v>102</v>
      </c>
      <c r="C879" s="3"/>
      <c r="D879" s="3"/>
      <c r="E879" s="3"/>
      <c r="F879" t="s">
        <v>551</v>
      </c>
      <c r="H879" t="s">
        <v>1659</v>
      </c>
      <c r="J879" t="str">
        <f t="shared" si="13"/>
        <v>FORM N-PORT-C.11</v>
      </c>
      <c r="K879" t="s">
        <v>1675</v>
      </c>
      <c r="L879" t="s">
        <v>783</v>
      </c>
      <c r="M879" t="s">
        <v>1676</v>
      </c>
      <c r="N879" t="s">
        <v>1677</v>
      </c>
      <c r="Q879" s="18" t="s">
        <v>1590</v>
      </c>
    </row>
    <row r="880" spans="1:17" x14ac:dyDescent="0.35">
      <c r="A880" t="s">
        <v>1334</v>
      </c>
      <c r="B880" s="3" t="s">
        <v>102</v>
      </c>
      <c r="C880" s="3"/>
      <c r="D880" s="3"/>
      <c r="E880" s="3"/>
      <c r="F880" t="s">
        <v>551</v>
      </c>
      <c r="H880" t="s">
        <v>1659</v>
      </c>
      <c r="J880" t="str">
        <f t="shared" si="13"/>
        <v>FORM N-PORT-C.11</v>
      </c>
      <c r="K880" t="s">
        <v>1678</v>
      </c>
      <c r="L880" t="s">
        <v>783</v>
      </c>
      <c r="M880" t="s">
        <v>1679</v>
      </c>
      <c r="N880" t="s">
        <v>1680</v>
      </c>
      <c r="Q880" s="18" t="s">
        <v>1590</v>
      </c>
    </row>
    <row r="881" spans="1:17" x14ac:dyDescent="0.35">
      <c r="A881" t="s">
        <v>1334</v>
      </c>
      <c r="B881" s="3" t="s">
        <v>102</v>
      </c>
      <c r="C881" s="3"/>
      <c r="D881" s="3"/>
      <c r="E881" s="3"/>
      <c r="F881" t="s">
        <v>551</v>
      </c>
      <c r="H881" t="s">
        <v>1659</v>
      </c>
      <c r="J881" t="str">
        <f t="shared" si="13"/>
        <v>FORM N-PORT-C.11</v>
      </c>
      <c r="K881" t="s">
        <v>1681</v>
      </c>
      <c r="L881" t="s">
        <v>1331</v>
      </c>
      <c r="M881" t="s">
        <v>1682</v>
      </c>
      <c r="N881" t="s">
        <v>1683</v>
      </c>
      <c r="Q881" s="18" t="s">
        <v>1590</v>
      </c>
    </row>
    <row r="882" spans="1:17" x14ac:dyDescent="0.35">
      <c r="A882" t="s">
        <v>1334</v>
      </c>
      <c r="B882" s="3" t="s">
        <v>102</v>
      </c>
      <c r="C882" s="3"/>
      <c r="D882" s="3"/>
      <c r="E882" s="3"/>
      <c r="F882" t="s">
        <v>551</v>
      </c>
      <c r="H882" t="s">
        <v>1659</v>
      </c>
      <c r="J882" t="str">
        <f t="shared" si="13"/>
        <v>FORM N-PORT-C.11</v>
      </c>
      <c r="K882" t="s">
        <v>1684</v>
      </c>
      <c r="L882" t="s">
        <v>783</v>
      </c>
      <c r="M882" t="s">
        <v>1685</v>
      </c>
      <c r="N882" t="s">
        <v>1686</v>
      </c>
      <c r="Q882" s="18" t="s">
        <v>1590</v>
      </c>
    </row>
    <row r="883" spans="1:17" x14ac:dyDescent="0.35">
      <c r="A883" t="s">
        <v>1334</v>
      </c>
      <c r="B883" s="3" t="s">
        <v>102</v>
      </c>
      <c r="C883" s="3"/>
      <c r="D883" s="3"/>
      <c r="E883" s="3"/>
      <c r="F883" t="s">
        <v>551</v>
      </c>
      <c r="H883" t="s">
        <v>1659</v>
      </c>
      <c r="J883" t="str">
        <f t="shared" si="13"/>
        <v>FORM N-PORT-C.11</v>
      </c>
      <c r="K883" t="s">
        <v>1687</v>
      </c>
      <c r="L883" t="s">
        <v>783</v>
      </c>
      <c r="M883" t="s">
        <v>1688</v>
      </c>
      <c r="N883" t="s">
        <v>1689</v>
      </c>
      <c r="Q883" s="18" t="s">
        <v>1590</v>
      </c>
    </row>
    <row r="884" spans="1:17" x14ac:dyDescent="0.35">
      <c r="A884" t="s">
        <v>1334</v>
      </c>
      <c r="B884" s="3" t="s">
        <v>102</v>
      </c>
      <c r="C884" s="3"/>
      <c r="D884" s="3"/>
      <c r="E884" s="3"/>
      <c r="F884" t="s">
        <v>551</v>
      </c>
      <c r="H884" t="s">
        <v>1659</v>
      </c>
      <c r="J884" t="str">
        <f t="shared" si="13"/>
        <v>FORM N-PORT-C.11</v>
      </c>
      <c r="K884" t="s">
        <v>1690</v>
      </c>
      <c r="L884" t="s">
        <v>1566</v>
      </c>
      <c r="M884" t="s">
        <v>1691</v>
      </c>
      <c r="N884" t="s">
        <v>1692</v>
      </c>
      <c r="Q884" s="18" t="s">
        <v>1590</v>
      </c>
    </row>
    <row r="885" spans="1:17" x14ac:dyDescent="0.35">
      <c r="A885" t="s">
        <v>1334</v>
      </c>
      <c r="B885" s="3" t="s">
        <v>102</v>
      </c>
      <c r="C885" s="3"/>
      <c r="D885" s="3"/>
      <c r="E885" s="3"/>
      <c r="F885" t="s">
        <v>551</v>
      </c>
      <c r="H885" t="s">
        <v>1659</v>
      </c>
      <c r="J885" t="str">
        <f t="shared" si="13"/>
        <v>FORM N-PORT-C.11</v>
      </c>
      <c r="K885" t="s">
        <v>1693</v>
      </c>
      <c r="L885" t="s">
        <v>1502</v>
      </c>
      <c r="M885" t="s">
        <v>1694</v>
      </c>
      <c r="N885" t="s">
        <v>1695</v>
      </c>
      <c r="Q885" s="18" t="s">
        <v>1590</v>
      </c>
    </row>
    <row r="886" spans="1:17" x14ac:dyDescent="0.35">
      <c r="A886" t="s">
        <v>1334</v>
      </c>
      <c r="B886" s="3" t="s">
        <v>102</v>
      </c>
      <c r="C886" s="3"/>
      <c r="D886" s="3"/>
      <c r="E886" s="3"/>
      <c r="F886" t="s">
        <v>551</v>
      </c>
      <c r="H886" t="s">
        <v>1659</v>
      </c>
      <c r="J886" t="str">
        <f t="shared" si="13"/>
        <v>FORM N-PORT-C.11</v>
      </c>
      <c r="K886" t="s">
        <v>1696</v>
      </c>
      <c r="L886" t="s">
        <v>1331</v>
      </c>
      <c r="M886" t="s">
        <v>1697</v>
      </c>
      <c r="N886" t="s">
        <v>1698</v>
      </c>
      <c r="Q886" s="18" t="s">
        <v>1590</v>
      </c>
    </row>
    <row r="887" spans="1:17" x14ac:dyDescent="0.35">
      <c r="A887" t="s">
        <v>1334</v>
      </c>
      <c r="B887" s="3" t="s">
        <v>102</v>
      </c>
      <c r="C887" s="3"/>
      <c r="D887" s="3"/>
      <c r="E887" s="3"/>
      <c r="F887" t="s">
        <v>551</v>
      </c>
      <c r="H887" t="s">
        <v>1659</v>
      </c>
      <c r="J887" t="str">
        <f t="shared" si="13"/>
        <v>FORM N-PORT-C.11</v>
      </c>
      <c r="K887" t="s">
        <v>1699</v>
      </c>
      <c r="L887" t="s">
        <v>783</v>
      </c>
      <c r="M887" t="s">
        <v>1700</v>
      </c>
      <c r="N887" t="s">
        <v>1701</v>
      </c>
      <c r="Q887" s="18" t="s">
        <v>1590</v>
      </c>
    </row>
    <row r="888" spans="1:17" x14ac:dyDescent="0.35">
      <c r="A888" t="s">
        <v>1334</v>
      </c>
      <c r="B888" s="3" t="s">
        <v>102</v>
      </c>
      <c r="C888" s="3"/>
      <c r="D888" s="3"/>
      <c r="E888" s="3"/>
      <c r="F888" t="s">
        <v>551</v>
      </c>
      <c r="H888" t="s">
        <v>1659</v>
      </c>
      <c r="J888" t="str">
        <f t="shared" si="13"/>
        <v>FORM N-PORT-C.11</v>
      </c>
      <c r="K888" t="s">
        <v>1702</v>
      </c>
      <c r="L888" t="s">
        <v>783</v>
      </c>
      <c r="M888" t="s">
        <v>1688</v>
      </c>
      <c r="N888" t="s">
        <v>1703</v>
      </c>
      <c r="Q888" s="18" t="s">
        <v>1590</v>
      </c>
    </row>
    <row r="889" spans="1:17" x14ac:dyDescent="0.35">
      <c r="A889" t="s">
        <v>1334</v>
      </c>
      <c r="B889" s="3" t="s">
        <v>102</v>
      </c>
      <c r="C889" s="3"/>
      <c r="D889" s="3"/>
      <c r="E889" s="3"/>
      <c r="F889" t="s">
        <v>551</v>
      </c>
      <c r="H889" t="s">
        <v>1659</v>
      </c>
      <c r="J889" t="str">
        <f t="shared" si="13"/>
        <v>FORM N-PORT-C.11</v>
      </c>
      <c r="K889" t="s">
        <v>1704</v>
      </c>
      <c r="L889" t="s">
        <v>229</v>
      </c>
      <c r="M889" t="s">
        <v>1705</v>
      </c>
      <c r="N889" t="s">
        <v>1706</v>
      </c>
      <c r="Q889" s="18" t="s">
        <v>1590</v>
      </c>
    </row>
    <row r="890" spans="1:17" x14ac:dyDescent="0.35">
      <c r="A890" t="s">
        <v>1334</v>
      </c>
      <c r="B890" s="3" t="s">
        <v>102</v>
      </c>
      <c r="C890" s="3"/>
      <c r="D890" s="3"/>
      <c r="E890" s="3"/>
      <c r="F890" t="s">
        <v>551</v>
      </c>
      <c r="H890" t="s">
        <v>1659</v>
      </c>
      <c r="J890" t="str">
        <f t="shared" si="13"/>
        <v>FORM N-PORT-C.11</v>
      </c>
      <c r="K890" t="s">
        <v>1707</v>
      </c>
      <c r="L890" t="s">
        <v>229</v>
      </c>
      <c r="M890" t="s">
        <v>1708</v>
      </c>
      <c r="N890" t="s">
        <v>1709</v>
      </c>
      <c r="Q890" s="18" t="s">
        <v>1590</v>
      </c>
    </row>
    <row r="891" spans="1:17" x14ac:dyDescent="0.35">
      <c r="A891" t="s">
        <v>1334</v>
      </c>
      <c r="B891" s="3" t="s">
        <v>102</v>
      </c>
      <c r="C891" s="3"/>
      <c r="D891" s="3"/>
      <c r="E891" s="3"/>
      <c r="F891" t="s">
        <v>551</v>
      </c>
      <c r="H891" t="s">
        <v>1659</v>
      </c>
      <c r="J891" t="str">
        <f t="shared" si="13"/>
        <v>FORM N-PORT-C.11</v>
      </c>
      <c r="K891" t="s">
        <v>1710</v>
      </c>
      <c r="L891" t="s">
        <v>1331</v>
      </c>
      <c r="M891" t="s">
        <v>1711</v>
      </c>
      <c r="N891" t="s">
        <v>1712</v>
      </c>
      <c r="Q891" s="18" t="s">
        <v>1590</v>
      </c>
    </row>
    <row r="892" spans="1:17" x14ac:dyDescent="0.35">
      <c r="A892" t="s">
        <v>1334</v>
      </c>
      <c r="B892" s="3" t="s">
        <v>102</v>
      </c>
      <c r="C892" s="3"/>
      <c r="D892" s="3"/>
      <c r="E892" s="3"/>
      <c r="F892" t="s">
        <v>551</v>
      </c>
      <c r="H892" t="s">
        <v>1659</v>
      </c>
      <c r="J892" t="str">
        <f t="shared" si="13"/>
        <v>FORM N-PORT-C.11</v>
      </c>
      <c r="K892" t="s">
        <v>1713</v>
      </c>
      <c r="L892" t="s">
        <v>783</v>
      </c>
      <c r="M892" t="s">
        <v>1688</v>
      </c>
      <c r="N892" t="s">
        <v>1714</v>
      </c>
      <c r="Q892" s="18" t="s">
        <v>1590</v>
      </c>
    </row>
    <row r="893" spans="1:17" x14ac:dyDescent="0.35">
      <c r="A893" t="s">
        <v>1334</v>
      </c>
      <c r="B893" s="3" t="s">
        <v>102</v>
      </c>
      <c r="C893" s="3"/>
      <c r="D893" s="3"/>
      <c r="E893" s="3"/>
      <c r="F893" t="s">
        <v>551</v>
      </c>
      <c r="H893" t="s">
        <v>1659</v>
      </c>
      <c r="J893" t="str">
        <f t="shared" si="13"/>
        <v>FORM N-PORT-C.11</v>
      </c>
      <c r="K893" t="s">
        <v>1715</v>
      </c>
      <c r="L893" t="s">
        <v>229</v>
      </c>
      <c r="M893" t="s">
        <v>1716</v>
      </c>
      <c r="N893" t="s">
        <v>1717</v>
      </c>
      <c r="Q893" s="18" t="s">
        <v>1590</v>
      </c>
    </row>
    <row r="894" spans="1:17" x14ac:dyDescent="0.35">
      <c r="A894" t="s">
        <v>1334</v>
      </c>
      <c r="B894" s="3" t="s">
        <v>102</v>
      </c>
      <c r="C894" s="3"/>
      <c r="D894" s="3"/>
      <c r="E894" s="3"/>
      <c r="F894" t="s">
        <v>551</v>
      </c>
      <c r="H894" t="s">
        <v>1659</v>
      </c>
      <c r="J894" t="str">
        <f t="shared" si="13"/>
        <v>FORM N-PORT-C.11</v>
      </c>
      <c r="K894" t="s">
        <v>1718</v>
      </c>
      <c r="L894" t="s">
        <v>1331</v>
      </c>
      <c r="M894" t="s">
        <v>1719</v>
      </c>
      <c r="N894" t="s">
        <v>1720</v>
      </c>
      <c r="Q894" s="18" t="s">
        <v>1590</v>
      </c>
    </row>
    <row r="895" spans="1:17" x14ac:dyDescent="0.35">
      <c r="A895" t="s">
        <v>1334</v>
      </c>
      <c r="B895" s="3" t="s">
        <v>102</v>
      </c>
      <c r="C895" s="3"/>
      <c r="D895" s="3"/>
      <c r="E895" s="3"/>
      <c r="F895" t="s">
        <v>551</v>
      </c>
      <c r="H895" t="s">
        <v>1659</v>
      </c>
      <c r="J895" t="str">
        <f t="shared" si="13"/>
        <v>FORM N-PORT-C.11</v>
      </c>
      <c r="K895" t="s">
        <v>1721</v>
      </c>
      <c r="L895" t="s">
        <v>783</v>
      </c>
      <c r="M895" t="s">
        <v>1722</v>
      </c>
      <c r="N895" t="s">
        <v>1723</v>
      </c>
      <c r="Q895" s="18" t="s">
        <v>1590</v>
      </c>
    </row>
    <row r="896" spans="1:17" x14ac:dyDescent="0.35">
      <c r="A896" t="s">
        <v>1334</v>
      </c>
      <c r="B896" s="3" t="s">
        <v>102</v>
      </c>
      <c r="C896" s="3"/>
      <c r="D896" s="3"/>
      <c r="E896" s="3"/>
      <c r="F896" t="s">
        <v>551</v>
      </c>
      <c r="H896" t="s">
        <v>1659</v>
      </c>
      <c r="J896" t="str">
        <f t="shared" si="13"/>
        <v>FORM N-PORT-C.11</v>
      </c>
      <c r="K896" t="s">
        <v>1724</v>
      </c>
      <c r="L896" t="s">
        <v>783</v>
      </c>
      <c r="M896" t="s">
        <v>1725</v>
      </c>
      <c r="N896" t="s">
        <v>1726</v>
      </c>
      <c r="Q896" s="18" t="s">
        <v>1590</v>
      </c>
    </row>
    <row r="897" spans="1:17" x14ac:dyDescent="0.35">
      <c r="A897" t="s">
        <v>1334</v>
      </c>
      <c r="B897" s="3" t="s">
        <v>102</v>
      </c>
      <c r="C897" s="3"/>
      <c r="D897" s="3"/>
      <c r="E897" s="3"/>
      <c r="F897" t="s">
        <v>551</v>
      </c>
      <c r="H897" t="s">
        <v>1659</v>
      </c>
      <c r="J897" t="str">
        <f t="shared" si="13"/>
        <v>FORM N-PORT-C.11</v>
      </c>
      <c r="K897" t="s">
        <v>1727</v>
      </c>
      <c r="L897" t="s">
        <v>783</v>
      </c>
      <c r="M897" t="s">
        <v>1688</v>
      </c>
      <c r="N897" t="s">
        <v>1728</v>
      </c>
      <c r="Q897" s="18" t="s">
        <v>1590</v>
      </c>
    </row>
    <row r="898" spans="1:17" x14ac:dyDescent="0.35">
      <c r="A898" t="s">
        <v>1334</v>
      </c>
      <c r="B898" s="3" t="s">
        <v>102</v>
      </c>
      <c r="C898" s="3"/>
      <c r="D898" s="3"/>
      <c r="E898" s="3"/>
      <c r="F898" t="s">
        <v>551</v>
      </c>
      <c r="H898" t="s">
        <v>1729</v>
      </c>
      <c r="J898" t="str">
        <f t="shared" si="13"/>
        <v>FORM N-PORT-C.12</v>
      </c>
      <c r="K898" t="s">
        <v>1730</v>
      </c>
      <c r="L898" t="s">
        <v>1187</v>
      </c>
      <c r="M898" t="s">
        <v>1731</v>
      </c>
      <c r="N898" t="s">
        <v>1732</v>
      </c>
      <c r="Q898" s="18" t="s">
        <v>1341</v>
      </c>
    </row>
    <row r="899" spans="1:17" x14ac:dyDescent="0.35">
      <c r="A899" t="s">
        <v>1334</v>
      </c>
      <c r="B899" s="3" t="s">
        <v>102</v>
      </c>
      <c r="C899" s="3"/>
      <c r="D899" s="3"/>
      <c r="E899" s="3"/>
      <c r="F899" t="s">
        <v>551</v>
      </c>
      <c r="H899" t="s">
        <v>1729</v>
      </c>
      <c r="J899" t="str">
        <f t="shared" ref="J899:J962" si="14">_xlfn.CONCAT(A899,"-",H899)</f>
        <v>FORM N-PORT-C.12</v>
      </c>
      <c r="K899" t="s">
        <v>1733</v>
      </c>
      <c r="L899" t="s">
        <v>783</v>
      </c>
      <c r="M899" t="s">
        <v>1734</v>
      </c>
      <c r="N899" t="s">
        <v>1735</v>
      </c>
      <c r="Q899" s="18" t="s">
        <v>1590</v>
      </c>
    </row>
    <row r="900" spans="1:17" x14ac:dyDescent="0.35">
      <c r="A900" t="s">
        <v>1334</v>
      </c>
      <c r="B900" s="3" t="s">
        <v>102</v>
      </c>
      <c r="C900" s="3"/>
      <c r="D900" s="3"/>
      <c r="E900" s="3"/>
      <c r="F900" t="s">
        <v>551</v>
      </c>
      <c r="H900" t="s">
        <v>1729</v>
      </c>
      <c r="J900" t="str">
        <f t="shared" si="14"/>
        <v>FORM N-PORT-C.12</v>
      </c>
      <c r="K900" t="s">
        <v>1736</v>
      </c>
      <c r="L900" t="s">
        <v>1187</v>
      </c>
      <c r="M900" t="s">
        <v>1737</v>
      </c>
      <c r="N900" t="s">
        <v>1738</v>
      </c>
      <c r="Q900" s="18" t="s">
        <v>1341</v>
      </c>
    </row>
    <row r="901" spans="1:17" x14ac:dyDescent="0.35">
      <c r="A901" t="s">
        <v>1334</v>
      </c>
      <c r="B901" s="3" t="s">
        <v>102</v>
      </c>
      <c r="C901" s="3"/>
      <c r="D901" s="3"/>
      <c r="E901" s="3"/>
      <c r="F901" t="s">
        <v>551</v>
      </c>
      <c r="H901" t="s">
        <v>1729</v>
      </c>
      <c r="J901" t="str">
        <f t="shared" si="14"/>
        <v>FORM N-PORT-C.12</v>
      </c>
      <c r="K901" t="s">
        <v>1739</v>
      </c>
      <c r="L901" t="s">
        <v>783</v>
      </c>
      <c r="M901" t="s">
        <v>1740</v>
      </c>
      <c r="N901" t="s">
        <v>1741</v>
      </c>
      <c r="Q901" s="18" t="s">
        <v>1590</v>
      </c>
    </row>
    <row r="902" spans="1:17" x14ac:dyDescent="0.35">
      <c r="A902" t="s">
        <v>1334</v>
      </c>
      <c r="B902" s="3" t="s">
        <v>102</v>
      </c>
      <c r="C902" s="3"/>
      <c r="D902" s="3"/>
      <c r="E902" s="3"/>
      <c r="F902" t="s">
        <v>551</v>
      </c>
      <c r="H902" t="s">
        <v>1729</v>
      </c>
      <c r="J902" t="str">
        <f t="shared" si="14"/>
        <v>FORM N-PORT-C.12</v>
      </c>
      <c r="K902" t="s">
        <v>1742</v>
      </c>
      <c r="L902" t="s">
        <v>1187</v>
      </c>
      <c r="M902" t="s">
        <v>1743</v>
      </c>
      <c r="N902" t="s">
        <v>1744</v>
      </c>
      <c r="Q902" s="18" t="s">
        <v>1341</v>
      </c>
    </row>
    <row r="903" spans="1:17" x14ac:dyDescent="0.35">
      <c r="A903" t="s">
        <v>1334</v>
      </c>
      <c r="B903" s="3" t="s">
        <v>102</v>
      </c>
      <c r="C903" s="3"/>
      <c r="D903" s="3"/>
      <c r="E903" s="3"/>
      <c r="F903" t="s">
        <v>551</v>
      </c>
      <c r="H903" t="s">
        <v>1729</v>
      </c>
      <c r="J903" t="str">
        <f t="shared" si="14"/>
        <v>FORM N-PORT-C.12</v>
      </c>
      <c r="K903" t="s">
        <v>1745</v>
      </c>
      <c r="L903" t="s">
        <v>783</v>
      </c>
      <c r="M903" t="s">
        <v>1746</v>
      </c>
      <c r="N903" t="s">
        <v>1747</v>
      </c>
      <c r="Q903" s="18" t="s">
        <v>1590</v>
      </c>
    </row>
    <row r="904" spans="1:17" x14ac:dyDescent="0.35">
      <c r="A904" t="s">
        <v>1334</v>
      </c>
      <c r="B904" s="3" t="s">
        <v>102</v>
      </c>
      <c r="C904" s="3"/>
      <c r="D904" s="3"/>
      <c r="E904" s="3"/>
      <c r="F904" t="s">
        <v>551</v>
      </c>
      <c r="H904" t="s">
        <v>593</v>
      </c>
      <c r="J904" t="str">
        <f t="shared" si="14"/>
        <v>FORM N-PORT-C.1</v>
      </c>
      <c r="K904" t="s">
        <v>1522</v>
      </c>
      <c r="L904" t="s">
        <v>229</v>
      </c>
      <c r="M904" t="s">
        <v>1523</v>
      </c>
      <c r="N904" t="s">
        <v>1524</v>
      </c>
      <c r="Q904" s="18" t="s">
        <v>8845</v>
      </c>
    </row>
    <row r="905" spans="1:17" x14ac:dyDescent="0.35">
      <c r="A905" t="s">
        <v>1334</v>
      </c>
      <c r="B905" s="3" t="s">
        <v>102</v>
      </c>
      <c r="C905" s="3"/>
      <c r="D905" s="3"/>
      <c r="E905" s="3"/>
      <c r="F905" t="s">
        <v>551</v>
      </c>
      <c r="H905" t="s">
        <v>593</v>
      </c>
      <c r="J905" t="str">
        <f t="shared" si="14"/>
        <v>FORM N-PORT-C.1</v>
      </c>
      <c r="K905" t="s">
        <v>1526</v>
      </c>
      <c r="L905" t="s">
        <v>1313</v>
      </c>
      <c r="M905" t="s">
        <v>1527</v>
      </c>
      <c r="N905" t="s">
        <v>1528</v>
      </c>
      <c r="Q905" s="18" t="s">
        <v>9199</v>
      </c>
    </row>
    <row r="906" spans="1:17" x14ac:dyDescent="0.35">
      <c r="A906" t="s">
        <v>1334</v>
      </c>
      <c r="B906" s="3" t="s">
        <v>102</v>
      </c>
      <c r="C906" s="3"/>
      <c r="D906" s="3"/>
      <c r="E906" s="3"/>
      <c r="F906" t="s">
        <v>551</v>
      </c>
      <c r="H906" t="s">
        <v>593</v>
      </c>
      <c r="J906" t="str">
        <f t="shared" si="14"/>
        <v>FORM N-PORT-C.1</v>
      </c>
      <c r="K906" t="s">
        <v>1530</v>
      </c>
      <c r="L906" t="s">
        <v>229</v>
      </c>
      <c r="M906" t="s">
        <v>1531</v>
      </c>
      <c r="N906" t="s">
        <v>1532</v>
      </c>
      <c r="Q906" s="18" t="s">
        <v>9200</v>
      </c>
    </row>
    <row r="907" spans="1:17" x14ac:dyDescent="0.35">
      <c r="A907" t="s">
        <v>1334</v>
      </c>
      <c r="B907" s="3" t="s">
        <v>102</v>
      </c>
      <c r="C907" s="3"/>
      <c r="D907" s="3"/>
      <c r="E907" s="3"/>
      <c r="F907" t="s">
        <v>551</v>
      </c>
      <c r="H907" t="s">
        <v>593</v>
      </c>
      <c r="J907" t="str">
        <f t="shared" si="14"/>
        <v>FORM N-PORT-C.1</v>
      </c>
      <c r="K907" t="s">
        <v>1534</v>
      </c>
      <c r="L907" t="s">
        <v>1313</v>
      </c>
      <c r="M907" t="s">
        <v>1535</v>
      </c>
      <c r="N907" t="s">
        <v>1536</v>
      </c>
      <c r="Q907" s="18" t="s">
        <v>9201</v>
      </c>
    </row>
    <row r="908" spans="1:17" x14ac:dyDescent="0.35">
      <c r="A908" t="s">
        <v>1334</v>
      </c>
      <c r="B908" s="3" t="s">
        <v>102</v>
      </c>
      <c r="C908" s="3"/>
      <c r="D908" s="3"/>
      <c r="E908" s="3"/>
      <c r="F908" t="s">
        <v>551</v>
      </c>
      <c r="H908" t="s">
        <v>593</v>
      </c>
      <c r="J908" t="str">
        <f t="shared" si="14"/>
        <v>FORM N-PORT-C.1</v>
      </c>
      <c r="K908" t="s">
        <v>1538</v>
      </c>
      <c r="L908" t="s">
        <v>1313</v>
      </c>
      <c r="M908" t="s">
        <v>1539</v>
      </c>
      <c r="N908" t="s">
        <v>1540</v>
      </c>
      <c r="Q908" s="18" t="s">
        <v>9202</v>
      </c>
    </row>
    <row r="909" spans="1:17" x14ac:dyDescent="0.35">
      <c r="A909" t="s">
        <v>1334</v>
      </c>
      <c r="B909" s="3" t="s">
        <v>102</v>
      </c>
      <c r="C909" s="3"/>
      <c r="D909" s="3"/>
      <c r="E909" s="3"/>
      <c r="F909" t="s">
        <v>551</v>
      </c>
      <c r="H909" t="s">
        <v>1542</v>
      </c>
      <c r="J909" t="str">
        <f t="shared" si="14"/>
        <v>FORM N-PORT-C.2</v>
      </c>
      <c r="K909" t="s">
        <v>1543</v>
      </c>
      <c r="L909" t="s">
        <v>783</v>
      </c>
      <c r="M909" t="s">
        <v>1544</v>
      </c>
      <c r="N909" t="s">
        <v>1545</v>
      </c>
      <c r="Q909" s="18">
        <v>9872000</v>
      </c>
    </row>
    <row r="910" spans="1:17" x14ac:dyDescent="0.35">
      <c r="A910" t="s">
        <v>1334</v>
      </c>
      <c r="B910" s="3" t="s">
        <v>102</v>
      </c>
      <c r="C910" s="3"/>
      <c r="D910" s="3"/>
      <c r="E910" s="3"/>
      <c r="F910" t="s">
        <v>551</v>
      </c>
      <c r="H910" t="s">
        <v>1542</v>
      </c>
      <c r="J910" t="str">
        <f t="shared" si="14"/>
        <v>FORM N-PORT-C.2</v>
      </c>
      <c r="K910" t="s">
        <v>1546</v>
      </c>
      <c r="L910" t="s">
        <v>1502</v>
      </c>
      <c r="M910" t="s">
        <v>1547</v>
      </c>
      <c r="N910" t="s">
        <v>1548</v>
      </c>
      <c r="Q910" s="18" t="s">
        <v>1549</v>
      </c>
    </row>
    <row r="911" spans="1:17" x14ac:dyDescent="0.35">
      <c r="A911" t="s">
        <v>1334</v>
      </c>
      <c r="B911" s="3" t="s">
        <v>102</v>
      </c>
      <c r="C911" s="3"/>
      <c r="D911" s="3"/>
      <c r="E911" s="3"/>
      <c r="F911" t="s">
        <v>551</v>
      </c>
      <c r="H911" t="s">
        <v>1542</v>
      </c>
      <c r="J911" t="str">
        <f t="shared" si="14"/>
        <v>FORM N-PORT-C.2</v>
      </c>
      <c r="K911" t="s">
        <v>1550</v>
      </c>
      <c r="L911" t="s">
        <v>783</v>
      </c>
      <c r="M911" t="s">
        <v>1551</v>
      </c>
      <c r="N911" t="s">
        <v>1552</v>
      </c>
      <c r="Q911" s="18">
        <v>10106835.140000001</v>
      </c>
    </row>
    <row r="912" spans="1:17" x14ac:dyDescent="0.35">
      <c r="A912" t="s">
        <v>1334</v>
      </c>
      <c r="B912" s="3" t="s">
        <v>102</v>
      </c>
      <c r="C912" s="3"/>
      <c r="D912" s="3"/>
      <c r="E912" s="3"/>
      <c r="F912" t="s">
        <v>551</v>
      </c>
      <c r="H912" t="s">
        <v>1542</v>
      </c>
      <c r="J912" t="str">
        <f t="shared" si="14"/>
        <v>FORM N-PORT-C.2</v>
      </c>
      <c r="K912" t="s">
        <v>1553</v>
      </c>
      <c r="L912" t="s">
        <v>1198</v>
      </c>
      <c r="M912" t="s">
        <v>1554</v>
      </c>
      <c r="N912" t="s">
        <v>1555</v>
      </c>
      <c r="Q912" s="18">
        <v>4.3277148000000001E-3</v>
      </c>
    </row>
    <row r="913" spans="1:17" x14ac:dyDescent="0.35">
      <c r="A913" t="s">
        <v>1334</v>
      </c>
      <c r="B913" s="3" t="s">
        <v>102</v>
      </c>
      <c r="C913" s="3"/>
      <c r="D913" s="3"/>
      <c r="E913" s="3"/>
      <c r="F913" t="s">
        <v>551</v>
      </c>
      <c r="H913" t="s">
        <v>1542</v>
      </c>
      <c r="J913" t="str">
        <f t="shared" si="14"/>
        <v>FORM N-PORT-C.2</v>
      </c>
      <c r="K913" t="s">
        <v>1556</v>
      </c>
      <c r="L913" t="s">
        <v>1187</v>
      </c>
      <c r="M913" t="s">
        <v>1557</v>
      </c>
      <c r="N913" t="s">
        <v>1558</v>
      </c>
      <c r="Q913" s="18" t="s">
        <v>1590</v>
      </c>
    </row>
    <row r="914" spans="1:17" x14ac:dyDescent="0.35">
      <c r="A914" t="s">
        <v>1334</v>
      </c>
      <c r="B914" s="3" t="s">
        <v>102</v>
      </c>
      <c r="C914" s="3"/>
      <c r="D914" s="3"/>
      <c r="E914" s="3"/>
      <c r="F914" t="s">
        <v>551</v>
      </c>
      <c r="H914" t="s">
        <v>1559</v>
      </c>
      <c r="J914" t="str">
        <f t="shared" si="14"/>
        <v>FORM N-PORT-C.3</v>
      </c>
      <c r="K914" t="s">
        <v>1560</v>
      </c>
      <c r="L914" t="s">
        <v>229</v>
      </c>
      <c r="M914" t="s">
        <v>1561</v>
      </c>
      <c r="N914" t="s">
        <v>1562</v>
      </c>
      <c r="Q914" s="18" t="s">
        <v>1563</v>
      </c>
    </row>
    <row r="915" spans="1:17" x14ac:dyDescent="0.35">
      <c r="A915" t="s">
        <v>1334</v>
      </c>
      <c r="B915" s="3" t="s">
        <v>102</v>
      </c>
      <c r="C915" s="3"/>
      <c r="D915" s="3"/>
      <c r="E915" s="3"/>
      <c r="F915" t="s">
        <v>551</v>
      </c>
      <c r="H915" t="s">
        <v>1564</v>
      </c>
      <c r="J915" t="str">
        <f t="shared" si="14"/>
        <v>FORM N-PORT-C.4</v>
      </c>
      <c r="K915" t="s">
        <v>1565</v>
      </c>
      <c r="L915" t="s">
        <v>1566</v>
      </c>
      <c r="M915" t="s">
        <v>1567</v>
      </c>
      <c r="N915" t="s">
        <v>1568</v>
      </c>
      <c r="Q915" s="18" t="s">
        <v>1569</v>
      </c>
    </row>
    <row r="916" spans="1:17" x14ac:dyDescent="0.35">
      <c r="A916" t="s">
        <v>1334</v>
      </c>
      <c r="B916" s="3" t="s">
        <v>102</v>
      </c>
      <c r="C916" s="3"/>
      <c r="D916" s="3"/>
      <c r="E916" s="3"/>
      <c r="F916" t="s">
        <v>551</v>
      </c>
      <c r="H916" t="s">
        <v>1564</v>
      </c>
      <c r="J916" t="str">
        <f t="shared" si="14"/>
        <v>FORM N-PORT-C.4</v>
      </c>
      <c r="K916" t="s">
        <v>1570</v>
      </c>
      <c r="L916" t="s">
        <v>1566</v>
      </c>
      <c r="M916" t="s">
        <v>1571</v>
      </c>
      <c r="N916" t="s">
        <v>1572</v>
      </c>
      <c r="Q916" s="18" t="s">
        <v>1573</v>
      </c>
    </row>
    <row r="917" spans="1:17" x14ac:dyDescent="0.35">
      <c r="A917" t="s">
        <v>1334</v>
      </c>
      <c r="B917" s="3" t="s">
        <v>102</v>
      </c>
      <c r="C917" s="3"/>
      <c r="D917" s="3"/>
      <c r="E917" s="3"/>
      <c r="F917" t="s">
        <v>551</v>
      </c>
      <c r="H917" t="s">
        <v>1574</v>
      </c>
      <c r="J917" t="str">
        <f t="shared" si="14"/>
        <v>FORM N-PORT-C.5</v>
      </c>
      <c r="K917" t="s">
        <v>1575</v>
      </c>
      <c r="L917" t="s">
        <v>1502</v>
      </c>
      <c r="M917" t="s">
        <v>1576</v>
      </c>
      <c r="N917" t="s">
        <v>1577</v>
      </c>
      <c r="Q917" s="18" t="s">
        <v>1578</v>
      </c>
    </row>
    <row r="918" spans="1:17" x14ac:dyDescent="0.35">
      <c r="A918" t="s">
        <v>1334</v>
      </c>
      <c r="B918" s="3" t="s">
        <v>102</v>
      </c>
      <c r="C918" s="3"/>
      <c r="D918" s="3"/>
      <c r="E918" s="3"/>
      <c r="F918" t="s">
        <v>551</v>
      </c>
      <c r="H918" t="s">
        <v>1574</v>
      </c>
      <c r="J918" t="str">
        <f t="shared" si="14"/>
        <v>FORM N-PORT-C.5</v>
      </c>
      <c r="K918" t="s">
        <v>1579</v>
      </c>
      <c r="L918" t="s">
        <v>1502</v>
      </c>
      <c r="M918" t="s">
        <v>1580</v>
      </c>
      <c r="N918" t="s">
        <v>1581</v>
      </c>
      <c r="Q918" s="18" t="s">
        <v>1590</v>
      </c>
    </row>
    <row r="919" spans="1:17" x14ac:dyDescent="0.35">
      <c r="A919" t="s">
        <v>1334</v>
      </c>
      <c r="B919" s="3" t="s">
        <v>102</v>
      </c>
      <c r="C919" s="3"/>
      <c r="D919" s="3"/>
      <c r="E919" s="3"/>
      <c r="F919" t="s">
        <v>551</v>
      </c>
      <c r="H919" t="s">
        <v>1582</v>
      </c>
      <c r="J919" t="str">
        <f t="shared" si="14"/>
        <v>FORM N-PORT-C.6</v>
      </c>
      <c r="K919" t="s">
        <v>1583</v>
      </c>
      <c r="L919" t="s">
        <v>1187</v>
      </c>
      <c r="M919" t="s">
        <v>1584</v>
      </c>
      <c r="N919" t="s">
        <v>1585</v>
      </c>
      <c r="Q919" s="18" t="s">
        <v>1341</v>
      </c>
    </row>
    <row r="920" spans="1:17" x14ac:dyDescent="0.35">
      <c r="A920" t="s">
        <v>1334</v>
      </c>
      <c r="B920" s="3" t="s">
        <v>102</v>
      </c>
      <c r="C920" s="3"/>
      <c r="D920" s="3"/>
      <c r="E920" s="3"/>
      <c r="F920" t="s">
        <v>551</v>
      </c>
      <c r="H920" t="s">
        <v>1586</v>
      </c>
      <c r="J920" t="str">
        <f t="shared" si="14"/>
        <v>FORM N-PORT-C.7</v>
      </c>
      <c r="K920" t="s">
        <v>1587</v>
      </c>
      <c r="L920" t="s">
        <v>1566</v>
      </c>
      <c r="M920" t="s">
        <v>1588</v>
      </c>
      <c r="N920" t="s">
        <v>1589</v>
      </c>
      <c r="Q920" s="18" t="s">
        <v>1590</v>
      </c>
    </row>
    <row r="921" spans="1:17" x14ac:dyDescent="0.35">
      <c r="A921" t="s">
        <v>1334</v>
      </c>
      <c r="B921" s="3" t="s">
        <v>102</v>
      </c>
      <c r="C921" s="3"/>
      <c r="D921" s="3"/>
      <c r="E921" s="3"/>
      <c r="F921" t="s">
        <v>551</v>
      </c>
      <c r="H921" t="s">
        <v>1591</v>
      </c>
      <c r="J921" t="str">
        <f t="shared" si="14"/>
        <v>FORM N-PORT-C.8</v>
      </c>
      <c r="K921" t="s">
        <v>1592</v>
      </c>
      <c r="L921" t="s">
        <v>241</v>
      </c>
      <c r="M921" t="s">
        <v>1593</v>
      </c>
      <c r="N921" t="s">
        <v>1594</v>
      </c>
      <c r="Q921" s="18">
        <v>2</v>
      </c>
    </row>
    <row r="922" spans="1:17" x14ac:dyDescent="0.35">
      <c r="A922" t="s">
        <v>1334</v>
      </c>
      <c r="B922" s="3" t="s">
        <v>102</v>
      </c>
      <c r="C922" s="3"/>
      <c r="D922" s="3"/>
      <c r="E922" s="3"/>
      <c r="F922" t="s">
        <v>551</v>
      </c>
      <c r="H922" t="s">
        <v>1595</v>
      </c>
      <c r="J922" t="str">
        <f t="shared" si="14"/>
        <v>FORM N-PORT-C.9</v>
      </c>
      <c r="K922" t="s">
        <v>1596</v>
      </c>
      <c r="L922" t="s">
        <v>1331</v>
      </c>
      <c r="M922" t="s">
        <v>1597</v>
      </c>
      <c r="N922" t="s">
        <v>1598</v>
      </c>
      <c r="Q922" s="17">
        <v>48867</v>
      </c>
    </row>
    <row r="923" spans="1:17" x14ac:dyDescent="0.35">
      <c r="A923" t="s">
        <v>1334</v>
      </c>
      <c r="B923" s="3" t="s">
        <v>102</v>
      </c>
      <c r="C923" s="3"/>
      <c r="D923" s="3"/>
      <c r="E923" s="3"/>
      <c r="F923" t="s">
        <v>551</v>
      </c>
      <c r="H923" t="s">
        <v>1595</v>
      </c>
      <c r="J923" t="str">
        <f t="shared" si="14"/>
        <v>FORM N-PORT-C.9</v>
      </c>
      <c r="K923" t="s">
        <v>1599</v>
      </c>
      <c r="L923" t="s">
        <v>1600</v>
      </c>
      <c r="M923" t="s">
        <v>1601</v>
      </c>
      <c r="N923" t="s">
        <v>1602</v>
      </c>
      <c r="Q923" s="18" t="s">
        <v>9203</v>
      </c>
    </row>
    <row r="924" spans="1:17" x14ac:dyDescent="0.35">
      <c r="A924" t="s">
        <v>1334</v>
      </c>
      <c r="B924" s="3" t="s">
        <v>102</v>
      </c>
      <c r="C924" s="3"/>
      <c r="D924" s="3"/>
      <c r="E924" s="3"/>
      <c r="F924" t="s">
        <v>551</v>
      </c>
      <c r="H924" t="s">
        <v>1595</v>
      </c>
      <c r="J924" t="str">
        <f t="shared" si="14"/>
        <v>FORM N-PORT-C.9</v>
      </c>
      <c r="K924" t="s">
        <v>1604</v>
      </c>
      <c r="L924" t="s">
        <v>1187</v>
      </c>
      <c r="M924" t="s">
        <v>1605</v>
      </c>
      <c r="N924" t="s">
        <v>1606</v>
      </c>
      <c r="Q924" s="18" t="s">
        <v>1341</v>
      </c>
    </row>
    <row r="925" spans="1:17" x14ac:dyDescent="0.35">
      <c r="A925" t="s">
        <v>1334</v>
      </c>
      <c r="B925" s="3" t="s">
        <v>102</v>
      </c>
      <c r="C925" s="3"/>
      <c r="D925" s="3"/>
      <c r="E925" s="3"/>
      <c r="F925" t="s">
        <v>551</v>
      </c>
      <c r="H925" t="s">
        <v>1595</v>
      </c>
      <c r="J925" t="str">
        <f t="shared" si="14"/>
        <v>FORM N-PORT-C.9</v>
      </c>
      <c r="K925" t="s">
        <v>1607</v>
      </c>
      <c r="L925" t="s">
        <v>1187</v>
      </c>
      <c r="M925" t="s">
        <v>1608</v>
      </c>
      <c r="N925" t="s">
        <v>1609</v>
      </c>
      <c r="Q925" s="18" t="s">
        <v>1341</v>
      </c>
    </row>
    <row r="926" spans="1:17" x14ac:dyDescent="0.35">
      <c r="A926" t="s">
        <v>1334</v>
      </c>
      <c r="B926" s="3" t="s">
        <v>102</v>
      </c>
      <c r="C926" s="3"/>
      <c r="D926" s="3"/>
      <c r="E926" s="3"/>
      <c r="F926" t="s">
        <v>551</v>
      </c>
      <c r="H926" t="s">
        <v>1595</v>
      </c>
      <c r="J926" t="str">
        <f t="shared" si="14"/>
        <v>FORM N-PORT-C.9</v>
      </c>
      <c r="K926" t="s">
        <v>1610</v>
      </c>
      <c r="L926" t="s">
        <v>1187</v>
      </c>
      <c r="M926" t="s">
        <v>1611</v>
      </c>
      <c r="N926" t="s">
        <v>1612</v>
      </c>
      <c r="Q926" s="18" t="s">
        <v>1341</v>
      </c>
    </row>
    <row r="927" spans="1:17" x14ac:dyDescent="0.35">
      <c r="A927" t="s">
        <v>1334</v>
      </c>
      <c r="B927" s="3" t="s">
        <v>102</v>
      </c>
      <c r="C927" s="3"/>
      <c r="D927" s="3"/>
      <c r="E927" s="3"/>
      <c r="F927" t="s">
        <v>551</v>
      </c>
      <c r="H927" t="s">
        <v>1595</v>
      </c>
      <c r="J927" t="str">
        <f t="shared" si="14"/>
        <v>FORM N-PORT-C.9</v>
      </c>
      <c r="K927" t="s">
        <v>1613</v>
      </c>
      <c r="L927" t="s">
        <v>1187</v>
      </c>
      <c r="M927" t="s">
        <v>1614</v>
      </c>
      <c r="N927" t="s">
        <v>1615</v>
      </c>
      <c r="Q927" s="18" t="s">
        <v>1590</v>
      </c>
    </row>
    <row r="928" spans="1:17" x14ac:dyDescent="0.35">
      <c r="A928" t="s">
        <v>1334</v>
      </c>
      <c r="B928" s="3" t="s">
        <v>102</v>
      </c>
      <c r="C928" s="3"/>
      <c r="D928" s="3"/>
      <c r="E928" s="3"/>
      <c r="F928" t="s">
        <v>551</v>
      </c>
      <c r="H928" t="s">
        <v>1595</v>
      </c>
      <c r="J928" t="str">
        <f t="shared" si="14"/>
        <v>FORM N-PORT-C.9</v>
      </c>
      <c r="K928" t="s">
        <v>1616</v>
      </c>
      <c r="L928" t="s">
        <v>1187</v>
      </c>
      <c r="M928" t="s">
        <v>1617</v>
      </c>
      <c r="N928" t="s">
        <v>1618</v>
      </c>
      <c r="Q928" s="18" t="s">
        <v>1590</v>
      </c>
    </row>
    <row r="929" spans="1:17" x14ac:dyDescent="0.35">
      <c r="A929" t="s">
        <v>1334</v>
      </c>
      <c r="B929" s="3" t="s">
        <v>102</v>
      </c>
      <c r="C929" s="3"/>
      <c r="D929" s="3"/>
      <c r="E929" s="3"/>
      <c r="F929" t="s">
        <v>551</v>
      </c>
      <c r="H929" t="s">
        <v>1595</v>
      </c>
      <c r="J929" t="str">
        <f t="shared" si="14"/>
        <v>FORM N-PORT-C.9</v>
      </c>
      <c r="K929" t="s">
        <v>1619</v>
      </c>
      <c r="L929" t="s">
        <v>1502</v>
      </c>
      <c r="M929" t="s">
        <v>1620</v>
      </c>
      <c r="N929" t="s">
        <v>1621</v>
      </c>
      <c r="Q929" s="18" t="s">
        <v>1590</v>
      </c>
    </row>
    <row r="930" spans="1:17" x14ac:dyDescent="0.35">
      <c r="A930" t="s">
        <v>1334</v>
      </c>
      <c r="B930" s="3" t="s">
        <v>102</v>
      </c>
      <c r="C930" s="3"/>
      <c r="D930" s="3"/>
      <c r="E930" s="3"/>
      <c r="F930" t="s">
        <v>551</v>
      </c>
      <c r="H930" t="s">
        <v>1595</v>
      </c>
      <c r="J930" t="str">
        <f t="shared" si="14"/>
        <v>FORM N-PORT-C.9</v>
      </c>
      <c r="K930" t="s">
        <v>1622</v>
      </c>
      <c r="L930" t="s">
        <v>783</v>
      </c>
      <c r="M930" t="s">
        <v>1623</v>
      </c>
      <c r="N930" t="s">
        <v>1624</v>
      </c>
      <c r="Q930" s="18" t="s">
        <v>1590</v>
      </c>
    </row>
    <row r="931" spans="1:17" x14ac:dyDescent="0.35">
      <c r="A931" t="s">
        <v>1334</v>
      </c>
      <c r="B931" s="3" t="s">
        <v>102</v>
      </c>
      <c r="C931" s="3"/>
      <c r="D931" s="3"/>
      <c r="E931" s="3"/>
      <c r="F931" t="s">
        <v>551</v>
      </c>
      <c r="H931" t="s">
        <v>1595</v>
      </c>
      <c r="J931" t="str">
        <f t="shared" si="14"/>
        <v>FORM N-PORT-C.9</v>
      </c>
      <c r="K931" t="s">
        <v>1625</v>
      </c>
      <c r="L931" t="s">
        <v>783</v>
      </c>
      <c r="M931" t="s">
        <v>1626</v>
      </c>
      <c r="N931" t="s">
        <v>1627</v>
      </c>
      <c r="Q931" s="18" t="s">
        <v>1590</v>
      </c>
    </row>
    <row r="932" spans="1:17" x14ac:dyDescent="0.35">
      <c r="A932" t="s">
        <v>1334</v>
      </c>
      <c r="B932" s="3" t="s">
        <v>102</v>
      </c>
      <c r="C932" s="3"/>
      <c r="D932" s="3"/>
      <c r="E932" s="3"/>
      <c r="F932" t="s">
        <v>551</v>
      </c>
      <c r="H932" t="s">
        <v>1628</v>
      </c>
      <c r="J932" t="str">
        <f t="shared" si="14"/>
        <v>FORM N-PORT-C.10</v>
      </c>
      <c r="K932" t="s">
        <v>1629</v>
      </c>
      <c r="L932" t="s">
        <v>1566</v>
      </c>
      <c r="M932" t="s">
        <v>1630</v>
      </c>
      <c r="N932" t="s">
        <v>1631</v>
      </c>
      <c r="Q932" s="18" t="s">
        <v>1590</v>
      </c>
    </row>
    <row r="933" spans="1:17" x14ac:dyDescent="0.35">
      <c r="A933" t="s">
        <v>1334</v>
      </c>
      <c r="B933" s="3" t="s">
        <v>102</v>
      </c>
      <c r="C933" s="3"/>
      <c r="D933" s="3"/>
      <c r="E933" s="3"/>
      <c r="F933" t="s">
        <v>551</v>
      </c>
      <c r="H933" t="s">
        <v>1628</v>
      </c>
      <c r="J933" t="str">
        <f t="shared" si="14"/>
        <v>FORM N-PORT-C.10</v>
      </c>
      <c r="K933" t="s">
        <v>1632</v>
      </c>
      <c r="L933" t="s">
        <v>1502</v>
      </c>
      <c r="M933" t="s">
        <v>1633</v>
      </c>
      <c r="N933" t="s">
        <v>1634</v>
      </c>
      <c r="Q933" s="18" t="s">
        <v>1590</v>
      </c>
    </row>
    <row r="934" spans="1:17" x14ac:dyDescent="0.35">
      <c r="A934" t="s">
        <v>1334</v>
      </c>
      <c r="B934" s="3" t="s">
        <v>102</v>
      </c>
      <c r="C934" s="3"/>
      <c r="D934" s="3"/>
      <c r="E934" s="3"/>
      <c r="F934" t="s">
        <v>551</v>
      </c>
      <c r="H934" t="s">
        <v>1628</v>
      </c>
      <c r="J934" t="str">
        <f t="shared" si="14"/>
        <v>FORM N-PORT-C.10</v>
      </c>
      <c r="K934" t="s">
        <v>1635</v>
      </c>
      <c r="L934" t="s">
        <v>1187</v>
      </c>
      <c r="M934" t="s">
        <v>1636</v>
      </c>
      <c r="N934" t="s">
        <v>1637</v>
      </c>
      <c r="Q934" s="18" t="s">
        <v>1590</v>
      </c>
    </row>
    <row r="935" spans="1:17" x14ac:dyDescent="0.35">
      <c r="A935" t="s">
        <v>1334</v>
      </c>
      <c r="B935" s="3" t="s">
        <v>102</v>
      </c>
      <c r="C935" s="3"/>
      <c r="D935" s="3"/>
      <c r="E935" s="3"/>
      <c r="F935" t="s">
        <v>551</v>
      </c>
      <c r="H935" t="s">
        <v>1628</v>
      </c>
      <c r="J935" t="str">
        <f t="shared" si="14"/>
        <v>FORM N-PORT-C.10</v>
      </c>
      <c r="K935" t="s">
        <v>1638</v>
      </c>
      <c r="L935" t="s">
        <v>1502</v>
      </c>
      <c r="M935" t="s">
        <v>1639</v>
      </c>
      <c r="N935" t="s">
        <v>1640</v>
      </c>
      <c r="Q935" s="18" t="s">
        <v>1590</v>
      </c>
    </row>
    <row r="936" spans="1:17" x14ac:dyDescent="0.35">
      <c r="A936" t="s">
        <v>1334</v>
      </c>
      <c r="B936" s="3" t="s">
        <v>102</v>
      </c>
      <c r="C936" s="3"/>
      <c r="D936" s="3"/>
      <c r="E936" s="3"/>
      <c r="F936" t="s">
        <v>551</v>
      </c>
      <c r="H936" t="s">
        <v>1628</v>
      </c>
      <c r="J936" t="str">
        <f t="shared" si="14"/>
        <v>FORM N-PORT-C.10</v>
      </c>
      <c r="K936" t="s">
        <v>1641</v>
      </c>
      <c r="L936" t="s">
        <v>1187</v>
      </c>
      <c r="M936" t="s">
        <v>1642</v>
      </c>
      <c r="N936" t="s">
        <v>1643</v>
      </c>
      <c r="Q936" s="18" t="s">
        <v>1590</v>
      </c>
    </row>
    <row r="937" spans="1:17" x14ac:dyDescent="0.35">
      <c r="A937" t="s">
        <v>1334</v>
      </c>
      <c r="B937" s="3" t="s">
        <v>102</v>
      </c>
      <c r="C937" s="3"/>
      <c r="D937" s="3"/>
      <c r="E937" s="3"/>
      <c r="F937" t="s">
        <v>551</v>
      </c>
      <c r="H937" t="s">
        <v>1628</v>
      </c>
      <c r="J937" t="str">
        <f t="shared" si="14"/>
        <v>FORM N-PORT-C.10</v>
      </c>
      <c r="K937" t="s">
        <v>1644</v>
      </c>
      <c r="L937" t="s">
        <v>1198</v>
      </c>
      <c r="M937" t="s">
        <v>1645</v>
      </c>
      <c r="N937" t="s">
        <v>1646</v>
      </c>
      <c r="Q937" s="18" t="s">
        <v>1590</v>
      </c>
    </row>
    <row r="938" spans="1:17" x14ac:dyDescent="0.35">
      <c r="A938" t="s">
        <v>1334</v>
      </c>
      <c r="B938" s="3" t="s">
        <v>102</v>
      </c>
      <c r="C938" s="3"/>
      <c r="D938" s="3"/>
      <c r="E938" s="3"/>
      <c r="F938" t="s">
        <v>551</v>
      </c>
      <c r="H938" t="s">
        <v>1628</v>
      </c>
      <c r="J938" t="str">
        <f t="shared" si="14"/>
        <v>FORM N-PORT-C.10</v>
      </c>
      <c r="K938" t="s">
        <v>1647</v>
      </c>
      <c r="L938" t="s">
        <v>1331</v>
      </c>
      <c r="M938" t="s">
        <v>1648</v>
      </c>
      <c r="N938" t="s">
        <v>1649</v>
      </c>
      <c r="Q938" s="18" t="s">
        <v>1590</v>
      </c>
    </row>
    <row r="939" spans="1:17" x14ac:dyDescent="0.35">
      <c r="A939" t="s">
        <v>1334</v>
      </c>
      <c r="B939" s="3" t="s">
        <v>102</v>
      </c>
      <c r="C939" s="3"/>
      <c r="D939" s="3"/>
      <c r="E939" s="3"/>
      <c r="F939" t="s">
        <v>551</v>
      </c>
      <c r="H939" t="s">
        <v>1628</v>
      </c>
      <c r="J939" t="str">
        <f t="shared" si="14"/>
        <v>FORM N-PORT-C.10</v>
      </c>
      <c r="K939" t="s">
        <v>1650</v>
      </c>
      <c r="L939" t="s">
        <v>783</v>
      </c>
      <c r="M939" t="s">
        <v>1651</v>
      </c>
      <c r="N939" t="s">
        <v>1652</v>
      </c>
      <c r="Q939" s="18" t="s">
        <v>1590</v>
      </c>
    </row>
    <row r="940" spans="1:17" x14ac:dyDescent="0.35">
      <c r="A940" t="s">
        <v>1334</v>
      </c>
      <c r="B940" s="3" t="s">
        <v>102</v>
      </c>
      <c r="C940" s="3"/>
      <c r="D940" s="3"/>
      <c r="E940" s="3"/>
      <c r="F940" t="s">
        <v>551</v>
      </c>
      <c r="H940" t="s">
        <v>1628</v>
      </c>
      <c r="J940" t="str">
        <f t="shared" si="14"/>
        <v>FORM N-PORT-C.10</v>
      </c>
      <c r="K940" t="s">
        <v>1653</v>
      </c>
      <c r="L940" t="s">
        <v>783</v>
      </c>
      <c r="M940" t="s">
        <v>1654</v>
      </c>
      <c r="N940" t="s">
        <v>1655</v>
      </c>
      <c r="Q940" s="18" t="s">
        <v>1590</v>
      </c>
    </row>
    <row r="941" spans="1:17" x14ac:dyDescent="0.35">
      <c r="A941" t="s">
        <v>1334</v>
      </c>
      <c r="B941" s="3" t="s">
        <v>102</v>
      </c>
      <c r="C941" s="3"/>
      <c r="D941" s="3"/>
      <c r="E941" s="3"/>
      <c r="F941" t="s">
        <v>551</v>
      </c>
      <c r="H941" t="s">
        <v>1628</v>
      </c>
      <c r="J941" t="str">
        <f t="shared" si="14"/>
        <v>FORM N-PORT-C.10</v>
      </c>
      <c r="K941" t="s">
        <v>1656</v>
      </c>
      <c r="L941" t="s">
        <v>1566</v>
      </c>
      <c r="M941" t="s">
        <v>1657</v>
      </c>
      <c r="N941" t="s">
        <v>1658</v>
      </c>
      <c r="Q941" s="18" t="s">
        <v>1590</v>
      </c>
    </row>
    <row r="942" spans="1:17" x14ac:dyDescent="0.35">
      <c r="A942" t="s">
        <v>1334</v>
      </c>
      <c r="B942" s="3" t="s">
        <v>102</v>
      </c>
      <c r="C942" s="3"/>
      <c r="D942" s="3"/>
      <c r="E942" s="3"/>
      <c r="F942" t="s">
        <v>551</v>
      </c>
      <c r="H942" t="s">
        <v>1659</v>
      </c>
      <c r="J942" t="str">
        <f t="shared" si="14"/>
        <v>FORM N-PORT-C.11</v>
      </c>
      <c r="K942" t="s">
        <v>1660</v>
      </c>
      <c r="L942" t="s">
        <v>1566</v>
      </c>
      <c r="M942" t="s">
        <v>1661</v>
      </c>
      <c r="N942" t="s">
        <v>1662</v>
      </c>
      <c r="Q942" s="18" t="s">
        <v>1590</v>
      </c>
    </row>
    <row r="943" spans="1:17" x14ac:dyDescent="0.35">
      <c r="A943" t="s">
        <v>1334</v>
      </c>
      <c r="B943" s="3" t="s">
        <v>102</v>
      </c>
      <c r="C943" s="3"/>
      <c r="D943" s="3"/>
      <c r="E943" s="3"/>
      <c r="F943" t="s">
        <v>551</v>
      </c>
      <c r="H943" t="s">
        <v>1659</v>
      </c>
      <c r="J943" t="str">
        <f t="shared" si="14"/>
        <v>FORM N-PORT-C.11</v>
      </c>
      <c r="K943" t="s">
        <v>1663</v>
      </c>
      <c r="L943" t="s">
        <v>1502</v>
      </c>
      <c r="M943" t="s">
        <v>1664</v>
      </c>
      <c r="N943" t="s">
        <v>1665</v>
      </c>
      <c r="Q943" s="18" t="s">
        <v>1590</v>
      </c>
    </row>
    <row r="944" spans="1:17" x14ac:dyDescent="0.35">
      <c r="A944" t="s">
        <v>1334</v>
      </c>
      <c r="B944" s="3" t="s">
        <v>102</v>
      </c>
      <c r="C944" s="3"/>
      <c r="D944" s="3"/>
      <c r="E944" s="3"/>
      <c r="F944" t="s">
        <v>551</v>
      </c>
      <c r="H944" t="s">
        <v>1659</v>
      </c>
      <c r="J944" t="str">
        <f t="shared" si="14"/>
        <v>FORM N-PORT-C.11</v>
      </c>
      <c r="K944" t="s">
        <v>1666</v>
      </c>
      <c r="L944" t="s">
        <v>1566</v>
      </c>
      <c r="M944" t="s">
        <v>1667</v>
      </c>
      <c r="N944" t="s">
        <v>1668</v>
      </c>
      <c r="Q944" s="18" t="s">
        <v>1590</v>
      </c>
    </row>
    <row r="945" spans="1:17" x14ac:dyDescent="0.35">
      <c r="A945" t="s">
        <v>1334</v>
      </c>
      <c r="B945" s="3" t="s">
        <v>102</v>
      </c>
      <c r="C945" s="3"/>
      <c r="D945" s="3"/>
      <c r="E945" s="3"/>
      <c r="F945" t="s">
        <v>551</v>
      </c>
      <c r="H945" t="s">
        <v>1659</v>
      </c>
      <c r="J945" t="str">
        <f t="shared" si="14"/>
        <v>FORM N-PORT-C.11</v>
      </c>
      <c r="K945" t="s">
        <v>1669</v>
      </c>
      <c r="L945" t="s">
        <v>1566</v>
      </c>
      <c r="M945" t="s">
        <v>1670</v>
      </c>
      <c r="N945" t="s">
        <v>1671</v>
      </c>
      <c r="Q945" s="18" t="s">
        <v>1590</v>
      </c>
    </row>
    <row r="946" spans="1:17" x14ac:dyDescent="0.35">
      <c r="A946" t="s">
        <v>1334</v>
      </c>
      <c r="B946" s="3" t="s">
        <v>102</v>
      </c>
      <c r="C946" s="3"/>
      <c r="D946" s="3"/>
      <c r="E946" s="3"/>
      <c r="F946" t="s">
        <v>551</v>
      </c>
      <c r="H946" t="s">
        <v>1659</v>
      </c>
      <c r="J946" t="str">
        <f t="shared" si="14"/>
        <v>FORM N-PORT-C.11</v>
      </c>
      <c r="K946" t="s">
        <v>1672</v>
      </c>
      <c r="L946" t="s">
        <v>1502</v>
      </c>
      <c r="M946" t="s">
        <v>1673</v>
      </c>
      <c r="N946" t="s">
        <v>1674</v>
      </c>
      <c r="Q946" s="18" t="s">
        <v>1590</v>
      </c>
    </row>
    <row r="947" spans="1:17" x14ac:dyDescent="0.35">
      <c r="A947" t="s">
        <v>1334</v>
      </c>
      <c r="B947" s="3" t="s">
        <v>102</v>
      </c>
      <c r="C947" s="3"/>
      <c r="D947" s="3"/>
      <c r="E947" s="3"/>
      <c r="F947" t="s">
        <v>551</v>
      </c>
      <c r="H947" t="s">
        <v>1659</v>
      </c>
      <c r="J947" t="str">
        <f t="shared" si="14"/>
        <v>FORM N-PORT-C.11</v>
      </c>
      <c r="K947" t="s">
        <v>1675</v>
      </c>
      <c r="L947" t="s">
        <v>783</v>
      </c>
      <c r="M947" t="s">
        <v>1676</v>
      </c>
      <c r="N947" t="s">
        <v>1677</v>
      </c>
      <c r="Q947" s="18" t="s">
        <v>1590</v>
      </c>
    </row>
    <row r="948" spans="1:17" x14ac:dyDescent="0.35">
      <c r="A948" t="s">
        <v>1334</v>
      </c>
      <c r="B948" s="3" t="s">
        <v>102</v>
      </c>
      <c r="C948" s="3"/>
      <c r="D948" s="3"/>
      <c r="E948" s="3"/>
      <c r="F948" t="s">
        <v>551</v>
      </c>
      <c r="H948" t="s">
        <v>1659</v>
      </c>
      <c r="J948" t="str">
        <f t="shared" si="14"/>
        <v>FORM N-PORT-C.11</v>
      </c>
      <c r="K948" t="s">
        <v>1678</v>
      </c>
      <c r="L948" t="s">
        <v>783</v>
      </c>
      <c r="M948" t="s">
        <v>1679</v>
      </c>
      <c r="N948" t="s">
        <v>1680</v>
      </c>
      <c r="Q948" s="18" t="s">
        <v>1590</v>
      </c>
    </row>
    <row r="949" spans="1:17" x14ac:dyDescent="0.35">
      <c r="A949" t="s">
        <v>1334</v>
      </c>
      <c r="B949" s="3" t="s">
        <v>102</v>
      </c>
      <c r="C949" s="3"/>
      <c r="D949" s="3"/>
      <c r="E949" s="3"/>
      <c r="F949" t="s">
        <v>551</v>
      </c>
      <c r="H949" t="s">
        <v>1659</v>
      </c>
      <c r="J949" t="str">
        <f t="shared" si="14"/>
        <v>FORM N-PORT-C.11</v>
      </c>
      <c r="K949" t="s">
        <v>1681</v>
      </c>
      <c r="L949" t="s">
        <v>1331</v>
      </c>
      <c r="M949" t="s">
        <v>1682</v>
      </c>
      <c r="N949" t="s">
        <v>1683</v>
      </c>
      <c r="Q949" s="18" t="s">
        <v>1590</v>
      </c>
    </row>
    <row r="950" spans="1:17" x14ac:dyDescent="0.35">
      <c r="A950" t="s">
        <v>1334</v>
      </c>
      <c r="B950" s="3" t="s">
        <v>102</v>
      </c>
      <c r="C950" s="3"/>
      <c r="D950" s="3"/>
      <c r="E950" s="3"/>
      <c r="F950" t="s">
        <v>551</v>
      </c>
      <c r="H950" t="s">
        <v>1659</v>
      </c>
      <c r="J950" t="str">
        <f t="shared" si="14"/>
        <v>FORM N-PORT-C.11</v>
      </c>
      <c r="K950" t="s">
        <v>1684</v>
      </c>
      <c r="L950" t="s">
        <v>783</v>
      </c>
      <c r="M950" t="s">
        <v>1685</v>
      </c>
      <c r="N950" t="s">
        <v>1686</v>
      </c>
      <c r="Q950" s="18" t="s">
        <v>1590</v>
      </c>
    </row>
    <row r="951" spans="1:17" x14ac:dyDescent="0.35">
      <c r="A951" t="s">
        <v>1334</v>
      </c>
      <c r="B951" s="3" t="s">
        <v>102</v>
      </c>
      <c r="C951" s="3"/>
      <c r="D951" s="3"/>
      <c r="E951" s="3"/>
      <c r="F951" t="s">
        <v>551</v>
      </c>
      <c r="H951" t="s">
        <v>1659</v>
      </c>
      <c r="J951" t="str">
        <f t="shared" si="14"/>
        <v>FORM N-PORT-C.11</v>
      </c>
      <c r="K951" t="s">
        <v>1687</v>
      </c>
      <c r="L951" t="s">
        <v>783</v>
      </c>
      <c r="M951" t="s">
        <v>1688</v>
      </c>
      <c r="N951" t="s">
        <v>1689</v>
      </c>
      <c r="Q951" s="18" t="s">
        <v>1590</v>
      </c>
    </row>
    <row r="952" spans="1:17" x14ac:dyDescent="0.35">
      <c r="A952" t="s">
        <v>1334</v>
      </c>
      <c r="B952" s="3" t="s">
        <v>102</v>
      </c>
      <c r="C952" s="3"/>
      <c r="D952" s="3"/>
      <c r="E952" s="3"/>
      <c r="F952" t="s">
        <v>551</v>
      </c>
      <c r="H952" t="s">
        <v>1659</v>
      </c>
      <c r="J952" t="str">
        <f t="shared" si="14"/>
        <v>FORM N-PORT-C.11</v>
      </c>
      <c r="K952" t="s">
        <v>1690</v>
      </c>
      <c r="L952" t="s">
        <v>1566</v>
      </c>
      <c r="M952" t="s">
        <v>1691</v>
      </c>
      <c r="N952" t="s">
        <v>1692</v>
      </c>
      <c r="Q952" s="18" t="s">
        <v>1590</v>
      </c>
    </row>
    <row r="953" spans="1:17" x14ac:dyDescent="0.35">
      <c r="A953" t="s">
        <v>1334</v>
      </c>
      <c r="B953" s="3" t="s">
        <v>102</v>
      </c>
      <c r="C953" s="3"/>
      <c r="D953" s="3"/>
      <c r="E953" s="3"/>
      <c r="F953" t="s">
        <v>551</v>
      </c>
      <c r="H953" t="s">
        <v>1659</v>
      </c>
      <c r="J953" t="str">
        <f t="shared" si="14"/>
        <v>FORM N-PORT-C.11</v>
      </c>
      <c r="K953" t="s">
        <v>1693</v>
      </c>
      <c r="L953" t="s">
        <v>1502</v>
      </c>
      <c r="M953" t="s">
        <v>1694</v>
      </c>
      <c r="N953" t="s">
        <v>1695</v>
      </c>
      <c r="Q953" s="18" t="s">
        <v>1590</v>
      </c>
    </row>
    <row r="954" spans="1:17" x14ac:dyDescent="0.35">
      <c r="A954" t="s">
        <v>1334</v>
      </c>
      <c r="B954" s="3" t="s">
        <v>102</v>
      </c>
      <c r="C954" s="3"/>
      <c r="D954" s="3"/>
      <c r="E954" s="3"/>
      <c r="F954" t="s">
        <v>551</v>
      </c>
      <c r="H954" t="s">
        <v>1659</v>
      </c>
      <c r="J954" t="str">
        <f t="shared" si="14"/>
        <v>FORM N-PORT-C.11</v>
      </c>
      <c r="K954" t="s">
        <v>1696</v>
      </c>
      <c r="L954" t="s">
        <v>1331</v>
      </c>
      <c r="M954" t="s">
        <v>1697</v>
      </c>
      <c r="N954" t="s">
        <v>1698</v>
      </c>
      <c r="Q954" s="18" t="s">
        <v>1590</v>
      </c>
    </row>
    <row r="955" spans="1:17" x14ac:dyDescent="0.35">
      <c r="A955" t="s">
        <v>1334</v>
      </c>
      <c r="B955" s="3" t="s">
        <v>102</v>
      </c>
      <c r="C955" s="3"/>
      <c r="D955" s="3"/>
      <c r="E955" s="3"/>
      <c r="F955" t="s">
        <v>551</v>
      </c>
      <c r="H955" t="s">
        <v>1659</v>
      </c>
      <c r="J955" t="str">
        <f t="shared" si="14"/>
        <v>FORM N-PORT-C.11</v>
      </c>
      <c r="K955" t="s">
        <v>1699</v>
      </c>
      <c r="L955" t="s">
        <v>783</v>
      </c>
      <c r="M955" t="s">
        <v>1700</v>
      </c>
      <c r="N955" t="s">
        <v>1701</v>
      </c>
      <c r="Q955" s="18" t="s">
        <v>1590</v>
      </c>
    </row>
    <row r="956" spans="1:17" x14ac:dyDescent="0.35">
      <c r="A956" t="s">
        <v>1334</v>
      </c>
      <c r="B956" s="3" t="s">
        <v>102</v>
      </c>
      <c r="C956" s="3"/>
      <c r="D956" s="3"/>
      <c r="E956" s="3"/>
      <c r="F956" t="s">
        <v>551</v>
      </c>
      <c r="H956" t="s">
        <v>1659</v>
      </c>
      <c r="J956" t="str">
        <f t="shared" si="14"/>
        <v>FORM N-PORT-C.11</v>
      </c>
      <c r="K956" t="s">
        <v>1702</v>
      </c>
      <c r="L956" t="s">
        <v>783</v>
      </c>
      <c r="M956" t="s">
        <v>1688</v>
      </c>
      <c r="N956" t="s">
        <v>1703</v>
      </c>
      <c r="Q956" s="18" t="s">
        <v>1590</v>
      </c>
    </row>
    <row r="957" spans="1:17" x14ac:dyDescent="0.35">
      <c r="A957" t="s">
        <v>1334</v>
      </c>
      <c r="B957" s="3" t="s">
        <v>102</v>
      </c>
      <c r="C957" s="3"/>
      <c r="D957" s="3"/>
      <c r="E957" s="3"/>
      <c r="F957" t="s">
        <v>551</v>
      </c>
      <c r="H957" t="s">
        <v>1659</v>
      </c>
      <c r="J957" t="str">
        <f t="shared" si="14"/>
        <v>FORM N-PORT-C.11</v>
      </c>
      <c r="K957" t="s">
        <v>1704</v>
      </c>
      <c r="L957" t="s">
        <v>229</v>
      </c>
      <c r="M957" t="s">
        <v>1705</v>
      </c>
      <c r="N957" t="s">
        <v>1706</v>
      </c>
      <c r="Q957" s="18" t="s">
        <v>1590</v>
      </c>
    </row>
    <row r="958" spans="1:17" x14ac:dyDescent="0.35">
      <c r="A958" t="s">
        <v>1334</v>
      </c>
      <c r="B958" s="3" t="s">
        <v>102</v>
      </c>
      <c r="C958" s="3"/>
      <c r="D958" s="3"/>
      <c r="E958" s="3"/>
      <c r="F958" t="s">
        <v>551</v>
      </c>
      <c r="H958" t="s">
        <v>1659</v>
      </c>
      <c r="J958" t="str">
        <f t="shared" si="14"/>
        <v>FORM N-PORT-C.11</v>
      </c>
      <c r="K958" t="s">
        <v>1707</v>
      </c>
      <c r="L958" t="s">
        <v>229</v>
      </c>
      <c r="M958" t="s">
        <v>1708</v>
      </c>
      <c r="N958" t="s">
        <v>1709</v>
      </c>
      <c r="Q958" s="18" t="s">
        <v>1590</v>
      </c>
    </row>
    <row r="959" spans="1:17" x14ac:dyDescent="0.35">
      <c r="A959" t="s">
        <v>1334</v>
      </c>
      <c r="B959" s="3" t="s">
        <v>102</v>
      </c>
      <c r="C959" s="3"/>
      <c r="D959" s="3"/>
      <c r="E959" s="3"/>
      <c r="F959" t="s">
        <v>551</v>
      </c>
      <c r="H959" t="s">
        <v>1659</v>
      </c>
      <c r="J959" t="str">
        <f t="shared" si="14"/>
        <v>FORM N-PORT-C.11</v>
      </c>
      <c r="K959" t="s">
        <v>1710</v>
      </c>
      <c r="L959" t="s">
        <v>1331</v>
      </c>
      <c r="M959" t="s">
        <v>1711</v>
      </c>
      <c r="N959" t="s">
        <v>1712</v>
      </c>
      <c r="Q959" s="18" t="s">
        <v>1590</v>
      </c>
    </row>
    <row r="960" spans="1:17" x14ac:dyDescent="0.35">
      <c r="A960" t="s">
        <v>1334</v>
      </c>
      <c r="B960" s="3" t="s">
        <v>102</v>
      </c>
      <c r="C960" s="3"/>
      <c r="D960" s="3"/>
      <c r="E960" s="3"/>
      <c r="F960" t="s">
        <v>551</v>
      </c>
      <c r="H960" t="s">
        <v>1659</v>
      </c>
      <c r="J960" t="str">
        <f t="shared" si="14"/>
        <v>FORM N-PORT-C.11</v>
      </c>
      <c r="K960" t="s">
        <v>1713</v>
      </c>
      <c r="L960" t="s">
        <v>783</v>
      </c>
      <c r="M960" t="s">
        <v>1688</v>
      </c>
      <c r="N960" t="s">
        <v>1714</v>
      </c>
      <c r="Q960" s="18" t="s">
        <v>1590</v>
      </c>
    </row>
    <row r="961" spans="1:17" x14ac:dyDescent="0.35">
      <c r="A961" t="s">
        <v>1334</v>
      </c>
      <c r="B961" s="3" t="s">
        <v>102</v>
      </c>
      <c r="C961" s="3"/>
      <c r="D961" s="3"/>
      <c r="E961" s="3"/>
      <c r="F961" t="s">
        <v>551</v>
      </c>
      <c r="H961" t="s">
        <v>1659</v>
      </c>
      <c r="J961" t="str">
        <f t="shared" si="14"/>
        <v>FORM N-PORT-C.11</v>
      </c>
      <c r="K961" t="s">
        <v>1715</v>
      </c>
      <c r="L961" t="s">
        <v>229</v>
      </c>
      <c r="M961" t="s">
        <v>1716</v>
      </c>
      <c r="N961" t="s">
        <v>1717</v>
      </c>
      <c r="Q961" s="18" t="s">
        <v>1590</v>
      </c>
    </row>
    <row r="962" spans="1:17" x14ac:dyDescent="0.35">
      <c r="A962" t="s">
        <v>1334</v>
      </c>
      <c r="B962" s="3" t="s">
        <v>102</v>
      </c>
      <c r="C962" s="3"/>
      <c r="D962" s="3"/>
      <c r="E962" s="3"/>
      <c r="F962" t="s">
        <v>551</v>
      </c>
      <c r="H962" t="s">
        <v>1659</v>
      </c>
      <c r="J962" t="str">
        <f t="shared" si="14"/>
        <v>FORM N-PORT-C.11</v>
      </c>
      <c r="K962" t="s">
        <v>1718</v>
      </c>
      <c r="L962" t="s">
        <v>1331</v>
      </c>
      <c r="M962" t="s">
        <v>1719</v>
      </c>
      <c r="N962" t="s">
        <v>1720</v>
      </c>
      <c r="Q962" s="18" t="s">
        <v>1590</v>
      </c>
    </row>
    <row r="963" spans="1:17" x14ac:dyDescent="0.35">
      <c r="A963" t="s">
        <v>1334</v>
      </c>
      <c r="B963" s="3" t="s">
        <v>102</v>
      </c>
      <c r="C963" s="3"/>
      <c r="D963" s="3"/>
      <c r="E963" s="3"/>
      <c r="F963" t="s">
        <v>551</v>
      </c>
      <c r="H963" t="s">
        <v>1659</v>
      </c>
      <c r="J963" t="str">
        <f t="shared" ref="J963:J1026" si="15">_xlfn.CONCAT(A963,"-",H963)</f>
        <v>FORM N-PORT-C.11</v>
      </c>
      <c r="K963" t="s">
        <v>1721</v>
      </c>
      <c r="L963" t="s">
        <v>783</v>
      </c>
      <c r="M963" t="s">
        <v>1722</v>
      </c>
      <c r="N963" t="s">
        <v>1723</v>
      </c>
      <c r="Q963" s="18" t="s">
        <v>1590</v>
      </c>
    </row>
    <row r="964" spans="1:17" x14ac:dyDescent="0.35">
      <c r="A964" t="s">
        <v>1334</v>
      </c>
      <c r="B964" s="3" t="s">
        <v>102</v>
      </c>
      <c r="C964" s="3"/>
      <c r="D964" s="3"/>
      <c r="E964" s="3"/>
      <c r="F964" t="s">
        <v>551</v>
      </c>
      <c r="H964" t="s">
        <v>1659</v>
      </c>
      <c r="J964" t="str">
        <f t="shared" si="15"/>
        <v>FORM N-PORT-C.11</v>
      </c>
      <c r="K964" t="s">
        <v>1724</v>
      </c>
      <c r="L964" t="s">
        <v>783</v>
      </c>
      <c r="M964" t="s">
        <v>1725</v>
      </c>
      <c r="N964" t="s">
        <v>1726</v>
      </c>
      <c r="Q964" s="18" t="s">
        <v>1590</v>
      </c>
    </row>
    <row r="965" spans="1:17" x14ac:dyDescent="0.35">
      <c r="A965" t="s">
        <v>1334</v>
      </c>
      <c r="B965" s="3" t="s">
        <v>102</v>
      </c>
      <c r="C965" s="3"/>
      <c r="D965" s="3"/>
      <c r="E965" s="3"/>
      <c r="F965" t="s">
        <v>551</v>
      </c>
      <c r="H965" t="s">
        <v>1659</v>
      </c>
      <c r="J965" t="str">
        <f t="shared" si="15"/>
        <v>FORM N-PORT-C.11</v>
      </c>
      <c r="K965" t="s">
        <v>1727</v>
      </c>
      <c r="L965" t="s">
        <v>783</v>
      </c>
      <c r="M965" t="s">
        <v>1688</v>
      </c>
      <c r="N965" t="s">
        <v>1728</v>
      </c>
      <c r="Q965" s="18" t="s">
        <v>1590</v>
      </c>
    </row>
    <row r="966" spans="1:17" x14ac:dyDescent="0.35">
      <c r="A966" t="s">
        <v>1334</v>
      </c>
      <c r="B966" s="3" t="s">
        <v>102</v>
      </c>
      <c r="C966" s="3"/>
      <c r="D966" s="3"/>
      <c r="E966" s="3"/>
      <c r="F966" t="s">
        <v>551</v>
      </c>
      <c r="H966" t="s">
        <v>1729</v>
      </c>
      <c r="J966" t="str">
        <f t="shared" si="15"/>
        <v>FORM N-PORT-C.12</v>
      </c>
      <c r="K966" t="s">
        <v>1730</v>
      </c>
      <c r="L966" t="s">
        <v>1187</v>
      </c>
      <c r="M966" t="s">
        <v>1731</v>
      </c>
      <c r="N966" t="s">
        <v>1732</v>
      </c>
      <c r="Q966" s="18" t="s">
        <v>1341</v>
      </c>
    </row>
    <row r="967" spans="1:17" x14ac:dyDescent="0.35">
      <c r="A967" t="s">
        <v>1334</v>
      </c>
      <c r="B967" s="3" t="s">
        <v>102</v>
      </c>
      <c r="C967" s="3"/>
      <c r="D967" s="3"/>
      <c r="E967" s="3"/>
      <c r="F967" t="s">
        <v>551</v>
      </c>
      <c r="H967" t="s">
        <v>1729</v>
      </c>
      <c r="J967" t="str">
        <f t="shared" si="15"/>
        <v>FORM N-PORT-C.12</v>
      </c>
      <c r="K967" t="s">
        <v>1733</v>
      </c>
      <c r="L967" t="s">
        <v>783</v>
      </c>
      <c r="M967" t="s">
        <v>1734</v>
      </c>
      <c r="N967" t="s">
        <v>1735</v>
      </c>
      <c r="Q967" s="18" t="s">
        <v>1590</v>
      </c>
    </row>
    <row r="968" spans="1:17" x14ac:dyDescent="0.35">
      <c r="A968" t="s">
        <v>1334</v>
      </c>
      <c r="B968" s="3" t="s">
        <v>102</v>
      </c>
      <c r="C968" s="3"/>
      <c r="D968" s="3"/>
      <c r="E968" s="3"/>
      <c r="F968" t="s">
        <v>551</v>
      </c>
      <c r="H968" t="s">
        <v>1729</v>
      </c>
      <c r="J968" t="str">
        <f t="shared" si="15"/>
        <v>FORM N-PORT-C.12</v>
      </c>
      <c r="K968" t="s">
        <v>1736</v>
      </c>
      <c r="L968" t="s">
        <v>1187</v>
      </c>
      <c r="M968" t="s">
        <v>1737</v>
      </c>
      <c r="N968" t="s">
        <v>1738</v>
      </c>
      <c r="Q968" s="18" t="s">
        <v>1341</v>
      </c>
    </row>
    <row r="969" spans="1:17" x14ac:dyDescent="0.35">
      <c r="A969" t="s">
        <v>1334</v>
      </c>
      <c r="B969" s="3" t="s">
        <v>102</v>
      </c>
      <c r="C969" s="3"/>
      <c r="D969" s="3"/>
      <c r="E969" s="3"/>
      <c r="F969" t="s">
        <v>551</v>
      </c>
      <c r="H969" t="s">
        <v>1729</v>
      </c>
      <c r="J969" t="str">
        <f t="shared" si="15"/>
        <v>FORM N-PORT-C.12</v>
      </c>
      <c r="K969" t="s">
        <v>1739</v>
      </c>
      <c r="L969" t="s">
        <v>783</v>
      </c>
      <c r="M969" t="s">
        <v>1740</v>
      </c>
      <c r="N969" t="s">
        <v>1741</v>
      </c>
      <c r="Q969" s="18" t="s">
        <v>1590</v>
      </c>
    </row>
    <row r="970" spans="1:17" x14ac:dyDescent="0.35">
      <c r="A970" t="s">
        <v>1334</v>
      </c>
      <c r="B970" s="3" t="s">
        <v>102</v>
      </c>
      <c r="C970" s="3"/>
      <c r="D970" s="3"/>
      <c r="E970" s="3"/>
      <c r="F970" t="s">
        <v>551</v>
      </c>
      <c r="H970" t="s">
        <v>1729</v>
      </c>
      <c r="J970" t="str">
        <f t="shared" si="15"/>
        <v>FORM N-PORT-C.12</v>
      </c>
      <c r="K970" t="s">
        <v>1742</v>
      </c>
      <c r="L970" t="s">
        <v>1187</v>
      </c>
      <c r="M970" t="s">
        <v>1743</v>
      </c>
      <c r="N970" t="s">
        <v>1744</v>
      </c>
      <c r="Q970" s="18" t="s">
        <v>1341</v>
      </c>
    </row>
    <row r="971" spans="1:17" x14ac:dyDescent="0.35">
      <c r="A971" t="s">
        <v>1334</v>
      </c>
      <c r="B971" s="3" t="s">
        <v>102</v>
      </c>
      <c r="C971" s="3"/>
      <c r="D971" s="3"/>
      <c r="E971" s="3"/>
      <c r="F971" t="s">
        <v>551</v>
      </c>
      <c r="H971" t="s">
        <v>1729</v>
      </c>
      <c r="J971" t="str">
        <f t="shared" si="15"/>
        <v>FORM N-PORT-C.12</v>
      </c>
      <c r="K971" t="s">
        <v>1745</v>
      </c>
      <c r="L971" t="s">
        <v>783</v>
      </c>
      <c r="M971" t="s">
        <v>1746</v>
      </c>
      <c r="N971" t="s">
        <v>1747</v>
      </c>
      <c r="Q971" s="18" t="s">
        <v>1590</v>
      </c>
    </row>
    <row r="972" spans="1:17" x14ac:dyDescent="0.35">
      <c r="A972" t="s">
        <v>1334</v>
      </c>
      <c r="B972" s="3" t="s">
        <v>102</v>
      </c>
      <c r="C972" s="3"/>
      <c r="D972" s="3"/>
      <c r="E972" s="3"/>
      <c r="F972" t="s">
        <v>551</v>
      </c>
      <c r="H972" t="s">
        <v>593</v>
      </c>
      <c r="J972" t="str">
        <f t="shared" si="15"/>
        <v>FORM N-PORT-C.1</v>
      </c>
      <c r="K972" t="s">
        <v>1522</v>
      </c>
      <c r="L972" t="s">
        <v>229</v>
      </c>
      <c r="M972" t="s">
        <v>1523</v>
      </c>
      <c r="N972" t="s">
        <v>1524</v>
      </c>
      <c r="Q972" s="18" t="s">
        <v>8863</v>
      </c>
    </row>
    <row r="973" spans="1:17" x14ac:dyDescent="0.35">
      <c r="A973" t="s">
        <v>1334</v>
      </c>
      <c r="B973" s="3" t="s">
        <v>102</v>
      </c>
      <c r="C973" s="3"/>
      <c r="D973" s="3"/>
      <c r="E973" s="3"/>
      <c r="F973" t="s">
        <v>551</v>
      </c>
      <c r="H973" t="s">
        <v>593</v>
      </c>
      <c r="J973" t="str">
        <f t="shared" si="15"/>
        <v>FORM N-PORT-C.1</v>
      </c>
      <c r="K973" t="s">
        <v>1526</v>
      </c>
      <c r="L973" t="s">
        <v>1313</v>
      </c>
      <c r="M973" t="s">
        <v>1527</v>
      </c>
      <c r="N973" t="s">
        <v>1528</v>
      </c>
      <c r="Q973" s="18" t="s">
        <v>9204</v>
      </c>
    </row>
    <row r="974" spans="1:17" x14ac:dyDescent="0.35">
      <c r="A974" t="s">
        <v>1334</v>
      </c>
      <c r="B974" s="3" t="s">
        <v>102</v>
      </c>
      <c r="C974" s="3"/>
      <c r="D974" s="3"/>
      <c r="E974" s="3"/>
      <c r="F974" t="s">
        <v>551</v>
      </c>
      <c r="H974" t="s">
        <v>593</v>
      </c>
      <c r="J974" t="str">
        <f t="shared" si="15"/>
        <v>FORM N-PORT-C.1</v>
      </c>
      <c r="K974" t="s">
        <v>1530</v>
      </c>
      <c r="L974" t="s">
        <v>229</v>
      </c>
      <c r="M974" t="s">
        <v>1531</v>
      </c>
      <c r="N974" t="s">
        <v>1532</v>
      </c>
      <c r="Q974" s="18" t="s">
        <v>9205</v>
      </c>
    </row>
    <row r="975" spans="1:17" x14ac:dyDescent="0.35">
      <c r="A975" t="s">
        <v>1334</v>
      </c>
      <c r="B975" s="3" t="s">
        <v>102</v>
      </c>
      <c r="C975" s="3"/>
      <c r="D975" s="3"/>
      <c r="E975" s="3"/>
      <c r="F975" t="s">
        <v>551</v>
      </c>
      <c r="H975" t="s">
        <v>593</v>
      </c>
      <c r="J975" t="str">
        <f t="shared" si="15"/>
        <v>FORM N-PORT-C.1</v>
      </c>
      <c r="K975" t="s">
        <v>1534</v>
      </c>
      <c r="L975" t="s">
        <v>1313</v>
      </c>
      <c r="M975" t="s">
        <v>1535</v>
      </c>
      <c r="N975" t="s">
        <v>1536</v>
      </c>
      <c r="Q975" s="18" t="s">
        <v>9206</v>
      </c>
    </row>
    <row r="976" spans="1:17" x14ac:dyDescent="0.35">
      <c r="A976" t="s">
        <v>1334</v>
      </c>
      <c r="B976" s="3" t="s">
        <v>102</v>
      </c>
      <c r="C976" s="3"/>
      <c r="D976" s="3"/>
      <c r="E976" s="3"/>
      <c r="F976" t="s">
        <v>551</v>
      </c>
      <c r="H976" t="s">
        <v>593</v>
      </c>
      <c r="J976" t="str">
        <f t="shared" si="15"/>
        <v>FORM N-PORT-C.1</v>
      </c>
      <c r="K976" t="s">
        <v>1538</v>
      </c>
      <c r="L976" t="s">
        <v>1313</v>
      </c>
      <c r="M976" t="s">
        <v>1539</v>
      </c>
      <c r="N976" t="s">
        <v>1540</v>
      </c>
      <c r="Q976" s="18" t="s">
        <v>9207</v>
      </c>
    </row>
    <row r="977" spans="1:17" x14ac:dyDescent="0.35">
      <c r="A977" t="s">
        <v>1334</v>
      </c>
      <c r="B977" s="3" t="s">
        <v>102</v>
      </c>
      <c r="C977" s="3"/>
      <c r="D977" s="3"/>
      <c r="E977" s="3"/>
      <c r="F977" t="s">
        <v>551</v>
      </c>
      <c r="H977" t="s">
        <v>1542</v>
      </c>
      <c r="J977" t="str">
        <f t="shared" si="15"/>
        <v>FORM N-PORT-C.2</v>
      </c>
      <c r="K977" t="s">
        <v>1543</v>
      </c>
      <c r="L977" t="s">
        <v>783</v>
      </c>
      <c r="M977" t="s">
        <v>1544</v>
      </c>
      <c r="N977" t="s">
        <v>1545</v>
      </c>
      <c r="Q977" s="18">
        <v>6066000</v>
      </c>
    </row>
    <row r="978" spans="1:17" x14ac:dyDescent="0.35">
      <c r="A978" t="s">
        <v>1334</v>
      </c>
      <c r="B978" s="3" t="s">
        <v>102</v>
      </c>
      <c r="C978" s="3"/>
      <c r="D978" s="3"/>
      <c r="E978" s="3"/>
      <c r="F978" t="s">
        <v>551</v>
      </c>
      <c r="H978" t="s">
        <v>1542</v>
      </c>
      <c r="J978" t="str">
        <f t="shared" si="15"/>
        <v>FORM N-PORT-C.2</v>
      </c>
      <c r="K978" t="s">
        <v>1546</v>
      </c>
      <c r="L978" t="s">
        <v>1502</v>
      </c>
      <c r="M978" t="s">
        <v>1547</v>
      </c>
      <c r="N978" t="s">
        <v>1548</v>
      </c>
      <c r="Q978" s="18" t="s">
        <v>1549</v>
      </c>
    </row>
    <row r="979" spans="1:17" x14ac:dyDescent="0.35">
      <c r="A979" t="s">
        <v>1334</v>
      </c>
      <c r="B979" s="3" t="s">
        <v>102</v>
      </c>
      <c r="C979" s="3"/>
      <c r="D979" s="3"/>
      <c r="E979" s="3"/>
      <c r="F979" t="s">
        <v>551</v>
      </c>
      <c r="H979" t="s">
        <v>1542</v>
      </c>
      <c r="J979" t="str">
        <f t="shared" si="15"/>
        <v>FORM N-PORT-C.2</v>
      </c>
      <c r="K979" t="s">
        <v>1550</v>
      </c>
      <c r="L979" t="s">
        <v>783</v>
      </c>
      <c r="M979" t="s">
        <v>1551</v>
      </c>
      <c r="N979" t="s">
        <v>1552</v>
      </c>
      <c r="Q979" s="18">
        <v>5639912.0300000003</v>
      </c>
    </row>
    <row r="980" spans="1:17" x14ac:dyDescent="0.35">
      <c r="A980" t="s">
        <v>1334</v>
      </c>
      <c r="B980" s="3" t="s">
        <v>102</v>
      </c>
      <c r="C980" s="3"/>
      <c r="D980" s="3"/>
      <c r="E980" s="3"/>
      <c r="F980" t="s">
        <v>551</v>
      </c>
      <c r="H980" t="s">
        <v>1542</v>
      </c>
      <c r="J980" t="str">
        <f t="shared" si="15"/>
        <v>FORM N-PORT-C.2</v>
      </c>
      <c r="K980" t="s">
        <v>1553</v>
      </c>
      <c r="L980" t="s">
        <v>1198</v>
      </c>
      <c r="M980" t="s">
        <v>1554</v>
      </c>
      <c r="N980" t="s">
        <v>1555</v>
      </c>
      <c r="Q980" s="18">
        <v>2.4149925000000001E-3</v>
      </c>
    </row>
    <row r="981" spans="1:17" x14ac:dyDescent="0.35">
      <c r="A981" t="s">
        <v>1334</v>
      </c>
      <c r="B981" s="3" t="s">
        <v>102</v>
      </c>
      <c r="C981" s="3"/>
      <c r="D981" s="3"/>
      <c r="E981" s="3"/>
      <c r="F981" t="s">
        <v>551</v>
      </c>
      <c r="H981" t="s">
        <v>1542</v>
      </c>
      <c r="J981" t="str">
        <f t="shared" si="15"/>
        <v>FORM N-PORT-C.2</v>
      </c>
      <c r="K981" t="s">
        <v>1556</v>
      </c>
      <c r="L981" t="s">
        <v>1187</v>
      </c>
      <c r="M981" t="s">
        <v>1557</v>
      </c>
      <c r="N981" t="s">
        <v>1558</v>
      </c>
      <c r="Q981" s="18" t="s">
        <v>1590</v>
      </c>
    </row>
    <row r="982" spans="1:17" x14ac:dyDescent="0.35">
      <c r="A982" t="s">
        <v>1334</v>
      </c>
      <c r="B982" s="3" t="s">
        <v>102</v>
      </c>
      <c r="C982" s="3"/>
      <c r="D982" s="3"/>
      <c r="E982" s="3"/>
      <c r="F982" t="s">
        <v>551</v>
      </c>
      <c r="H982" t="s">
        <v>1559</v>
      </c>
      <c r="J982" t="str">
        <f t="shared" si="15"/>
        <v>FORM N-PORT-C.3</v>
      </c>
      <c r="K982" t="s">
        <v>1560</v>
      </c>
      <c r="L982" t="s">
        <v>229</v>
      </c>
      <c r="M982" t="s">
        <v>1561</v>
      </c>
      <c r="N982" t="s">
        <v>1562</v>
      </c>
      <c r="Q982" s="18" t="s">
        <v>1563</v>
      </c>
    </row>
    <row r="983" spans="1:17" x14ac:dyDescent="0.35">
      <c r="A983" t="s">
        <v>1334</v>
      </c>
      <c r="B983" s="3" t="s">
        <v>102</v>
      </c>
      <c r="C983" s="3"/>
      <c r="D983" s="3"/>
      <c r="E983" s="3"/>
      <c r="F983" t="s">
        <v>551</v>
      </c>
      <c r="H983" t="s">
        <v>1564</v>
      </c>
      <c r="J983" t="str">
        <f t="shared" si="15"/>
        <v>FORM N-PORT-C.4</v>
      </c>
      <c r="K983" t="s">
        <v>1565</v>
      </c>
      <c r="L983" t="s">
        <v>1566</v>
      </c>
      <c r="M983" t="s">
        <v>1567</v>
      </c>
      <c r="N983" t="s">
        <v>1568</v>
      </c>
      <c r="Q983" s="18" t="s">
        <v>1569</v>
      </c>
    </row>
    <row r="984" spans="1:17" x14ac:dyDescent="0.35">
      <c r="A984" t="s">
        <v>1334</v>
      </c>
      <c r="B984" s="3" t="s">
        <v>102</v>
      </c>
      <c r="C984" s="3"/>
      <c r="D984" s="3"/>
      <c r="E984" s="3"/>
      <c r="F984" t="s">
        <v>551</v>
      </c>
      <c r="H984" t="s">
        <v>1564</v>
      </c>
      <c r="J984" t="str">
        <f t="shared" si="15"/>
        <v>FORM N-PORT-C.4</v>
      </c>
      <c r="K984" t="s">
        <v>1570</v>
      </c>
      <c r="L984" t="s">
        <v>1566</v>
      </c>
      <c r="M984" t="s">
        <v>1571</v>
      </c>
      <c r="N984" t="s">
        <v>1572</v>
      </c>
      <c r="Q984" s="18" t="s">
        <v>1573</v>
      </c>
    </row>
    <row r="985" spans="1:17" x14ac:dyDescent="0.35">
      <c r="A985" t="s">
        <v>1334</v>
      </c>
      <c r="B985" s="3" t="s">
        <v>102</v>
      </c>
      <c r="C985" s="3"/>
      <c r="D985" s="3"/>
      <c r="E985" s="3"/>
      <c r="F985" t="s">
        <v>551</v>
      </c>
      <c r="H985" t="s">
        <v>1574</v>
      </c>
      <c r="J985" t="str">
        <f t="shared" si="15"/>
        <v>FORM N-PORT-C.5</v>
      </c>
      <c r="K985" t="s">
        <v>1575</v>
      </c>
      <c r="L985" t="s">
        <v>1502</v>
      </c>
      <c r="M985" t="s">
        <v>1576</v>
      </c>
      <c r="N985" t="s">
        <v>1577</v>
      </c>
      <c r="Q985" s="18" t="s">
        <v>1578</v>
      </c>
    </row>
    <row r="986" spans="1:17" x14ac:dyDescent="0.35">
      <c r="A986" t="s">
        <v>1334</v>
      </c>
      <c r="B986" s="3" t="s">
        <v>102</v>
      </c>
      <c r="C986" s="3"/>
      <c r="D986" s="3"/>
      <c r="E986" s="3"/>
      <c r="F986" t="s">
        <v>551</v>
      </c>
      <c r="H986" t="s">
        <v>1574</v>
      </c>
      <c r="J986" t="str">
        <f t="shared" si="15"/>
        <v>FORM N-PORT-C.5</v>
      </c>
      <c r="K986" t="s">
        <v>1579</v>
      </c>
      <c r="L986" t="s">
        <v>1502</v>
      </c>
      <c r="M986" t="s">
        <v>1580</v>
      </c>
      <c r="N986" t="s">
        <v>1581</v>
      </c>
      <c r="Q986" s="18" t="s">
        <v>1590</v>
      </c>
    </row>
    <row r="987" spans="1:17" x14ac:dyDescent="0.35">
      <c r="A987" t="s">
        <v>1334</v>
      </c>
      <c r="B987" s="3" t="s">
        <v>102</v>
      </c>
      <c r="C987" s="3"/>
      <c r="D987" s="3"/>
      <c r="E987" s="3"/>
      <c r="F987" t="s">
        <v>551</v>
      </c>
      <c r="H987" t="s">
        <v>1582</v>
      </c>
      <c r="J987" t="str">
        <f t="shared" si="15"/>
        <v>FORM N-PORT-C.6</v>
      </c>
      <c r="K987" t="s">
        <v>1583</v>
      </c>
      <c r="L987" t="s">
        <v>1187</v>
      </c>
      <c r="M987" t="s">
        <v>1584</v>
      </c>
      <c r="N987" t="s">
        <v>1585</v>
      </c>
      <c r="Q987" s="18" t="s">
        <v>1341</v>
      </c>
    </row>
    <row r="988" spans="1:17" x14ac:dyDescent="0.35">
      <c r="A988" t="s">
        <v>1334</v>
      </c>
      <c r="B988" s="3" t="s">
        <v>102</v>
      </c>
      <c r="C988" s="3"/>
      <c r="D988" s="3"/>
      <c r="E988" s="3"/>
      <c r="F988" t="s">
        <v>551</v>
      </c>
      <c r="H988" t="s">
        <v>1586</v>
      </c>
      <c r="J988" t="str">
        <f t="shared" si="15"/>
        <v>FORM N-PORT-C.7</v>
      </c>
      <c r="K988" t="s">
        <v>1587</v>
      </c>
      <c r="L988" t="s">
        <v>1566</v>
      </c>
      <c r="M988" t="s">
        <v>1588</v>
      </c>
      <c r="N988" t="s">
        <v>1589</v>
      </c>
      <c r="Q988" s="18" t="s">
        <v>1590</v>
      </c>
    </row>
    <row r="989" spans="1:17" x14ac:dyDescent="0.35">
      <c r="A989" t="s">
        <v>1334</v>
      </c>
      <c r="B989" s="3" t="s">
        <v>102</v>
      </c>
      <c r="C989" s="3"/>
      <c r="D989" s="3"/>
      <c r="E989" s="3"/>
      <c r="F989" t="s">
        <v>551</v>
      </c>
      <c r="H989" t="s">
        <v>1591</v>
      </c>
      <c r="J989" t="str">
        <f t="shared" si="15"/>
        <v>FORM N-PORT-C.8</v>
      </c>
      <c r="K989" t="s">
        <v>1592</v>
      </c>
      <c r="L989" t="s">
        <v>241</v>
      </c>
      <c r="M989" t="s">
        <v>1593</v>
      </c>
      <c r="N989" t="s">
        <v>1594</v>
      </c>
      <c r="Q989" s="18">
        <v>2</v>
      </c>
    </row>
    <row r="990" spans="1:17" x14ac:dyDescent="0.35">
      <c r="A990" t="s">
        <v>1334</v>
      </c>
      <c r="B990" s="3" t="s">
        <v>102</v>
      </c>
      <c r="C990" s="3"/>
      <c r="D990" s="3"/>
      <c r="E990" s="3"/>
      <c r="F990" t="s">
        <v>551</v>
      </c>
      <c r="H990" t="s">
        <v>1595</v>
      </c>
      <c r="J990" t="str">
        <f t="shared" si="15"/>
        <v>FORM N-PORT-C.9</v>
      </c>
      <c r="K990" t="s">
        <v>1596</v>
      </c>
      <c r="L990" t="s">
        <v>1331</v>
      </c>
      <c r="M990" t="s">
        <v>1597</v>
      </c>
      <c r="N990" t="s">
        <v>1598</v>
      </c>
      <c r="Q990" s="17">
        <v>56354</v>
      </c>
    </row>
    <row r="991" spans="1:17" x14ac:dyDescent="0.35">
      <c r="A991" t="s">
        <v>1334</v>
      </c>
      <c r="B991" s="3" t="s">
        <v>102</v>
      </c>
      <c r="C991" s="3"/>
      <c r="D991" s="3"/>
      <c r="E991" s="3"/>
      <c r="F991" t="s">
        <v>551</v>
      </c>
      <c r="H991" t="s">
        <v>1595</v>
      </c>
      <c r="J991" t="str">
        <f t="shared" si="15"/>
        <v>FORM N-PORT-C.9</v>
      </c>
      <c r="K991" t="s">
        <v>1599</v>
      </c>
      <c r="L991" t="s">
        <v>1600</v>
      </c>
      <c r="M991" t="s">
        <v>1601</v>
      </c>
      <c r="N991" t="s">
        <v>1602</v>
      </c>
      <c r="Q991" s="18" t="s">
        <v>9208</v>
      </c>
    </row>
    <row r="992" spans="1:17" x14ac:dyDescent="0.35">
      <c r="A992" t="s">
        <v>1334</v>
      </c>
      <c r="B992" s="3" t="s">
        <v>102</v>
      </c>
      <c r="C992" s="3"/>
      <c r="D992" s="3"/>
      <c r="E992" s="3"/>
      <c r="F992" t="s">
        <v>551</v>
      </c>
      <c r="H992" t="s">
        <v>1595</v>
      </c>
      <c r="J992" t="str">
        <f t="shared" si="15"/>
        <v>FORM N-PORT-C.9</v>
      </c>
      <c r="K992" t="s">
        <v>1604</v>
      </c>
      <c r="L992" t="s">
        <v>1187</v>
      </c>
      <c r="M992" t="s">
        <v>1605</v>
      </c>
      <c r="N992" t="s">
        <v>1606</v>
      </c>
      <c r="Q992" s="18" t="s">
        <v>1341</v>
      </c>
    </row>
    <row r="993" spans="1:17" x14ac:dyDescent="0.35">
      <c r="A993" t="s">
        <v>1334</v>
      </c>
      <c r="B993" s="3" t="s">
        <v>102</v>
      </c>
      <c r="C993" s="3"/>
      <c r="D993" s="3"/>
      <c r="E993" s="3"/>
      <c r="F993" t="s">
        <v>551</v>
      </c>
      <c r="H993" t="s">
        <v>1595</v>
      </c>
      <c r="J993" t="str">
        <f t="shared" si="15"/>
        <v>FORM N-PORT-C.9</v>
      </c>
      <c r="K993" t="s">
        <v>1607</v>
      </c>
      <c r="L993" t="s">
        <v>1187</v>
      </c>
      <c r="M993" t="s">
        <v>1608</v>
      </c>
      <c r="N993" t="s">
        <v>1609</v>
      </c>
      <c r="Q993" s="18" t="s">
        <v>1341</v>
      </c>
    </row>
    <row r="994" spans="1:17" x14ac:dyDescent="0.35">
      <c r="A994" t="s">
        <v>1334</v>
      </c>
      <c r="B994" s="3" t="s">
        <v>102</v>
      </c>
      <c r="C994" s="3"/>
      <c r="D994" s="3"/>
      <c r="E994" s="3"/>
      <c r="F994" t="s">
        <v>551</v>
      </c>
      <c r="H994" t="s">
        <v>1595</v>
      </c>
      <c r="J994" t="str">
        <f t="shared" si="15"/>
        <v>FORM N-PORT-C.9</v>
      </c>
      <c r="K994" t="s">
        <v>1610</v>
      </c>
      <c r="L994" t="s">
        <v>1187</v>
      </c>
      <c r="M994" t="s">
        <v>1611</v>
      </c>
      <c r="N994" t="s">
        <v>1612</v>
      </c>
      <c r="Q994" s="18" t="s">
        <v>1341</v>
      </c>
    </row>
    <row r="995" spans="1:17" x14ac:dyDescent="0.35">
      <c r="A995" t="s">
        <v>1334</v>
      </c>
      <c r="B995" s="3" t="s">
        <v>102</v>
      </c>
      <c r="C995" s="3"/>
      <c r="D995" s="3"/>
      <c r="E995" s="3"/>
      <c r="F995" t="s">
        <v>551</v>
      </c>
      <c r="H995" t="s">
        <v>1595</v>
      </c>
      <c r="J995" t="str">
        <f t="shared" si="15"/>
        <v>FORM N-PORT-C.9</v>
      </c>
      <c r="K995" t="s">
        <v>1613</v>
      </c>
      <c r="L995" t="s">
        <v>1187</v>
      </c>
      <c r="M995" t="s">
        <v>1614</v>
      </c>
      <c r="N995" t="s">
        <v>1615</v>
      </c>
      <c r="Q995" s="18" t="s">
        <v>1590</v>
      </c>
    </row>
    <row r="996" spans="1:17" x14ac:dyDescent="0.35">
      <c r="A996" t="s">
        <v>1334</v>
      </c>
      <c r="B996" s="3" t="s">
        <v>102</v>
      </c>
      <c r="C996" s="3"/>
      <c r="D996" s="3"/>
      <c r="E996" s="3"/>
      <c r="F996" t="s">
        <v>551</v>
      </c>
      <c r="H996" t="s">
        <v>1595</v>
      </c>
      <c r="J996" t="str">
        <f t="shared" si="15"/>
        <v>FORM N-PORT-C.9</v>
      </c>
      <c r="K996" t="s">
        <v>1616</v>
      </c>
      <c r="L996" t="s">
        <v>1187</v>
      </c>
      <c r="M996" t="s">
        <v>1617</v>
      </c>
      <c r="N996" t="s">
        <v>1618</v>
      </c>
      <c r="Q996" s="18" t="s">
        <v>1590</v>
      </c>
    </row>
    <row r="997" spans="1:17" x14ac:dyDescent="0.35">
      <c r="A997" t="s">
        <v>1334</v>
      </c>
      <c r="B997" s="3" t="s">
        <v>102</v>
      </c>
      <c r="C997" s="3"/>
      <c r="D997" s="3"/>
      <c r="E997" s="3"/>
      <c r="F997" t="s">
        <v>551</v>
      </c>
      <c r="H997" t="s">
        <v>1595</v>
      </c>
      <c r="J997" t="str">
        <f t="shared" si="15"/>
        <v>FORM N-PORT-C.9</v>
      </c>
      <c r="K997" t="s">
        <v>1619</v>
      </c>
      <c r="L997" t="s">
        <v>1502</v>
      </c>
      <c r="M997" t="s">
        <v>1620</v>
      </c>
      <c r="N997" t="s">
        <v>1621</v>
      </c>
      <c r="Q997" s="18" t="s">
        <v>1590</v>
      </c>
    </row>
    <row r="998" spans="1:17" x14ac:dyDescent="0.35">
      <c r="A998" t="s">
        <v>1334</v>
      </c>
      <c r="B998" s="3" t="s">
        <v>102</v>
      </c>
      <c r="C998" s="3"/>
      <c r="D998" s="3"/>
      <c r="E998" s="3"/>
      <c r="F998" t="s">
        <v>551</v>
      </c>
      <c r="H998" t="s">
        <v>1595</v>
      </c>
      <c r="J998" t="str">
        <f t="shared" si="15"/>
        <v>FORM N-PORT-C.9</v>
      </c>
      <c r="K998" t="s">
        <v>1622</v>
      </c>
      <c r="L998" t="s">
        <v>783</v>
      </c>
      <c r="M998" t="s">
        <v>1623</v>
      </c>
      <c r="N998" t="s">
        <v>1624</v>
      </c>
      <c r="Q998" s="18" t="s">
        <v>1590</v>
      </c>
    </row>
    <row r="999" spans="1:17" x14ac:dyDescent="0.35">
      <c r="A999" t="s">
        <v>1334</v>
      </c>
      <c r="B999" s="3" t="s">
        <v>102</v>
      </c>
      <c r="C999" s="3"/>
      <c r="D999" s="3"/>
      <c r="E999" s="3"/>
      <c r="F999" t="s">
        <v>551</v>
      </c>
      <c r="H999" t="s">
        <v>1595</v>
      </c>
      <c r="J999" t="str">
        <f t="shared" si="15"/>
        <v>FORM N-PORT-C.9</v>
      </c>
      <c r="K999" t="s">
        <v>1625</v>
      </c>
      <c r="L999" t="s">
        <v>783</v>
      </c>
      <c r="M999" t="s">
        <v>1626</v>
      </c>
      <c r="N999" t="s">
        <v>1627</v>
      </c>
      <c r="Q999" s="18" t="s">
        <v>1590</v>
      </c>
    </row>
    <row r="1000" spans="1:17" x14ac:dyDescent="0.35">
      <c r="A1000" t="s">
        <v>1334</v>
      </c>
      <c r="B1000" s="3" t="s">
        <v>102</v>
      </c>
      <c r="C1000" s="3"/>
      <c r="D1000" s="3"/>
      <c r="E1000" s="3"/>
      <c r="F1000" t="s">
        <v>551</v>
      </c>
      <c r="H1000" t="s">
        <v>1628</v>
      </c>
      <c r="J1000" t="str">
        <f t="shared" si="15"/>
        <v>FORM N-PORT-C.10</v>
      </c>
      <c r="K1000" t="s">
        <v>1629</v>
      </c>
      <c r="L1000" t="s">
        <v>1566</v>
      </c>
      <c r="M1000" t="s">
        <v>1630</v>
      </c>
      <c r="N1000" t="s">
        <v>1631</v>
      </c>
      <c r="Q1000" s="18" t="s">
        <v>1590</v>
      </c>
    </row>
    <row r="1001" spans="1:17" x14ac:dyDescent="0.35">
      <c r="A1001" t="s">
        <v>1334</v>
      </c>
      <c r="B1001" s="3" t="s">
        <v>102</v>
      </c>
      <c r="C1001" s="3"/>
      <c r="D1001" s="3"/>
      <c r="E1001" s="3"/>
      <c r="F1001" t="s">
        <v>551</v>
      </c>
      <c r="H1001" t="s">
        <v>1628</v>
      </c>
      <c r="J1001" t="str">
        <f t="shared" si="15"/>
        <v>FORM N-PORT-C.10</v>
      </c>
      <c r="K1001" t="s">
        <v>1632</v>
      </c>
      <c r="L1001" t="s">
        <v>1502</v>
      </c>
      <c r="M1001" t="s">
        <v>1633</v>
      </c>
      <c r="N1001" t="s">
        <v>1634</v>
      </c>
      <c r="Q1001" s="18" t="s">
        <v>1590</v>
      </c>
    </row>
    <row r="1002" spans="1:17" x14ac:dyDescent="0.35">
      <c r="A1002" t="s">
        <v>1334</v>
      </c>
      <c r="B1002" s="3" t="s">
        <v>102</v>
      </c>
      <c r="C1002" s="3"/>
      <c r="D1002" s="3"/>
      <c r="E1002" s="3"/>
      <c r="F1002" t="s">
        <v>551</v>
      </c>
      <c r="H1002" t="s">
        <v>1628</v>
      </c>
      <c r="J1002" t="str">
        <f t="shared" si="15"/>
        <v>FORM N-PORT-C.10</v>
      </c>
      <c r="K1002" t="s">
        <v>1635</v>
      </c>
      <c r="L1002" t="s">
        <v>1187</v>
      </c>
      <c r="M1002" t="s">
        <v>1636</v>
      </c>
      <c r="N1002" t="s">
        <v>1637</v>
      </c>
      <c r="Q1002" s="18" t="s">
        <v>1590</v>
      </c>
    </row>
    <row r="1003" spans="1:17" x14ac:dyDescent="0.35">
      <c r="A1003" t="s">
        <v>1334</v>
      </c>
      <c r="B1003" s="3" t="s">
        <v>102</v>
      </c>
      <c r="C1003" s="3"/>
      <c r="D1003" s="3"/>
      <c r="E1003" s="3"/>
      <c r="F1003" t="s">
        <v>551</v>
      </c>
      <c r="H1003" t="s">
        <v>1628</v>
      </c>
      <c r="J1003" t="str">
        <f t="shared" si="15"/>
        <v>FORM N-PORT-C.10</v>
      </c>
      <c r="K1003" t="s">
        <v>1638</v>
      </c>
      <c r="L1003" t="s">
        <v>1502</v>
      </c>
      <c r="M1003" t="s">
        <v>1639</v>
      </c>
      <c r="N1003" t="s">
        <v>1640</v>
      </c>
      <c r="Q1003" s="18" t="s">
        <v>1590</v>
      </c>
    </row>
    <row r="1004" spans="1:17" x14ac:dyDescent="0.35">
      <c r="A1004" t="s">
        <v>1334</v>
      </c>
      <c r="B1004" s="3" t="s">
        <v>102</v>
      </c>
      <c r="C1004" s="3"/>
      <c r="D1004" s="3"/>
      <c r="E1004" s="3"/>
      <c r="F1004" t="s">
        <v>551</v>
      </c>
      <c r="H1004" t="s">
        <v>1628</v>
      </c>
      <c r="J1004" t="str">
        <f t="shared" si="15"/>
        <v>FORM N-PORT-C.10</v>
      </c>
      <c r="K1004" t="s">
        <v>1641</v>
      </c>
      <c r="L1004" t="s">
        <v>1187</v>
      </c>
      <c r="M1004" t="s">
        <v>1642</v>
      </c>
      <c r="N1004" t="s">
        <v>1643</v>
      </c>
      <c r="Q1004" s="18" t="s">
        <v>1590</v>
      </c>
    </row>
    <row r="1005" spans="1:17" x14ac:dyDescent="0.35">
      <c r="A1005" t="s">
        <v>1334</v>
      </c>
      <c r="B1005" s="3" t="s">
        <v>102</v>
      </c>
      <c r="C1005" s="3"/>
      <c r="D1005" s="3"/>
      <c r="E1005" s="3"/>
      <c r="F1005" t="s">
        <v>551</v>
      </c>
      <c r="H1005" t="s">
        <v>1628</v>
      </c>
      <c r="J1005" t="str">
        <f t="shared" si="15"/>
        <v>FORM N-PORT-C.10</v>
      </c>
      <c r="K1005" t="s">
        <v>1644</v>
      </c>
      <c r="L1005" t="s">
        <v>1198</v>
      </c>
      <c r="M1005" t="s">
        <v>1645</v>
      </c>
      <c r="N1005" t="s">
        <v>1646</v>
      </c>
      <c r="Q1005" s="18" t="s">
        <v>1590</v>
      </c>
    </row>
    <row r="1006" spans="1:17" x14ac:dyDescent="0.35">
      <c r="A1006" t="s">
        <v>1334</v>
      </c>
      <c r="B1006" s="3" t="s">
        <v>102</v>
      </c>
      <c r="C1006" s="3"/>
      <c r="D1006" s="3"/>
      <c r="E1006" s="3"/>
      <c r="F1006" t="s">
        <v>551</v>
      </c>
      <c r="H1006" t="s">
        <v>1628</v>
      </c>
      <c r="J1006" t="str">
        <f t="shared" si="15"/>
        <v>FORM N-PORT-C.10</v>
      </c>
      <c r="K1006" t="s">
        <v>1647</v>
      </c>
      <c r="L1006" t="s">
        <v>1331</v>
      </c>
      <c r="M1006" t="s">
        <v>1648</v>
      </c>
      <c r="N1006" t="s">
        <v>1649</v>
      </c>
      <c r="Q1006" s="18" t="s">
        <v>1590</v>
      </c>
    </row>
    <row r="1007" spans="1:17" x14ac:dyDescent="0.35">
      <c r="A1007" t="s">
        <v>1334</v>
      </c>
      <c r="B1007" s="3" t="s">
        <v>102</v>
      </c>
      <c r="C1007" s="3"/>
      <c r="D1007" s="3"/>
      <c r="E1007" s="3"/>
      <c r="F1007" t="s">
        <v>551</v>
      </c>
      <c r="H1007" t="s">
        <v>1628</v>
      </c>
      <c r="J1007" t="str">
        <f t="shared" si="15"/>
        <v>FORM N-PORT-C.10</v>
      </c>
      <c r="K1007" t="s">
        <v>1650</v>
      </c>
      <c r="L1007" t="s">
        <v>783</v>
      </c>
      <c r="M1007" t="s">
        <v>1651</v>
      </c>
      <c r="N1007" t="s">
        <v>1652</v>
      </c>
      <c r="Q1007" s="18" t="s">
        <v>1590</v>
      </c>
    </row>
    <row r="1008" spans="1:17" x14ac:dyDescent="0.35">
      <c r="A1008" t="s">
        <v>1334</v>
      </c>
      <c r="B1008" s="3" t="s">
        <v>102</v>
      </c>
      <c r="C1008" s="3"/>
      <c r="D1008" s="3"/>
      <c r="E1008" s="3"/>
      <c r="F1008" t="s">
        <v>551</v>
      </c>
      <c r="H1008" t="s">
        <v>1628</v>
      </c>
      <c r="J1008" t="str">
        <f t="shared" si="15"/>
        <v>FORM N-PORT-C.10</v>
      </c>
      <c r="K1008" t="s">
        <v>1653</v>
      </c>
      <c r="L1008" t="s">
        <v>783</v>
      </c>
      <c r="M1008" t="s">
        <v>1654</v>
      </c>
      <c r="N1008" t="s">
        <v>1655</v>
      </c>
      <c r="Q1008" s="18" t="s">
        <v>1590</v>
      </c>
    </row>
    <row r="1009" spans="1:17" x14ac:dyDescent="0.35">
      <c r="A1009" t="s">
        <v>1334</v>
      </c>
      <c r="B1009" s="3" t="s">
        <v>102</v>
      </c>
      <c r="C1009" s="3"/>
      <c r="D1009" s="3"/>
      <c r="E1009" s="3"/>
      <c r="F1009" t="s">
        <v>551</v>
      </c>
      <c r="H1009" t="s">
        <v>1628</v>
      </c>
      <c r="J1009" t="str">
        <f t="shared" si="15"/>
        <v>FORM N-PORT-C.10</v>
      </c>
      <c r="K1009" t="s">
        <v>1656</v>
      </c>
      <c r="L1009" t="s">
        <v>1566</v>
      </c>
      <c r="M1009" t="s">
        <v>1657</v>
      </c>
      <c r="N1009" t="s">
        <v>1658</v>
      </c>
      <c r="Q1009" s="18" t="s">
        <v>1590</v>
      </c>
    </row>
    <row r="1010" spans="1:17" x14ac:dyDescent="0.35">
      <c r="A1010" t="s">
        <v>1334</v>
      </c>
      <c r="B1010" s="3" t="s">
        <v>102</v>
      </c>
      <c r="C1010" s="3"/>
      <c r="D1010" s="3"/>
      <c r="E1010" s="3"/>
      <c r="F1010" t="s">
        <v>551</v>
      </c>
      <c r="H1010" t="s">
        <v>1659</v>
      </c>
      <c r="J1010" t="str">
        <f t="shared" si="15"/>
        <v>FORM N-PORT-C.11</v>
      </c>
      <c r="K1010" t="s">
        <v>1660</v>
      </c>
      <c r="L1010" t="s">
        <v>1566</v>
      </c>
      <c r="M1010" t="s">
        <v>1661</v>
      </c>
      <c r="N1010" t="s">
        <v>1662</v>
      </c>
      <c r="Q1010" s="18" t="s">
        <v>1590</v>
      </c>
    </row>
    <row r="1011" spans="1:17" x14ac:dyDescent="0.35">
      <c r="A1011" t="s">
        <v>1334</v>
      </c>
      <c r="B1011" s="3" t="s">
        <v>102</v>
      </c>
      <c r="C1011" s="3"/>
      <c r="D1011" s="3"/>
      <c r="E1011" s="3"/>
      <c r="F1011" t="s">
        <v>551</v>
      </c>
      <c r="H1011" t="s">
        <v>1659</v>
      </c>
      <c r="J1011" t="str">
        <f t="shared" si="15"/>
        <v>FORM N-PORT-C.11</v>
      </c>
      <c r="K1011" t="s">
        <v>1663</v>
      </c>
      <c r="L1011" t="s">
        <v>1502</v>
      </c>
      <c r="M1011" t="s">
        <v>1664</v>
      </c>
      <c r="N1011" t="s">
        <v>1665</v>
      </c>
      <c r="Q1011" s="18" t="s">
        <v>1590</v>
      </c>
    </row>
    <row r="1012" spans="1:17" x14ac:dyDescent="0.35">
      <c r="A1012" t="s">
        <v>1334</v>
      </c>
      <c r="B1012" s="3" t="s">
        <v>102</v>
      </c>
      <c r="C1012" s="3"/>
      <c r="D1012" s="3"/>
      <c r="E1012" s="3"/>
      <c r="F1012" t="s">
        <v>551</v>
      </c>
      <c r="H1012" t="s">
        <v>1659</v>
      </c>
      <c r="J1012" t="str">
        <f t="shared" si="15"/>
        <v>FORM N-PORT-C.11</v>
      </c>
      <c r="K1012" t="s">
        <v>1666</v>
      </c>
      <c r="L1012" t="s">
        <v>1566</v>
      </c>
      <c r="M1012" t="s">
        <v>1667</v>
      </c>
      <c r="N1012" t="s">
        <v>1668</v>
      </c>
      <c r="Q1012" s="18" t="s">
        <v>1590</v>
      </c>
    </row>
    <row r="1013" spans="1:17" x14ac:dyDescent="0.35">
      <c r="A1013" t="s">
        <v>1334</v>
      </c>
      <c r="B1013" s="3" t="s">
        <v>102</v>
      </c>
      <c r="C1013" s="3"/>
      <c r="D1013" s="3"/>
      <c r="E1013" s="3"/>
      <c r="F1013" t="s">
        <v>551</v>
      </c>
      <c r="H1013" t="s">
        <v>1659</v>
      </c>
      <c r="J1013" t="str">
        <f t="shared" si="15"/>
        <v>FORM N-PORT-C.11</v>
      </c>
      <c r="K1013" t="s">
        <v>1669</v>
      </c>
      <c r="L1013" t="s">
        <v>1566</v>
      </c>
      <c r="M1013" t="s">
        <v>1670</v>
      </c>
      <c r="N1013" t="s">
        <v>1671</v>
      </c>
      <c r="Q1013" s="18" t="s">
        <v>1590</v>
      </c>
    </row>
    <row r="1014" spans="1:17" x14ac:dyDescent="0.35">
      <c r="A1014" t="s">
        <v>1334</v>
      </c>
      <c r="B1014" s="3" t="s">
        <v>102</v>
      </c>
      <c r="C1014" s="3"/>
      <c r="D1014" s="3"/>
      <c r="E1014" s="3"/>
      <c r="F1014" t="s">
        <v>551</v>
      </c>
      <c r="H1014" t="s">
        <v>1659</v>
      </c>
      <c r="J1014" t="str">
        <f t="shared" si="15"/>
        <v>FORM N-PORT-C.11</v>
      </c>
      <c r="K1014" t="s">
        <v>1672</v>
      </c>
      <c r="L1014" t="s">
        <v>1502</v>
      </c>
      <c r="M1014" t="s">
        <v>1673</v>
      </c>
      <c r="N1014" t="s">
        <v>1674</v>
      </c>
      <c r="Q1014" s="18" t="s">
        <v>1590</v>
      </c>
    </row>
    <row r="1015" spans="1:17" x14ac:dyDescent="0.35">
      <c r="A1015" t="s">
        <v>1334</v>
      </c>
      <c r="B1015" s="3" t="s">
        <v>102</v>
      </c>
      <c r="C1015" s="3"/>
      <c r="D1015" s="3"/>
      <c r="E1015" s="3"/>
      <c r="F1015" t="s">
        <v>551</v>
      </c>
      <c r="H1015" t="s">
        <v>1659</v>
      </c>
      <c r="J1015" t="str">
        <f t="shared" si="15"/>
        <v>FORM N-PORT-C.11</v>
      </c>
      <c r="K1015" t="s">
        <v>1675</v>
      </c>
      <c r="L1015" t="s">
        <v>783</v>
      </c>
      <c r="M1015" t="s">
        <v>1676</v>
      </c>
      <c r="N1015" t="s">
        <v>1677</v>
      </c>
      <c r="Q1015" s="18" t="s">
        <v>1590</v>
      </c>
    </row>
    <row r="1016" spans="1:17" x14ac:dyDescent="0.35">
      <c r="A1016" t="s">
        <v>1334</v>
      </c>
      <c r="B1016" s="3" t="s">
        <v>102</v>
      </c>
      <c r="C1016" s="3"/>
      <c r="D1016" s="3"/>
      <c r="E1016" s="3"/>
      <c r="F1016" t="s">
        <v>551</v>
      </c>
      <c r="H1016" t="s">
        <v>1659</v>
      </c>
      <c r="J1016" t="str">
        <f t="shared" si="15"/>
        <v>FORM N-PORT-C.11</v>
      </c>
      <c r="K1016" t="s">
        <v>1678</v>
      </c>
      <c r="L1016" t="s">
        <v>783</v>
      </c>
      <c r="M1016" t="s">
        <v>1679</v>
      </c>
      <c r="N1016" t="s">
        <v>1680</v>
      </c>
      <c r="Q1016" s="18" t="s">
        <v>1590</v>
      </c>
    </row>
    <row r="1017" spans="1:17" x14ac:dyDescent="0.35">
      <c r="A1017" t="s">
        <v>1334</v>
      </c>
      <c r="B1017" s="3" t="s">
        <v>102</v>
      </c>
      <c r="C1017" s="3"/>
      <c r="D1017" s="3"/>
      <c r="E1017" s="3"/>
      <c r="F1017" t="s">
        <v>551</v>
      </c>
      <c r="H1017" t="s">
        <v>1659</v>
      </c>
      <c r="J1017" t="str">
        <f t="shared" si="15"/>
        <v>FORM N-PORT-C.11</v>
      </c>
      <c r="K1017" t="s">
        <v>1681</v>
      </c>
      <c r="L1017" t="s">
        <v>1331</v>
      </c>
      <c r="M1017" t="s">
        <v>1682</v>
      </c>
      <c r="N1017" t="s">
        <v>1683</v>
      </c>
      <c r="Q1017" s="18" t="s">
        <v>1590</v>
      </c>
    </row>
    <row r="1018" spans="1:17" x14ac:dyDescent="0.35">
      <c r="A1018" t="s">
        <v>1334</v>
      </c>
      <c r="B1018" s="3" t="s">
        <v>102</v>
      </c>
      <c r="C1018" s="3"/>
      <c r="D1018" s="3"/>
      <c r="E1018" s="3"/>
      <c r="F1018" t="s">
        <v>551</v>
      </c>
      <c r="H1018" t="s">
        <v>1659</v>
      </c>
      <c r="J1018" t="str">
        <f t="shared" si="15"/>
        <v>FORM N-PORT-C.11</v>
      </c>
      <c r="K1018" t="s">
        <v>1684</v>
      </c>
      <c r="L1018" t="s">
        <v>783</v>
      </c>
      <c r="M1018" t="s">
        <v>1685</v>
      </c>
      <c r="N1018" t="s">
        <v>1686</v>
      </c>
      <c r="Q1018" s="18" t="s">
        <v>1590</v>
      </c>
    </row>
    <row r="1019" spans="1:17" x14ac:dyDescent="0.35">
      <c r="A1019" t="s">
        <v>1334</v>
      </c>
      <c r="B1019" s="3" t="s">
        <v>102</v>
      </c>
      <c r="C1019" s="3"/>
      <c r="D1019" s="3"/>
      <c r="E1019" s="3"/>
      <c r="F1019" t="s">
        <v>551</v>
      </c>
      <c r="H1019" t="s">
        <v>1659</v>
      </c>
      <c r="J1019" t="str">
        <f t="shared" si="15"/>
        <v>FORM N-PORT-C.11</v>
      </c>
      <c r="K1019" t="s">
        <v>1687</v>
      </c>
      <c r="L1019" t="s">
        <v>783</v>
      </c>
      <c r="M1019" t="s">
        <v>1688</v>
      </c>
      <c r="N1019" t="s">
        <v>1689</v>
      </c>
      <c r="Q1019" s="18" t="s">
        <v>1590</v>
      </c>
    </row>
    <row r="1020" spans="1:17" x14ac:dyDescent="0.35">
      <c r="A1020" t="s">
        <v>1334</v>
      </c>
      <c r="B1020" s="3" t="s">
        <v>102</v>
      </c>
      <c r="C1020" s="3"/>
      <c r="D1020" s="3"/>
      <c r="E1020" s="3"/>
      <c r="F1020" t="s">
        <v>551</v>
      </c>
      <c r="H1020" t="s">
        <v>1659</v>
      </c>
      <c r="J1020" t="str">
        <f t="shared" si="15"/>
        <v>FORM N-PORT-C.11</v>
      </c>
      <c r="K1020" t="s">
        <v>1690</v>
      </c>
      <c r="L1020" t="s">
        <v>1566</v>
      </c>
      <c r="M1020" t="s">
        <v>1691</v>
      </c>
      <c r="N1020" t="s">
        <v>1692</v>
      </c>
      <c r="Q1020" s="18" t="s">
        <v>1590</v>
      </c>
    </row>
    <row r="1021" spans="1:17" x14ac:dyDescent="0.35">
      <c r="A1021" t="s">
        <v>1334</v>
      </c>
      <c r="B1021" s="3" t="s">
        <v>102</v>
      </c>
      <c r="C1021" s="3"/>
      <c r="D1021" s="3"/>
      <c r="E1021" s="3"/>
      <c r="F1021" t="s">
        <v>551</v>
      </c>
      <c r="H1021" t="s">
        <v>1659</v>
      </c>
      <c r="J1021" t="str">
        <f t="shared" si="15"/>
        <v>FORM N-PORT-C.11</v>
      </c>
      <c r="K1021" t="s">
        <v>1693</v>
      </c>
      <c r="L1021" t="s">
        <v>1502</v>
      </c>
      <c r="M1021" t="s">
        <v>1694</v>
      </c>
      <c r="N1021" t="s">
        <v>1695</v>
      </c>
      <c r="Q1021" s="18" t="s">
        <v>1590</v>
      </c>
    </row>
    <row r="1022" spans="1:17" x14ac:dyDescent="0.35">
      <c r="A1022" t="s">
        <v>1334</v>
      </c>
      <c r="B1022" s="3" t="s">
        <v>102</v>
      </c>
      <c r="C1022" s="3"/>
      <c r="D1022" s="3"/>
      <c r="E1022" s="3"/>
      <c r="F1022" t="s">
        <v>551</v>
      </c>
      <c r="H1022" t="s">
        <v>1659</v>
      </c>
      <c r="J1022" t="str">
        <f t="shared" si="15"/>
        <v>FORM N-PORT-C.11</v>
      </c>
      <c r="K1022" t="s">
        <v>1696</v>
      </c>
      <c r="L1022" t="s">
        <v>1331</v>
      </c>
      <c r="M1022" t="s">
        <v>1697</v>
      </c>
      <c r="N1022" t="s">
        <v>1698</v>
      </c>
      <c r="Q1022" s="18" t="s">
        <v>1590</v>
      </c>
    </row>
    <row r="1023" spans="1:17" x14ac:dyDescent="0.35">
      <c r="A1023" t="s">
        <v>1334</v>
      </c>
      <c r="B1023" s="3" t="s">
        <v>102</v>
      </c>
      <c r="C1023" s="3"/>
      <c r="D1023" s="3"/>
      <c r="E1023" s="3"/>
      <c r="F1023" t="s">
        <v>551</v>
      </c>
      <c r="H1023" t="s">
        <v>1659</v>
      </c>
      <c r="J1023" t="str">
        <f t="shared" si="15"/>
        <v>FORM N-PORT-C.11</v>
      </c>
      <c r="K1023" t="s">
        <v>1699</v>
      </c>
      <c r="L1023" t="s">
        <v>783</v>
      </c>
      <c r="M1023" t="s">
        <v>1700</v>
      </c>
      <c r="N1023" t="s">
        <v>1701</v>
      </c>
      <c r="Q1023" s="18" t="s">
        <v>1590</v>
      </c>
    </row>
    <row r="1024" spans="1:17" x14ac:dyDescent="0.35">
      <c r="A1024" t="s">
        <v>1334</v>
      </c>
      <c r="B1024" s="3" t="s">
        <v>102</v>
      </c>
      <c r="C1024" s="3"/>
      <c r="D1024" s="3"/>
      <c r="E1024" s="3"/>
      <c r="F1024" t="s">
        <v>551</v>
      </c>
      <c r="H1024" t="s">
        <v>1659</v>
      </c>
      <c r="J1024" t="str">
        <f t="shared" si="15"/>
        <v>FORM N-PORT-C.11</v>
      </c>
      <c r="K1024" t="s">
        <v>1702</v>
      </c>
      <c r="L1024" t="s">
        <v>783</v>
      </c>
      <c r="M1024" t="s">
        <v>1688</v>
      </c>
      <c r="N1024" t="s">
        <v>1703</v>
      </c>
      <c r="Q1024" s="18" t="s">
        <v>1590</v>
      </c>
    </row>
    <row r="1025" spans="1:17" x14ac:dyDescent="0.35">
      <c r="A1025" t="s">
        <v>1334</v>
      </c>
      <c r="B1025" s="3" t="s">
        <v>102</v>
      </c>
      <c r="C1025" s="3"/>
      <c r="D1025" s="3"/>
      <c r="E1025" s="3"/>
      <c r="F1025" t="s">
        <v>551</v>
      </c>
      <c r="H1025" t="s">
        <v>1659</v>
      </c>
      <c r="J1025" t="str">
        <f t="shared" si="15"/>
        <v>FORM N-PORT-C.11</v>
      </c>
      <c r="K1025" t="s">
        <v>1704</v>
      </c>
      <c r="L1025" t="s">
        <v>229</v>
      </c>
      <c r="M1025" t="s">
        <v>1705</v>
      </c>
      <c r="N1025" t="s">
        <v>1706</v>
      </c>
      <c r="Q1025" s="18" t="s">
        <v>1590</v>
      </c>
    </row>
    <row r="1026" spans="1:17" x14ac:dyDescent="0.35">
      <c r="A1026" t="s">
        <v>1334</v>
      </c>
      <c r="B1026" s="3" t="s">
        <v>102</v>
      </c>
      <c r="C1026" s="3"/>
      <c r="D1026" s="3"/>
      <c r="E1026" s="3"/>
      <c r="F1026" t="s">
        <v>551</v>
      </c>
      <c r="H1026" t="s">
        <v>1659</v>
      </c>
      <c r="J1026" t="str">
        <f t="shared" si="15"/>
        <v>FORM N-PORT-C.11</v>
      </c>
      <c r="K1026" t="s">
        <v>1707</v>
      </c>
      <c r="L1026" t="s">
        <v>229</v>
      </c>
      <c r="M1026" t="s">
        <v>1708</v>
      </c>
      <c r="N1026" t="s">
        <v>1709</v>
      </c>
      <c r="Q1026" s="18" t="s">
        <v>1590</v>
      </c>
    </row>
    <row r="1027" spans="1:17" x14ac:dyDescent="0.35">
      <c r="A1027" t="s">
        <v>1334</v>
      </c>
      <c r="B1027" s="3" t="s">
        <v>102</v>
      </c>
      <c r="C1027" s="3"/>
      <c r="D1027" s="3"/>
      <c r="E1027" s="3"/>
      <c r="F1027" t="s">
        <v>551</v>
      </c>
      <c r="H1027" t="s">
        <v>1659</v>
      </c>
      <c r="J1027" t="str">
        <f t="shared" ref="J1027:J1039" si="16">_xlfn.CONCAT(A1027,"-",H1027)</f>
        <v>FORM N-PORT-C.11</v>
      </c>
      <c r="K1027" t="s">
        <v>1710</v>
      </c>
      <c r="L1027" t="s">
        <v>1331</v>
      </c>
      <c r="M1027" t="s">
        <v>1711</v>
      </c>
      <c r="N1027" t="s">
        <v>1712</v>
      </c>
      <c r="Q1027" s="18" t="s">
        <v>1590</v>
      </c>
    </row>
    <row r="1028" spans="1:17" x14ac:dyDescent="0.35">
      <c r="A1028" t="s">
        <v>1334</v>
      </c>
      <c r="B1028" s="3" t="s">
        <v>102</v>
      </c>
      <c r="C1028" s="3"/>
      <c r="D1028" s="3"/>
      <c r="E1028" s="3"/>
      <c r="F1028" t="s">
        <v>551</v>
      </c>
      <c r="H1028" t="s">
        <v>1659</v>
      </c>
      <c r="J1028" t="str">
        <f t="shared" si="16"/>
        <v>FORM N-PORT-C.11</v>
      </c>
      <c r="K1028" t="s">
        <v>1713</v>
      </c>
      <c r="L1028" t="s">
        <v>783</v>
      </c>
      <c r="M1028" t="s">
        <v>1688</v>
      </c>
      <c r="N1028" t="s">
        <v>1714</v>
      </c>
      <c r="Q1028" s="18" t="s">
        <v>1590</v>
      </c>
    </row>
    <row r="1029" spans="1:17" x14ac:dyDescent="0.35">
      <c r="A1029" t="s">
        <v>1334</v>
      </c>
      <c r="B1029" s="3" t="s">
        <v>102</v>
      </c>
      <c r="C1029" s="3"/>
      <c r="D1029" s="3"/>
      <c r="E1029" s="3"/>
      <c r="F1029" t="s">
        <v>551</v>
      </c>
      <c r="H1029" t="s">
        <v>1659</v>
      </c>
      <c r="J1029" t="str">
        <f t="shared" si="16"/>
        <v>FORM N-PORT-C.11</v>
      </c>
      <c r="K1029" t="s">
        <v>1715</v>
      </c>
      <c r="L1029" t="s">
        <v>229</v>
      </c>
      <c r="M1029" t="s">
        <v>1716</v>
      </c>
      <c r="N1029" t="s">
        <v>1717</v>
      </c>
      <c r="Q1029" s="18" t="s">
        <v>1590</v>
      </c>
    </row>
    <row r="1030" spans="1:17" x14ac:dyDescent="0.35">
      <c r="A1030" t="s">
        <v>1334</v>
      </c>
      <c r="B1030" s="3" t="s">
        <v>102</v>
      </c>
      <c r="C1030" s="3"/>
      <c r="D1030" s="3"/>
      <c r="E1030" s="3"/>
      <c r="F1030" t="s">
        <v>551</v>
      </c>
      <c r="H1030" t="s">
        <v>1659</v>
      </c>
      <c r="J1030" t="str">
        <f t="shared" si="16"/>
        <v>FORM N-PORT-C.11</v>
      </c>
      <c r="K1030" t="s">
        <v>1718</v>
      </c>
      <c r="L1030" t="s">
        <v>1331</v>
      </c>
      <c r="M1030" t="s">
        <v>1719</v>
      </c>
      <c r="N1030" t="s">
        <v>1720</v>
      </c>
      <c r="Q1030" s="18" t="s">
        <v>1590</v>
      </c>
    </row>
    <row r="1031" spans="1:17" x14ac:dyDescent="0.35">
      <c r="A1031" t="s">
        <v>1334</v>
      </c>
      <c r="B1031" s="3" t="s">
        <v>102</v>
      </c>
      <c r="C1031" s="3"/>
      <c r="D1031" s="3"/>
      <c r="E1031" s="3"/>
      <c r="F1031" t="s">
        <v>551</v>
      </c>
      <c r="H1031" t="s">
        <v>1659</v>
      </c>
      <c r="J1031" t="str">
        <f t="shared" si="16"/>
        <v>FORM N-PORT-C.11</v>
      </c>
      <c r="K1031" t="s">
        <v>1721</v>
      </c>
      <c r="L1031" t="s">
        <v>783</v>
      </c>
      <c r="M1031" t="s">
        <v>1722</v>
      </c>
      <c r="N1031" t="s">
        <v>1723</v>
      </c>
      <c r="Q1031" s="18" t="s">
        <v>1590</v>
      </c>
    </row>
    <row r="1032" spans="1:17" x14ac:dyDescent="0.35">
      <c r="A1032" t="s">
        <v>1334</v>
      </c>
      <c r="B1032" s="3" t="s">
        <v>102</v>
      </c>
      <c r="C1032" s="3"/>
      <c r="D1032" s="3"/>
      <c r="E1032" s="3"/>
      <c r="F1032" t="s">
        <v>551</v>
      </c>
      <c r="H1032" t="s">
        <v>1659</v>
      </c>
      <c r="J1032" t="str">
        <f t="shared" si="16"/>
        <v>FORM N-PORT-C.11</v>
      </c>
      <c r="K1032" t="s">
        <v>1724</v>
      </c>
      <c r="L1032" t="s">
        <v>783</v>
      </c>
      <c r="M1032" t="s">
        <v>1725</v>
      </c>
      <c r="N1032" t="s">
        <v>1726</v>
      </c>
      <c r="Q1032" s="18" t="s">
        <v>1590</v>
      </c>
    </row>
    <row r="1033" spans="1:17" x14ac:dyDescent="0.35">
      <c r="A1033" t="s">
        <v>1334</v>
      </c>
      <c r="B1033" s="3" t="s">
        <v>102</v>
      </c>
      <c r="C1033" s="3"/>
      <c r="D1033" s="3"/>
      <c r="E1033" s="3"/>
      <c r="F1033" t="s">
        <v>551</v>
      </c>
      <c r="H1033" t="s">
        <v>1659</v>
      </c>
      <c r="J1033" t="str">
        <f t="shared" si="16"/>
        <v>FORM N-PORT-C.11</v>
      </c>
      <c r="K1033" t="s">
        <v>1727</v>
      </c>
      <c r="L1033" t="s">
        <v>783</v>
      </c>
      <c r="M1033" t="s">
        <v>1688</v>
      </c>
      <c r="N1033" t="s">
        <v>1728</v>
      </c>
      <c r="Q1033" s="18" t="s">
        <v>1590</v>
      </c>
    </row>
    <row r="1034" spans="1:17" x14ac:dyDescent="0.35">
      <c r="A1034" t="s">
        <v>1334</v>
      </c>
      <c r="B1034" s="3" t="s">
        <v>102</v>
      </c>
      <c r="C1034" s="3"/>
      <c r="D1034" s="3"/>
      <c r="E1034" s="3"/>
      <c r="F1034" t="s">
        <v>551</v>
      </c>
      <c r="H1034" t="s">
        <v>1729</v>
      </c>
      <c r="J1034" t="str">
        <f t="shared" si="16"/>
        <v>FORM N-PORT-C.12</v>
      </c>
      <c r="K1034" t="s">
        <v>1730</v>
      </c>
      <c r="L1034" t="s">
        <v>1187</v>
      </c>
      <c r="M1034" t="s">
        <v>1731</v>
      </c>
      <c r="N1034" t="s">
        <v>1732</v>
      </c>
      <c r="Q1034" s="18" t="s">
        <v>1341</v>
      </c>
    </row>
    <row r="1035" spans="1:17" x14ac:dyDescent="0.35">
      <c r="A1035" t="s">
        <v>1334</v>
      </c>
      <c r="B1035" s="3" t="s">
        <v>102</v>
      </c>
      <c r="C1035" s="3"/>
      <c r="D1035" s="3"/>
      <c r="E1035" s="3"/>
      <c r="F1035" t="s">
        <v>551</v>
      </c>
      <c r="H1035" t="s">
        <v>1729</v>
      </c>
      <c r="J1035" t="str">
        <f t="shared" si="16"/>
        <v>FORM N-PORT-C.12</v>
      </c>
      <c r="K1035" t="s">
        <v>1733</v>
      </c>
      <c r="L1035" t="s">
        <v>783</v>
      </c>
      <c r="M1035" t="s">
        <v>1734</v>
      </c>
      <c r="N1035" t="s">
        <v>1735</v>
      </c>
      <c r="Q1035" s="18" t="s">
        <v>1590</v>
      </c>
    </row>
    <row r="1036" spans="1:17" x14ac:dyDescent="0.35">
      <c r="A1036" t="s">
        <v>1334</v>
      </c>
      <c r="B1036" s="3" t="s">
        <v>102</v>
      </c>
      <c r="C1036" s="3"/>
      <c r="D1036" s="3"/>
      <c r="E1036" s="3"/>
      <c r="F1036" t="s">
        <v>551</v>
      </c>
      <c r="H1036" t="s">
        <v>1729</v>
      </c>
      <c r="J1036" t="str">
        <f t="shared" si="16"/>
        <v>FORM N-PORT-C.12</v>
      </c>
      <c r="K1036" t="s">
        <v>1736</v>
      </c>
      <c r="L1036" t="s">
        <v>1187</v>
      </c>
      <c r="M1036" t="s">
        <v>1737</v>
      </c>
      <c r="N1036" t="s">
        <v>1738</v>
      </c>
      <c r="Q1036" s="18" t="s">
        <v>1341</v>
      </c>
    </row>
    <row r="1037" spans="1:17" x14ac:dyDescent="0.35">
      <c r="A1037" t="s">
        <v>1334</v>
      </c>
      <c r="B1037" s="3" t="s">
        <v>102</v>
      </c>
      <c r="C1037" s="3"/>
      <c r="D1037" s="3"/>
      <c r="E1037" s="3"/>
      <c r="F1037" t="s">
        <v>551</v>
      </c>
      <c r="H1037" t="s">
        <v>1729</v>
      </c>
      <c r="J1037" t="str">
        <f t="shared" si="16"/>
        <v>FORM N-PORT-C.12</v>
      </c>
      <c r="K1037" t="s">
        <v>1739</v>
      </c>
      <c r="L1037" t="s">
        <v>783</v>
      </c>
      <c r="M1037" t="s">
        <v>1740</v>
      </c>
      <c r="N1037" t="s">
        <v>1741</v>
      </c>
      <c r="Q1037" s="18" t="s">
        <v>1590</v>
      </c>
    </row>
    <row r="1038" spans="1:17" x14ac:dyDescent="0.35">
      <c r="A1038" t="s">
        <v>1334</v>
      </c>
      <c r="B1038" s="3" t="s">
        <v>102</v>
      </c>
      <c r="C1038" s="3"/>
      <c r="D1038" s="3"/>
      <c r="E1038" s="3"/>
      <c r="F1038" t="s">
        <v>551</v>
      </c>
      <c r="H1038" t="s">
        <v>1729</v>
      </c>
      <c r="J1038" t="str">
        <f t="shared" si="16"/>
        <v>FORM N-PORT-C.12</v>
      </c>
      <c r="K1038" t="s">
        <v>1742</v>
      </c>
      <c r="L1038" t="s">
        <v>1187</v>
      </c>
      <c r="M1038" t="s">
        <v>1743</v>
      </c>
      <c r="N1038" t="s">
        <v>1744</v>
      </c>
      <c r="Q1038" s="18" t="s">
        <v>1341</v>
      </c>
    </row>
    <row r="1039" spans="1:17" x14ac:dyDescent="0.35">
      <c r="A1039" t="s">
        <v>1334</v>
      </c>
      <c r="B1039" s="3" t="s">
        <v>102</v>
      </c>
      <c r="C1039" s="3"/>
      <c r="D1039" s="3"/>
      <c r="E1039" s="3"/>
      <c r="F1039" t="s">
        <v>551</v>
      </c>
      <c r="H1039" t="s">
        <v>1729</v>
      </c>
      <c r="J1039" t="str">
        <f t="shared" si="16"/>
        <v>FORM N-PORT-C.12</v>
      </c>
      <c r="K1039" t="s">
        <v>1745</v>
      </c>
      <c r="L1039" t="s">
        <v>783</v>
      </c>
      <c r="M1039" t="s">
        <v>1746</v>
      </c>
      <c r="N1039" t="s">
        <v>1747</v>
      </c>
      <c r="Q1039" s="18" t="s">
        <v>1590</v>
      </c>
    </row>
  </sheetData>
  <autoFilter ref="Q1:Q1039" xr:uid="{0528B9B4-AAFF-4B96-B855-8C05BA6E4105}"/>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FE4C-ABBB-444E-9411-79D1DD0AB8A3}">
  <dimension ref="A1:Q657"/>
  <sheetViews>
    <sheetView zoomScale="86" zoomScaleNormal="86" workbookViewId="0">
      <pane ySplit="1" topLeftCell="A26" activePane="bottomLeft" state="frozen"/>
      <selection activeCell="J634" sqref="J634"/>
      <selection pane="bottomLeft" activeCell="H35" sqref="H35"/>
    </sheetView>
  </sheetViews>
  <sheetFormatPr defaultRowHeight="14.5" x14ac:dyDescent="0.35"/>
  <cols>
    <col min="1" max="1" width="14.54296875" customWidth="1"/>
    <col min="2" max="2" width="14" hidden="1" customWidth="1"/>
    <col min="3" max="3" width="22" hidden="1" customWidth="1"/>
    <col min="4" max="5" width="7" hidden="1" customWidth="1"/>
    <col min="6" max="6" width="7.81640625" bestFit="1" customWidth="1"/>
    <col min="7" max="7" width="17" hidden="1" customWidth="1"/>
    <col min="8" max="8" width="12.1796875" customWidth="1"/>
    <col min="9" max="9" width="15.81640625" hidden="1" customWidth="1"/>
    <col min="10" max="10" width="31.54296875" bestFit="1" customWidth="1"/>
    <col min="11" max="11" width="67.81640625" customWidth="1"/>
    <col min="12" max="12" width="28.1796875" customWidth="1"/>
    <col min="13" max="13" width="26.81640625" customWidth="1"/>
    <col min="14" max="14" width="20" hidden="1" customWidth="1"/>
    <col min="15" max="15" width="6.81640625" hidden="1" customWidth="1"/>
    <col min="16" max="16" width="62.26953125" hidden="1" customWidth="1"/>
    <col min="17" max="17" width="31" customWidth="1"/>
  </cols>
  <sheetData>
    <row r="1" spans="1:17" x14ac:dyDescent="0.35">
      <c r="A1" s="1" t="s">
        <v>211</v>
      </c>
      <c r="B1" s="1" t="s">
        <v>8</v>
      </c>
      <c r="C1" s="1" t="s">
        <v>212</v>
      </c>
      <c r="D1" s="1" t="s">
        <v>213</v>
      </c>
      <c r="E1" s="1" t="s">
        <v>214</v>
      </c>
      <c r="F1" s="1" t="s">
        <v>215</v>
      </c>
      <c r="G1" s="1" t="s">
        <v>216</v>
      </c>
      <c r="H1" s="1" t="s">
        <v>217</v>
      </c>
      <c r="I1" s="1" t="s">
        <v>218</v>
      </c>
      <c r="J1" s="37" t="s">
        <v>9308</v>
      </c>
      <c r="K1" s="1" t="s">
        <v>219</v>
      </c>
      <c r="L1" s="2" t="s">
        <v>220</v>
      </c>
      <c r="M1" s="1" t="s">
        <v>221</v>
      </c>
      <c r="N1" s="1" t="s">
        <v>222</v>
      </c>
      <c r="O1" s="1" t="s">
        <v>223</v>
      </c>
      <c r="P1" s="1" t="s">
        <v>224</v>
      </c>
      <c r="Q1" s="1" t="s">
        <v>225</v>
      </c>
    </row>
    <row r="2" spans="1:17" x14ac:dyDescent="0.35">
      <c r="A2" t="s">
        <v>2403</v>
      </c>
      <c r="B2" s="3" t="s">
        <v>102</v>
      </c>
      <c r="C2" s="3" t="s">
        <v>9209</v>
      </c>
      <c r="D2" s="38"/>
      <c r="E2" s="3"/>
      <c r="F2" t="s">
        <v>2375</v>
      </c>
      <c r="H2" t="s">
        <v>2404</v>
      </c>
      <c r="J2" t="str">
        <f>_xlfn.CONCAT(A2,"-",H2)</f>
        <v>Form NCEN-B.2.d</v>
      </c>
      <c r="K2" t="s">
        <v>2405</v>
      </c>
      <c r="L2" t="s">
        <v>2406</v>
      </c>
      <c r="M2" t="s">
        <v>2407</v>
      </c>
      <c r="N2" t="s">
        <v>229</v>
      </c>
      <c r="Q2" s="18" t="s">
        <v>2408</v>
      </c>
    </row>
    <row r="3" spans="1:17" x14ac:dyDescent="0.35">
      <c r="A3" t="s">
        <v>2403</v>
      </c>
      <c r="B3" s="3" t="s">
        <v>102</v>
      </c>
      <c r="C3" s="3" t="s">
        <v>9209</v>
      </c>
      <c r="D3" s="3"/>
      <c r="E3" s="3"/>
      <c r="F3" t="s">
        <v>2375</v>
      </c>
      <c r="H3" t="s">
        <v>2409</v>
      </c>
      <c r="J3" t="str">
        <f t="shared" ref="J3:J66" si="0">_xlfn.CONCAT(A3,"-",H3)</f>
        <v>Form NCEN-B.2.e</v>
      </c>
      <c r="K3" t="s">
        <v>2410</v>
      </c>
      <c r="L3" t="s">
        <v>2411</v>
      </c>
      <c r="M3" t="s">
        <v>2412</v>
      </c>
      <c r="N3" t="s">
        <v>229</v>
      </c>
      <c r="Q3" s="18" t="s">
        <v>2413</v>
      </c>
    </row>
    <row r="4" spans="1:17" x14ac:dyDescent="0.35">
      <c r="A4" t="s">
        <v>2403</v>
      </c>
      <c r="B4" s="3" t="s">
        <v>102</v>
      </c>
      <c r="C4" s="3" t="s">
        <v>9209</v>
      </c>
      <c r="D4" s="3"/>
      <c r="E4" s="3"/>
      <c r="F4" t="s">
        <v>2375</v>
      </c>
      <c r="H4" t="s">
        <v>2414</v>
      </c>
      <c r="J4" t="str">
        <f t="shared" si="0"/>
        <v>Form NCEN-B.2.f</v>
      </c>
      <c r="K4" t="s">
        <v>2415</v>
      </c>
      <c r="L4" t="s">
        <v>2416</v>
      </c>
      <c r="M4" t="s">
        <v>2417</v>
      </c>
      <c r="N4" t="s">
        <v>229</v>
      </c>
      <c r="Q4" s="18" t="s">
        <v>2418</v>
      </c>
    </row>
    <row r="5" spans="1:17" x14ac:dyDescent="0.35">
      <c r="A5" t="s">
        <v>2403</v>
      </c>
      <c r="B5" s="3" t="s">
        <v>102</v>
      </c>
      <c r="C5" s="3" t="s">
        <v>9209</v>
      </c>
      <c r="D5" s="3"/>
      <c r="E5" s="3"/>
      <c r="F5" t="s">
        <v>2375</v>
      </c>
      <c r="H5" t="s">
        <v>2419</v>
      </c>
      <c r="J5" t="str">
        <f t="shared" si="0"/>
        <v>Form NCEN-B.2.g</v>
      </c>
      <c r="K5" t="s">
        <v>2420</v>
      </c>
      <c r="L5" t="s">
        <v>2421</v>
      </c>
      <c r="M5" t="s">
        <v>2422</v>
      </c>
      <c r="N5" t="s">
        <v>229</v>
      </c>
      <c r="Q5" s="18" t="s">
        <v>2423</v>
      </c>
    </row>
    <row r="6" spans="1:17" x14ac:dyDescent="0.35">
      <c r="A6" t="s">
        <v>2403</v>
      </c>
      <c r="B6" s="3" t="s">
        <v>102</v>
      </c>
      <c r="C6" s="3" t="s">
        <v>9209</v>
      </c>
      <c r="D6" s="3"/>
      <c r="E6" s="3"/>
      <c r="F6" t="s">
        <v>2375</v>
      </c>
      <c r="H6" t="s">
        <v>1369</v>
      </c>
      <c r="J6" t="str">
        <f t="shared" si="0"/>
        <v>Form NCEN-B.3.a</v>
      </c>
      <c r="K6" t="s">
        <v>2424</v>
      </c>
      <c r="L6" t="s">
        <v>2425</v>
      </c>
      <c r="M6" t="s">
        <v>2426</v>
      </c>
      <c r="N6" t="s">
        <v>229</v>
      </c>
      <c r="Q6" s="18" t="s">
        <v>2427</v>
      </c>
    </row>
    <row r="7" spans="1:17" x14ac:dyDescent="0.35">
      <c r="A7" t="s">
        <v>2403</v>
      </c>
      <c r="B7" s="3" t="s">
        <v>102</v>
      </c>
      <c r="C7" s="3" t="s">
        <v>9209</v>
      </c>
      <c r="D7" s="3"/>
      <c r="E7" s="3"/>
      <c r="F7" t="s">
        <v>2375</v>
      </c>
      <c r="H7" t="s">
        <v>1374</v>
      </c>
      <c r="J7" t="str">
        <f t="shared" si="0"/>
        <v>Form NCEN-B.3.b</v>
      </c>
      <c r="K7" t="s">
        <v>2392</v>
      </c>
      <c r="L7" t="s">
        <v>2428</v>
      </c>
      <c r="M7" t="s">
        <v>2429</v>
      </c>
      <c r="N7" t="s">
        <v>229</v>
      </c>
      <c r="Q7" s="18" t="s">
        <v>2430</v>
      </c>
    </row>
    <row r="8" spans="1:17" x14ac:dyDescent="0.35">
      <c r="A8" t="s">
        <v>2403</v>
      </c>
      <c r="B8" s="3" t="s">
        <v>102</v>
      </c>
      <c r="C8" s="3" t="s">
        <v>9209</v>
      </c>
      <c r="D8" s="3"/>
      <c r="E8" s="3"/>
      <c r="F8" t="s">
        <v>2375</v>
      </c>
      <c r="H8" t="s">
        <v>1379</v>
      </c>
      <c r="J8" t="str">
        <f t="shared" si="0"/>
        <v>Form NCEN-B.3.c</v>
      </c>
      <c r="K8" t="s">
        <v>2396</v>
      </c>
      <c r="L8" t="s">
        <v>2431</v>
      </c>
      <c r="M8" t="s">
        <v>2432</v>
      </c>
      <c r="N8" t="s">
        <v>229</v>
      </c>
      <c r="Q8" s="18" t="s">
        <v>2433</v>
      </c>
    </row>
    <row r="9" spans="1:17" x14ac:dyDescent="0.35">
      <c r="A9" t="s">
        <v>2403</v>
      </c>
      <c r="B9" s="3" t="s">
        <v>102</v>
      </c>
      <c r="C9" s="3" t="s">
        <v>9209</v>
      </c>
      <c r="D9" s="3"/>
      <c r="E9" s="3"/>
      <c r="F9" t="s">
        <v>2375</v>
      </c>
      <c r="H9" t="s">
        <v>2434</v>
      </c>
      <c r="J9" t="str">
        <f t="shared" si="0"/>
        <v>Form NCEN-B.3.d</v>
      </c>
      <c r="K9" t="s">
        <v>2400</v>
      </c>
      <c r="L9" t="s">
        <v>2435</v>
      </c>
      <c r="M9" t="s">
        <v>2436</v>
      </c>
      <c r="N9" t="s">
        <v>229</v>
      </c>
      <c r="Q9" s="18" t="s">
        <v>2437</v>
      </c>
    </row>
    <row r="10" spans="1:17" x14ac:dyDescent="0.35">
      <c r="A10" t="s">
        <v>2403</v>
      </c>
      <c r="B10" s="3" t="s">
        <v>102</v>
      </c>
      <c r="C10" s="3" t="s">
        <v>9209</v>
      </c>
      <c r="D10" s="3"/>
      <c r="E10" s="3"/>
      <c r="F10" t="s">
        <v>2375</v>
      </c>
      <c r="H10" t="s">
        <v>2438</v>
      </c>
      <c r="J10" t="str">
        <f t="shared" si="0"/>
        <v>Form NCEN-B.3.e</v>
      </c>
      <c r="K10" t="s">
        <v>2405</v>
      </c>
      <c r="L10" t="s">
        <v>2439</v>
      </c>
      <c r="M10" t="s">
        <v>2440</v>
      </c>
      <c r="N10" t="s">
        <v>229</v>
      </c>
      <c r="Q10" s="18" t="s">
        <v>2408</v>
      </c>
    </row>
    <row r="11" spans="1:17" x14ac:dyDescent="0.35">
      <c r="A11" t="s">
        <v>2403</v>
      </c>
      <c r="B11" s="3" t="s">
        <v>102</v>
      </c>
      <c r="C11" s="3" t="s">
        <v>9209</v>
      </c>
      <c r="D11" s="3"/>
      <c r="E11" s="3"/>
      <c r="F11" t="s">
        <v>2375</v>
      </c>
      <c r="H11" t="s">
        <v>2441</v>
      </c>
      <c r="J11" t="str">
        <f t="shared" si="0"/>
        <v>Form NCEN-B.3.f</v>
      </c>
      <c r="K11" t="s">
        <v>2410</v>
      </c>
      <c r="L11" t="s">
        <v>2442</v>
      </c>
      <c r="M11" t="s">
        <v>2443</v>
      </c>
      <c r="N11" t="s">
        <v>229</v>
      </c>
      <c r="Q11" s="18" t="s">
        <v>2413</v>
      </c>
    </row>
    <row r="12" spans="1:17" x14ac:dyDescent="0.35">
      <c r="A12" t="s">
        <v>2403</v>
      </c>
      <c r="B12" s="3" t="s">
        <v>102</v>
      </c>
      <c r="C12" s="3" t="s">
        <v>9209</v>
      </c>
      <c r="D12" s="3"/>
      <c r="E12" s="3"/>
      <c r="F12" t="s">
        <v>2375</v>
      </c>
      <c r="H12" t="s">
        <v>2444</v>
      </c>
      <c r="J12" t="str">
        <f t="shared" si="0"/>
        <v>Form NCEN-B.3.g</v>
      </c>
      <c r="K12" t="s">
        <v>2415</v>
      </c>
      <c r="L12" t="s">
        <v>2445</v>
      </c>
      <c r="M12" t="s">
        <v>2446</v>
      </c>
      <c r="N12" t="s">
        <v>229</v>
      </c>
      <c r="Q12" s="18" t="s">
        <v>2418</v>
      </c>
    </row>
    <row r="13" spans="1:17" x14ac:dyDescent="0.35">
      <c r="A13" t="s">
        <v>2403</v>
      </c>
      <c r="B13" s="3" t="s">
        <v>102</v>
      </c>
      <c r="C13" s="3" t="s">
        <v>9209</v>
      </c>
      <c r="D13" s="3"/>
      <c r="E13" s="3"/>
      <c r="F13" t="s">
        <v>2375</v>
      </c>
      <c r="H13" t="s">
        <v>2447</v>
      </c>
      <c r="J13" t="str">
        <f t="shared" si="0"/>
        <v>Form NCEN-B.3.h</v>
      </c>
      <c r="K13" t="s">
        <v>2448</v>
      </c>
      <c r="L13" t="s">
        <v>2449</v>
      </c>
      <c r="M13" t="s">
        <v>2450</v>
      </c>
      <c r="N13" t="s">
        <v>229</v>
      </c>
      <c r="Q13" s="18" t="s">
        <v>2451</v>
      </c>
    </row>
    <row r="14" spans="1:17" x14ac:dyDescent="0.35">
      <c r="A14" t="s">
        <v>2403</v>
      </c>
      <c r="B14" s="3" t="s">
        <v>102</v>
      </c>
      <c r="C14" s="3" t="s">
        <v>9209</v>
      </c>
      <c r="D14" s="3"/>
      <c r="E14" s="3"/>
      <c r="F14" t="s">
        <v>2375</v>
      </c>
      <c r="H14" t="s">
        <v>1384</v>
      </c>
      <c r="J14" t="str">
        <f t="shared" si="0"/>
        <v>Form NCEN-B.4.a</v>
      </c>
      <c r="K14" t="s">
        <v>2452</v>
      </c>
      <c r="L14" t="s">
        <v>2453</v>
      </c>
      <c r="M14" t="s">
        <v>2454</v>
      </c>
      <c r="N14" t="s">
        <v>2374</v>
      </c>
      <c r="Q14" s="18" t="s">
        <v>1341</v>
      </c>
    </row>
    <row r="15" spans="1:17" x14ac:dyDescent="0.35">
      <c r="A15" t="s">
        <v>2403</v>
      </c>
      <c r="B15" s="3" t="s">
        <v>102</v>
      </c>
      <c r="C15" s="3" t="s">
        <v>9209</v>
      </c>
      <c r="D15" s="3"/>
      <c r="E15" s="3"/>
      <c r="F15" t="s">
        <v>2375</v>
      </c>
      <c r="H15" t="s">
        <v>1408</v>
      </c>
      <c r="J15" t="str">
        <f t="shared" si="0"/>
        <v>Form NCEN-B.4.b</v>
      </c>
      <c r="K15" t="s">
        <v>2455</v>
      </c>
      <c r="L15" t="s">
        <v>2456</v>
      </c>
      <c r="M15" t="s">
        <v>2457</v>
      </c>
      <c r="N15" t="s">
        <v>2374</v>
      </c>
      <c r="Q15" s="18" t="s">
        <v>1341</v>
      </c>
    </row>
    <row r="16" spans="1:17" x14ac:dyDescent="0.35">
      <c r="A16" t="s">
        <v>2403</v>
      </c>
      <c r="B16" s="3" t="s">
        <v>102</v>
      </c>
      <c r="C16" s="3" t="s">
        <v>9209</v>
      </c>
      <c r="D16" s="3"/>
      <c r="E16" s="3"/>
      <c r="F16" t="s">
        <v>2375</v>
      </c>
      <c r="H16" t="s">
        <v>1425</v>
      </c>
      <c r="J16" t="str">
        <f t="shared" si="0"/>
        <v>Form NCEN-B.5.a</v>
      </c>
      <c r="K16" t="s">
        <v>2458</v>
      </c>
      <c r="L16" t="s">
        <v>2459</v>
      </c>
      <c r="M16" t="s">
        <v>2460</v>
      </c>
      <c r="N16" t="s">
        <v>2374</v>
      </c>
      <c r="Q16" s="18" t="s">
        <v>27</v>
      </c>
    </row>
    <row r="17" spans="1:17" x14ac:dyDescent="0.35">
      <c r="A17" t="s">
        <v>2403</v>
      </c>
      <c r="B17" s="3" t="s">
        <v>102</v>
      </c>
      <c r="C17" s="3" t="s">
        <v>9209</v>
      </c>
      <c r="D17" s="3"/>
      <c r="E17" s="3"/>
      <c r="F17" t="s">
        <v>2375</v>
      </c>
      <c r="H17" t="s">
        <v>2461</v>
      </c>
      <c r="J17" t="str">
        <f t="shared" si="0"/>
        <v>Form NCEN-B.5.a.i</v>
      </c>
      <c r="K17" t="s">
        <v>2462</v>
      </c>
      <c r="L17" t="s">
        <v>2463</v>
      </c>
      <c r="M17" t="s">
        <v>2464</v>
      </c>
      <c r="N17" t="s">
        <v>229</v>
      </c>
      <c r="Q17" s="18" t="s">
        <v>2465</v>
      </c>
    </row>
    <row r="18" spans="1:17" x14ac:dyDescent="0.35">
      <c r="A18" t="s">
        <v>2403</v>
      </c>
      <c r="B18" s="3" t="s">
        <v>102</v>
      </c>
      <c r="C18" s="3" t="s">
        <v>9209</v>
      </c>
      <c r="D18" s="3"/>
      <c r="E18" s="3"/>
      <c r="F18" t="s">
        <v>2375</v>
      </c>
      <c r="H18" t="s">
        <v>1443</v>
      </c>
      <c r="J18" t="str">
        <f t="shared" si="0"/>
        <v>Form NCEN-B.6.a</v>
      </c>
      <c r="K18" t="s">
        <v>2466</v>
      </c>
      <c r="L18" t="s">
        <v>2467</v>
      </c>
      <c r="M18" t="s">
        <v>2468</v>
      </c>
      <c r="N18" t="s">
        <v>2374</v>
      </c>
      <c r="Q18" s="18" t="s">
        <v>27</v>
      </c>
    </row>
    <row r="19" spans="1:17" x14ac:dyDescent="0.35">
      <c r="A19" t="s">
        <v>2403</v>
      </c>
      <c r="B19" s="3" t="s">
        <v>102</v>
      </c>
      <c r="C19" s="3" t="s">
        <v>9209</v>
      </c>
      <c r="D19" s="3"/>
      <c r="E19" s="3"/>
      <c r="F19" t="s">
        <v>2375</v>
      </c>
      <c r="H19" t="s">
        <v>2469</v>
      </c>
      <c r="J19" t="str">
        <f t="shared" si="0"/>
        <v>Form NCEN-B.6.a.i</v>
      </c>
      <c r="K19" t="s">
        <v>2470</v>
      </c>
      <c r="L19" t="s">
        <v>2471</v>
      </c>
      <c r="M19" t="s">
        <v>2472</v>
      </c>
      <c r="N19" t="s">
        <v>241</v>
      </c>
      <c r="Q19" s="18">
        <v>1</v>
      </c>
    </row>
    <row r="20" spans="1:17" x14ac:dyDescent="0.35">
      <c r="A20" t="s">
        <v>2403</v>
      </c>
      <c r="B20" s="3" t="s">
        <v>102</v>
      </c>
      <c r="C20" s="3" t="s">
        <v>9209</v>
      </c>
      <c r="D20" s="3"/>
      <c r="E20" s="3"/>
      <c r="F20" t="s">
        <v>2375</v>
      </c>
      <c r="H20" t="s">
        <v>2473</v>
      </c>
      <c r="J20" t="str">
        <f t="shared" si="0"/>
        <v>Form NCEN-B.6.a.ii.1</v>
      </c>
      <c r="K20" t="s">
        <v>2474</v>
      </c>
      <c r="L20" t="s">
        <v>1321</v>
      </c>
      <c r="M20" t="s">
        <v>2475</v>
      </c>
      <c r="N20" t="s">
        <v>229</v>
      </c>
      <c r="Q20" s="18">
        <v>1</v>
      </c>
    </row>
    <row r="21" spans="1:17" x14ac:dyDescent="0.35">
      <c r="A21" t="s">
        <v>2403</v>
      </c>
      <c r="B21" s="3" t="s">
        <v>102</v>
      </c>
      <c r="C21" s="3" t="s">
        <v>9209</v>
      </c>
      <c r="D21" s="3"/>
      <c r="E21" s="3"/>
      <c r="F21" t="s">
        <v>2375</v>
      </c>
      <c r="H21" t="s">
        <v>2476</v>
      </c>
      <c r="J21" t="str">
        <f t="shared" si="0"/>
        <v>Form NCEN-B.6.a.ii.2</v>
      </c>
      <c r="K21" t="s">
        <v>2477</v>
      </c>
      <c r="L21" t="s">
        <v>2478</v>
      </c>
      <c r="M21" t="s">
        <v>2479</v>
      </c>
      <c r="N21" t="s">
        <v>229</v>
      </c>
      <c r="Q21" s="18" t="s">
        <v>2480</v>
      </c>
    </row>
    <row r="22" spans="1:17" x14ac:dyDescent="0.35">
      <c r="A22" t="s">
        <v>2403</v>
      </c>
      <c r="B22" s="3" t="s">
        <v>102</v>
      </c>
      <c r="C22" s="3" t="s">
        <v>9209</v>
      </c>
      <c r="D22" s="3"/>
      <c r="E22" s="3"/>
      <c r="F22" t="s">
        <v>2375</v>
      </c>
      <c r="H22" t="s">
        <v>2481</v>
      </c>
      <c r="J22" t="str">
        <f t="shared" si="0"/>
        <v>Form NCEN-B.6.a.ii.3</v>
      </c>
      <c r="K22" t="s">
        <v>2482</v>
      </c>
      <c r="L22" t="s">
        <v>2483</v>
      </c>
      <c r="M22" t="s">
        <v>2484</v>
      </c>
      <c r="N22" t="s">
        <v>248</v>
      </c>
      <c r="Q22" s="18" t="s">
        <v>1590</v>
      </c>
    </row>
    <row r="23" spans="1:17" x14ac:dyDescent="0.35">
      <c r="A23" t="s">
        <v>2403</v>
      </c>
      <c r="B23" s="3" t="s">
        <v>102</v>
      </c>
      <c r="C23" s="3" t="s">
        <v>9209</v>
      </c>
      <c r="D23" s="3"/>
      <c r="E23" s="3"/>
      <c r="F23" t="s">
        <v>2375</v>
      </c>
      <c r="H23" t="s">
        <v>1447</v>
      </c>
      <c r="J23" t="str">
        <f t="shared" si="0"/>
        <v>Form NCEN-B.6.b</v>
      </c>
      <c r="K23" t="s">
        <v>2485</v>
      </c>
      <c r="L23" t="s">
        <v>2486</v>
      </c>
      <c r="M23" t="s">
        <v>2487</v>
      </c>
      <c r="N23" t="s">
        <v>2374</v>
      </c>
      <c r="Q23" s="18" t="s">
        <v>1341</v>
      </c>
    </row>
    <row r="24" spans="1:17" x14ac:dyDescent="0.35">
      <c r="A24" t="s">
        <v>2403</v>
      </c>
      <c r="B24" s="3" t="s">
        <v>102</v>
      </c>
      <c r="C24" s="3" t="s">
        <v>9209</v>
      </c>
      <c r="D24" s="3"/>
      <c r="E24" s="3"/>
      <c r="F24" t="s">
        <v>2375</v>
      </c>
      <c r="H24" t="s">
        <v>1451</v>
      </c>
      <c r="J24" t="str">
        <f t="shared" si="0"/>
        <v>Form NCEN-B.6.c</v>
      </c>
      <c r="K24" t="s">
        <v>2488</v>
      </c>
      <c r="L24" t="s">
        <v>2489</v>
      </c>
      <c r="M24" t="s">
        <v>2490</v>
      </c>
      <c r="N24" t="s">
        <v>2374</v>
      </c>
      <c r="Q24" s="18" t="s">
        <v>1341</v>
      </c>
    </row>
    <row r="25" spans="1:17" x14ac:dyDescent="0.35">
      <c r="A25" t="s">
        <v>2403</v>
      </c>
      <c r="B25" s="3" t="s">
        <v>102</v>
      </c>
      <c r="C25" s="3" t="s">
        <v>9209</v>
      </c>
      <c r="D25" s="3"/>
      <c r="E25" s="3"/>
      <c r="F25" t="s">
        <v>2375</v>
      </c>
      <c r="H25" t="s">
        <v>2491</v>
      </c>
      <c r="J25" t="str">
        <f t="shared" si="0"/>
        <v>Form NCEN-B.6.c.i</v>
      </c>
      <c r="K25" t="s">
        <v>2492</v>
      </c>
      <c r="L25" t="s">
        <v>1590</v>
      </c>
      <c r="M25" t="s">
        <v>2493</v>
      </c>
      <c r="N25" t="s">
        <v>2494</v>
      </c>
      <c r="Q25" s="18" t="s">
        <v>9217</v>
      </c>
    </row>
    <row r="26" spans="1:17" x14ac:dyDescent="0.35">
      <c r="A26" t="s">
        <v>2403</v>
      </c>
      <c r="B26" s="3" t="s">
        <v>102</v>
      </c>
      <c r="C26" s="3" t="s">
        <v>9209</v>
      </c>
      <c r="D26" s="3"/>
      <c r="E26" s="3"/>
      <c r="F26" t="s">
        <v>2375</v>
      </c>
      <c r="H26" t="s">
        <v>2495</v>
      </c>
      <c r="J26" t="str">
        <f t="shared" si="0"/>
        <v>Form NCEN-B.6.d</v>
      </c>
      <c r="K26" t="s">
        <v>2496</v>
      </c>
      <c r="L26" t="s">
        <v>2497</v>
      </c>
      <c r="M26" t="s">
        <v>2498</v>
      </c>
      <c r="N26" t="s">
        <v>2374</v>
      </c>
      <c r="Q26" s="18" t="s">
        <v>1341</v>
      </c>
    </row>
    <row r="27" spans="1:17" x14ac:dyDescent="0.35">
      <c r="A27" t="s">
        <v>2403</v>
      </c>
      <c r="B27" s="3" t="s">
        <v>102</v>
      </c>
      <c r="C27" s="3" t="s">
        <v>9209</v>
      </c>
      <c r="D27" s="3"/>
      <c r="E27" s="3"/>
      <c r="F27" t="s">
        <v>2375</v>
      </c>
      <c r="H27" t="s">
        <v>2499</v>
      </c>
      <c r="J27" t="str">
        <f t="shared" si="0"/>
        <v>Form NCEN-B.6.e</v>
      </c>
      <c r="K27" t="s">
        <v>2500</v>
      </c>
      <c r="L27" t="s">
        <v>2501</v>
      </c>
      <c r="M27" t="s">
        <v>2502</v>
      </c>
      <c r="N27" t="s">
        <v>2374</v>
      </c>
      <c r="Q27" s="18" t="s">
        <v>1341</v>
      </c>
    </row>
    <row r="28" spans="1:17" x14ac:dyDescent="0.35">
      <c r="A28" t="s">
        <v>2403</v>
      </c>
      <c r="B28" s="3" t="s">
        <v>102</v>
      </c>
      <c r="C28" s="3" t="s">
        <v>9209</v>
      </c>
      <c r="D28" s="3"/>
      <c r="E28" s="3"/>
      <c r="F28" t="s">
        <v>2375</v>
      </c>
      <c r="H28" t="s">
        <v>2503</v>
      </c>
      <c r="J28" t="str">
        <f t="shared" si="0"/>
        <v>Form NCEN-B.6.f</v>
      </c>
      <c r="K28" t="s">
        <v>2504</v>
      </c>
      <c r="L28" t="s">
        <v>2505</v>
      </c>
      <c r="M28" t="s">
        <v>2506</v>
      </c>
      <c r="N28" t="s">
        <v>2374</v>
      </c>
      <c r="Q28" s="18" t="s">
        <v>1341</v>
      </c>
    </row>
    <row r="29" spans="1:17" x14ac:dyDescent="0.35">
      <c r="A29" t="s">
        <v>2403</v>
      </c>
      <c r="B29" s="3" t="s">
        <v>102</v>
      </c>
      <c r="C29" s="3" t="s">
        <v>9209</v>
      </c>
      <c r="D29" s="3"/>
      <c r="E29" s="3"/>
      <c r="F29" t="s">
        <v>2375</v>
      </c>
      <c r="H29" t="s">
        <v>2507</v>
      </c>
      <c r="J29" t="str">
        <f t="shared" si="0"/>
        <v>Form NCEN-B.6.g</v>
      </c>
      <c r="K29" t="s">
        <v>2508</v>
      </c>
      <c r="L29" t="s">
        <v>2509</v>
      </c>
      <c r="M29" t="s">
        <v>2510</v>
      </c>
      <c r="N29" t="s">
        <v>2374</v>
      </c>
      <c r="Q29" s="18" t="s">
        <v>1341</v>
      </c>
    </row>
    <row r="30" spans="1:17" x14ac:dyDescent="0.35">
      <c r="A30" t="s">
        <v>2403</v>
      </c>
      <c r="B30" s="3" t="s">
        <v>102</v>
      </c>
      <c r="C30" s="3" t="s">
        <v>9209</v>
      </c>
      <c r="D30" s="3"/>
      <c r="E30" s="3"/>
      <c r="F30" t="s">
        <v>2375</v>
      </c>
      <c r="H30" t="s">
        <v>2511</v>
      </c>
      <c r="J30" t="str">
        <f t="shared" si="0"/>
        <v>Form NCEN-B.7</v>
      </c>
      <c r="K30" t="s">
        <v>2512</v>
      </c>
      <c r="L30" t="s">
        <v>2513</v>
      </c>
      <c r="M30" t="s">
        <v>2514</v>
      </c>
      <c r="N30" t="s">
        <v>2374</v>
      </c>
      <c r="Q30" s="18" t="s">
        <v>27</v>
      </c>
    </row>
    <row r="31" spans="1:17" x14ac:dyDescent="0.35">
      <c r="A31" t="s">
        <v>2403</v>
      </c>
      <c r="B31" s="3" t="s">
        <v>102</v>
      </c>
      <c r="C31" s="3" t="s">
        <v>9209</v>
      </c>
      <c r="D31" s="3"/>
      <c r="E31" s="3"/>
      <c r="F31" t="s">
        <v>2375</v>
      </c>
      <c r="H31" t="s">
        <v>2515</v>
      </c>
      <c r="J31" t="str">
        <f t="shared" si="0"/>
        <v>Form NCEN-B.8.a</v>
      </c>
      <c r="K31" t="s">
        <v>2516</v>
      </c>
      <c r="L31" t="s">
        <v>2517</v>
      </c>
      <c r="M31" t="s">
        <v>2518</v>
      </c>
      <c r="N31" t="s">
        <v>229</v>
      </c>
      <c r="Q31" s="18" t="s">
        <v>2519</v>
      </c>
    </row>
    <row r="32" spans="1:17" x14ac:dyDescent="0.35">
      <c r="A32" t="s">
        <v>2403</v>
      </c>
      <c r="B32" s="3" t="s">
        <v>102</v>
      </c>
      <c r="C32" s="3" t="s">
        <v>9209</v>
      </c>
      <c r="D32" s="3"/>
      <c r="E32" s="3"/>
      <c r="F32" t="s">
        <v>2375</v>
      </c>
      <c r="H32" t="s">
        <v>2520</v>
      </c>
      <c r="J32" t="str">
        <f t="shared" si="0"/>
        <v>Form NCEN-B.8.b</v>
      </c>
      <c r="K32" t="s">
        <v>2521</v>
      </c>
      <c r="L32" t="s">
        <v>2522</v>
      </c>
      <c r="M32" t="s">
        <v>2523</v>
      </c>
      <c r="N32" t="s">
        <v>229</v>
      </c>
      <c r="Q32" s="18" t="s">
        <v>1590</v>
      </c>
    </row>
    <row r="33" spans="1:17" x14ac:dyDescent="0.35">
      <c r="A33" t="s">
        <v>2403</v>
      </c>
      <c r="B33" s="3" t="s">
        <v>102</v>
      </c>
      <c r="C33" s="3" t="s">
        <v>9209</v>
      </c>
      <c r="D33" s="3"/>
      <c r="E33" s="3"/>
      <c r="F33" t="s">
        <v>2375</v>
      </c>
      <c r="H33" t="s">
        <v>2524</v>
      </c>
      <c r="J33" t="str">
        <f t="shared" si="0"/>
        <v>Form NCEN-B.8.c</v>
      </c>
      <c r="K33" t="s">
        <v>2525</v>
      </c>
      <c r="L33" t="s">
        <v>2526</v>
      </c>
      <c r="M33" t="s">
        <v>2527</v>
      </c>
      <c r="N33" t="s">
        <v>2374</v>
      </c>
      <c r="Q33" s="18" t="s">
        <v>1341</v>
      </c>
    </row>
    <row r="34" spans="1:17" x14ac:dyDescent="0.35">
      <c r="A34" t="s">
        <v>2403</v>
      </c>
      <c r="B34" s="3" t="s">
        <v>102</v>
      </c>
      <c r="C34" s="3" t="s">
        <v>9209</v>
      </c>
      <c r="D34" s="3"/>
      <c r="E34" s="3"/>
      <c r="F34" t="s">
        <v>2375</v>
      </c>
      <c r="H34" t="s">
        <v>9218</v>
      </c>
      <c r="J34" t="str">
        <f t="shared" si="0"/>
        <v>Form NCEN-B.8.d.i</v>
      </c>
      <c r="K34" t="s">
        <v>2528</v>
      </c>
      <c r="L34" t="s">
        <v>2529</v>
      </c>
      <c r="M34" t="s">
        <v>2530</v>
      </c>
      <c r="N34" t="s">
        <v>229</v>
      </c>
      <c r="Q34" s="8" t="s">
        <v>9219</v>
      </c>
    </row>
    <row r="35" spans="1:17" x14ac:dyDescent="0.35">
      <c r="A35" t="s">
        <v>2403</v>
      </c>
      <c r="B35" s="3" t="s">
        <v>102</v>
      </c>
      <c r="C35" s="3" t="s">
        <v>9209</v>
      </c>
      <c r="D35" s="3"/>
      <c r="E35" s="3"/>
      <c r="F35" t="s">
        <v>2375</v>
      </c>
      <c r="H35" t="s">
        <v>1475</v>
      </c>
      <c r="J35" t="str">
        <f t="shared" si="0"/>
        <v>Form NCEN-B.9.a</v>
      </c>
      <c r="K35" t="s">
        <v>2516</v>
      </c>
      <c r="L35" t="s">
        <v>2532</v>
      </c>
      <c r="M35" t="s">
        <v>2533</v>
      </c>
      <c r="N35" t="s">
        <v>229</v>
      </c>
      <c r="Q35" t="s">
        <v>2531</v>
      </c>
    </row>
    <row r="36" spans="1:17" x14ac:dyDescent="0.35">
      <c r="A36" t="s">
        <v>2403</v>
      </c>
      <c r="B36" s="3" t="s">
        <v>102</v>
      </c>
      <c r="C36" s="3" t="s">
        <v>9209</v>
      </c>
      <c r="D36" s="3"/>
      <c r="E36" s="3"/>
      <c r="F36" t="s">
        <v>2375</v>
      </c>
      <c r="H36" t="s">
        <v>1479</v>
      </c>
      <c r="J36" t="str">
        <f t="shared" si="0"/>
        <v>Form NCEN-B.9.b</v>
      </c>
      <c r="K36" t="s">
        <v>2521</v>
      </c>
      <c r="L36" t="s">
        <v>2535</v>
      </c>
      <c r="M36" t="s">
        <v>2536</v>
      </c>
      <c r="N36" t="s">
        <v>229</v>
      </c>
      <c r="Q36" t="s">
        <v>2534</v>
      </c>
    </row>
    <row r="37" spans="1:17" x14ac:dyDescent="0.35">
      <c r="A37" t="s">
        <v>2403</v>
      </c>
      <c r="B37" s="3" t="s">
        <v>102</v>
      </c>
      <c r="C37" s="3" t="s">
        <v>9209</v>
      </c>
      <c r="D37" s="3"/>
      <c r="E37" s="3"/>
      <c r="F37" t="s">
        <v>2375</v>
      </c>
      <c r="H37" t="s">
        <v>1483</v>
      </c>
      <c r="J37" t="str">
        <f t="shared" si="0"/>
        <v>Form NCEN-B.9.c</v>
      </c>
      <c r="K37" t="s">
        <v>2392</v>
      </c>
      <c r="L37" t="s">
        <v>2538</v>
      </c>
      <c r="M37" t="s">
        <v>2539</v>
      </c>
      <c r="N37" t="s">
        <v>229</v>
      </c>
      <c r="Q37" t="s">
        <v>2537</v>
      </c>
    </row>
    <row r="38" spans="1:17" x14ac:dyDescent="0.35">
      <c r="A38" t="s">
        <v>2403</v>
      </c>
      <c r="B38" s="3" t="s">
        <v>102</v>
      </c>
      <c r="C38" s="3" t="s">
        <v>9209</v>
      </c>
      <c r="D38" s="3"/>
      <c r="E38" s="3"/>
      <c r="F38" t="s">
        <v>2375</v>
      </c>
      <c r="H38" t="s">
        <v>1487</v>
      </c>
      <c r="J38" t="str">
        <f t="shared" si="0"/>
        <v>Form NCEN-B.9.d</v>
      </c>
      <c r="K38" t="s">
        <v>2396</v>
      </c>
      <c r="L38" t="s">
        <v>2541</v>
      </c>
      <c r="M38" t="s">
        <v>2542</v>
      </c>
      <c r="N38" t="s">
        <v>229</v>
      </c>
      <c r="Q38" t="s">
        <v>2540</v>
      </c>
    </row>
    <row r="39" spans="1:17" x14ac:dyDescent="0.35">
      <c r="A39" t="s">
        <v>2403</v>
      </c>
      <c r="B39" s="3" t="s">
        <v>102</v>
      </c>
      <c r="C39" s="3" t="s">
        <v>9209</v>
      </c>
      <c r="D39" s="3"/>
      <c r="E39" s="3"/>
      <c r="F39" t="s">
        <v>2375</v>
      </c>
      <c r="H39" t="s">
        <v>2543</v>
      </c>
      <c r="J39" t="str">
        <f t="shared" si="0"/>
        <v>Form NCEN-B.9.e</v>
      </c>
      <c r="K39" t="s">
        <v>2400</v>
      </c>
      <c r="L39" t="s">
        <v>2544</v>
      </c>
      <c r="M39" t="s">
        <v>2545</v>
      </c>
      <c r="N39" t="s">
        <v>229</v>
      </c>
      <c r="Q39" t="s">
        <v>2437</v>
      </c>
    </row>
    <row r="40" spans="1:17" x14ac:dyDescent="0.35">
      <c r="A40" t="s">
        <v>2403</v>
      </c>
      <c r="B40" s="3" t="s">
        <v>102</v>
      </c>
      <c r="C40" s="3" t="s">
        <v>9209</v>
      </c>
      <c r="D40" s="3"/>
      <c r="E40" s="3"/>
      <c r="F40" t="s">
        <v>2375</v>
      </c>
      <c r="H40" t="s">
        <v>2546</v>
      </c>
      <c r="J40" t="str">
        <f t="shared" si="0"/>
        <v>Form NCEN-B.9.f</v>
      </c>
      <c r="K40" t="s">
        <v>2405</v>
      </c>
      <c r="L40" t="s">
        <v>2547</v>
      </c>
      <c r="M40" t="s">
        <v>2548</v>
      </c>
      <c r="N40" t="s">
        <v>229</v>
      </c>
      <c r="Q40" t="s">
        <v>2408</v>
      </c>
    </row>
    <row r="41" spans="1:17" x14ac:dyDescent="0.35">
      <c r="A41" t="s">
        <v>2403</v>
      </c>
      <c r="B41" s="3" t="s">
        <v>102</v>
      </c>
      <c r="C41" s="3" t="s">
        <v>9209</v>
      </c>
      <c r="D41" s="3"/>
      <c r="E41" s="3"/>
      <c r="F41" t="s">
        <v>2375</v>
      </c>
      <c r="H41" t="s">
        <v>2550</v>
      </c>
      <c r="J41" t="str">
        <f t="shared" si="0"/>
        <v>Form NCEN-B.9.g</v>
      </c>
      <c r="K41" t="s">
        <v>2410</v>
      </c>
      <c r="L41" t="s">
        <v>2552</v>
      </c>
      <c r="M41" t="s">
        <v>2553</v>
      </c>
      <c r="N41" t="s">
        <v>229</v>
      </c>
      <c r="Q41" t="s">
        <v>2551</v>
      </c>
    </row>
    <row r="42" spans="1:17" x14ac:dyDescent="0.35">
      <c r="A42" t="s">
        <v>2403</v>
      </c>
      <c r="B42" s="3" t="s">
        <v>102</v>
      </c>
      <c r="C42" s="3" t="s">
        <v>9209</v>
      </c>
      <c r="D42" s="3"/>
      <c r="E42" s="3"/>
      <c r="F42" t="s">
        <v>2375</v>
      </c>
      <c r="H42" t="s">
        <v>2554</v>
      </c>
      <c r="J42" t="str">
        <f t="shared" si="0"/>
        <v>Form NCEN-B.9.h</v>
      </c>
      <c r="K42" t="s">
        <v>2415</v>
      </c>
      <c r="L42" t="s">
        <v>2556</v>
      </c>
      <c r="M42" t="s">
        <v>2557</v>
      </c>
      <c r="N42" t="s">
        <v>229</v>
      </c>
      <c r="Q42" t="s">
        <v>2555</v>
      </c>
    </row>
    <row r="43" spans="1:17" x14ac:dyDescent="0.35">
      <c r="A43" t="s">
        <v>2403</v>
      </c>
      <c r="B43" s="3" t="s">
        <v>102</v>
      </c>
      <c r="C43" s="3" t="s">
        <v>9209</v>
      </c>
      <c r="D43" s="3"/>
      <c r="E43" s="3"/>
      <c r="F43" t="s">
        <v>2375</v>
      </c>
      <c r="H43" t="s">
        <v>2558</v>
      </c>
      <c r="J43" t="str">
        <f t="shared" si="0"/>
        <v>Form NCEN-B.9.i</v>
      </c>
      <c r="K43" t="s">
        <v>2559</v>
      </c>
      <c r="L43" t="s">
        <v>2560</v>
      </c>
      <c r="M43" t="s">
        <v>2561</v>
      </c>
      <c r="N43" t="s">
        <v>2374</v>
      </c>
      <c r="Q43" t="s">
        <v>1341</v>
      </c>
    </row>
    <row r="44" spans="1:17" x14ac:dyDescent="0.35">
      <c r="A44" t="s">
        <v>2403</v>
      </c>
      <c r="B44" s="3" t="s">
        <v>102</v>
      </c>
      <c r="C44" s="3" t="s">
        <v>9209</v>
      </c>
      <c r="D44" s="3"/>
      <c r="E44" s="3"/>
      <c r="F44" t="s">
        <v>2375</v>
      </c>
      <c r="H44" t="s">
        <v>2562</v>
      </c>
      <c r="J44" t="str">
        <f t="shared" si="0"/>
        <v>Form NCEN-B.9.j.i</v>
      </c>
      <c r="K44" t="s">
        <v>2563</v>
      </c>
      <c r="L44" t="s">
        <v>2564</v>
      </c>
      <c r="M44" t="s">
        <v>2565</v>
      </c>
      <c r="N44" t="s">
        <v>229</v>
      </c>
      <c r="Q44" t="s">
        <v>2534</v>
      </c>
    </row>
    <row r="45" spans="1:17" x14ac:dyDescent="0.35">
      <c r="A45" t="s">
        <v>2403</v>
      </c>
      <c r="B45" s="3" t="s">
        <v>102</v>
      </c>
      <c r="C45" s="3" t="s">
        <v>9209</v>
      </c>
      <c r="D45" s="3"/>
      <c r="E45" s="3"/>
      <c r="F45" t="s">
        <v>2375</v>
      </c>
      <c r="H45" t="s">
        <v>2566</v>
      </c>
      <c r="J45" t="str">
        <f t="shared" si="0"/>
        <v>Form NCEN-B.9.j.ii</v>
      </c>
      <c r="K45" t="s">
        <v>2567</v>
      </c>
      <c r="L45" t="s">
        <v>2568</v>
      </c>
      <c r="M45" t="s">
        <v>2569</v>
      </c>
      <c r="N45" t="s">
        <v>241</v>
      </c>
      <c r="Q45" t="s">
        <v>2534</v>
      </c>
    </row>
    <row r="46" spans="1:17" x14ac:dyDescent="0.35">
      <c r="A46" t="s">
        <v>2403</v>
      </c>
      <c r="B46" s="3" t="s">
        <v>102</v>
      </c>
      <c r="C46" s="3" t="s">
        <v>9209</v>
      </c>
      <c r="D46" s="3"/>
      <c r="E46" s="3"/>
      <c r="F46" t="s">
        <v>2375</v>
      </c>
      <c r="H46" t="s">
        <v>2570</v>
      </c>
      <c r="J46" t="str">
        <f t="shared" si="0"/>
        <v>Form NCEN-B.10</v>
      </c>
      <c r="K46" t="s">
        <v>2571</v>
      </c>
      <c r="L46" t="s">
        <v>2572</v>
      </c>
      <c r="M46" t="s">
        <v>2573</v>
      </c>
      <c r="N46" t="s">
        <v>2374</v>
      </c>
      <c r="Q46" t="s">
        <v>1341</v>
      </c>
    </row>
    <row r="47" spans="1:17" x14ac:dyDescent="0.35">
      <c r="A47" t="s">
        <v>2403</v>
      </c>
      <c r="B47" s="3" t="s">
        <v>102</v>
      </c>
      <c r="C47" s="3" t="s">
        <v>9209</v>
      </c>
      <c r="D47" s="3"/>
      <c r="E47" s="3"/>
      <c r="F47" t="s">
        <v>2375</v>
      </c>
      <c r="H47" t="s">
        <v>2574</v>
      </c>
      <c r="J47" t="str">
        <f t="shared" si="0"/>
        <v>Form NCEN-B.10.a.i</v>
      </c>
      <c r="K47" t="s">
        <v>2575</v>
      </c>
      <c r="L47" t="s">
        <v>2576</v>
      </c>
      <c r="M47" t="s">
        <v>2577</v>
      </c>
      <c r="N47" t="s">
        <v>229</v>
      </c>
      <c r="Q47" s="18" t="s">
        <v>9217</v>
      </c>
    </row>
    <row r="48" spans="1:17" x14ac:dyDescent="0.35">
      <c r="A48" t="s">
        <v>2403</v>
      </c>
      <c r="B48" s="3" t="s">
        <v>102</v>
      </c>
      <c r="C48" s="3" t="s">
        <v>9209</v>
      </c>
      <c r="D48" s="3"/>
      <c r="E48" s="3"/>
      <c r="F48" t="s">
        <v>2375</v>
      </c>
      <c r="H48" t="s">
        <v>2578</v>
      </c>
      <c r="J48" t="str">
        <f t="shared" si="0"/>
        <v>Form NCEN-B.10.a.ii</v>
      </c>
      <c r="K48" t="s">
        <v>2477</v>
      </c>
      <c r="L48" t="s">
        <v>2579</v>
      </c>
      <c r="M48" t="s">
        <v>2580</v>
      </c>
      <c r="N48" t="s">
        <v>229</v>
      </c>
      <c r="Q48" s="18" t="s">
        <v>9217</v>
      </c>
    </row>
    <row r="49" spans="1:17" x14ac:dyDescent="0.35">
      <c r="A49" t="s">
        <v>2403</v>
      </c>
      <c r="B49" s="3" t="s">
        <v>102</v>
      </c>
      <c r="C49" s="3" t="s">
        <v>9209</v>
      </c>
      <c r="D49" s="3"/>
      <c r="E49" s="3"/>
      <c r="F49" t="s">
        <v>2375</v>
      </c>
      <c r="H49" t="s">
        <v>1514</v>
      </c>
      <c r="J49" t="str">
        <f t="shared" si="0"/>
        <v>Form NCEN-B.11.a</v>
      </c>
      <c r="K49" t="s">
        <v>2581</v>
      </c>
      <c r="L49" t="s">
        <v>2582</v>
      </c>
      <c r="M49" t="s">
        <v>2583</v>
      </c>
      <c r="N49" t="s">
        <v>2374</v>
      </c>
      <c r="Q49" t="s">
        <v>1341</v>
      </c>
    </row>
    <row r="50" spans="1:17" x14ac:dyDescent="0.35">
      <c r="A50" t="s">
        <v>2403</v>
      </c>
      <c r="B50" s="3" t="s">
        <v>102</v>
      </c>
      <c r="C50" s="3" t="s">
        <v>9209</v>
      </c>
      <c r="D50" s="3"/>
      <c r="E50" s="3"/>
      <c r="F50" t="s">
        <v>2375</v>
      </c>
      <c r="H50" t="s">
        <v>2584</v>
      </c>
      <c r="J50" t="str">
        <f t="shared" si="0"/>
        <v>Form NCEN-B.11.a.i.1</v>
      </c>
      <c r="K50" t="s">
        <v>2575</v>
      </c>
      <c r="L50" t="s">
        <v>2585</v>
      </c>
      <c r="M50" t="s">
        <v>2586</v>
      </c>
      <c r="N50" t="s">
        <v>229</v>
      </c>
      <c r="Q50" s="18" t="s">
        <v>9217</v>
      </c>
    </row>
    <row r="51" spans="1:17" x14ac:dyDescent="0.35">
      <c r="A51" t="s">
        <v>2403</v>
      </c>
      <c r="B51" s="3" t="s">
        <v>102</v>
      </c>
      <c r="C51" s="3" t="s">
        <v>9209</v>
      </c>
      <c r="D51" s="3"/>
      <c r="E51" s="3"/>
      <c r="F51" t="s">
        <v>2375</v>
      </c>
      <c r="H51" t="s">
        <v>2587</v>
      </c>
      <c r="J51" t="str">
        <f t="shared" si="0"/>
        <v>Form NCEN-B.11.a.i.2</v>
      </c>
      <c r="K51" t="s">
        <v>2477</v>
      </c>
      <c r="L51" t="s">
        <v>2588</v>
      </c>
      <c r="M51" t="s">
        <v>2589</v>
      </c>
      <c r="N51" t="s">
        <v>229</v>
      </c>
      <c r="Q51" s="18" t="s">
        <v>9217</v>
      </c>
    </row>
    <row r="52" spans="1:17" x14ac:dyDescent="0.35">
      <c r="A52" t="s">
        <v>2403</v>
      </c>
      <c r="B52" s="3" t="s">
        <v>102</v>
      </c>
      <c r="C52" s="3" t="s">
        <v>9209</v>
      </c>
      <c r="D52" s="3"/>
      <c r="E52" s="3"/>
      <c r="F52" t="s">
        <v>2375</v>
      </c>
      <c r="H52" t="s">
        <v>1518</v>
      </c>
      <c r="J52" t="str">
        <f t="shared" si="0"/>
        <v>Form NCEN-B.11.b</v>
      </c>
      <c r="K52" t="s">
        <v>2590</v>
      </c>
      <c r="L52" t="s">
        <v>2591</v>
      </c>
      <c r="M52" t="s">
        <v>2592</v>
      </c>
      <c r="N52" t="s">
        <v>2374</v>
      </c>
      <c r="Q52" t="s">
        <v>1341</v>
      </c>
    </row>
    <row r="53" spans="1:17" x14ac:dyDescent="0.35">
      <c r="A53" t="s">
        <v>2403</v>
      </c>
      <c r="B53" s="3" t="s">
        <v>102</v>
      </c>
      <c r="C53" s="3" t="s">
        <v>9209</v>
      </c>
      <c r="D53" s="3"/>
      <c r="E53" s="3"/>
      <c r="F53" t="s">
        <v>2375</v>
      </c>
      <c r="H53" t="s">
        <v>2593</v>
      </c>
      <c r="J53" t="str">
        <f t="shared" si="0"/>
        <v>Form NCEN-B.11.b.i.1</v>
      </c>
      <c r="K53" t="s">
        <v>2575</v>
      </c>
      <c r="L53" t="s">
        <v>2594</v>
      </c>
      <c r="M53" t="s">
        <v>2595</v>
      </c>
      <c r="N53" t="s">
        <v>229</v>
      </c>
      <c r="Q53" s="18" t="s">
        <v>9217</v>
      </c>
    </row>
    <row r="54" spans="1:17" x14ac:dyDescent="0.35">
      <c r="A54" t="s">
        <v>2403</v>
      </c>
      <c r="B54" s="3" t="s">
        <v>102</v>
      </c>
      <c r="C54" s="3" t="s">
        <v>9209</v>
      </c>
      <c r="D54" s="3"/>
      <c r="E54" s="3"/>
      <c r="F54" t="s">
        <v>2375</v>
      </c>
      <c r="H54" t="s">
        <v>2596</v>
      </c>
      <c r="J54" t="str">
        <f t="shared" si="0"/>
        <v>Form NCEN-B.11.b.i.2</v>
      </c>
      <c r="K54" t="s">
        <v>2477</v>
      </c>
      <c r="L54" t="s">
        <v>2597</v>
      </c>
      <c r="M54" t="s">
        <v>2598</v>
      </c>
      <c r="N54" t="s">
        <v>229</v>
      </c>
      <c r="Q54" s="18" t="s">
        <v>9217</v>
      </c>
    </row>
    <row r="55" spans="1:17" x14ac:dyDescent="0.35">
      <c r="A55" t="s">
        <v>2403</v>
      </c>
      <c r="B55" s="3" t="s">
        <v>102</v>
      </c>
      <c r="C55" s="3" t="s">
        <v>9209</v>
      </c>
      <c r="D55" s="3"/>
      <c r="E55" s="3"/>
      <c r="F55" t="s">
        <v>2375</v>
      </c>
      <c r="H55" t="s">
        <v>2599</v>
      </c>
      <c r="J55" t="str">
        <f t="shared" si="0"/>
        <v>Form NCEN-B.12.a</v>
      </c>
      <c r="K55" t="s">
        <v>2600</v>
      </c>
      <c r="L55" t="s">
        <v>2601</v>
      </c>
      <c r="M55" t="s">
        <v>2602</v>
      </c>
      <c r="N55" t="s">
        <v>2374</v>
      </c>
      <c r="Q55" t="s">
        <v>1341</v>
      </c>
    </row>
    <row r="56" spans="1:17" x14ac:dyDescent="0.35">
      <c r="A56" t="s">
        <v>2403</v>
      </c>
      <c r="B56" s="3" t="s">
        <v>102</v>
      </c>
      <c r="C56" s="3" t="s">
        <v>9209</v>
      </c>
      <c r="D56" s="3"/>
      <c r="E56" s="3"/>
      <c r="F56" t="s">
        <v>2375</v>
      </c>
      <c r="H56" t="s">
        <v>2603</v>
      </c>
      <c r="J56" t="str">
        <f t="shared" si="0"/>
        <v>Form NCEN-B.12.a.i</v>
      </c>
      <c r="K56" t="s">
        <v>2604</v>
      </c>
      <c r="L56" t="s">
        <v>2605</v>
      </c>
      <c r="M56" t="s">
        <v>2606</v>
      </c>
      <c r="N56" t="s">
        <v>263</v>
      </c>
      <c r="Q56" s="18" t="s">
        <v>9217</v>
      </c>
    </row>
    <row r="57" spans="1:17" x14ac:dyDescent="0.35">
      <c r="A57" t="s">
        <v>2403</v>
      </c>
      <c r="B57" s="3" t="s">
        <v>102</v>
      </c>
      <c r="C57" s="3" t="s">
        <v>9209</v>
      </c>
      <c r="D57" s="3"/>
      <c r="E57" s="3"/>
      <c r="F57" t="s">
        <v>2375</v>
      </c>
      <c r="H57" t="s">
        <v>2607</v>
      </c>
      <c r="J57" t="str">
        <f t="shared" si="0"/>
        <v>Form NCEN-B.13.a</v>
      </c>
      <c r="K57" t="s">
        <v>2608</v>
      </c>
      <c r="L57" t="s">
        <v>2609</v>
      </c>
      <c r="M57" t="s">
        <v>2610</v>
      </c>
      <c r="N57" t="s">
        <v>2374</v>
      </c>
      <c r="Q57" t="s">
        <v>27</v>
      </c>
    </row>
    <row r="58" spans="1:17" x14ac:dyDescent="0.35">
      <c r="A58" t="s">
        <v>2403</v>
      </c>
      <c r="B58" s="3" t="s">
        <v>102</v>
      </c>
      <c r="C58" s="3" t="s">
        <v>9209</v>
      </c>
      <c r="D58" s="3"/>
      <c r="E58" s="3"/>
      <c r="F58" t="s">
        <v>2375</v>
      </c>
      <c r="H58" t="s">
        <v>2611</v>
      </c>
      <c r="J58" t="str">
        <f t="shared" si="0"/>
        <v>Form NCEN-B.13.a.i</v>
      </c>
      <c r="K58" t="s">
        <v>2612</v>
      </c>
      <c r="L58" t="s">
        <v>2613</v>
      </c>
      <c r="M58" t="s">
        <v>2614</v>
      </c>
      <c r="N58" t="s">
        <v>2374</v>
      </c>
      <c r="Q58" t="s">
        <v>1341</v>
      </c>
    </row>
    <row r="59" spans="1:17" x14ac:dyDescent="0.35">
      <c r="A59" t="s">
        <v>2403</v>
      </c>
      <c r="B59" s="3" t="s">
        <v>102</v>
      </c>
      <c r="C59" s="3" t="s">
        <v>9209</v>
      </c>
      <c r="D59" s="3"/>
      <c r="E59" s="3"/>
      <c r="F59" t="s">
        <v>2375</v>
      </c>
      <c r="H59" t="s">
        <v>2615</v>
      </c>
      <c r="J59" t="str">
        <f t="shared" si="0"/>
        <v>Form NCEN-B.14</v>
      </c>
      <c r="K59" t="s">
        <v>2616</v>
      </c>
      <c r="L59" t="s">
        <v>2617</v>
      </c>
      <c r="M59" t="s">
        <v>2618</v>
      </c>
      <c r="N59" t="s">
        <v>2374</v>
      </c>
      <c r="Q59" t="s">
        <v>1341</v>
      </c>
    </row>
    <row r="60" spans="1:17" x14ac:dyDescent="0.35">
      <c r="A60" t="s">
        <v>2403</v>
      </c>
      <c r="B60" s="3" t="s">
        <v>102</v>
      </c>
      <c r="C60" s="3" t="s">
        <v>9209</v>
      </c>
      <c r="D60" s="3"/>
      <c r="E60" s="3"/>
      <c r="F60" t="s">
        <v>2375</v>
      </c>
      <c r="H60" t="s">
        <v>2619</v>
      </c>
      <c r="J60" t="str">
        <f t="shared" si="0"/>
        <v>Form NCEN-B.14.a.i</v>
      </c>
      <c r="K60" t="s">
        <v>2575</v>
      </c>
      <c r="L60" t="s">
        <v>2620</v>
      </c>
      <c r="M60" t="s">
        <v>2621</v>
      </c>
      <c r="N60" t="s">
        <v>229</v>
      </c>
      <c r="Q60" s="18" t="s">
        <v>9217</v>
      </c>
    </row>
    <row r="61" spans="1:17" x14ac:dyDescent="0.35">
      <c r="A61" t="s">
        <v>2403</v>
      </c>
      <c r="B61" s="3" t="s">
        <v>102</v>
      </c>
      <c r="C61" s="3" t="s">
        <v>9209</v>
      </c>
      <c r="D61" s="3"/>
      <c r="E61" s="3"/>
      <c r="F61" t="s">
        <v>2375</v>
      </c>
      <c r="H61" t="s">
        <v>2622</v>
      </c>
      <c r="J61" t="str">
        <f t="shared" si="0"/>
        <v>Form NCEN-B.14.a.ii</v>
      </c>
      <c r="K61" t="s">
        <v>2477</v>
      </c>
      <c r="L61" t="s">
        <v>2623</v>
      </c>
      <c r="M61" t="s">
        <v>2624</v>
      </c>
      <c r="N61" t="s">
        <v>229</v>
      </c>
      <c r="Q61" s="18" t="s">
        <v>9217</v>
      </c>
    </row>
    <row r="62" spans="1:17" x14ac:dyDescent="0.35">
      <c r="A62" t="s">
        <v>2403</v>
      </c>
      <c r="B62" s="3" t="s">
        <v>102</v>
      </c>
      <c r="C62" s="3" t="s">
        <v>9209</v>
      </c>
      <c r="D62" s="3"/>
      <c r="E62" s="3"/>
      <c r="F62" t="s">
        <v>2375</v>
      </c>
      <c r="H62" t="s">
        <v>2625</v>
      </c>
      <c r="J62" t="str">
        <f t="shared" si="0"/>
        <v>Form NCEN-B.15.a</v>
      </c>
      <c r="K62" t="s">
        <v>2626</v>
      </c>
      <c r="L62" t="s">
        <v>2627</v>
      </c>
      <c r="M62" t="s">
        <v>2628</v>
      </c>
      <c r="N62" t="s">
        <v>2374</v>
      </c>
      <c r="Q62" t="s">
        <v>27</v>
      </c>
    </row>
    <row r="63" spans="1:17" x14ac:dyDescent="0.35">
      <c r="A63" t="s">
        <v>2403</v>
      </c>
      <c r="B63" s="3" t="s">
        <v>102</v>
      </c>
      <c r="C63" s="3" t="s">
        <v>9209</v>
      </c>
      <c r="D63" s="3"/>
      <c r="E63" s="3"/>
      <c r="F63" t="s">
        <v>2375</v>
      </c>
      <c r="H63" t="s">
        <v>2629</v>
      </c>
      <c r="J63" t="str">
        <f t="shared" si="0"/>
        <v>Form NCEN-B.15.a.i</v>
      </c>
      <c r="K63" t="s">
        <v>2631</v>
      </c>
      <c r="L63" t="s">
        <v>2632</v>
      </c>
      <c r="M63" t="s">
        <v>2633</v>
      </c>
      <c r="N63" t="s">
        <v>229</v>
      </c>
      <c r="Q63" t="s">
        <v>2630</v>
      </c>
    </row>
    <row r="64" spans="1:17" x14ac:dyDescent="0.35">
      <c r="A64" t="s">
        <v>2403</v>
      </c>
      <c r="B64" s="3" t="s">
        <v>102</v>
      </c>
      <c r="C64" s="3" t="s">
        <v>9209</v>
      </c>
      <c r="D64" s="3"/>
      <c r="E64" s="3"/>
      <c r="F64" t="s">
        <v>2375</v>
      </c>
      <c r="H64" t="s">
        <v>2634</v>
      </c>
      <c r="J64" t="str">
        <f t="shared" si="0"/>
        <v>Form NCEN-B.16.a.i</v>
      </c>
      <c r="K64" t="s">
        <v>2516</v>
      </c>
      <c r="L64" t="s">
        <v>2636</v>
      </c>
      <c r="M64" t="s">
        <v>2637</v>
      </c>
      <c r="N64" t="s">
        <v>229</v>
      </c>
      <c r="Q64" t="s">
        <v>2635</v>
      </c>
    </row>
    <row r="65" spans="1:17" x14ac:dyDescent="0.35">
      <c r="A65" t="s">
        <v>2403</v>
      </c>
      <c r="B65" s="3" t="s">
        <v>102</v>
      </c>
      <c r="C65" s="3" t="s">
        <v>9209</v>
      </c>
      <c r="D65" s="3"/>
      <c r="E65" s="3"/>
      <c r="F65" t="s">
        <v>2375</v>
      </c>
      <c r="H65" t="s">
        <v>2638</v>
      </c>
      <c r="J65" t="str">
        <f t="shared" si="0"/>
        <v>Form NCEN-B.16.a.ii</v>
      </c>
      <c r="K65" t="s">
        <v>2640</v>
      </c>
      <c r="L65" t="s">
        <v>2641</v>
      </c>
      <c r="M65" t="s">
        <v>2642</v>
      </c>
      <c r="N65" t="s">
        <v>229</v>
      </c>
      <c r="Q65" t="s">
        <v>2639</v>
      </c>
    </row>
    <row r="66" spans="1:17" x14ac:dyDescent="0.35">
      <c r="A66" t="s">
        <v>2403</v>
      </c>
      <c r="B66" s="3" t="s">
        <v>102</v>
      </c>
      <c r="C66" s="3" t="s">
        <v>9209</v>
      </c>
      <c r="D66" s="3"/>
      <c r="E66" s="3"/>
      <c r="F66" t="s">
        <v>2375</v>
      </c>
      <c r="H66" t="s">
        <v>2643</v>
      </c>
      <c r="J66" t="str">
        <f t="shared" si="0"/>
        <v>Form NCEN-B.16.a.iii</v>
      </c>
      <c r="K66" t="s">
        <v>2645</v>
      </c>
      <c r="L66" t="s">
        <v>2646</v>
      </c>
      <c r="M66" t="s">
        <v>2647</v>
      </c>
      <c r="N66" t="s">
        <v>229</v>
      </c>
      <c r="Q66" t="s">
        <v>2644</v>
      </c>
    </row>
    <row r="67" spans="1:17" x14ac:dyDescent="0.35">
      <c r="A67" t="s">
        <v>2403</v>
      </c>
      <c r="B67" s="3" t="s">
        <v>102</v>
      </c>
      <c r="C67" s="3" t="s">
        <v>9209</v>
      </c>
      <c r="D67" s="3"/>
      <c r="E67" s="3"/>
      <c r="F67" t="s">
        <v>2375</v>
      </c>
      <c r="H67" t="s">
        <v>2648</v>
      </c>
      <c r="J67" t="str">
        <f t="shared" ref="J67:J130" si="1">_xlfn.CONCAT(A67,"-",H67)</f>
        <v>Form NCEN-B.16.a.iv</v>
      </c>
      <c r="K67" t="s">
        <v>2649</v>
      </c>
      <c r="L67" t="s">
        <v>2650</v>
      </c>
      <c r="M67" t="s">
        <v>2651</v>
      </c>
      <c r="N67" t="s">
        <v>229</v>
      </c>
      <c r="Q67" t="s">
        <v>1590</v>
      </c>
    </row>
    <row r="68" spans="1:17" x14ac:dyDescent="0.35">
      <c r="A68" t="s">
        <v>2403</v>
      </c>
      <c r="B68" s="3" t="s">
        <v>102</v>
      </c>
      <c r="C68" s="3" t="s">
        <v>9209</v>
      </c>
      <c r="D68" s="3"/>
      <c r="E68" s="3"/>
      <c r="F68" t="s">
        <v>2375</v>
      </c>
      <c r="H68" t="s">
        <v>2652</v>
      </c>
      <c r="J68" t="str">
        <f t="shared" si="1"/>
        <v>Form NCEN-B.16.a.v</v>
      </c>
      <c r="K68" t="s">
        <v>2400</v>
      </c>
      <c r="L68" t="s">
        <v>2653</v>
      </c>
      <c r="M68" t="s">
        <v>2654</v>
      </c>
      <c r="N68" t="s">
        <v>229</v>
      </c>
      <c r="Q68" t="s">
        <v>2437</v>
      </c>
    </row>
    <row r="69" spans="1:17" x14ac:dyDescent="0.35">
      <c r="A69" t="s">
        <v>2403</v>
      </c>
      <c r="B69" s="3" t="s">
        <v>102</v>
      </c>
      <c r="C69" s="3" t="s">
        <v>9209</v>
      </c>
      <c r="D69" s="3"/>
      <c r="E69" s="3"/>
      <c r="F69" t="s">
        <v>2375</v>
      </c>
      <c r="H69" t="s">
        <v>2655</v>
      </c>
      <c r="J69" t="str">
        <f t="shared" si="1"/>
        <v>Form NCEN-B.16.a.vi</v>
      </c>
      <c r="K69" t="s">
        <v>2405</v>
      </c>
      <c r="L69" t="s">
        <v>2656</v>
      </c>
      <c r="M69" t="s">
        <v>2657</v>
      </c>
      <c r="N69" t="s">
        <v>229</v>
      </c>
      <c r="Q69" t="s">
        <v>2408</v>
      </c>
    </row>
    <row r="70" spans="1:17" x14ac:dyDescent="0.35">
      <c r="A70" t="s">
        <v>2403</v>
      </c>
      <c r="B70" s="3" t="s">
        <v>102</v>
      </c>
      <c r="C70" s="3" t="s">
        <v>9209</v>
      </c>
      <c r="D70" s="3"/>
      <c r="E70" s="3"/>
      <c r="F70" t="s">
        <v>2375</v>
      </c>
      <c r="H70" t="s">
        <v>2658</v>
      </c>
      <c r="J70" t="str">
        <f t="shared" si="1"/>
        <v>Form NCEN-B.16.a.vii</v>
      </c>
      <c r="K70" t="s">
        <v>2659</v>
      </c>
      <c r="L70" t="s">
        <v>2660</v>
      </c>
      <c r="M70" t="s">
        <v>2661</v>
      </c>
      <c r="N70" t="s">
        <v>2374</v>
      </c>
      <c r="Q70" t="s">
        <v>27</v>
      </c>
    </row>
    <row r="71" spans="1:17" x14ac:dyDescent="0.35">
      <c r="A71" t="s">
        <v>2403</v>
      </c>
      <c r="B71" s="3" t="s">
        <v>102</v>
      </c>
      <c r="C71" s="3" t="s">
        <v>9209</v>
      </c>
      <c r="D71" s="3"/>
      <c r="E71" s="3"/>
      <c r="F71" t="s">
        <v>2375</v>
      </c>
      <c r="H71" t="s">
        <v>2662</v>
      </c>
      <c r="J71" t="str">
        <f t="shared" si="1"/>
        <v>Form NCEN-B.16.b</v>
      </c>
      <c r="K71" t="s">
        <v>2663</v>
      </c>
      <c r="L71" t="s">
        <v>2664</v>
      </c>
      <c r="M71" t="s">
        <v>2665</v>
      </c>
      <c r="N71" t="s">
        <v>2374</v>
      </c>
      <c r="Q71" t="s">
        <v>1341</v>
      </c>
    </row>
    <row r="72" spans="1:17" x14ac:dyDescent="0.35">
      <c r="A72" t="s">
        <v>2403</v>
      </c>
      <c r="B72" s="3" t="s">
        <v>102</v>
      </c>
      <c r="C72" s="3" t="s">
        <v>9209</v>
      </c>
      <c r="D72" s="3"/>
      <c r="E72" s="3"/>
      <c r="F72" t="s">
        <v>2375</v>
      </c>
      <c r="H72" t="s">
        <v>2666</v>
      </c>
      <c r="J72" t="str">
        <f t="shared" si="1"/>
        <v>Form NCEN-B.17.a</v>
      </c>
      <c r="K72" t="s">
        <v>2516</v>
      </c>
      <c r="L72" t="s">
        <v>2668</v>
      </c>
      <c r="M72" t="s">
        <v>2669</v>
      </c>
      <c r="N72" t="s">
        <v>229</v>
      </c>
      <c r="Q72" t="s">
        <v>2667</v>
      </c>
    </row>
    <row r="73" spans="1:17" x14ac:dyDescent="0.35">
      <c r="A73" t="s">
        <v>2403</v>
      </c>
      <c r="B73" s="3" t="s">
        <v>102</v>
      </c>
      <c r="C73" s="3" t="s">
        <v>9209</v>
      </c>
      <c r="D73" s="3"/>
      <c r="E73" s="3"/>
      <c r="F73" t="s">
        <v>2375</v>
      </c>
      <c r="H73" t="s">
        <v>2670</v>
      </c>
      <c r="J73" t="str">
        <f t="shared" si="1"/>
        <v>Form NCEN-B.17.b</v>
      </c>
      <c r="K73" t="s">
        <v>2672</v>
      </c>
      <c r="L73" t="s">
        <v>2673</v>
      </c>
      <c r="M73" t="s">
        <v>2674</v>
      </c>
      <c r="N73" t="s">
        <v>229</v>
      </c>
      <c r="Q73" t="s">
        <v>2671</v>
      </c>
    </row>
    <row r="74" spans="1:17" x14ac:dyDescent="0.35">
      <c r="A74" t="s">
        <v>2403</v>
      </c>
      <c r="B74" s="3" t="s">
        <v>102</v>
      </c>
      <c r="C74" s="3" t="s">
        <v>9209</v>
      </c>
      <c r="D74" s="3"/>
      <c r="E74" s="3"/>
      <c r="F74" t="s">
        <v>2375</v>
      </c>
      <c r="H74" t="s">
        <v>2675</v>
      </c>
      <c r="J74" t="str">
        <f t="shared" si="1"/>
        <v>Form NCEN-B.17.c</v>
      </c>
      <c r="K74" t="s">
        <v>2649</v>
      </c>
      <c r="L74" t="s">
        <v>2676</v>
      </c>
      <c r="M74" t="s">
        <v>2677</v>
      </c>
      <c r="N74" t="s">
        <v>229</v>
      </c>
      <c r="Q74" t="s">
        <v>1590</v>
      </c>
    </row>
    <row r="75" spans="1:17" x14ac:dyDescent="0.35">
      <c r="A75" t="s">
        <v>2403</v>
      </c>
      <c r="B75" s="3" t="s">
        <v>102</v>
      </c>
      <c r="C75" s="3" t="s">
        <v>9209</v>
      </c>
      <c r="D75" s="3"/>
      <c r="E75" s="3"/>
      <c r="F75" t="s">
        <v>2375</v>
      </c>
      <c r="H75" t="s">
        <v>2678</v>
      </c>
      <c r="J75" t="str">
        <f t="shared" si="1"/>
        <v>Form NCEN-B.17.d</v>
      </c>
      <c r="K75" t="s">
        <v>2400</v>
      </c>
      <c r="L75" t="s">
        <v>2679</v>
      </c>
      <c r="M75" t="s">
        <v>2680</v>
      </c>
      <c r="N75" t="s">
        <v>229</v>
      </c>
      <c r="Q75" t="s">
        <v>2437</v>
      </c>
    </row>
    <row r="76" spans="1:17" x14ac:dyDescent="0.35">
      <c r="A76" t="s">
        <v>2403</v>
      </c>
      <c r="B76" s="3" t="s">
        <v>102</v>
      </c>
      <c r="C76" s="3" t="s">
        <v>9209</v>
      </c>
      <c r="D76" s="3"/>
      <c r="E76" s="3"/>
      <c r="F76" t="s">
        <v>2375</v>
      </c>
      <c r="H76" t="s">
        <v>2681</v>
      </c>
      <c r="J76" t="str">
        <f t="shared" si="1"/>
        <v>Form NCEN-B.17.e</v>
      </c>
      <c r="K76" t="s">
        <v>2405</v>
      </c>
      <c r="L76" t="s">
        <v>2682</v>
      </c>
      <c r="M76" t="s">
        <v>2683</v>
      </c>
      <c r="N76" t="s">
        <v>229</v>
      </c>
      <c r="Q76" t="s">
        <v>2408</v>
      </c>
    </row>
    <row r="77" spans="1:17" x14ac:dyDescent="0.35">
      <c r="A77" t="s">
        <v>2403</v>
      </c>
      <c r="B77" s="3" t="s">
        <v>102</v>
      </c>
      <c r="C77" s="3" t="s">
        <v>9209</v>
      </c>
      <c r="D77" s="3"/>
      <c r="E77" s="3"/>
      <c r="F77" t="s">
        <v>2375</v>
      </c>
      <c r="H77" t="s">
        <v>2684</v>
      </c>
      <c r="J77" t="str">
        <f t="shared" si="1"/>
        <v>Form NCEN-B.17.f</v>
      </c>
      <c r="K77" t="s">
        <v>2685</v>
      </c>
      <c r="L77" t="s">
        <v>2686</v>
      </c>
      <c r="M77" t="s">
        <v>2687</v>
      </c>
      <c r="N77" t="s">
        <v>2374</v>
      </c>
      <c r="Q77" t="s">
        <v>1341</v>
      </c>
    </row>
    <row r="78" spans="1:17" x14ac:dyDescent="0.35">
      <c r="A78" t="s">
        <v>2403</v>
      </c>
      <c r="B78" s="3" t="s">
        <v>102</v>
      </c>
      <c r="C78" s="3" t="s">
        <v>9209</v>
      </c>
      <c r="D78" s="3"/>
      <c r="E78" s="3"/>
      <c r="F78" t="s">
        <v>2375</v>
      </c>
      <c r="H78" t="s">
        <v>2688</v>
      </c>
      <c r="J78" t="str">
        <f t="shared" si="1"/>
        <v>Form NCEN-B.18</v>
      </c>
      <c r="K78" t="s">
        <v>2689</v>
      </c>
      <c r="L78" t="s">
        <v>2690</v>
      </c>
      <c r="M78" t="s">
        <v>2691</v>
      </c>
      <c r="N78" t="s">
        <v>2374</v>
      </c>
      <c r="Q78" t="s">
        <v>1341</v>
      </c>
    </row>
    <row r="79" spans="1:17" x14ac:dyDescent="0.35">
      <c r="A79" t="s">
        <v>2403</v>
      </c>
      <c r="B79" s="3" t="s">
        <v>102</v>
      </c>
      <c r="C79" s="3" t="s">
        <v>9209</v>
      </c>
      <c r="D79" s="3"/>
      <c r="E79" s="3"/>
      <c r="F79" t="s">
        <v>2375</v>
      </c>
      <c r="H79" t="s">
        <v>2692</v>
      </c>
      <c r="J79" t="str">
        <f t="shared" si="1"/>
        <v>Form NCEN-B.18.a</v>
      </c>
      <c r="K79" t="s">
        <v>2693</v>
      </c>
      <c r="L79" t="s">
        <v>2694</v>
      </c>
      <c r="M79" t="s">
        <v>2695</v>
      </c>
      <c r="N79" t="s">
        <v>2374</v>
      </c>
      <c r="Q79" t="s">
        <v>1341</v>
      </c>
    </row>
    <row r="80" spans="1:17" x14ac:dyDescent="0.35">
      <c r="A80" t="s">
        <v>2403</v>
      </c>
      <c r="B80" s="3" t="s">
        <v>102</v>
      </c>
      <c r="C80" s="3" t="s">
        <v>9209</v>
      </c>
      <c r="D80" s="3"/>
      <c r="E80" s="3"/>
      <c r="F80" t="s">
        <v>2375</v>
      </c>
      <c r="H80" t="s">
        <v>2696</v>
      </c>
      <c r="J80" t="str">
        <f t="shared" si="1"/>
        <v>Form NCEN-B.19</v>
      </c>
      <c r="K80" t="s">
        <v>2697</v>
      </c>
      <c r="L80" t="s">
        <v>2698</v>
      </c>
      <c r="M80" t="s">
        <v>2699</v>
      </c>
      <c r="N80" t="s">
        <v>2374</v>
      </c>
      <c r="Q80" t="s">
        <v>1341</v>
      </c>
    </row>
    <row r="81" spans="1:17" x14ac:dyDescent="0.35">
      <c r="A81" t="s">
        <v>2403</v>
      </c>
      <c r="B81" s="3" t="s">
        <v>102</v>
      </c>
      <c r="C81" s="3" t="s">
        <v>9209</v>
      </c>
      <c r="D81" s="3"/>
      <c r="E81" s="3"/>
      <c r="F81" t="s">
        <v>2375</v>
      </c>
      <c r="H81" t="s">
        <v>2700</v>
      </c>
      <c r="J81" t="str">
        <f t="shared" si="1"/>
        <v>Form NCEN-B.19.a</v>
      </c>
      <c r="K81" t="s">
        <v>2701</v>
      </c>
      <c r="L81" t="s">
        <v>2702</v>
      </c>
      <c r="M81" t="s">
        <v>2703</v>
      </c>
      <c r="N81" t="s">
        <v>2374</v>
      </c>
      <c r="Q81" t="s">
        <v>1341</v>
      </c>
    </row>
    <row r="82" spans="1:17" x14ac:dyDescent="0.35">
      <c r="A82" t="s">
        <v>2403</v>
      </c>
      <c r="B82" s="3" t="s">
        <v>102</v>
      </c>
      <c r="C82" s="3" t="s">
        <v>9209</v>
      </c>
      <c r="D82" s="3"/>
      <c r="E82" s="3"/>
      <c r="F82" t="s">
        <v>2375</v>
      </c>
      <c r="H82" t="s">
        <v>2704</v>
      </c>
      <c r="J82" t="str">
        <f t="shared" si="1"/>
        <v>Form NCEN-B.19.a.i</v>
      </c>
      <c r="K82" t="s">
        <v>2575</v>
      </c>
      <c r="L82" t="s">
        <v>2705</v>
      </c>
      <c r="M82" t="s">
        <v>2706</v>
      </c>
      <c r="N82" t="s">
        <v>229</v>
      </c>
      <c r="Q82" s="18" t="s">
        <v>9217</v>
      </c>
    </row>
    <row r="83" spans="1:17" x14ac:dyDescent="0.35">
      <c r="A83" t="s">
        <v>2403</v>
      </c>
      <c r="B83" s="3" t="s">
        <v>102</v>
      </c>
      <c r="C83" s="3" t="s">
        <v>9209</v>
      </c>
      <c r="D83" s="3"/>
      <c r="E83" s="3"/>
      <c r="F83" t="s">
        <v>2375</v>
      </c>
      <c r="H83" t="s">
        <v>2707</v>
      </c>
      <c r="J83" t="str">
        <f t="shared" si="1"/>
        <v>Form NCEN-B.19.a.ii</v>
      </c>
      <c r="K83" t="s">
        <v>2477</v>
      </c>
      <c r="L83" t="s">
        <v>2708</v>
      </c>
      <c r="M83" t="s">
        <v>2709</v>
      </c>
      <c r="N83" t="s">
        <v>229</v>
      </c>
      <c r="Q83" s="18" t="s">
        <v>9217</v>
      </c>
    </row>
    <row r="84" spans="1:17" x14ac:dyDescent="0.35">
      <c r="A84" t="s">
        <v>2403</v>
      </c>
      <c r="B84" s="3" t="s">
        <v>102</v>
      </c>
      <c r="C84" s="3" t="s">
        <v>9209</v>
      </c>
      <c r="D84" s="3"/>
      <c r="E84" s="3"/>
      <c r="F84" t="s">
        <v>2375</v>
      </c>
      <c r="H84" t="s">
        <v>2710</v>
      </c>
      <c r="J84" t="str">
        <f t="shared" si="1"/>
        <v>Form NCEN-B.20</v>
      </c>
      <c r="K84" t="s">
        <v>2711</v>
      </c>
      <c r="L84" t="s">
        <v>2712</v>
      </c>
      <c r="M84" t="s">
        <v>2713</v>
      </c>
      <c r="N84" t="s">
        <v>2374</v>
      </c>
      <c r="Q84" t="s">
        <v>1341</v>
      </c>
    </row>
    <row r="85" spans="1:17" x14ac:dyDescent="0.35">
      <c r="A85" t="s">
        <v>2403</v>
      </c>
      <c r="B85" s="3" t="s">
        <v>102</v>
      </c>
      <c r="C85" s="3" t="s">
        <v>9209</v>
      </c>
      <c r="D85" s="3"/>
      <c r="E85" s="3"/>
      <c r="F85" t="s">
        <v>2375</v>
      </c>
      <c r="H85" t="s">
        <v>2714</v>
      </c>
      <c r="J85" t="str">
        <f t="shared" si="1"/>
        <v>Form NCEN-B.20.a</v>
      </c>
      <c r="K85" t="s">
        <v>2715</v>
      </c>
      <c r="L85" t="s">
        <v>2716</v>
      </c>
      <c r="M85" t="s">
        <v>2713</v>
      </c>
      <c r="N85" t="s">
        <v>2374</v>
      </c>
      <c r="Q85" t="s">
        <v>1341</v>
      </c>
    </row>
    <row r="86" spans="1:17" x14ac:dyDescent="0.35">
      <c r="A86" t="s">
        <v>2403</v>
      </c>
      <c r="B86" s="3" t="s">
        <v>102</v>
      </c>
      <c r="C86" s="3" t="s">
        <v>9209</v>
      </c>
      <c r="D86" s="3"/>
      <c r="E86" s="3"/>
      <c r="F86" t="s">
        <v>2375</v>
      </c>
      <c r="H86" t="s">
        <v>2717</v>
      </c>
      <c r="J86" t="str">
        <f t="shared" si="1"/>
        <v>Form NCEN-B.20.a.i</v>
      </c>
      <c r="K86" t="s">
        <v>2718</v>
      </c>
      <c r="L86" t="s">
        <v>2719</v>
      </c>
      <c r="M86" t="s">
        <v>2720</v>
      </c>
      <c r="N86" t="s">
        <v>248</v>
      </c>
      <c r="Q86" s="18" t="s">
        <v>9217</v>
      </c>
    </row>
    <row r="87" spans="1:17" x14ac:dyDescent="0.35">
      <c r="A87" t="s">
        <v>2403</v>
      </c>
      <c r="B87" s="3" t="s">
        <v>102</v>
      </c>
      <c r="C87" s="3" t="s">
        <v>9209</v>
      </c>
      <c r="D87" s="3"/>
      <c r="E87" s="3"/>
      <c r="F87" t="s">
        <v>2375</v>
      </c>
      <c r="H87" t="s">
        <v>2721</v>
      </c>
      <c r="J87" t="str">
        <f t="shared" si="1"/>
        <v>Form NCEN-B.20.a.ii</v>
      </c>
      <c r="K87" t="s">
        <v>2722</v>
      </c>
      <c r="L87" t="s">
        <v>2723</v>
      </c>
      <c r="M87" t="s">
        <v>2724</v>
      </c>
      <c r="N87" t="s">
        <v>229</v>
      </c>
      <c r="Q87" s="18" t="s">
        <v>9217</v>
      </c>
    </row>
    <row r="88" spans="1:17" x14ac:dyDescent="0.35">
      <c r="A88" t="s">
        <v>2403</v>
      </c>
      <c r="B88" s="3" t="s">
        <v>102</v>
      </c>
      <c r="C88" s="3" t="s">
        <v>9209</v>
      </c>
      <c r="D88" s="3"/>
      <c r="E88" s="3"/>
      <c r="F88" t="s">
        <v>2375</v>
      </c>
      <c r="H88" t="s">
        <v>2725</v>
      </c>
      <c r="J88" t="str">
        <f t="shared" si="1"/>
        <v>Form NCEN-B.20.a.iii</v>
      </c>
      <c r="K88" t="s">
        <v>2726</v>
      </c>
      <c r="L88" t="s">
        <v>2727</v>
      </c>
      <c r="M88" t="s">
        <v>2728</v>
      </c>
      <c r="N88" t="s">
        <v>229</v>
      </c>
      <c r="Q88" s="18" t="s">
        <v>9217</v>
      </c>
    </row>
    <row r="89" spans="1:17" x14ac:dyDescent="0.35">
      <c r="A89" t="s">
        <v>2403</v>
      </c>
      <c r="B89" s="3" t="s">
        <v>102</v>
      </c>
      <c r="C89" s="3" t="s">
        <v>9209</v>
      </c>
      <c r="D89" s="3"/>
      <c r="E89" s="3"/>
      <c r="F89" t="s">
        <v>2375</v>
      </c>
      <c r="H89" t="s">
        <v>2729</v>
      </c>
      <c r="J89" t="str">
        <f t="shared" si="1"/>
        <v>Form NCEN-B.20.a.iv</v>
      </c>
      <c r="K89" t="s">
        <v>2730</v>
      </c>
      <c r="L89" t="s">
        <v>2731</v>
      </c>
      <c r="M89" t="s">
        <v>2732</v>
      </c>
      <c r="N89" t="s">
        <v>229</v>
      </c>
      <c r="Q89" s="18" t="s">
        <v>9217</v>
      </c>
    </row>
    <row r="90" spans="1:17" x14ac:dyDescent="0.35">
      <c r="A90" t="s">
        <v>2403</v>
      </c>
      <c r="B90" s="3" t="s">
        <v>102</v>
      </c>
      <c r="C90" s="3" t="s">
        <v>9209</v>
      </c>
      <c r="D90" s="3"/>
      <c r="E90" s="3"/>
      <c r="F90" t="s">
        <v>2375</v>
      </c>
      <c r="H90" t="s">
        <v>2733</v>
      </c>
      <c r="J90" t="str">
        <f t="shared" si="1"/>
        <v>Form NCEN-B.20.a.v</v>
      </c>
      <c r="K90" t="s">
        <v>2734</v>
      </c>
      <c r="L90" t="s">
        <v>2735</v>
      </c>
      <c r="M90" t="s">
        <v>2736</v>
      </c>
      <c r="N90" t="s">
        <v>229</v>
      </c>
      <c r="Q90" s="18" t="s">
        <v>9217</v>
      </c>
    </row>
    <row r="91" spans="1:17" x14ac:dyDescent="0.35">
      <c r="A91" t="s">
        <v>2403</v>
      </c>
      <c r="B91" s="3" t="s">
        <v>102</v>
      </c>
      <c r="C91" s="3" t="s">
        <v>9209</v>
      </c>
      <c r="D91" s="3"/>
      <c r="E91" s="3"/>
      <c r="F91" t="s">
        <v>2375</v>
      </c>
      <c r="H91" t="s">
        <v>2737</v>
      </c>
      <c r="J91" t="str">
        <f t="shared" si="1"/>
        <v>Form NCEN-B.20.a.vi</v>
      </c>
      <c r="K91" t="s">
        <v>2575</v>
      </c>
      <c r="L91" t="s">
        <v>2738</v>
      </c>
      <c r="M91" t="s">
        <v>2739</v>
      </c>
      <c r="N91" t="s">
        <v>229</v>
      </c>
      <c r="Q91" s="18" t="s">
        <v>9217</v>
      </c>
    </row>
    <row r="92" spans="1:17" x14ac:dyDescent="0.35">
      <c r="A92" t="s">
        <v>2403</v>
      </c>
      <c r="B92" s="3" t="s">
        <v>102</v>
      </c>
      <c r="C92" s="3" t="s">
        <v>9209</v>
      </c>
      <c r="D92" s="3"/>
      <c r="E92" s="3"/>
      <c r="F92" t="s">
        <v>2375</v>
      </c>
      <c r="H92" t="s">
        <v>2740</v>
      </c>
      <c r="J92" t="str">
        <f t="shared" si="1"/>
        <v>Form NCEN-B.20.a.vii</v>
      </c>
      <c r="K92" t="s">
        <v>2477</v>
      </c>
      <c r="L92" t="s">
        <v>2741</v>
      </c>
      <c r="M92" t="s">
        <v>2742</v>
      </c>
      <c r="N92" t="s">
        <v>229</v>
      </c>
      <c r="Q92" s="18" t="s">
        <v>9217</v>
      </c>
    </row>
    <row r="93" spans="1:17" x14ac:dyDescent="0.35">
      <c r="A93" t="s">
        <v>2403</v>
      </c>
      <c r="B93" s="3" t="s">
        <v>102</v>
      </c>
      <c r="C93" s="3" t="s">
        <v>9209</v>
      </c>
      <c r="D93" s="3"/>
      <c r="E93" s="3"/>
      <c r="F93" t="s">
        <v>2375</v>
      </c>
      <c r="H93" t="s">
        <v>2743</v>
      </c>
      <c r="J93" t="str">
        <f t="shared" si="1"/>
        <v>Form NCEN-B.21</v>
      </c>
      <c r="K93" t="s">
        <v>2744</v>
      </c>
      <c r="L93" t="s">
        <v>2745</v>
      </c>
      <c r="M93" t="s">
        <v>2746</v>
      </c>
      <c r="N93" t="s">
        <v>2374</v>
      </c>
      <c r="Q93" t="s">
        <v>1341</v>
      </c>
    </row>
    <row r="94" spans="1:17" x14ac:dyDescent="0.35">
      <c r="A94" t="s">
        <v>2403</v>
      </c>
      <c r="B94" s="3" t="s">
        <v>102</v>
      </c>
      <c r="C94" s="3" t="s">
        <v>9209</v>
      </c>
      <c r="D94" s="3"/>
      <c r="E94" s="3"/>
      <c r="F94" t="s">
        <v>2375</v>
      </c>
      <c r="H94" t="s">
        <v>2747</v>
      </c>
      <c r="J94" t="str">
        <f t="shared" si="1"/>
        <v>Form NCEN-B.21.a</v>
      </c>
      <c r="K94" t="s">
        <v>2748</v>
      </c>
      <c r="L94" t="s">
        <v>2749</v>
      </c>
      <c r="M94" t="s">
        <v>2750</v>
      </c>
      <c r="N94" t="s">
        <v>2374</v>
      </c>
      <c r="Q94" t="s">
        <v>1341</v>
      </c>
    </row>
    <row r="95" spans="1:17" x14ac:dyDescent="0.35">
      <c r="A95" t="s">
        <v>2403</v>
      </c>
      <c r="B95" s="3" t="s">
        <v>102</v>
      </c>
      <c r="C95" s="3" t="s">
        <v>9209</v>
      </c>
      <c r="D95" s="3"/>
      <c r="E95" s="3"/>
      <c r="F95" t="s">
        <v>2375</v>
      </c>
      <c r="H95" t="s">
        <v>2751</v>
      </c>
      <c r="J95" t="str">
        <f t="shared" si="1"/>
        <v>Form NCEN-B.22</v>
      </c>
      <c r="K95" t="s">
        <v>2752</v>
      </c>
      <c r="L95" t="s">
        <v>2753</v>
      </c>
      <c r="M95" t="s">
        <v>2754</v>
      </c>
      <c r="N95" t="s">
        <v>2374</v>
      </c>
      <c r="Q95" t="s">
        <v>1341</v>
      </c>
    </row>
    <row r="96" spans="1:17" x14ac:dyDescent="0.35">
      <c r="A96" t="s">
        <v>2403</v>
      </c>
      <c r="B96" s="3" t="s">
        <v>102</v>
      </c>
      <c r="C96" s="3" t="s">
        <v>9209</v>
      </c>
      <c r="D96" s="3"/>
      <c r="E96" s="3"/>
      <c r="F96" t="s">
        <v>2375</v>
      </c>
      <c r="H96" t="s">
        <v>2755</v>
      </c>
      <c r="J96" t="str">
        <f t="shared" si="1"/>
        <v>Form NCEN-B.22.a</v>
      </c>
      <c r="K96" t="s">
        <v>2756</v>
      </c>
      <c r="L96" t="s">
        <v>2757</v>
      </c>
      <c r="M96" t="s">
        <v>2758</v>
      </c>
      <c r="N96" t="s">
        <v>2759</v>
      </c>
      <c r="Q96" s="18" t="s">
        <v>9217</v>
      </c>
    </row>
    <row r="97" spans="1:17" x14ac:dyDescent="0.35">
      <c r="A97" t="s">
        <v>2403</v>
      </c>
      <c r="B97" s="3" t="s">
        <v>102</v>
      </c>
      <c r="C97" s="3" t="s">
        <v>9209</v>
      </c>
      <c r="D97" s="3"/>
      <c r="E97" s="3"/>
      <c r="F97" t="s">
        <v>2375</v>
      </c>
      <c r="H97" t="s">
        <v>2760</v>
      </c>
      <c r="J97" t="str">
        <f t="shared" si="1"/>
        <v>Form NCEN-B.22.a.i</v>
      </c>
      <c r="K97" t="s">
        <v>2761</v>
      </c>
      <c r="L97" t="s">
        <v>2762</v>
      </c>
      <c r="M97" t="s">
        <v>2763</v>
      </c>
      <c r="N97" t="s">
        <v>229</v>
      </c>
      <c r="Q97" s="18" t="s">
        <v>9217</v>
      </c>
    </row>
    <row r="98" spans="1:17" x14ac:dyDescent="0.35">
      <c r="A98" t="s">
        <v>2403</v>
      </c>
      <c r="B98" s="3" t="s">
        <v>102</v>
      </c>
      <c r="C98" s="3" t="s">
        <v>9209</v>
      </c>
      <c r="D98" s="3"/>
      <c r="E98" s="3"/>
      <c r="F98" t="s">
        <v>2375</v>
      </c>
      <c r="H98" t="s">
        <v>2764</v>
      </c>
      <c r="J98" t="str">
        <f t="shared" si="1"/>
        <v>Form NCEN-B.22.a.i.1</v>
      </c>
      <c r="K98" t="s">
        <v>2575</v>
      </c>
      <c r="L98" t="s">
        <v>2765</v>
      </c>
      <c r="M98" t="s">
        <v>2766</v>
      </c>
      <c r="N98" t="s">
        <v>229</v>
      </c>
      <c r="Q98" s="18" t="s">
        <v>9217</v>
      </c>
    </row>
    <row r="99" spans="1:17" x14ac:dyDescent="0.35">
      <c r="A99" t="s">
        <v>2403</v>
      </c>
      <c r="B99" s="3" t="s">
        <v>102</v>
      </c>
      <c r="C99" s="3" t="s">
        <v>9209</v>
      </c>
      <c r="D99" s="3"/>
      <c r="E99" s="3"/>
      <c r="F99" t="s">
        <v>2375</v>
      </c>
      <c r="H99" t="s">
        <v>2767</v>
      </c>
      <c r="J99" t="str">
        <f t="shared" si="1"/>
        <v>Form NCEN-B.22.a.i.2</v>
      </c>
      <c r="K99" t="s">
        <v>2477</v>
      </c>
      <c r="L99" t="s">
        <v>2768</v>
      </c>
      <c r="M99" t="s">
        <v>2769</v>
      </c>
      <c r="N99" t="s">
        <v>229</v>
      </c>
      <c r="Q99" s="18" t="s">
        <v>9217</v>
      </c>
    </row>
    <row r="100" spans="1:17" x14ac:dyDescent="0.35">
      <c r="A100" t="s">
        <v>2403</v>
      </c>
      <c r="B100" s="3" t="s">
        <v>102</v>
      </c>
      <c r="C100" s="3" t="s">
        <v>9209</v>
      </c>
      <c r="D100" s="3"/>
      <c r="E100" s="3"/>
      <c r="F100" t="s">
        <v>2375</v>
      </c>
      <c r="H100" t="s">
        <v>2770</v>
      </c>
      <c r="J100" t="str">
        <f t="shared" si="1"/>
        <v>Form NCEN-B.23</v>
      </c>
      <c r="K100" t="s">
        <v>2771</v>
      </c>
      <c r="L100" t="s">
        <v>2772</v>
      </c>
      <c r="M100" t="s">
        <v>2773</v>
      </c>
      <c r="N100" t="s">
        <v>2374</v>
      </c>
      <c r="Q100" t="s">
        <v>1341</v>
      </c>
    </row>
    <row r="101" spans="1:17" x14ac:dyDescent="0.35">
      <c r="A101" t="s">
        <v>2403</v>
      </c>
      <c r="B101" s="3" t="s">
        <v>102</v>
      </c>
      <c r="C101" s="3" t="s">
        <v>9209</v>
      </c>
      <c r="D101" s="3"/>
      <c r="E101" s="3"/>
      <c r="F101" t="s">
        <v>2375</v>
      </c>
      <c r="H101" t="s">
        <v>2774</v>
      </c>
      <c r="J101" t="str">
        <f t="shared" si="1"/>
        <v>Form NCEN-B.23.a</v>
      </c>
      <c r="K101" t="s">
        <v>2775</v>
      </c>
      <c r="L101" t="s">
        <v>2776</v>
      </c>
      <c r="M101" t="s">
        <v>2777</v>
      </c>
      <c r="N101" t="s">
        <v>2759</v>
      </c>
      <c r="Q101" s="18" t="s">
        <v>9217</v>
      </c>
    </row>
    <row r="102" spans="1:17" x14ac:dyDescent="0.35">
      <c r="A102" t="s">
        <v>2403</v>
      </c>
      <c r="B102" s="3" t="s">
        <v>102</v>
      </c>
      <c r="C102" s="3" t="s">
        <v>9209</v>
      </c>
      <c r="D102" s="3"/>
      <c r="E102" s="3"/>
      <c r="F102" t="s">
        <v>2375</v>
      </c>
      <c r="H102" t="s">
        <v>2778</v>
      </c>
      <c r="J102" t="str">
        <f t="shared" si="1"/>
        <v>Form NCEN-B.23.a.i</v>
      </c>
      <c r="K102" t="s">
        <v>2761</v>
      </c>
      <c r="L102" t="s">
        <v>2779</v>
      </c>
      <c r="M102" t="s">
        <v>2780</v>
      </c>
      <c r="N102" t="s">
        <v>229</v>
      </c>
      <c r="Q102" s="18" t="s">
        <v>9217</v>
      </c>
    </row>
    <row r="103" spans="1:17" x14ac:dyDescent="0.35">
      <c r="A103" t="s">
        <v>2403</v>
      </c>
      <c r="B103" s="3" t="s">
        <v>102</v>
      </c>
      <c r="C103" s="3" t="s">
        <v>9209</v>
      </c>
      <c r="D103" s="3"/>
      <c r="E103" s="3"/>
      <c r="F103" t="s">
        <v>2375</v>
      </c>
      <c r="H103" t="s">
        <v>2781</v>
      </c>
      <c r="J103" t="str">
        <f t="shared" si="1"/>
        <v>Form NCEN-B.23.a.i.1</v>
      </c>
      <c r="K103" t="s">
        <v>2575</v>
      </c>
      <c r="L103" t="s">
        <v>2782</v>
      </c>
      <c r="M103" t="s">
        <v>2783</v>
      </c>
      <c r="N103" t="s">
        <v>229</v>
      </c>
      <c r="Q103" s="18" t="s">
        <v>9217</v>
      </c>
    </row>
    <row r="104" spans="1:17" x14ac:dyDescent="0.35">
      <c r="A104" t="s">
        <v>2403</v>
      </c>
      <c r="B104" s="3" t="s">
        <v>102</v>
      </c>
      <c r="C104" s="3" t="s">
        <v>9209</v>
      </c>
      <c r="D104" s="3"/>
      <c r="E104" s="3"/>
      <c r="F104" t="s">
        <v>2375</v>
      </c>
      <c r="H104" t="s">
        <v>2784</v>
      </c>
      <c r="J104" t="str">
        <f t="shared" si="1"/>
        <v>Form NCEN-B.23.a.i.2</v>
      </c>
      <c r="K104" t="s">
        <v>2477</v>
      </c>
      <c r="L104" t="s">
        <v>2785</v>
      </c>
      <c r="M104" t="s">
        <v>2786</v>
      </c>
      <c r="N104" t="s">
        <v>229</v>
      </c>
      <c r="Q104" s="18" t="s">
        <v>9217</v>
      </c>
    </row>
    <row r="105" spans="1:17" x14ac:dyDescent="0.35">
      <c r="A105" t="s">
        <v>2403</v>
      </c>
      <c r="B105" s="3" t="s">
        <v>102</v>
      </c>
      <c r="C105" s="3" t="s">
        <v>9209</v>
      </c>
      <c r="D105" s="3"/>
      <c r="E105" s="3"/>
      <c r="F105" t="s">
        <v>2787</v>
      </c>
      <c r="H105" t="s">
        <v>2788</v>
      </c>
      <c r="J105" t="str">
        <f t="shared" si="1"/>
        <v>Form NCEN-C.1.a</v>
      </c>
      <c r="K105" t="s">
        <v>2789</v>
      </c>
      <c r="L105" t="s">
        <v>2790</v>
      </c>
      <c r="M105" t="s">
        <v>2791</v>
      </c>
      <c r="N105" t="s">
        <v>229</v>
      </c>
      <c r="Q105" s="18" t="s">
        <v>2792</v>
      </c>
    </row>
    <row r="106" spans="1:17" x14ac:dyDescent="0.35">
      <c r="A106" t="s">
        <v>2403</v>
      </c>
      <c r="B106" s="3" t="s">
        <v>102</v>
      </c>
      <c r="C106" s="3" t="s">
        <v>9209</v>
      </c>
      <c r="D106" s="3"/>
      <c r="E106" s="3"/>
      <c r="F106" t="s">
        <v>2787</v>
      </c>
      <c r="H106" t="s">
        <v>2793</v>
      </c>
      <c r="J106" t="str">
        <f t="shared" si="1"/>
        <v>Form NCEN-C.1.b</v>
      </c>
      <c r="K106" t="s">
        <v>2794</v>
      </c>
      <c r="L106" t="s">
        <v>2795</v>
      </c>
      <c r="M106" t="s">
        <v>2796</v>
      </c>
      <c r="N106" t="s">
        <v>229</v>
      </c>
      <c r="Q106" s="18" t="s">
        <v>2480</v>
      </c>
    </row>
    <row r="107" spans="1:17" x14ac:dyDescent="0.35">
      <c r="A107" t="s">
        <v>2403</v>
      </c>
      <c r="B107" s="3" t="s">
        <v>102</v>
      </c>
      <c r="C107" s="3" t="s">
        <v>9209</v>
      </c>
      <c r="D107" s="3"/>
      <c r="E107" s="3"/>
      <c r="F107" t="s">
        <v>2787</v>
      </c>
      <c r="H107" t="s">
        <v>2797</v>
      </c>
      <c r="J107" t="str">
        <f t="shared" si="1"/>
        <v>Form NCEN-C.1.c</v>
      </c>
      <c r="K107" t="s">
        <v>2388</v>
      </c>
      <c r="L107" t="s">
        <v>2798</v>
      </c>
      <c r="M107" t="s">
        <v>2799</v>
      </c>
      <c r="N107" t="s">
        <v>229</v>
      </c>
      <c r="Q107" s="18" t="s">
        <v>2800</v>
      </c>
    </row>
    <row r="108" spans="1:17" x14ac:dyDescent="0.35">
      <c r="A108" t="s">
        <v>2403</v>
      </c>
      <c r="B108" s="3" t="s">
        <v>102</v>
      </c>
      <c r="C108" s="3" t="s">
        <v>9209</v>
      </c>
      <c r="D108" s="3"/>
      <c r="E108" s="3"/>
      <c r="F108" t="s">
        <v>2787</v>
      </c>
      <c r="H108" t="s">
        <v>2801</v>
      </c>
      <c r="J108" t="str">
        <f t="shared" si="1"/>
        <v>Form NCEN-C.1.d</v>
      </c>
      <c r="K108" t="s">
        <v>2802</v>
      </c>
      <c r="L108" t="s">
        <v>2803</v>
      </c>
      <c r="M108" t="s">
        <v>2804</v>
      </c>
      <c r="N108" t="s">
        <v>2374</v>
      </c>
      <c r="Q108" s="18" t="s">
        <v>1341</v>
      </c>
    </row>
    <row r="109" spans="1:17" x14ac:dyDescent="0.35">
      <c r="A109" t="s">
        <v>2403</v>
      </c>
      <c r="B109" s="3" t="s">
        <v>102</v>
      </c>
      <c r="C109" s="3" t="s">
        <v>9209</v>
      </c>
      <c r="D109" s="3"/>
      <c r="E109" s="3"/>
      <c r="F109" t="s">
        <v>2787</v>
      </c>
      <c r="H109" t="s">
        <v>2805</v>
      </c>
      <c r="J109" t="str">
        <f t="shared" si="1"/>
        <v>Form NCEN-C.2.a</v>
      </c>
      <c r="K109" t="s">
        <v>2806</v>
      </c>
      <c r="L109" t="s">
        <v>2807</v>
      </c>
      <c r="M109" t="s">
        <v>2808</v>
      </c>
      <c r="N109" t="s">
        <v>241</v>
      </c>
      <c r="Q109" s="18">
        <v>21</v>
      </c>
    </row>
    <row r="110" spans="1:17" x14ac:dyDescent="0.35">
      <c r="A110" t="s">
        <v>2403</v>
      </c>
      <c r="B110" s="3" t="s">
        <v>102</v>
      </c>
      <c r="C110" s="3" t="s">
        <v>9209</v>
      </c>
      <c r="D110" s="3"/>
      <c r="E110" s="3"/>
      <c r="F110" t="s">
        <v>2787</v>
      </c>
      <c r="H110" t="s">
        <v>2809</v>
      </c>
      <c r="J110" t="str">
        <f t="shared" si="1"/>
        <v>Form NCEN-C.2.b</v>
      </c>
      <c r="K110" t="s">
        <v>2810</v>
      </c>
      <c r="L110" t="s">
        <v>2811</v>
      </c>
      <c r="M110" t="s">
        <v>2812</v>
      </c>
      <c r="N110" t="s">
        <v>241</v>
      </c>
      <c r="Q110" s="18">
        <v>0</v>
      </c>
    </row>
    <row r="111" spans="1:17" x14ac:dyDescent="0.35">
      <c r="A111" t="s">
        <v>2403</v>
      </c>
      <c r="B111" s="3" t="s">
        <v>102</v>
      </c>
      <c r="C111" s="3" t="s">
        <v>9209</v>
      </c>
      <c r="D111" s="3"/>
      <c r="E111" s="3"/>
      <c r="F111" t="s">
        <v>2787</v>
      </c>
      <c r="H111" t="s">
        <v>2813</v>
      </c>
      <c r="J111" t="str">
        <f t="shared" si="1"/>
        <v>Form NCEN-C.2.c</v>
      </c>
      <c r="K111" t="s">
        <v>2814</v>
      </c>
      <c r="L111" t="s">
        <v>2815</v>
      </c>
      <c r="M111" t="s">
        <v>2816</v>
      </c>
      <c r="N111" t="s">
        <v>241</v>
      </c>
      <c r="Q111" s="18">
        <v>0</v>
      </c>
    </row>
    <row r="112" spans="1:17" x14ac:dyDescent="0.35">
      <c r="A112" t="s">
        <v>2403</v>
      </c>
      <c r="B112" s="3" t="s">
        <v>102</v>
      </c>
      <c r="C112" s="3" t="s">
        <v>9209</v>
      </c>
      <c r="D112" s="3"/>
      <c r="E112" s="3"/>
      <c r="F112" t="s">
        <v>2787</v>
      </c>
      <c r="H112" t="s">
        <v>2817</v>
      </c>
      <c r="J112" t="str">
        <f t="shared" si="1"/>
        <v>Form NCEN-C.2.d.i</v>
      </c>
      <c r="K112" t="s">
        <v>2818</v>
      </c>
      <c r="L112" t="s">
        <v>2819</v>
      </c>
      <c r="M112" t="s">
        <v>2820</v>
      </c>
      <c r="N112" t="s">
        <v>229</v>
      </c>
      <c r="Q112" s="18" t="s">
        <v>2821</v>
      </c>
    </row>
    <row r="113" spans="1:17" x14ac:dyDescent="0.35">
      <c r="A113" t="s">
        <v>2403</v>
      </c>
      <c r="B113" s="3" t="s">
        <v>102</v>
      </c>
      <c r="C113" s="3" t="s">
        <v>9209</v>
      </c>
      <c r="D113" s="3"/>
      <c r="E113" s="3"/>
      <c r="F113" t="s">
        <v>2787</v>
      </c>
      <c r="H113" t="s">
        <v>2822</v>
      </c>
      <c r="J113" t="str">
        <f t="shared" si="1"/>
        <v>Form NCEN-C.2.d.ii</v>
      </c>
      <c r="K113" t="s">
        <v>2823</v>
      </c>
      <c r="L113" t="s">
        <v>2824</v>
      </c>
      <c r="M113" t="s">
        <v>2825</v>
      </c>
      <c r="N113" t="s">
        <v>229</v>
      </c>
      <c r="Q113" s="18" t="s">
        <v>2826</v>
      </c>
    </row>
    <row r="114" spans="1:17" x14ac:dyDescent="0.35">
      <c r="A114" t="s">
        <v>2403</v>
      </c>
      <c r="B114" s="3" t="s">
        <v>102</v>
      </c>
      <c r="C114" s="3" t="s">
        <v>9209</v>
      </c>
      <c r="D114" s="3"/>
      <c r="E114" s="3"/>
      <c r="F114" t="s">
        <v>2787</v>
      </c>
      <c r="H114" t="s">
        <v>2827</v>
      </c>
      <c r="J114" t="str">
        <f t="shared" si="1"/>
        <v>Form NCEN-C.2.d.iii</v>
      </c>
      <c r="K114" t="s">
        <v>2828</v>
      </c>
      <c r="L114" t="s">
        <v>2829</v>
      </c>
      <c r="M114" t="s">
        <v>2830</v>
      </c>
      <c r="N114" t="s">
        <v>229</v>
      </c>
      <c r="Q114" s="18" t="s">
        <v>2831</v>
      </c>
    </row>
    <row r="115" spans="1:17" x14ac:dyDescent="0.35">
      <c r="A115" t="s">
        <v>2403</v>
      </c>
      <c r="B115" s="3" t="s">
        <v>102</v>
      </c>
      <c r="C115" s="3" t="s">
        <v>9209</v>
      </c>
      <c r="D115" s="3"/>
      <c r="E115" s="3"/>
      <c r="F115" t="s">
        <v>2787</v>
      </c>
      <c r="H115" t="s">
        <v>2832</v>
      </c>
      <c r="J115" t="str">
        <f t="shared" si="1"/>
        <v>Form NCEN-C.3.a</v>
      </c>
      <c r="K115" t="s">
        <v>2833</v>
      </c>
      <c r="L115" t="s">
        <v>2834</v>
      </c>
      <c r="M115" t="s">
        <v>2835</v>
      </c>
      <c r="N115" t="s">
        <v>2374</v>
      </c>
      <c r="Q115" s="18" t="s">
        <v>1341</v>
      </c>
    </row>
    <row r="116" spans="1:17" x14ac:dyDescent="0.35">
      <c r="A116" t="s">
        <v>2403</v>
      </c>
      <c r="B116" s="3" t="s">
        <v>102</v>
      </c>
      <c r="C116" s="3" t="s">
        <v>9209</v>
      </c>
      <c r="D116" s="3"/>
      <c r="E116" s="3"/>
      <c r="F116" t="s">
        <v>2787</v>
      </c>
      <c r="H116" t="s">
        <v>2836</v>
      </c>
      <c r="J116" t="str">
        <f t="shared" si="1"/>
        <v>Form NCEN-C.3.a.i</v>
      </c>
      <c r="K116" t="s">
        <v>2837</v>
      </c>
      <c r="L116" t="s">
        <v>2838</v>
      </c>
      <c r="M116" t="s">
        <v>2839</v>
      </c>
      <c r="N116" t="s">
        <v>2374</v>
      </c>
      <c r="Q116" s="18" t="s">
        <v>1341</v>
      </c>
    </row>
    <row r="117" spans="1:17" x14ac:dyDescent="0.35">
      <c r="A117" t="s">
        <v>2403</v>
      </c>
      <c r="B117" s="3" t="s">
        <v>102</v>
      </c>
      <c r="C117" s="3" t="s">
        <v>9209</v>
      </c>
      <c r="D117" s="3"/>
      <c r="E117" s="3"/>
      <c r="F117" t="s">
        <v>2787</v>
      </c>
      <c r="H117" t="s">
        <v>2840</v>
      </c>
      <c r="J117" t="str">
        <f t="shared" si="1"/>
        <v>Form NCEN-C.3.a.ii</v>
      </c>
      <c r="K117" t="s">
        <v>2841</v>
      </c>
      <c r="L117" t="s">
        <v>2842</v>
      </c>
      <c r="M117" t="s">
        <v>2843</v>
      </c>
      <c r="N117" t="s">
        <v>2374</v>
      </c>
      <c r="Q117" s="18" t="s">
        <v>1341</v>
      </c>
    </row>
    <row r="118" spans="1:17" x14ac:dyDescent="0.35">
      <c r="A118" t="s">
        <v>2403</v>
      </c>
      <c r="B118" s="3" t="s">
        <v>102</v>
      </c>
      <c r="C118" s="3" t="s">
        <v>9209</v>
      </c>
      <c r="D118" s="3"/>
      <c r="E118" s="3"/>
      <c r="F118" t="s">
        <v>2787</v>
      </c>
      <c r="H118" t="s">
        <v>2844</v>
      </c>
      <c r="J118" t="str">
        <f t="shared" si="1"/>
        <v>Form NCEN-C.3.b</v>
      </c>
      <c r="K118" t="s">
        <v>2845</v>
      </c>
      <c r="L118" t="s">
        <v>2846</v>
      </c>
      <c r="M118" t="s">
        <v>2847</v>
      </c>
      <c r="N118" t="s">
        <v>2374</v>
      </c>
      <c r="Q118" s="18" t="s">
        <v>1341</v>
      </c>
    </row>
    <row r="119" spans="1:17" x14ac:dyDescent="0.35">
      <c r="A119" t="s">
        <v>2403</v>
      </c>
      <c r="B119" s="3" t="s">
        <v>102</v>
      </c>
      <c r="C119" s="3" t="s">
        <v>9209</v>
      </c>
      <c r="D119" s="3"/>
      <c r="E119" s="3"/>
      <c r="F119" t="s">
        <v>2787</v>
      </c>
      <c r="H119" t="s">
        <v>2848</v>
      </c>
      <c r="J119" t="str">
        <f t="shared" si="1"/>
        <v>Form NCEN-C.3.b.i.1</v>
      </c>
      <c r="K119" t="s">
        <v>2849</v>
      </c>
      <c r="L119" t="s">
        <v>2850</v>
      </c>
      <c r="M119" t="s">
        <v>2851</v>
      </c>
      <c r="N119" t="s">
        <v>2374</v>
      </c>
      <c r="Q119" s="18" t="s">
        <v>1341</v>
      </c>
    </row>
    <row r="120" spans="1:17" x14ac:dyDescent="0.35">
      <c r="A120" t="s">
        <v>2403</v>
      </c>
      <c r="B120" s="3" t="s">
        <v>102</v>
      </c>
      <c r="C120" s="3" t="s">
        <v>9209</v>
      </c>
      <c r="D120" s="3"/>
      <c r="E120" s="3"/>
      <c r="F120" t="s">
        <v>2787</v>
      </c>
      <c r="H120" t="s">
        <v>2852</v>
      </c>
      <c r="J120" t="str">
        <f t="shared" si="1"/>
        <v>Form NCEN-C.3.b.i.2</v>
      </c>
      <c r="K120" t="s">
        <v>2853</v>
      </c>
      <c r="L120" t="s">
        <v>2854</v>
      </c>
      <c r="M120" t="s">
        <v>2855</v>
      </c>
      <c r="N120" t="s">
        <v>2374</v>
      </c>
      <c r="Q120" s="18" t="s">
        <v>1341</v>
      </c>
    </row>
    <row r="121" spans="1:17" x14ac:dyDescent="0.35">
      <c r="A121" t="s">
        <v>2403</v>
      </c>
      <c r="B121" s="3" t="s">
        <v>102</v>
      </c>
      <c r="C121" s="3" t="s">
        <v>9209</v>
      </c>
      <c r="D121" s="3"/>
      <c r="E121" s="3"/>
      <c r="F121" t="s">
        <v>2787</v>
      </c>
      <c r="H121" t="s">
        <v>2856</v>
      </c>
      <c r="J121" t="str">
        <f t="shared" si="1"/>
        <v>Form NCEN-C.3.b.ii.1</v>
      </c>
      <c r="K121" t="s">
        <v>2857</v>
      </c>
      <c r="L121" t="s">
        <v>2858</v>
      </c>
      <c r="M121" t="s">
        <v>2859</v>
      </c>
      <c r="N121" t="s">
        <v>263</v>
      </c>
      <c r="Q121" s="18" t="s">
        <v>9217</v>
      </c>
    </row>
    <row r="122" spans="1:17" x14ac:dyDescent="0.35">
      <c r="A122" t="s">
        <v>2403</v>
      </c>
      <c r="B122" s="3" t="s">
        <v>102</v>
      </c>
      <c r="C122" s="3" t="s">
        <v>9209</v>
      </c>
      <c r="D122" s="3"/>
      <c r="E122" s="3"/>
      <c r="F122" t="s">
        <v>2787</v>
      </c>
      <c r="H122" t="s">
        <v>2860</v>
      </c>
      <c r="J122" t="str">
        <f t="shared" si="1"/>
        <v>Form NCEN-C.3.b.ii.2</v>
      </c>
      <c r="K122" t="s">
        <v>2861</v>
      </c>
      <c r="L122" t="s">
        <v>2862</v>
      </c>
      <c r="M122" t="s">
        <v>2863</v>
      </c>
      <c r="N122" t="s">
        <v>263</v>
      </c>
      <c r="Q122" s="18" t="s">
        <v>9217</v>
      </c>
    </row>
    <row r="123" spans="1:17" x14ac:dyDescent="0.35">
      <c r="A123" t="s">
        <v>2403</v>
      </c>
      <c r="B123" s="3" t="s">
        <v>102</v>
      </c>
      <c r="C123" s="3" t="s">
        <v>9209</v>
      </c>
      <c r="D123" s="3"/>
      <c r="E123" s="3"/>
      <c r="F123" t="s">
        <v>2787</v>
      </c>
      <c r="H123" t="s">
        <v>2864</v>
      </c>
      <c r="J123" t="str">
        <f t="shared" si="1"/>
        <v>Form NCEN-C.3.b.iii.1</v>
      </c>
      <c r="K123" t="s">
        <v>2865</v>
      </c>
      <c r="L123" t="s">
        <v>2866</v>
      </c>
      <c r="M123" t="s">
        <v>2867</v>
      </c>
      <c r="N123" t="s">
        <v>1198</v>
      </c>
      <c r="Q123" s="18" t="s">
        <v>9217</v>
      </c>
    </row>
    <row r="124" spans="1:17" x14ac:dyDescent="0.35">
      <c r="A124" t="s">
        <v>2403</v>
      </c>
      <c r="B124" s="3" t="s">
        <v>102</v>
      </c>
      <c r="C124" s="3" t="s">
        <v>9209</v>
      </c>
      <c r="D124" s="3"/>
      <c r="E124" s="3"/>
      <c r="F124" t="s">
        <v>2787</v>
      </c>
      <c r="H124" t="s">
        <v>2868</v>
      </c>
      <c r="J124" t="str">
        <f t="shared" si="1"/>
        <v>Form NCEN-C.3.b.iii.2</v>
      </c>
      <c r="K124" t="s">
        <v>2869</v>
      </c>
      <c r="L124" t="s">
        <v>2870</v>
      </c>
      <c r="M124" t="s">
        <v>2871</v>
      </c>
      <c r="N124" t="s">
        <v>1198</v>
      </c>
      <c r="Q124" s="18" t="s">
        <v>9217</v>
      </c>
    </row>
    <row r="125" spans="1:17" x14ac:dyDescent="0.35">
      <c r="A125" t="s">
        <v>2403</v>
      </c>
      <c r="B125" s="3" t="s">
        <v>102</v>
      </c>
      <c r="C125" s="3" t="s">
        <v>9209</v>
      </c>
      <c r="D125" s="3"/>
      <c r="E125" s="3"/>
      <c r="F125" t="s">
        <v>2787</v>
      </c>
      <c r="H125" t="s">
        <v>2872</v>
      </c>
      <c r="J125" t="str">
        <f t="shared" si="1"/>
        <v>Form NCEN-C.3.c</v>
      </c>
      <c r="K125" t="s">
        <v>2873</v>
      </c>
      <c r="L125" t="s">
        <v>2874</v>
      </c>
      <c r="M125" t="s">
        <v>2875</v>
      </c>
      <c r="N125" t="s">
        <v>2374</v>
      </c>
      <c r="Q125" s="18" t="s">
        <v>1341</v>
      </c>
    </row>
    <row r="126" spans="1:17" x14ac:dyDescent="0.35">
      <c r="A126" t="s">
        <v>2403</v>
      </c>
      <c r="B126" s="3" t="s">
        <v>102</v>
      </c>
      <c r="C126" s="3" t="s">
        <v>9209</v>
      </c>
      <c r="D126" s="3"/>
      <c r="E126" s="3"/>
      <c r="F126" t="s">
        <v>2787</v>
      </c>
      <c r="H126" t="s">
        <v>2876</v>
      </c>
      <c r="J126" t="str">
        <f t="shared" si="1"/>
        <v>Form NCEN-C.3.d</v>
      </c>
      <c r="K126" t="s">
        <v>2877</v>
      </c>
      <c r="L126" t="s">
        <v>2878</v>
      </c>
      <c r="M126" t="s">
        <v>2879</v>
      </c>
      <c r="N126" t="s">
        <v>2374</v>
      </c>
      <c r="Q126" s="18" t="s">
        <v>1341</v>
      </c>
    </row>
    <row r="127" spans="1:17" x14ac:dyDescent="0.35">
      <c r="A127" t="s">
        <v>2403</v>
      </c>
      <c r="B127" s="3" t="s">
        <v>102</v>
      </c>
      <c r="C127" s="3" t="s">
        <v>9209</v>
      </c>
      <c r="D127" s="3"/>
      <c r="E127" s="3"/>
      <c r="F127" t="s">
        <v>2787</v>
      </c>
      <c r="H127" t="s">
        <v>2880</v>
      </c>
      <c r="J127" t="str">
        <f t="shared" si="1"/>
        <v>Form NCEN-C.3.e</v>
      </c>
      <c r="K127" t="s">
        <v>2881</v>
      </c>
      <c r="L127" t="s">
        <v>2882</v>
      </c>
      <c r="M127" t="s">
        <v>2883</v>
      </c>
      <c r="N127" t="s">
        <v>2374</v>
      </c>
      <c r="Q127" s="18" t="s">
        <v>1341</v>
      </c>
    </row>
    <row r="128" spans="1:17" x14ac:dyDescent="0.35">
      <c r="A128" t="s">
        <v>2403</v>
      </c>
      <c r="B128" s="3" t="s">
        <v>102</v>
      </c>
      <c r="C128" s="3" t="s">
        <v>9209</v>
      </c>
      <c r="D128" s="3"/>
      <c r="E128" s="3"/>
      <c r="F128" t="s">
        <v>2787</v>
      </c>
      <c r="H128" t="s">
        <v>2884</v>
      </c>
      <c r="J128" t="str">
        <f t="shared" si="1"/>
        <v>Form NCEN-C.3.f</v>
      </c>
      <c r="K128" t="s">
        <v>2885</v>
      </c>
      <c r="L128" t="s">
        <v>2886</v>
      </c>
      <c r="M128" t="s">
        <v>2887</v>
      </c>
      <c r="N128" t="s">
        <v>2374</v>
      </c>
      <c r="Q128" s="18" t="s">
        <v>1341</v>
      </c>
    </row>
    <row r="129" spans="1:17" x14ac:dyDescent="0.35">
      <c r="A129" t="s">
        <v>2403</v>
      </c>
      <c r="B129" s="3" t="s">
        <v>102</v>
      </c>
      <c r="C129" s="3" t="s">
        <v>9209</v>
      </c>
      <c r="D129" s="3"/>
      <c r="E129" s="3"/>
      <c r="F129" t="s">
        <v>2787</v>
      </c>
      <c r="H129" t="s">
        <v>2888</v>
      </c>
      <c r="J129" t="str">
        <f t="shared" si="1"/>
        <v>Form NCEN-C.3.f.i.1</v>
      </c>
      <c r="K129" t="s">
        <v>2889</v>
      </c>
      <c r="L129" t="s">
        <v>2890</v>
      </c>
      <c r="M129" t="s">
        <v>2891</v>
      </c>
      <c r="N129" t="s">
        <v>229</v>
      </c>
      <c r="Q129" s="18" t="s">
        <v>9217</v>
      </c>
    </row>
    <row r="130" spans="1:17" x14ac:dyDescent="0.35">
      <c r="A130" t="s">
        <v>2403</v>
      </c>
      <c r="B130" s="3" t="s">
        <v>102</v>
      </c>
      <c r="C130" s="3" t="s">
        <v>9209</v>
      </c>
      <c r="D130" s="3"/>
      <c r="E130" s="3"/>
      <c r="F130" t="s">
        <v>2787</v>
      </c>
      <c r="H130" t="s">
        <v>2892</v>
      </c>
      <c r="J130" t="str">
        <f t="shared" si="1"/>
        <v>Form NCEN-C.3.f.i.2.A</v>
      </c>
      <c r="K130" t="s">
        <v>2893</v>
      </c>
      <c r="L130" t="s">
        <v>2894</v>
      </c>
      <c r="M130" t="s">
        <v>2895</v>
      </c>
      <c r="N130" t="s">
        <v>229</v>
      </c>
      <c r="Q130" s="18" t="s">
        <v>9217</v>
      </c>
    </row>
    <row r="131" spans="1:17" x14ac:dyDescent="0.35">
      <c r="A131" t="s">
        <v>2403</v>
      </c>
      <c r="B131" s="3" t="s">
        <v>102</v>
      </c>
      <c r="C131" s="3" t="s">
        <v>9209</v>
      </c>
      <c r="D131" s="3"/>
      <c r="E131" s="3"/>
      <c r="F131" t="s">
        <v>2787</v>
      </c>
      <c r="H131" t="s">
        <v>2896</v>
      </c>
      <c r="J131" t="str">
        <f t="shared" ref="J131:J194" si="2">_xlfn.CONCAT(A131,"-",H131)</f>
        <v>Form NCEN-C.3.f.i.2.B</v>
      </c>
      <c r="K131" t="s">
        <v>2897</v>
      </c>
      <c r="L131" t="s">
        <v>2898</v>
      </c>
      <c r="M131" t="s">
        <v>2899</v>
      </c>
      <c r="N131" t="s">
        <v>229</v>
      </c>
      <c r="Q131" s="18" t="s">
        <v>9217</v>
      </c>
    </row>
    <row r="132" spans="1:17" x14ac:dyDescent="0.35">
      <c r="A132" t="s">
        <v>2403</v>
      </c>
      <c r="B132" s="3" t="s">
        <v>102</v>
      </c>
      <c r="C132" s="3" t="s">
        <v>9209</v>
      </c>
      <c r="D132" s="3"/>
      <c r="E132" s="3"/>
      <c r="F132" t="s">
        <v>2787</v>
      </c>
      <c r="H132" t="s">
        <v>2900</v>
      </c>
      <c r="J132" t="str">
        <f t="shared" si="2"/>
        <v>Form NCEN-C.3.f.i.2.C</v>
      </c>
      <c r="K132" t="s">
        <v>2901</v>
      </c>
      <c r="L132" t="s">
        <v>2902</v>
      </c>
      <c r="M132" t="s">
        <v>2903</v>
      </c>
      <c r="N132" t="s">
        <v>229</v>
      </c>
      <c r="Q132" s="18" t="s">
        <v>9217</v>
      </c>
    </row>
    <row r="133" spans="1:17" x14ac:dyDescent="0.35">
      <c r="A133" t="s">
        <v>2403</v>
      </c>
      <c r="B133" s="3" t="s">
        <v>102</v>
      </c>
      <c r="C133" s="3" t="s">
        <v>9209</v>
      </c>
      <c r="D133" s="3"/>
      <c r="E133" s="3"/>
      <c r="F133" t="s">
        <v>2787</v>
      </c>
      <c r="H133" t="s">
        <v>2904</v>
      </c>
      <c r="J133" t="str">
        <f t="shared" si="2"/>
        <v>Form NCEN-C.3.f.i.3.A</v>
      </c>
      <c r="K133" t="s">
        <v>2905</v>
      </c>
      <c r="L133" t="s">
        <v>2906</v>
      </c>
      <c r="M133" t="s">
        <v>2907</v>
      </c>
      <c r="N133" t="s">
        <v>229</v>
      </c>
      <c r="Q133" s="18" t="s">
        <v>9217</v>
      </c>
    </row>
    <row r="134" spans="1:17" x14ac:dyDescent="0.35">
      <c r="A134" t="s">
        <v>2403</v>
      </c>
      <c r="B134" s="3" t="s">
        <v>102</v>
      </c>
      <c r="C134" s="3" t="s">
        <v>9209</v>
      </c>
      <c r="D134" s="3"/>
      <c r="E134" s="3"/>
      <c r="F134" t="s">
        <v>2787</v>
      </c>
      <c r="H134" t="s">
        <v>2908</v>
      </c>
      <c r="J134" t="str">
        <f t="shared" si="2"/>
        <v>Form NCEN-C.3.f.i.3.B</v>
      </c>
      <c r="K134" t="s">
        <v>2909</v>
      </c>
      <c r="L134" t="s">
        <v>2910</v>
      </c>
      <c r="M134" t="s">
        <v>2911</v>
      </c>
      <c r="N134" t="s">
        <v>229</v>
      </c>
      <c r="Q134" s="18" t="s">
        <v>9217</v>
      </c>
    </row>
    <row r="135" spans="1:17" x14ac:dyDescent="0.35">
      <c r="A135" t="s">
        <v>2403</v>
      </c>
      <c r="B135" s="3" t="s">
        <v>102</v>
      </c>
      <c r="C135" s="3" t="s">
        <v>9209</v>
      </c>
      <c r="D135" s="3"/>
      <c r="E135" s="3"/>
      <c r="F135" t="s">
        <v>2787</v>
      </c>
      <c r="H135" t="s">
        <v>2912</v>
      </c>
      <c r="J135" t="str">
        <f t="shared" si="2"/>
        <v>Form NCEN-C.3.f.ii.1</v>
      </c>
      <c r="K135" t="s">
        <v>2913</v>
      </c>
      <c r="L135" t="s">
        <v>2914</v>
      </c>
      <c r="M135" t="s">
        <v>2915</v>
      </c>
      <c r="N135" t="s">
        <v>229</v>
      </c>
      <c r="Q135" s="18" t="s">
        <v>9217</v>
      </c>
    </row>
    <row r="136" spans="1:17" x14ac:dyDescent="0.35">
      <c r="A136" t="s">
        <v>2403</v>
      </c>
      <c r="B136" s="3" t="s">
        <v>102</v>
      </c>
      <c r="C136" s="3" t="s">
        <v>9209</v>
      </c>
      <c r="D136" s="3"/>
      <c r="E136" s="3"/>
      <c r="F136" t="s">
        <v>2787</v>
      </c>
      <c r="H136" t="s">
        <v>2916</v>
      </c>
      <c r="J136" t="str">
        <f t="shared" si="2"/>
        <v>Form NCEN-C.3.f.ii.2</v>
      </c>
      <c r="K136" t="s">
        <v>2381</v>
      </c>
      <c r="L136" t="s">
        <v>2917</v>
      </c>
      <c r="M136" t="s">
        <v>2918</v>
      </c>
      <c r="N136" t="s">
        <v>229</v>
      </c>
      <c r="Q136" s="18" t="s">
        <v>9217</v>
      </c>
    </row>
    <row r="137" spans="1:17" x14ac:dyDescent="0.35">
      <c r="A137" t="s">
        <v>2403</v>
      </c>
      <c r="B137" s="3" t="s">
        <v>102</v>
      </c>
      <c r="C137" s="3" t="s">
        <v>9209</v>
      </c>
      <c r="D137" s="3"/>
      <c r="E137" s="3"/>
      <c r="F137" t="s">
        <v>2787</v>
      </c>
      <c r="H137" t="s">
        <v>2919</v>
      </c>
      <c r="J137" t="str">
        <f t="shared" si="2"/>
        <v>Form NCEN-C.3.f.ii.3</v>
      </c>
      <c r="K137" t="s">
        <v>2920</v>
      </c>
      <c r="L137" t="s">
        <v>2921</v>
      </c>
      <c r="M137" t="s">
        <v>2922</v>
      </c>
      <c r="N137" t="s">
        <v>229</v>
      </c>
      <c r="Q137" s="18" t="s">
        <v>9217</v>
      </c>
    </row>
    <row r="138" spans="1:17" x14ac:dyDescent="0.35">
      <c r="A138" t="s">
        <v>2403</v>
      </c>
      <c r="B138" s="3" t="s">
        <v>102</v>
      </c>
      <c r="C138" s="3" t="s">
        <v>9209</v>
      </c>
      <c r="D138" s="3"/>
      <c r="E138" s="3"/>
      <c r="F138" t="s">
        <v>2787</v>
      </c>
      <c r="H138" t="s">
        <v>2923</v>
      </c>
      <c r="J138" t="str">
        <f t="shared" si="2"/>
        <v>Form NCEN-C.3.f.ii.4</v>
      </c>
      <c r="K138" t="s">
        <v>2388</v>
      </c>
      <c r="L138" t="s">
        <v>2924</v>
      </c>
      <c r="M138" t="s">
        <v>2925</v>
      </c>
      <c r="N138" t="s">
        <v>229</v>
      </c>
      <c r="Q138" s="18" t="s">
        <v>9217</v>
      </c>
    </row>
    <row r="139" spans="1:17" x14ac:dyDescent="0.35">
      <c r="A139" t="s">
        <v>2403</v>
      </c>
      <c r="B139" s="3" t="s">
        <v>102</v>
      </c>
      <c r="C139" s="3" t="s">
        <v>9209</v>
      </c>
      <c r="D139" s="3"/>
      <c r="E139" s="3"/>
      <c r="F139" t="s">
        <v>2787</v>
      </c>
      <c r="H139" t="s">
        <v>2926</v>
      </c>
      <c r="J139" t="str">
        <f t="shared" si="2"/>
        <v>Form NCEN-C.3.g</v>
      </c>
      <c r="K139" t="s">
        <v>2927</v>
      </c>
      <c r="L139" t="s">
        <v>2928</v>
      </c>
      <c r="M139" t="s">
        <v>2929</v>
      </c>
      <c r="N139" t="s">
        <v>2374</v>
      </c>
      <c r="Q139" s="18" t="s">
        <v>1341</v>
      </c>
    </row>
    <row r="140" spans="1:17" x14ac:dyDescent="0.35">
      <c r="A140" t="s">
        <v>2403</v>
      </c>
      <c r="B140" s="3" t="s">
        <v>102</v>
      </c>
      <c r="C140" s="3" t="s">
        <v>9209</v>
      </c>
      <c r="D140" s="3"/>
      <c r="E140" s="3"/>
      <c r="F140" t="s">
        <v>2787</v>
      </c>
      <c r="H140" t="s">
        <v>2930</v>
      </c>
      <c r="J140" t="str">
        <f t="shared" si="2"/>
        <v>Form NCEN-C.3.h</v>
      </c>
      <c r="K140" t="s">
        <v>2931</v>
      </c>
      <c r="L140" t="s">
        <v>2932</v>
      </c>
      <c r="M140" t="s">
        <v>2933</v>
      </c>
      <c r="N140" t="s">
        <v>2374</v>
      </c>
      <c r="Q140" s="18" t="s">
        <v>1341</v>
      </c>
    </row>
    <row r="141" spans="1:17" x14ac:dyDescent="0.35">
      <c r="A141" t="s">
        <v>2403</v>
      </c>
      <c r="B141" s="3" t="s">
        <v>102</v>
      </c>
      <c r="C141" s="3" t="s">
        <v>9209</v>
      </c>
      <c r="D141" s="3"/>
      <c r="E141" s="3"/>
      <c r="F141" t="s">
        <v>2787</v>
      </c>
      <c r="H141" t="s">
        <v>2934</v>
      </c>
      <c r="J141" t="str">
        <f t="shared" si="2"/>
        <v>Form NCEN-C.3.i</v>
      </c>
      <c r="K141" t="s">
        <v>2935</v>
      </c>
      <c r="L141" t="s">
        <v>2936</v>
      </c>
      <c r="M141" t="s">
        <v>2937</v>
      </c>
      <c r="N141" t="s">
        <v>2374</v>
      </c>
      <c r="Q141" s="18" t="s">
        <v>1341</v>
      </c>
    </row>
    <row r="142" spans="1:17" x14ac:dyDescent="0.35">
      <c r="A142" t="s">
        <v>2403</v>
      </c>
      <c r="B142" s="3" t="s">
        <v>102</v>
      </c>
      <c r="C142" s="3" t="s">
        <v>9209</v>
      </c>
      <c r="D142" s="3"/>
      <c r="E142" s="3"/>
      <c r="F142" t="s">
        <v>2787</v>
      </c>
      <c r="H142" t="s">
        <v>1564</v>
      </c>
      <c r="J142" t="str">
        <f t="shared" si="2"/>
        <v>Form NCEN-C.4</v>
      </c>
      <c r="K142" t="s">
        <v>2938</v>
      </c>
      <c r="L142" t="s">
        <v>2939</v>
      </c>
      <c r="M142" t="s">
        <v>2940</v>
      </c>
      <c r="N142" t="s">
        <v>2374</v>
      </c>
      <c r="Q142" s="18" t="s">
        <v>1341</v>
      </c>
    </row>
    <row r="143" spans="1:17" x14ac:dyDescent="0.35">
      <c r="A143" t="s">
        <v>2403</v>
      </c>
      <c r="B143" s="3" t="s">
        <v>102</v>
      </c>
      <c r="C143" s="3" t="s">
        <v>9209</v>
      </c>
      <c r="D143" s="3"/>
      <c r="E143" s="3"/>
      <c r="F143" t="s">
        <v>2787</v>
      </c>
      <c r="H143" t="s">
        <v>2941</v>
      </c>
      <c r="J143" t="str">
        <f t="shared" si="2"/>
        <v>Form NCEN-C.5.a</v>
      </c>
      <c r="K143" t="s">
        <v>2942</v>
      </c>
      <c r="L143" t="s">
        <v>2943</v>
      </c>
      <c r="M143" t="s">
        <v>2944</v>
      </c>
      <c r="N143" t="s">
        <v>2374</v>
      </c>
      <c r="Q143" s="18" t="s">
        <v>1341</v>
      </c>
    </row>
    <row r="144" spans="1:17" x14ac:dyDescent="0.35">
      <c r="A144" t="s">
        <v>2403</v>
      </c>
      <c r="B144" s="3" t="s">
        <v>102</v>
      </c>
      <c r="C144" s="3" t="s">
        <v>9209</v>
      </c>
      <c r="D144" s="3"/>
      <c r="E144" s="3"/>
      <c r="F144" t="s">
        <v>2787</v>
      </c>
      <c r="H144" t="s">
        <v>2945</v>
      </c>
      <c r="J144" t="str">
        <f t="shared" si="2"/>
        <v>Form NCEN-C.5.b.i</v>
      </c>
      <c r="K144" t="s">
        <v>2946</v>
      </c>
      <c r="L144" t="s">
        <v>2947</v>
      </c>
      <c r="M144" t="s">
        <v>2948</v>
      </c>
      <c r="N144" t="s">
        <v>229</v>
      </c>
      <c r="Q144" s="18" t="s">
        <v>9217</v>
      </c>
    </row>
    <row r="145" spans="1:17" x14ac:dyDescent="0.35">
      <c r="A145" t="s">
        <v>2403</v>
      </c>
      <c r="B145" s="3" t="s">
        <v>102</v>
      </c>
      <c r="C145" s="3" t="s">
        <v>9209</v>
      </c>
      <c r="D145" s="3"/>
      <c r="E145" s="3"/>
      <c r="F145" t="s">
        <v>2787</v>
      </c>
      <c r="H145" t="s">
        <v>2949</v>
      </c>
      <c r="J145" t="str">
        <f t="shared" si="2"/>
        <v>Form NCEN-C.5.b.ii</v>
      </c>
      <c r="K145" t="s">
        <v>2950</v>
      </c>
      <c r="L145" t="s">
        <v>2951</v>
      </c>
      <c r="M145" t="s">
        <v>2952</v>
      </c>
      <c r="N145" t="s">
        <v>229</v>
      </c>
      <c r="Q145" s="18" t="s">
        <v>9217</v>
      </c>
    </row>
    <row r="146" spans="1:17" x14ac:dyDescent="0.35">
      <c r="A146" t="s">
        <v>2403</v>
      </c>
      <c r="B146" s="3" t="s">
        <v>102</v>
      </c>
      <c r="C146" s="3" t="s">
        <v>9209</v>
      </c>
      <c r="D146" s="3"/>
      <c r="E146" s="3"/>
      <c r="F146" t="s">
        <v>2787</v>
      </c>
      <c r="H146" t="s">
        <v>2953</v>
      </c>
      <c r="J146" t="str">
        <f t="shared" si="2"/>
        <v>Form NCEN-C.6.a</v>
      </c>
      <c r="K146" t="s">
        <v>2954</v>
      </c>
      <c r="L146" t="s">
        <v>2955</v>
      </c>
      <c r="M146" t="s">
        <v>2956</v>
      </c>
      <c r="N146" t="s">
        <v>2374</v>
      </c>
      <c r="Q146" s="18" t="s">
        <v>27</v>
      </c>
    </row>
    <row r="147" spans="1:17" x14ac:dyDescent="0.35">
      <c r="A147" t="s">
        <v>2403</v>
      </c>
      <c r="B147" s="3" t="s">
        <v>102</v>
      </c>
      <c r="C147" s="3" t="s">
        <v>9209</v>
      </c>
      <c r="D147" s="3"/>
      <c r="E147" s="3"/>
      <c r="F147" t="s">
        <v>2787</v>
      </c>
      <c r="H147" t="s">
        <v>2957</v>
      </c>
      <c r="J147" t="str">
        <f t="shared" si="2"/>
        <v>Form NCEN-C.6.b</v>
      </c>
      <c r="K147" t="s">
        <v>2958</v>
      </c>
      <c r="L147" t="s">
        <v>2959</v>
      </c>
      <c r="M147" t="s">
        <v>2960</v>
      </c>
      <c r="N147" t="s">
        <v>2374</v>
      </c>
      <c r="Q147" s="18" t="s">
        <v>27</v>
      </c>
    </row>
    <row r="148" spans="1:17" x14ac:dyDescent="0.35">
      <c r="A148" t="s">
        <v>2403</v>
      </c>
      <c r="B148" s="3" t="s">
        <v>102</v>
      </c>
      <c r="C148" s="3" t="s">
        <v>9209</v>
      </c>
      <c r="D148" s="3"/>
      <c r="E148" s="3"/>
      <c r="F148" t="s">
        <v>2787</v>
      </c>
      <c r="H148" t="s">
        <v>2961</v>
      </c>
      <c r="J148" t="str">
        <f t="shared" si="2"/>
        <v>Form NCEN-C.6.b.i.1</v>
      </c>
      <c r="K148" t="s">
        <v>2962</v>
      </c>
      <c r="L148" t="s">
        <v>2963</v>
      </c>
      <c r="M148" t="s">
        <v>2964</v>
      </c>
      <c r="N148" t="s">
        <v>2374</v>
      </c>
      <c r="Q148" s="18" t="s">
        <v>1341</v>
      </c>
    </row>
    <row r="149" spans="1:17" x14ac:dyDescent="0.35">
      <c r="A149" t="s">
        <v>2403</v>
      </c>
      <c r="B149" s="3" t="s">
        <v>102</v>
      </c>
      <c r="C149" s="3" t="s">
        <v>9209</v>
      </c>
      <c r="D149" s="3"/>
      <c r="E149" s="3"/>
      <c r="F149" t="s">
        <v>2787</v>
      </c>
      <c r="H149" t="s">
        <v>2965</v>
      </c>
      <c r="J149" t="str">
        <f t="shared" si="2"/>
        <v>Form NCEN-C.6.b.i.2</v>
      </c>
      <c r="K149" t="s">
        <v>2966</v>
      </c>
      <c r="L149" t="s">
        <v>2967</v>
      </c>
      <c r="M149" t="s">
        <v>2968</v>
      </c>
      <c r="N149" t="s">
        <v>2374</v>
      </c>
      <c r="Q149" s="18" t="s">
        <v>1341</v>
      </c>
    </row>
    <row r="150" spans="1:17" x14ac:dyDescent="0.35">
      <c r="A150" t="s">
        <v>2403</v>
      </c>
      <c r="B150" s="3" t="s">
        <v>102</v>
      </c>
      <c r="C150" s="3" t="s">
        <v>9209</v>
      </c>
      <c r="D150" s="3"/>
      <c r="E150" s="3"/>
      <c r="F150" t="s">
        <v>2787</v>
      </c>
      <c r="H150" t="s">
        <v>2969</v>
      </c>
      <c r="J150" t="str">
        <f t="shared" si="2"/>
        <v>Form NCEN-C.6.c.i</v>
      </c>
      <c r="K150" t="s">
        <v>2970</v>
      </c>
      <c r="L150" t="s">
        <v>2971</v>
      </c>
      <c r="M150" t="s">
        <v>2972</v>
      </c>
      <c r="N150" t="s">
        <v>229</v>
      </c>
      <c r="Q150" s="18" t="s">
        <v>2973</v>
      </c>
    </row>
    <row r="151" spans="1:17" x14ac:dyDescent="0.35">
      <c r="A151" t="s">
        <v>2403</v>
      </c>
      <c r="B151" s="3" t="s">
        <v>102</v>
      </c>
      <c r="C151" s="3" t="s">
        <v>9209</v>
      </c>
      <c r="D151" s="3"/>
      <c r="E151" s="3"/>
      <c r="F151" t="s">
        <v>2787</v>
      </c>
      <c r="H151" t="s">
        <v>2974</v>
      </c>
      <c r="J151" t="str">
        <f t="shared" si="2"/>
        <v>Form NCEN-C.6.c.ii</v>
      </c>
      <c r="K151" t="s">
        <v>2649</v>
      </c>
      <c r="L151" t="s">
        <v>2975</v>
      </c>
      <c r="M151" t="s">
        <v>2976</v>
      </c>
      <c r="N151" t="s">
        <v>229</v>
      </c>
      <c r="Q151" s="18" t="s">
        <v>2977</v>
      </c>
    </row>
    <row r="152" spans="1:17" x14ac:dyDescent="0.35">
      <c r="A152" t="s">
        <v>2403</v>
      </c>
      <c r="B152" s="3" t="s">
        <v>102</v>
      </c>
      <c r="C152" s="3" t="s">
        <v>9209</v>
      </c>
      <c r="D152" s="3"/>
      <c r="E152" s="3"/>
      <c r="F152" t="s">
        <v>2787</v>
      </c>
      <c r="H152" t="s">
        <v>2978</v>
      </c>
      <c r="J152" t="str">
        <f t="shared" si="2"/>
        <v>Form NCEN-C.6.c.iii</v>
      </c>
      <c r="K152" t="s">
        <v>2979</v>
      </c>
      <c r="L152" t="s">
        <v>2980</v>
      </c>
      <c r="M152" t="s">
        <v>2981</v>
      </c>
      <c r="N152" t="s">
        <v>2374</v>
      </c>
      <c r="Q152" s="18" t="s">
        <v>1341</v>
      </c>
    </row>
    <row r="153" spans="1:17" x14ac:dyDescent="0.35">
      <c r="A153" t="s">
        <v>2403</v>
      </c>
      <c r="B153" s="3" t="s">
        <v>102</v>
      </c>
      <c r="C153" s="3" t="s">
        <v>9209</v>
      </c>
      <c r="D153" s="3"/>
      <c r="E153" s="3"/>
      <c r="F153" t="s">
        <v>2787</v>
      </c>
      <c r="H153" t="s">
        <v>2982</v>
      </c>
      <c r="J153" t="str">
        <f t="shared" si="2"/>
        <v>Form NCEN-C.6.c.iv</v>
      </c>
      <c r="K153" t="s">
        <v>2983</v>
      </c>
      <c r="L153" t="s">
        <v>2984</v>
      </c>
      <c r="M153" t="s">
        <v>2985</v>
      </c>
      <c r="N153" t="s">
        <v>2374</v>
      </c>
      <c r="Q153" s="18" t="s">
        <v>27</v>
      </c>
    </row>
    <row r="154" spans="1:17" x14ac:dyDescent="0.35">
      <c r="A154" t="s">
        <v>2403</v>
      </c>
      <c r="B154" s="3" t="s">
        <v>102</v>
      </c>
      <c r="C154" s="3" t="s">
        <v>9209</v>
      </c>
      <c r="D154" s="3"/>
      <c r="E154" s="3"/>
      <c r="F154" t="s">
        <v>2787</v>
      </c>
      <c r="H154" t="s">
        <v>2986</v>
      </c>
      <c r="J154" t="str">
        <f t="shared" si="2"/>
        <v>Form NCEN-C.6.c.v.1</v>
      </c>
      <c r="K154" t="s">
        <v>2987</v>
      </c>
      <c r="L154" t="s">
        <v>2988</v>
      </c>
      <c r="M154" t="s">
        <v>2989</v>
      </c>
      <c r="N154" t="s">
        <v>229</v>
      </c>
      <c r="Q154" s="18" t="s">
        <v>1590</v>
      </c>
    </row>
    <row r="155" spans="1:17" x14ac:dyDescent="0.35">
      <c r="A155" t="s">
        <v>2403</v>
      </c>
      <c r="B155" s="3" t="s">
        <v>102</v>
      </c>
      <c r="C155" s="3" t="s">
        <v>9209</v>
      </c>
      <c r="D155" s="3"/>
      <c r="E155" s="3"/>
      <c r="F155" t="s">
        <v>2787</v>
      </c>
      <c r="H155" t="s">
        <v>2990</v>
      </c>
      <c r="J155" t="str">
        <f t="shared" si="2"/>
        <v>Form NCEN-C.6.c.v.2</v>
      </c>
      <c r="K155" t="s">
        <v>2991</v>
      </c>
      <c r="L155" t="s">
        <v>2992</v>
      </c>
      <c r="M155" t="s">
        <v>2993</v>
      </c>
      <c r="N155" t="s">
        <v>229</v>
      </c>
      <c r="Q155" s="18" t="s">
        <v>1590</v>
      </c>
    </row>
    <row r="156" spans="1:17" x14ac:dyDescent="0.35">
      <c r="A156" t="s">
        <v>2403</v>
      </c>
      <c r="B156" s="3" t="s">
        <v>102</v>
      </c>
      <c r="C156" s="3" t="s">
        <v>9209</v>
      </c>
      <c r="D156" s="3"/>
      <c r="E156" s="3"/>
      <c r="F156" t="s">
        <v>2787</v>
      </c>
      <c r="H156" t="s">
        <v>2994</v>
      </c>
      <c r="J156" t="str">
        <f t="shared" si="2"/>
        <v>Form NCEN-C.6.c.vi</v>
      </c>
      <c r="K156" t="s">
        <v>2995</v>
      </c>
      <c r="L156" t="s">
        <v>2996</v>
      </c>
      <c r="M156" t="s">
        <v>2997</v>
      </c>
      <c r="N156" t="s">
        <v>2374</v>
      </c>
      <c r="Q156" s="18" t="s">
        <v>1341</v>
      </c>
    </row>
    <row r="157" spans="1:17" x14ac:dyDescent="0.35">
      <c r="A157" t="s">
        <v>2403</v>
      </c>
      <c r="B157" s="3" t="s">
        <v>102</v>
      </c>
      <c r="C157" s="3" t="s">
        <v>9209</v>
      </c>
      <c r="D157" s="3"/>
      <c r="E157" s="3"/>
      <c r="F157" t="s">
        <v>2787</v>
      </c>
      <c r="H157" t="s">
        <v>2998</v>
      </c>
      <c r="J157" t="str">
        <f t="shared" si="2"/>
        <v>Form NCEN-C.6.d.i</v>
      </c>
      <c r="K157" t="s">
        <v>2999</v>
      </c>
      <c r="L157" t="s">
        <v>3000</v>
      </c>
      <c r="M157" t="s">
        <v>3001</v>
      </c>
      <c r="N157" t="s">
        <v>229</v>
      </c>
      <c r="Q157" s="18" t="s">
        <v>9220</v>
      </c>
    </row>
    <row r="158" spans="1:17" x14ac:dyDescent="0.35">
      <c r="A158" t="s">
        <v>2403</v>
      </c>
      <c r="B158" s="3" t="s">
        <v>102</v>
      </c>
      <c r="C158" s="3" t="s">
        <v>9209</v>
      </c>
      <c r="D158" s="3"/>
      <c r="E158" s="3"/>
      <c r="F158" t="s">
        <v>2787</v>
      </c>
      <c r="H158" t="s">
        <v>3002</v>
      </c>
      <c r="J158" t="str">
        <f t="shared" si="2"/>
        <v>Form NCEN-C.6.d.ii</v>
      </c>
      <c r="K158" t="s">
        <v>2649</v>
      </c>
      <c r="L158" t="s">
        <v>3003</v>
      </c>
      <c r="M158" t="s">
        <v>3004</v>
      </c>
      <c r="N158" t="s">
        <v>229</v>
      </c>
      <c r="Q158" s="18" t="s">
        <v>9220</v>
      </c>
    </row>
    <row r="159" spans="1:17" x14ac:dyDescent="0.35">
      <c r="A159" t="s">
        <v>2403</v>
      </c>
      <c r="B159" s="3" t="s">
        <v>102</v>
      </c>
      <c r="C159" s="3" t="s">
        <v>9209</v>
      </c>
      <c r="D159" s="3"/>
      <c r="E159" s="3"/>
      <c r="F159" t="s">
        <v>2787</v>
      </c>
      <c r="H159" t="s">
        <v>3005</v>
      </c>
      <c r="J159" t="str">
        <f t="shared" si="2"/>
        <v>Form NCEN-C.6.d.iii</v>
      </c>
      <c r="K159" t="s">
        <v>3006</v>
      </c>
      <c r="L159" t="s">
        <v>3007</v>
      </c>
      <c r="M159" t="s">
        <v>3008</v>
      </c>
      <c r="N159" t="s">
        <v>2374</v>
      </c>
      <c r="Q159" s="18" t="s">
        <v>9220</v>
      </c>
    </row>
    <row r="160" spans="1:17" x14ac:dyDescent="0.35">
      <c r="A160" t="s">
        <v>2403</v>
      </c>
      <c r="B160" s="3" t="s">
        <v>102</v>
      </c>
      <c r="C160" s="3" t="s">
        <v>9209</v>
      </c>
      <c r="D160" s="3"/>
      <c r="E160" s="3"/>
      <c r="F160" t="s">
        <v>2787</v>
      </c>
      <c r="H160" t="s">
        <v>3009</v>
      </c>
      <c r="J160" t="str">
        <f t="shared" si="2"/>
        <v>Form NCEN-C.6.d.iv</v>
      </c>
      <c r="K160" t="s">
        <v>3010</v>
      </c>
      <c r="L160" t="s">
        <v>3011</v>
      </c>
      <c r="M160" t="s">
        <v>3012</v>
      </c>
      <c r="N160" t="s">
        <v>2374</v>
      </c>
      <c r="Q160" s="18" t="s">
        <v>9220</v>
      </c>
    </row>
    <row r="161" spans="1:17" x14ac:dyDescent="0.35">
      <c r="A161" t="s">
        <v>2403</v>
      </c>
      <c r="B161" s="3" t="s">
        <v>102</v>
      </c>
      <c r="C161" s="3" t="s">
        <v>9209</v>
      </c>
      <c r="D161" s="3"/>
      <c r="E161" s="3"/>
      <c r="F161" t="s">
        <v>2787</v>
      </c>
      <c r="H161" t="s">
        <v>3013</v>
      </c>
      <c r="J161" t="str">
        <f t="shared" si="2"/>
        <v>Form NCEN-C.6.e</v>
      </c>
      <c r="K161" t="s">
        <v>3014</v>
      </c>
      <c r="L161" t="s">
        <v>3015</v>
      </c>
      <c r="M161" t="s">
        <v>3016</v>
      </c>
      <c r="N161" t="s">
        <v>3017</v>
      </c>
      <c r="Q161" s="18"/>
    </row>
    <row r="162" spans="1:17" x14ac:dyDescent="0.35">
      <c r="A162" t="s">
        <v>2403</v>
      </c>
      <c r="B162" s="3" t="s">
        <v>102</v>
      </c>
      <c r="C162" s="3" t="s">
        <v>9209</v>
      </c>
      <c r="D162" s="3"/>
      <c r="E162" s="3"/>
      <c r="F162" t="s">
        <v>2787</v>
      </c>
      <c r="H162" t="s">
        <v>3018</v>
      </c>
      <c r="J162" t="str">
        <f t="shared" si="2"/>
        <v>Form NCEN-C.6.e.i</v>
      </c>
      <c r="K162" t="s">
        <v>3019</v>
      </c>
      <c r="L162" t="s">
        <v>3020</v>
      </c>
      <c r="M162" t="s">
        <v>3021</v>
      </c>
      <c r="N162" t="s">
        <v>3022</v>
      </c>
      <c r="Q162" s="18" t="s">
        <v>27</v>
      </c>
    </row>
    <row r="163" spans="1:17" x14ac:dyDescent="0.35">
      <c r="A163" t="s">
        <v>2403</v>
      </c>
      <c r="B163" s="3" t="s">
        <v>102</v>
      </c>
      <c r="C163" s="3" t="s">
        <v>9209</v>
      </c>
      <c r="D163" s="3"/>
      <c r="E163" s="3"/>
      <c r="F163" t="s">
        <v>2787</v>
      </c>
      <c r="H163" t="s">
        <v>3023</v>
      </c>
      <c r="J163" t="str">
        <f t="shared" si="2"/>
        <v>Form NCEN-C.6.e.ii</v>
      </c>
      <c r="K163" t="s">
        <v>3024</v>
      </c>
      <c r="L163" t="s">
        <v>3025</v>
      </c>
      <c r="M163" t="s">
        <v>3026</v>
      </c>
      <c r="N163" t="s">
        <v>3022</v>
      </c>
      <c r="Q163" s="18" t="s">
        <v>1341</v>
      </c>
    </row>
    <row r="164" spans="1:17" x14ac:dyDescent="0.35">
      <c r="A164" t="s">
        <v>2403</v>
      </c>
      <c r="B164" s="3" t="s">
        <v>102</v>
      </c>
      <c r="C164" s="3" t="s">
        <v>9209</v>
      </c>
      <c r="D164" s="3"/>
      <c r="E164" s="3"/>
      <c r="F164" t="s">
        <v>2787</v>
      </c>
      <c r="H164" t="s">
        <v>3027</v>
      </c>
      <c r="J164" t="str">
        <f t="shared" si="2"/>
        <v>Form NCEN-C.6.e.iii</v>
      </c>
      <c r="K164" t="s">
        <v>3028</v>
      </c>
      <c r="L164" t="s">
        <v>3029</v>
      </c>
      <c r="M164" t="s">
        <v>3030</v>
      </c>
      <c r="N164" t="s">
        <v>3022</v>
      </c>
      <c r="Q164" s="18" t="s">
        <v>1341</v>
      </c>
    </row>
    <row r="165" spans="1:17" x14ac:dyDescent="0.35">
      <c r="A165" t="s">
        <v>2403</v>
      </c>
      <c r="B165" s="3" t="s">
        <v>102</v>
      </c>
      <c r="C165" s="3" t="s">
        <v>9209</v>
      </c>
      <c r="D165" s="3"/>
      <c r="E165" s="3"/>
      <c r="F165" t="s">
        <v>2787</v>
      </c>
      <c r="H165" t="s">
        <v>3031</v>
      </c>
      <c r="J165" t="str">
        <f t="shared" si="2"/>
        <v>Form NCEN-C.6.e.iv</v>
      </c>
      <c r="K165" t="s">
        <v>3032</v>
      </c>
      <c r="L165" t="s">
        <v>3033</v>
      </c>
      <c r="M165" t="s">
        <v>3034</v>
      </c>
      <c r="N165" t="s">
        <v>3022</v>
      </c>
      <c r="Q165" s="18" t="s">
        <v>1341</v>
      </c>
    </row>
    <row r="166" spans="1:17" x14ac:dyDescent="0.35">
      <c r="A166" t="s">
        <v>2403</v>
      </c>
      <c r="B166" s="3" t="s">
        <v>102</v>
      </c>
      <c r="C166" s="3" t="s">
        <v>9209</v>
      </c>
      <c r="D166" s="3"/>
      <c r="E166" s="3"/>
      <c r="F166" t="s">
        <v>2787</v>
      </c>
      <c r="H166" t="s">
        <v>3035</v>
      </c>
      <c r="J166" t="str">
        <f t="shared" si="2"/>
        <v>Form NCEN-C.6.e.v</v>
      </c>
      <c r="K166" t="s">
        <v>3036</v>
      </c>
      <c r="L166" t="s">
        <v>3037</v>
      </c>
      <c r="M166" t="s">
        <v>3038</v>
      </c>
      <c r="N166" t="s">
        <v>3022</v>
      </c>
      <c r="Q166" s="18" t="s">
        <v>1341</v>
      </c>
    </row>
    <row r="167" spans="1:17" x14ac:dyDescent="0.35">
      <c r="A167" t="s">
        <v>2403</v>
      </c>
      <c r="B167" s="3" t="s">
        <v>102</v>
      </c>
      <c r="C167" s="3" t="s">
        <v>9209</v>
      </c>
      <c r="D167" s="3"/>
      <c r="E167" s="3"/>
      <c r="F167" t="s">
        <v>2787</v>
      </c>
      <c r="H167" t="s">
        <v>3039</v>
      </c>
      <c r="J167" t="str">
        <f t="shared" si="2"/>
        <v>Form NCEN-C.6.e.vi</v>
      </c>
      <c r="K167" t="s">
        <v>3040</v>
      </c>
      <c r="L167" t="s">
        <v>3041</v>
      </c>
      <c r="M167" t="s">
        <v>3042</v>
      </c>
      <c r="N167" t="s">
        <v>229</v>
      </c>
      <c r="Q167" s="18" t="s">
        <v>1341</v>
      </c>
    </row>
    <row r="168" spans="1:17" x14ac:dyDescent="0.35">
      <c r="A168" t="s">
        <v>2403</v>
      </c>
      <c r="B168" s="3" t="s">
        <v>102</v>
      </c>
      <c r="C168" s="3" t="s">
        <v>9209</v>
      </c>
      <c r="D168" s="3"/>
      <c r="E168" s="3"/>
      <c r="F168" t="s">
        <v>2787</v>
      </c>
      <c r="H168" t="s">
        <v>3043</v>
      </c>
      <c r="J168" t="str">
        <f t="shared" si="2"/>
        <v>Form NCEN-C.6.f</v>
      </c>
      <c r="K168" t="s">
        <v>3044</v>
      </c>
      <c r="L168" t="s">
        <v>3045</v>
      </c>
      <c r="M168" t="s">
        <v>3046</v>
      </c>
      <c r="N168" t="s">
        <v>263</v>
      </c>
      <c r="Q168" s="18" t="s">
        <v>3047</v>
      </c>
    </row>
    <row r="169" spans="1:17" x14ac:dyDescent="0.35">
      <c r="A169" t="s">
        <v>2403</v>
      </c>
      <c r="B169" s="3" t="s">
        <v>102</v>
      </c>
      <c r="C169" s="3" t="s">
        <v>9209</v>
      </c>
      <c r="D169" s="3"/>
      <c r="E169" s="3"/>
      <c r="F169" t="s">
        <v>2787</v>
      </c>
      <c r="H169" t="s">
        <v>3048</v>
      </c>
      <c r="J169" t="str">
        <f t="shared" si="2"/>
        <v>Form NCEN-C.6.g</v>
      </c>
      <c r="K169" t="s">
        <v>3049</v>
      </c>
      <c r="L169" t="s">
        <v>3050</v>
      </c>
      <c r="M169" t="s">
        <v>3051</v>
      </c>
      <c r="N169" t="s">
        <v>263</v>
      </c>
      <c r="Q169" s="18" t="s">
        <v>3052</v>
      </c>
    </row>
    <row r="170" spans="1:17" x14ac:dyDescent="0.35">
      <c r="A170" t="s">
        <v>2403</v>
      </c>
      <c r="B170" s="3" t="s">
        <v>102</v>
      </c>
      <c r="C170" s="3" t="s">
        <v>9209</v>
      </c>
      <c r="D170" s="3"/>
      <c r="E170" s="3"/>
      <c r="F170" t="s">
        <v>2787</v>
      </c>
      <c r="H170" t="s">
        <v>1586</v>
      </c>
      <c r="J170" t="str">
        <f t="shared" si="2"/>
        <v>Form NCEN-C.7</v>
      </c>
      <c r="K170" t="s">
        <v>3053</v>
      </c>
      <c r="L170" t="s">
        <v>3054</v>
      </c>
      <c r="M170" t="s">
        <v>3055</v>
      </c>
      <c r="N170" t="s">
        <v>3017</v>
      </c>
      <c r="Q170" s="18"/>
    </row>
    <row r="171" spans="1:17" x14ac:dyDescent="0.35">
      <c r="A171" t="s">
        <v>2403</v>
      </c>
      <c r="B171" s="3" t="s">
        <v>102</v>
      </c>
      <c r="C171" s="3" t="s">
        <v>9209</v>
      </c>
      <c r="D171" s="3"/>
      <c r="E171" s="3"/>
      <c r="F171" t="s">
        <v>2787</v>
      </c>
      <c r="H171" t="s">
        <v>3056</v>
      </c>
      <c r="J171" t="str">
        <f t="shared" si="2"/>
        <v>Form NCEN-C.7.a</v>
      </c>
      <c r="K171" t="s">
        <v>3057</v>
      </c>
      <c r="L171" t="s">
        <v>3058</v>
      </c>
      <c r="M171" t="s">
        <v>3059</v>
      </c>
      <c r="N171" t="s">
        <v>3022</v>
      </c>
      <c r="Q171" s="18" t="s">
        <v>1341</v>
      </c>
    </row>
    <row r="172" spans="1:17" x14ac:dyDescent="0.35">
      <c r="A172" t="s">
        <v>2403</v>
      </c>
      <c r="B172" s="3" t="s">
        <v>102</v>
      </c>
      <c r="C172" s="3" t="s">
        <v>9209</v>
      </c>
      <c r="D172" s="3"/>
      <c r="E172" s="3"/>
      <c r="F172" t="s">
        <v>2787</v>
      </c>
      <c r="H172" t="s">
        <v>3060</v>
      </c>
      <c r="J172" t="str">
        <f t="shared" si="2"/>
        <v>Form NCEN-C.7.b</v>
      </c>
      <c r="K172" t="s">
        <v>3061</v>
      </c>
      <c r="L172" t="s">
        <v>3062</v>
      </c>
      <c r="M172" t="s">
        <v>3063</v>
      </c>
      <c r="N172" t="s">
        <v>3022</v>
      </c>
      <c r="Q172" s="18" t="s">
        <v>27</v>
      </c>
    </row>
    <row r="173" spans="1:17" x14ac:dyDescent="0.35">
      <c r="A173" t="s">
        <v>2403</v>
      </c>
      <c r="B173" s="3" t="s">
        <v>102</v>
      </c>
      <c r="C173" s="3" t="s">
        <v>9209</v>
      </c>
      <c r="D173" s="3"/>
      <c r="E173" s="3"/>
      <c r="F173" t="s">
        <v>2787</v>
      </c>
      <c r="H173" t="s">
        <v>3064</v>
      </c>
      <c r="J173" t="str">
        <f t="shared" si="2"/>
        <v>Form NCEN-C.7.c</v>
      </c>
      <c r="K173" t="s">
        <v>3065</v>
      </c>
      <c r="L173" t="s">
        <v>3066</v>
      </c>
      <c r="M173" t="s">
        <v>3067</v>
      </c>
      <c r="N173" t="s">
        <v>3022</v>
      </c>
      <c r="Q173" s="18" t="s">
        <v>1341</v>
      </c>
    </row>
    <row r="174" spans="1:17" x14ac:dyDescent="0.35">
      <c r="A174" t="s">
        <v>2403</v>
      </c>
      <c r="B174" s="3" t="s">
        <v>102</v>
      </c>
      <c r="C174" s="3" t="s">
        <v>9209</v>
      </c>
      <c r="D174" s="3"/>
      <c r="E174" s="3"/>
      <c r="F174" t="s">
        <v>2787</v>
      </c>
      <c r="H174" t="s">
        <v>3068</v>
      </c>
      <c r="J174" t="str">
        <f t="shared" si="2"/>
        <v>Form NCEN-C.7.d</v>
      </c>
      <c r="K174" t="s">
        <v>3069</v>
      </c>
      <c r="L174" t="s">
        <v>3070</v>
      </c>
      <c r="M174" t="s">
        <v>3071</v>
      </c>
      <c r="N174" t="s">
        <v>3022</v>
      </c>
      <c r="Q174" s="18" t="s">
        <v>1341</v>
      </c>
    </row>
    <row r="175" spans="1:17" x14ac:dyDescent="0.35">
      <c r="A175" t="s">
        <v>2403</v>
      </c>
      <c r="B175" s="3" t="s">
        <v>102</v>
      </c>
      <c r="C175" s="3" t="s">
        <v>9209</v>
      </c>
      <c r="D175" s="3"/>
      <c r="E175" s="3"/>
      <c r="F175" t="s">
        <v>2787</v>
      </c>
      <c r="H175" t="s">
        <v>3072</v>
      </c>
      <c r="J175" t="str">
        <f t="shared" si="2"/>
        <v>Form NCEN-C.7.e</v>
      </c>
      <c r="K175" t="s">
        <v>3073</v>
      </c>
      <c r="L175" t="s">
        <v>3074</v>
      </c>
      <c r="M175" t="s">
        <v>3075</v>
      </c>
      <c r="N175" t="s">
        <v>3022</v>
      </c>
      <c r="Q175" s="18" t="s">
        <v>1341</v>
      </c>
    </row>
    <row r="176" spans="1:17" x14ac:dyDescent="0.35">
      <c r="A176" t="s">
        <v>2403</v>
      </c>
      <c r="B176" s="3" t="s">
        <v>102</v>
      </c>
      <c r="C176" s="3" t="s">
        <v>9209</v>
      </c>
      <c r="D176" s="3"/>
      <c r="E176" s="3"/>
      <c r="F176" t="s">
        <v>2787</v>
      </c>
      <c r="H176" t="s">
        <v>3076</v>
      </c>
      <c r="J176" t="str">
        <f t="shared" si="2"/>
        <v>Form NCEN-C.7.f</v>
      </c>
      <c r="K176" t="s">
        <v>3077</v>
      </c>
      <c r="L176" t="s">
        <v>3078</v>
      </c>
      <c r="M176" t="s">
        <v>3079</v>
      </c>
      <c r="N176" t="s">
        <v>3022</v>
      </c>
      <c r="Q176" s="18" t="s">
        <v>1341</v>
      </c>
    </row>
    <row r="177" spans="1:17" x14ac:dyDescent="0.35">
      <c r="A177" t="s">
        <v>2403</v>
      </c>
      <c r="B177" s="3" t="s">
        <v>102</v>
      </c>
      <c r="C177" s="3" t="s">
        <v>9209</v>
      </c>
      <c r="D177" s="3"/>
      <c r="E177" s="3"/>
      <c r="F177" t="s">
        <v>2787</v>
      </c>
      <c r="H177" t="s">
        <v>3080</v>
      </c>
      <c r="J177" t="str">
        <f t="shared" si="2"/>
        <v>Form NCEN-C.7.g</v>
      </c>
      <c r="K177" t="s">
        <v>3081</v>
      </c>
      <c r="L177" t="s">
        <v>3082</v>
      </c>
      <c r="M177" t="s">
        <v>3083</v>
      </c>
      <c r="N177" t="s">
        <v>3022</v>
      </c>
      <c r="Q177" s="18" t="s">
        <v>1341</v>
      </c>
    </row>
    <row r="178" spans="1:17" x14ac:dyDescent="0.35">
      <c r="A178" t="s">
        <v>2403</v>
      </c>
      <c r="B178" s="3" t="s">
        <v>102</v>
      </c>
      <c r="C178" s="3" t="s">
        <v>9209</v>
      </c>
      <c r="D178" s="3"/>
      <c r="E178" s="3"/>
      <c r="F178" t="s">
        <v>2787</v>
      </c>
      <c r="H178" t="s">
        <v>3084</v>
      </c>
      <c r="J178" t="str">
        <f t="shared" si="2"/>
        <v>Form NCEN-C.7.h</v>
      </c>
      <c r="K178" t="s">
        <v>3085</v>
      </c>
      <c r="L178" t="s">
        <v>3086</v>
      </c>
      <c r="M178" t="s">
        <v>3087</v>
      </c>
      <c r="N178" t="s">
        <v>3022</v>
      </c>
      <c r="Q178" s="18" t="s">
        <v>27</v>
      </c>
    </row>
    <row r="179" spans="1:17" x14ac:dyDescent="0.35">
      <c r="A179" t="s">
        <v>2403</v>
      </c>
      <c r="B179" s="3" t="s">
        <v>102</v>
      </c>
      <c r="C179" s="3" t="s">
        <v>9209</v>
      </c>
      <c r="D179" s="3"/>
      <c r="E179" s="3"/>
      <c r="F179" t="s">
        <v>2787</v>
      </c>
      <c r="H179" t="s">
        <v>3088</v>
      </c>
      <c r="J179" t="str">
        <f t="shared" si="2"/>
        <v>Form NCEN-C.7.i</v>
      </c>
      <c r="K179" t="s">
        <v>3089</v>
      </c>
      <c r="L179" t="s">
        <v>3090</v>
      </c>
      <c r="M179" t="s">
        <v>3091</v>
      </c>
      <c r="N179" t="s">
        <v>3022</v>
      </c>
      <c r="Q179" s="18" t="s">
        <v>1341</v>
      </c>
    </row>
    <row r="180" spans="1:17" x14ac:dyDescent="0.35">
      <c r="A180" t="s">
        <v>2403</v>
      </c>
      <c r="B180" s="3" t="s">
        <v>102</v>
      </c>
      <c r="C180" s="3" t="s">
        <v>9209</v>
      </c>
      <c r="D180" s="3"/>
      <c r="E180" s="3"/>
      <c r="F180" t="s">
        <v>2787</v>
      </c>
      <c r="H180" t="s">
        <v>3092</v>
      </c>
      <c r="J180" t="str">
        <f t="shared" si="2"/>
        <v>Form NCEN-C.7.j</v>
      </c>
      <c r="K180" t="s">
        <v>3093</v>
      </c>
      <c r="L180" t="s">
        <v>3094</v>
      </c>
      <c r="M180" t="s">
        <v>3095</v>
      </c>
      <c r="N180" t="s">
        <v>3022</v>
      </c>
      <c r="Q180" s="18" t="s">
        <v>27</v>
      </c>
    </row>
    <row r="181" spans="1:17" x14ac:dyDescent="0.35">
      <c r="A181" t="s">
        <v>2403</v>
      </c>
      <c r="B181" s="3" t="s">
        <v>102</v>
      </c>
      <c r="C181" s="3" t="s">
        <v>9209</v>
      </c>
      <c r="D181" s="3"/>
      <c r="E181" s="3"/>
      <c r="F181" t="s">
        <v>2787</v>
      </c>
      <c r="H181" t="s">
        <v>3096</v>
      </c>
      <c r="J181" t="str">
        <f t="shared" si="2"/>
        <v>Form NCEN-C.7.k</v>
      </c>
      <c r="K181" t="s">
        <v>3097</v>
      </c>
      <c r="L181" t="s">
        <v>3098</v>
      </c>
      <c r="M181" t="s">
        <v>3099</v>
      </c>
      <c r="N181" t="s">
        <v>3022</v>
      </c>
      <c r="Q181" s="18" t="s">
        <v>1341</v>
      </c>
    </row>
    <row r="182" spans="1:17" x14ac:dyDescent="0.35">
      <c r="A182" t="s">
        <v>2403</v>
      </c>
      <c r="B182" s="3" t="s">
        <v>102</v>
      </c>
      <c r="C182" s="3" t="s">
        <v>9209</v>
      </c>
      <c r="D182" s="3"/>
      <c r="E182" s="3"/>
      <c r="F182" t="s">
        <v>2787</v>
      </c>
      <c r="H182" t="s">
        <v>3100</v>
      </c>
      <c r="J182" t="str">
        <f t="shared" si="2"/>
        <v>Form NCEN-C.7.l</v>
      </c>
      <c r="K182" t="s">
        <v>3101</v>
      </c>
      <c r="L182" t="s">
        <v>3102</v>
      </c>
      <c r="M182" t="s">
        <v>3103</v>
      </c>
      <c r="N182" t="s">
        <v>3022</v>
      </c>
      <c r="Q182" s="18" t="s">
        <v>27</v>
      </c>
    </row>
    <row r="183" spans="1:17" x14ac:dyDescent="0.35">
      <c r="A183" t="s">
        <v>2403</v>
      </c>
      <c r="B183" s="3" t="s">
        <v>102</v>
      </c>
      <c r="C183" s="3" t="s">
        <v>9209</v>
      </c>
      <c r="D183" s="3"/>
      <c r="E183" s="3"/>
      <c r="F183" t="s">
        <v>2787</v>
      </c>
      <c r="H183" t="s">
        <v>3104</v>
      </c>
      <c r="J183" t="str">
        <f t="shared" si="2"/>
        <v>Form NCEN-C.7.m</v>
      </c>
      <c r="K183" t="s">
        <v>3105</v>
      </c>
      <c r="L183" t="s">
        <v>3106</v>
      </c>
      <c r="M183" t="s">
        <v>3107</v>
      </c>
      <c r="N183" t="s">
        <v>3022</v>
      </c>
      <c r="Q183" s="18" t="s">
        <v>1341</v>
      </c>
    </row>
    <row r="184" spans="1:17" x14ac:dyDescent="0.35">
      <c r="A184" t="s">
        <v>2403</v>
      </c>
      <c r="B184" s="3" t="s">
        <v>102</v>
      </c>
      <c r="C184" s="3" t="s">
        <v>9209</v>
      </c>
      <c r="D184" s="3"/>
      <c r="E184" s="3"/>
      <c r="F184" t="s">
        <v>2787</v>
      </c>
      <c r="H184" t="s">
        <v>3108</v>
      </c>
      <c r="J184" t="str">
        <f t="shared" si="2"/>
        <v>Form NCEN-C.7.n</v>
      </c>
      <c r="K184" t="s">
        <v>3109</v>
      </c>
      <c r="L184" t="s">
        <v>3110</v>
      </c>
      <c r="M184" t="s">
        <v>3111</v>
      </c>
      <c r="N184" t="s">
        <v>3022</v>
      </c>
      <c r="Q184" s="18" t="s">
        <v>27</v>
      </c>
    </row>
    <row r="185" spans="1:17" x14ac:dyDescent="0.35">
      <c r="A185" t="s">
        <v>2403</v>
      </c>
      <c r="B185" s="3" t="s">
        <v>102</v>
      </c>
      <c r="C185" s="3" t="s">
        <v>9209</v>
      </c>
      <c r="D185" s="3"/>
      <c r="E185" s="3"/>
      <c r="F185" t="s">
        <v>2787</v>
      </c>
      <c r="H185" t="s">
        <v>3112</v>
      </c>
      <c r="J185" t="str">
        <f t="shared" si="2"/>
        <v>Form NCEN-C.7.n.i</v>
      </c>
      <c r="K185" t="s">
        <v>3113</v>
      </c>
      <c r="L185" t="s">
        <v>3114</v>
      </c>
      <c r="M185" t="s">
        <v>3115</v>
      </c>
      <c r="N185" t="s">
        <v>2374</v>
      </c>
      <c r="Q185" s="18" t="s">
        <v>1341</v>
      </c>
    </row>
    <row r="186" spans="1:17" x14ac:dyDescent="0.35">
      <c r="A186" t="s">
        <v>2403</v>
      </c>
      <c r="B186" s="3" t="s">
        <v>102</v>
      </c>
      <c r="C186" s="3" t="s">
        <v>9209</v>
      </c>
      <c r="D186" s="3"/>
      <c r="E186" s="3"/>
      <c r="F186" t="s">
        <v>2787</v>
      </c>
      <c r="H186" t="s">
        <v>3116</v>
      </c>
      <c r="J186" t="str">
        <f t="shared" si="2"/>
        <v>Form NCEN-C.7.n.ii</v>
      </c>
      <c r="K186" t="s">
        <v>3117</v>
      </c>
      <c r="L186" t="s">
        <v>3118</v>
      </c>
      <c r="M186" t="s">
        <v>3119</v>
      </c>
      <c r="N186" t="s">
        <v>2374</v>
      </c>
      <c r="Q186" s="18" t="s">
        <v>1341</v>
      </c>
    </row>
    <row r="187" spans="1:17" x14ac:dyDescent="0.35">
      <c r="A187" t="s">
        <v>2403</v>
      </c>
      <c r="B187" s="3" t="s">
        <v>102</v>
      </c>
      <c r="C187" s="3" t="s">
        <v>9209</v>
      </c>
      <c r="D187" s="3"/>
      <c r="E187" s="3"/>
      <c r="F187" t="s">
        <v>2787</v>
      </c>
      <c r="H187" t="s">
        <v>3120</v>
      </c>
      <c r="J187" t="str">
        <f t="shared" si="2"/>
        <v>Form NCEN-C.7.n.iii</v>
      </c>
      <c r="K187" t="s">
        <v>3121</v>
      </c>
      <c r="L187" t="s">
        <v>3122</v>
      </c>
      <c r="M187" t="s">
        <v>3123</v>
      </c>
      <c r="N187" t="s">
        <v>2374</v>
      </c>
      <c r="Q187" s="18" t="s">
        <v>1341</v>
      </c>
    </row>
    <row r="188" spans="1:17" x14ac:dyDescent="0.35">
      <c r="A188" t="s">
        <v>2403</v>
      </c>
      <c r="B188" s="3" t="s">
        <v>102</v>
      </c>
      <c r="C188" s="3" t="s">
        <v>9209</v>
      </c>
      <c r="D188" s="3"/>
      <c r="E188" s="3"/>
      <c r="F188" t="s">
        <v>2787</v>
      </c>
      <c r="H188" t="s">
        <v>3124</v>
      </c>
      <c r="J188" t="str">
        <f t="shared" si="2"/>
        <v>Form NCEN-C.7.n.iv</v>
      </c>
      <c r="K188" t="s">
        <v>3125</v>
      </c>
      <c r="L188" t="s">
        <v>3126</v>
      </c>
      <c r="M188" t="s">
        <v>3127</v>
      </c>
      <c r="N188" t="s">
        <v>2374</v>
      </c>
      <c r="Q188" s="18" t="s">
        <v>1341</v>
      </c>
    </row>
    <row r="189" spans="1:17" x14ac:dyDescent="0.35">
      <c r="A189" t="s">
        <v>2403</v>
      </c>
      <c r="B189" s="3" t="s">
        <v>102</v>
      </c>
      <c r="C189" s="3" t="s">
        <v>9209</v>
      </c>
      <c r="D189" s="3"/>
      <c r="E189" s="3"/>
      <c r="F189" t="s">
        <v>2787</v>
      </c>
      <c r="H189" t="s">
        <v>3128</v>
      </c>
      <c r="J189" t="str">
        <f t="shared" si="2"/>
        <v>Form NCEN-C.7.n.v</v>
      </c>
      <c r="K189" t="s">
        <v>3129</v>
      </c>
      <c r="L189" t="s">
        <v>3130</v>
      </c>
      <c r="M189" t="s">
        <v>3131</v>
      </c>
      <c r="N189" t="s">
        <v>2374</v>
      </c>
      <c r="Q189" s="18" t="s">
        <v>1341</v>
      </c>
    </row>
    <row r="190" spans="1:17" x14ac:dyDescent="0.35">
      <c r="A190" t="s">
        <v>2403</v>
      </c>
      <c r="B190" s="3" t="s">
        <v>102</v>
      </c>
      <c r="C190" s="3" t="s">
        <v>9209</v>
      </c>
      <c r="D190" s="3"/>
      <c r="E190" s="3"/>
      <c r="F190" t="s">
        <v>2787</v>
      </c>
      <c r="H190" t="s">
        <v>3132</v>
      </c>
      <c r="J190" t="str">
        <f t="shared" si="2"/>
        <v>Form NCEN-C.7.n.vi</v>
      </c>
      <c r="K190" t="s">
        <v>3133</v>
      </c>
      <c r="L190" t="s">
        <v>3134</v>
      </c>
      <c r="M190" t="s">
        <v>3135</v>
      </c>
      <c r="N190" t="s">
        <v>2374</v>
      </c>
      <c r="Q190" s="18" t="s">
        <v>27</v>
      </c>
    </row>
    <row r="191" spans="1:17" x14ac:dyDescent="0.35">
      <c r="A191" t="s">
        <v>2403</v>
      </c>
      <c r="B191" s="3" t="s">
        <v>102</v>
      </c>
      <c r="C191" s="3" t="s">
        <v>9209</v>
      </c>
      <c r="D191" s="3"/>
      <c r="E191" s="3"/>
      <c r="F191" t="s">
        <v>2787</v>
      </c>
      <c r="H191" t="s">
        <v>1591</v>
      </c>
      <c r="J191" t="str">
        <f t="shared" si="2"/>
        <v>Form NCEN-C.8</v>
      </c>
      <c r="K191" t="s">
        <v>3136</v>
      </c>
      <c r="L191" t="s">
        <v>3137</v>
      </c>
      <c r="M191" t="s">
        <v>3138</v>
      </c>
      <c r="N191" t="s">
        <v>2759</v>
      </c>
      <c r="Q191" s="18"/>
    </row>
    <row r="192" spans="1:17" x14ac:dyDescent="0.35">
      <c r="A192" t="s">
        <v>2403</v>
      </c>
      <c r="B192" s="3" t="s">
        <v>102</v>
      </c>
      <c r="C192" s="3" t="s">
        <v>9209</v>
      </c>
      <c r="D192" s="3"/>
      <c r="E192" s="3"/>
      <c r="F192" t="s">
        <v>2787</v>
      </c>
      <c r="H192" t="s">
        <v>3139</v>
      </c>
      <c r="J192" t="str">
        <f t="shared" si="2"/>
        <v>Form NCEN-C.8.a</v>
      </c>
      <c r="K192" t="s">
        <v>3140</v>
      </c>
      <c r="L192" t="s">
        <v>3141</v>
      </c>
      <c r="M192" t="s">
        <v>3142</v>
      </c>
      <c r="N192" t="s">
        <v>2374</v>
      </c>
      <c r="Q192" s="18" t="s">
        <v>1341</v>
      </c>
    </row>
    <row r="193" spans="1:17" x14ac:dyDescent="0.35">
      <c r="A193" t="s">
        <v>2403</v>
      </c>
      <c r="B193" s="3" t="s">
        <v>102</v>
      </c>
      <c r="C193" s="3" t="s">
        <v>9209</v>
      </c>
      <c r="D193" s="3"/>
      <c r="E193" s="3"/>
      <c r="F193" t="s">
        <v>2787</v>
      </c>
      <c r="H193" t="s">
        <v>3143</v>
      </c>
      <c r="J193" t="str">
        <f t="shared" si="2"/>
        <v>Form NCEN-C.8.b</v>
      </c>
      <c r="K193" t="s">
        <v>3144</v>
      </c>
      <c r="L193" t="s">
        <v>3145</v>
      </c>
      <c r="M193" t="s">
        <v>3146</v>
      </c>
      <c r="N193" t="s">
        <v>2374</v>
      </c>
      <c r="Q193" s="18" t="s">
        <v>1341</v>
      </c>
    </row>
    <row r="194" spans="1:17" x14ac:dyDescent="0.35">
      <c r="A194" t="s">
        <v>2403</v>
      </c>
      <c r="B194" s="3" t="s">
        <v>102</v>
      </c>
      <c r="C194" s="3" t="s">
        <v>9209</v>
      </c>
      <c r="D194" s="3"/>
      <c r="E194" s="3"/>
      <c r="F194" t="s">
        <v>2787</v>
      </c>
      <c r="H194" t="s">
        <v>3147</v>
      </c>
      <c r="J194" t="str">
        <f t="shared" si="2"/>
        <v>Form NCEN-C.8.c</v>
      </c>
      <c r="K194" t="s">
        <v>3148</v>
      </c>
      <c r="L194" t="s">
        <v>3149</v>
      </c>
      <c r="M194" t="s">
        <v>3150</v>
      </c>
      <c r="N194" t="s">
        <v>2374</v>
      </c>
      <c r="Q194" s="18" t="s">
        <v>1341</v>
      </c>
    </row>
    <row r="195" spans="1:17" x14ac:dyDescent="0.35">
      <c r="A195" t="s">
        <v>2403</v>
      </c>
      <c r="B195" s="3" t="s">
        <v>102</v>
      </c>
      <c r="C195" s="3" t="s">
        <v>9209</v>
      </c>
      <c r="D195" s="3"/>
      <c r="E195" s="3"/>
      <c r="F195" t="s">
        <v>2787</v>
      </c>
      <c r="H195" t="s">
        <v>3151</v>
      </c>
      <c r="J195" t="str">
        <f t="shared" ref="J195:J258" si="3">_xlfn.CONCAT(A195,"-",H195)</f>
        <v>Form NCEN-C.8.d</v>
      </c>
      <c r="K195" t="s">
        <v>3152</v>
      </c>
      <c r="L195" t="s">
        <v>3153</v>
      </c>
      <c r="M195" t="s">
        <v>3154</v>
      </c>
      <c r="N195" t="s">
        <v>2374</v>
      </c>
      <c r="Q195" s="18" t="s">
        <v>1341</v>
      </c>
    </row>
    <row r="196" spans="1:17" x14ac:dyDescent="0.35">
      <c r="A196" t="s">
        <v>2403</v>
      </c>
      <c r="B196" s="3" t="s">
        <v>102</v>
      </c>
      <c r="C196" s="3" t="s">
        <v>9209</v>
      </c>
      <c r="D196" s="3"/>
      <c r="E196" s="3"/>
      <c r="F196" t="s">
        <v>2787</v>
      </c>
      <c r="H196" t="s">
        <v>1595</v>
      </c>
      <c r="J196" t="str">
        <f t="shared" si="3"/>
        <v>Form NCEN-C.9</v>
      </c>
      <c r="K196" t="s">
        <v>3155</v>
      </c>
      <c r="L196" t="s">
        <v>3156</v>
      </c>
      <c r="M196" t="s">
        <v>3157</v>
      </c>
      <c r="N196" t="s">
        <v>2759</v>
      </c>
      <c r="Q196" s="18"/>
    </row>
    <row r="197" spans="1:17" x14ac:dyDescent="0.35">
      <c r="A197" t="s">
        <v>2403</v>
      </c>
      <c r="B197" s="3" t="s">
        <v>102</v>
      </c>
      <c r="C197" s="3" t="s">
        <v>9209</v>
      </c>
      <c r="D197" s="3"/>
      <c r="E197" s="3"/>
      <c r="F197" t="s">
        <v>2787</v>
      </c>
      <c r="H197" t="s">
        <v>3158</v>
      </c>
      <c r="J197" t="str">
        <f t="shared" si="3"/>
        <v>Form NCEN-C.9.a.i</v>
      </c>
      <c r="K197" t="s">
        <v>2516</v>
      </c>
      <c r="L197" t="s">
        <v>3159</v>
      </c>
      <c r="M197" t="s">
        <v>3160</v>
      </c>
      <c r="N197" t="s">
        <v>229</v>
      </c>
      <c r="Q197" s="18" t="s">
        <v>2427</v>
      </c>
    </row>
    <row r="198" spans="1:17" x14ac:dyDescent="0.35">
      <c r="A198" t="s">
        <v>2403</v>
      </c>
      <c r="B198" s="3" t="s">
        <v>102</v>
      </c>
      <c r="C198" s="3" t="s">
        <v>9209</v>
      </c>
      <c r="D198" s="3"/>
      <c r="E198" s="3"/>
      <c r="F198" t="s">
        <v>2787</v>
      </c>
      <c r="H198" t="s">
        <v>3161</v>
      </c>
      <c r="J198" t="str">
        <f t="shared" si="3"/>
        <v>Form NCEN-C.9.a.ii</v>
      </c>
      <c r="K198" t="s">
        <v>3162</v>
      </c>
      <c r="L198" t="s">
        <v>3163</v>
      </c>
      <c r="M198" t="s">
        <v>3164</v>
      </c>
      <c r="N198" t="s">
        <v>229</v>
      </c>
      <c r="Q198" s="18" t="s">
        <v>3165</v>
      </c>
    </row>
    <row r="199" spans="1:17" x14ac:dyDescent="0.35">
      <c r="A199" t="s">
        <v>2403</v>
      </c>
      <c r="B199" s="3" t="s">
        <v>102</v>
      </c>
      <c r="C199" s="3" t="s">
        <v>9209</v>
      </c>
      <c r="D199" s="3"/>
      <c r="E199" s="3"/>
      <c r="F199" t="s">
        <v>2787</v>
      </c>
      <c r="H199" t="s">
        <v>3166</v>
      </c>
      <c r="J199" t="str">
        <f t="shared" si="3"/>
        <v>Form NCEN-C.9.a.iii</v>
      </c>
      <c r="K199" t="s">
        <v>2645</v>
      </c>
      <c r="L199" t="s">
        <v>3167</v>
      </c>
      <c r="M199" t="s">
        <v>3168</v>
      </c>
      <c r="N199" t="s">
        <v>229</v>
      </c>
      <c r="Q199" s="18" t="s">
        <v>3169</v>
      </c>
    </row>
    <row r="200" spans="1:17" x14ac:dyDescent="0.35">
      <c r="A200" t="s">
        <v>2403</v>
      </c>
      <c r="B200" s="3" t="s">
        <v>102</v>
      </c>
      <c r="C200" s="3" t="s">
        <v>9209</v>
      </c>
      <c r="D200" s="3"/>
      <c r="E200" s="3"/>
      <c r="F200" t="s">
        <v>2787</v>
      </c>
      <c r="H200" t="s">
        <v>3170</v>
      </c>
      <c r="J200" t="str">
        <f t="shared" si="3"/>
        <v>Form NCEN-C.9.a.iv</v>
      </c>
      <c r="K200" t="s">
        <v>2649</v>
      </c>
      <c r="L200" t="s">
        <v>3171</v>
      </c>
      <c r="M200" t="s">
        <v>3172</v>
      </c>
      <c r="N200" t="s">
        <v>229</v>
      </c>
      <c r="Q200" s="18" t="s">
        <v>3173</v>
      </c>
    </row>
    <row r="201" spans="1:17" x14ac:dyDescent="0.35">
      <c r="A201" t="s">
        <v>2403</v>
      </c>
      <c r="B201" s="3" t="s">
        <v>102</v>
      </c>
      <c r="C201" s="3" t="s">
        <v>9209</v>
      </c>
      <c r="D201" s="3"/>
      <c r="E201" s="3"/>
      <c r="F201" t="s">
        <v>2787</v>
      </c>
      <c r="H201" t="s">
        <v>3174</v>
      </c>
      <c r="J201" t="str">
        <f t="shared" si="3"/>
        <v>Form NCEN-C.9.a.v</v>
      </c>
      <c r="K201" t="s">
        <v>2400</v>
      </c>
      <c r="L201" t="s">
        <v>3175</v>
      </c>
      <c r="M201" t="s">
        <v>3176</v>
      </c>
      <c r="N201" t="s">
        <v>229</v>
      </c>
      <c r="Q201" s="18" t="s">
        <v>3177</v>
      </c>
    </row>
    <row r="202" spans="1:17" x14ac:dyDescent="0.35">
      <c r="A202" t="s">
        <v>2403</v>
      </c>
      <c r="B202" s="3" t="s">
        <v>102</v>
      </c>
      <c r="C202" s="3" t="s">
        <v>9209</v>
      </c>
      <c r="D202" s="3"/>
      <c r="E202" s="3"/>
      <c r="F202" t="s">
        <v>2787</v>
      </c>
      <c r="H202" t="s">
        <v>3178</v>
      </c>
      <c r="J202" t="str">
        <f t="shared" si="3"/>
        <v>Form NCEN-C.9.a.vi</v>
      </c>
      <c r="K202" t="s">
        <v>2405</v>
      </c>
      <c r="L202" t="s">
        <v>3179</v>
      </c>
      <c r="M202" t="s">
        <v>3180</v>
      </c>
      <c r="N202" t="s">
        <v>229</v>
      </c>
      <c r="Q202" s="18" t="s">
        <v>2408</v>
      </c>
    </row>
    <row r="203" spans="1:17" x14ac:dyDescent="0.35">
      <c r="A203" t="s">
        <v>2403</v>
      </c>
      <c r="B203" s="3" t="s">
        <v>102</v>
      </c>
      <c r="C203" s="3" t="s">
        <v>9209</v>
      </c>
      <c r="D203" s="3"/>
      <c r="E203" s="3"/>
      <c r="F203" t="s">
        <v>2787</v>
      </c>
      <c r="H203" t="s">
        <v>3181</v>
      </c>
      <c r="J203" t="str">
        <f t="shared" si="3"/>
        <v>Form NCEN-C.9.a.vii</v>
      </c>
      <c r="K203" t="s">
        <v>3182</v>
      </c>
      <c r="L203" t="s">
        <v>3183</v>
      </c>
      <c r="M203" t="s">
        <v>3184</v>
      </c>
      <c r="N203" t="s">
        <v>2374</v>
      </c>
      <c r="Q203" s="18" t="s">
        <v>1341</v>
      </c>
    </row>
    <row r="204" spans="1:17" x14ac:dyDescent="0.35">
      <c r="A204" t="s">
        <v>2403</v>
      </c>
      <c r="B204" s="3" t="s">
        <v>102</v>
      </c>
      <c r="C204" s="3" t="s">
        <v>9209</v>
      </c>
      <c r="D204" s="3"/>
      <c r="E204" s="3"/>
      <c r="F204" t="s">
        <v>2787</v>
      </c>
      <c r="H204" t="s">
        <v>3185</v>
      </c>
      <c r="J204" t="str">
        <f t="shared" si="3"/>
        <v>Form NCEN-C.9.a.vii.1</v>
      </c>
      <c r="K204" t="s">
        <v>3186</v>
      </c>
      <c r="L204" t="s">
        <v>3187</v>
      </c>
      <c r="M204" t="s">
        <v>3188</v>
      </c>
      <c r="N204" t="s">
        <v>248</v>
      </c>
      <c r="Q204" s="18" t="s">
        <v>9217</v>
      </c>
    </row>
    <row r="205" spans="1:17" x14ac:dyDescent="0.35">
      <c r="A205" t="s">
        <v>2403</v>
      </c>
      <c r="B205" s="3" t="s">
        <v>102</v>
      </c>
      <c r="C205" s="3" t="s">
        <v>9209</v>
      </c>
      <c r="D205" s="3"/>
      <c r="E205" s="3"/>
      <c r="F205" t="s">
        <v>2787</v>
      </c>
      <c r="H205" t="s">
        <v>3189</v>
      </c>
      <c r="J205" t="str">
        <f t="shared" si="3"/>
        <v>Form NCEN-C.9.b.i</v>
      </c>
      <c r="K205" t="s">
        <v>2516</v>
      </c>
      <c r="L205" t="s">
        <v>3190</v>
      </c>
      <c r="M205" t="s">
        <v>3191</v>
      </c>
      <c r="N205" t="s">
        <v>229</v>
      </c>
      <c r="Q205" s="18" t="s">
        <v>9220</v>
      </c>
    </row>
    <row r="206" spans="1:17" x14ac:dyDescent="0.35">
      <c r="A206" t="s">
        <v>2403</v>
      </c>
      <c r="B206" s="3" t="s">
        <v>102</v>
      </c>
      <c r="C206" s="3" t="s">
        <v>9209</v>
      </c>
      <c r="D206" s="3"/>
      <c r="E206" s="3"/>
      <c r="F206" t="s">
        <v>2787</v>
      </c>
      <c r="H206" t="s">
        <v>3192</v>
      </c>
      <c r="J206" t="str">
        <f t="shared" si="3"/>
        <v>Form NCEN-C.9.b.ii</v>
      </c>
      <c r="K206" t="s">
        <v>3162</v>
      </c>
      <c r="L206" t="s">
        <v>3193</v>
      </c>
      <c r="M206" t="s">
        <v>3194</v>
      </c>
      <c r="N206" t="s">
        <v>229</v>
      </c>
      <c r="Q206" s="18" t="s">
        <v>9220</v>
      </c>
    </row>
    <row r="207" spans="1:17" x14ac:dyDescent="0.35">
      <c r="A207" t="s">
        <v>2403</v>
      </c>
      <c r="B207" s="3" t="s">
        <v>102</v>
      </c>
      <c r="C207" s="3" t="s">
        <v>9209</v>
      </c>
      <c r="D207" s="3"/>
      <c r="E207" s="3"/>
      <c r="F207" t="s">
        <v>2787</v>
      </c>
      <c r="H207" t="s">
        <v>3195</v>
      </c>
      <c r="J207" t="str">
        <f t="shared" si="3"/>
        <v>Form NCEN-C.9.b.iii</v>
      </c>
      <c r="K207" t="s">
        <v>2645</v>
      </c>
      <c r="L207" t="s">
        <v>3196</v>
      </c>
      <c r="M207" t="s">
        <v>3197</v>
      </c>
      <c r="N207" t="s">
        <v>229</v>
      </c>
      <c r="Q207" s="18" t="s">
        <v>9220</v>
      </c>
    </row>
    <row r="208" spans="1:17" x14ac:dyDescent="0.35">
      <c r="A208" t="s">
        <v>2403</v>
      </c>
      <c r="B208" s="3" t="s">
        <v>102</v>
      </c>
      <c r="C208" s="3" t="s">
        <v>9209</v>
      </c>
      <c r="D208" s="3"/>
      <c r="E208" s="3"/>
      <c r="F208" t="s">
        <v>2787</v>
      </c>
      <c r="H208" t="s">
        <v>3198</v>
      </c>
      <c r="J208" t="str">
        <f t="shared" si="3"/>
        <v>Form NCEN-C.9.b.iv</v>
      </c>
      <c r="K208" t="s">
        <v>2649</v>
      </c>
      <c r="L208" t="s">
        <v>3199</v>
      </c>
      <c r="M208" t="s">
        <v>3200</v>
      </c>
      <c r="N208" t="s">
        <v>229</v>
      </c>
      <c r="Q208" s="18" t="s">
        <v>9220</v>
      </c>
    </row>
    <row r="209" spans="1:17" x14ac:dyDescent="0.35">
      <c r="A209" t="s">
        <v>2403</v>
      </c>
      <c r="B209" s="3" t="s">
        <v>102</v>
      </c>
      <c r="C209" s="3" t="s">
        <v>9209</v>
      </c>
      <c r="D209" s="3"/>
      <c r="E209" s="3"/>
      <c r="F209" t="s">
        <v>2787</v>
      </c>
      <c r="H209" t="s">
        <v>3201</v>
      </c>
      <c r="J209" t="str">
        <f t="shared" si="3"/>
        <v>Form NCEN-C.9.b.v</v>
      </c>
      <c r="K209" t="s">
        <v>2400</v>
      </c>
      <c r="L209" t="s">
        <v>3202</v>
      </c>
      <c r="M209" t="s">
        <v>3203</v>
      </c>
      <c r="N209" t="s">
        <v>229</v>
      </c>
      <c r="Q209" s="18" t="s">
        <v>9220</v>
      </c>
    </row>
    <row r="210" spans="1:17" x14ac:dyDescent="0.35">
      <c r="A210" t="s">
        <v>2403</v>
      </c>
      <c r="B210" s="3" t="s">
        <v>102</v>
      </c>
      <c r="C210" s="3" t="s">
        <v>9209</v>
      </c>
      <c r="D210" s="3"/>
      <c r="E210" s="3"/>
      <c r="F210" t="s">
        <v>2787</v>
      </c>
      <c r="H210" t="s">
        <v>3204</v>
      </c>
      <c r="J210" t="str">
        <f t="shared" si="3"/>
        <v>Form NCEN-C.9.b.vi</v>
      </c>
      <c r="K210" t="s">
        <v>2405</v>
      </c>
      <c r="L210" t="s">
        <v>3205</v>
      </c>
      <c r="M210" t="s">
        <v>3206</v>
      </c>
      <c r="N210" t="s">
        <v>229</v>
      </c>
      <c r="Q210" s="18" t="s">
        <v>9220</v>
      </c>
    </row>
    <row r="211" spans="1:17" x14ac:dyDescent="0.35">
      <c r="A211" t="s">
        <v>2403</v>
      </c>
      <c r="B211" s="3" t="s">
        <v>102</v>
      </c>
      <c r="C211" s="3" t="s">
        <v>9209</v>
      </c>
      <c r="D211" s="3"/>
      <c r="E211" s="3"/>
      <c r="F211" t="s">
        <v>2787</v>
      </c>
      <c r="H211" t="s">
        <v>3207</v>
      </c>
      <c r="J211" t="str">
        <f t="shared" si="3"/>
        <v>Form NCEN-C.9.b.vii</v>
      </c>
      <c r="K211" t="s">
        <v>3208</v>
      </c>
      <c r="L211" t="s">
        <v>3209</v>
      </c>
      <c r="M211" t="s">
        <v>3210</v>
      </c>
      <c r="N211" t="s">
        <v>248</v>
      </c>
      <c r="Q211" s="18" t="s">
        <v>9220</v>
      </c>
    </row>
    <row r="212" spans="1:17" x14ac:dyDescent="0.35">
      <c r="A212" t="s">
        <v>2403</v>
      </c>
      <c r="B212" s="3" t="s">
        <v>102</v>
      </c>
      <c r="C212" s="3" t="s">
        <v>9209</v>
      </c>
      <c r="D212" s="3"/>
      <c r="E212" s="3"/>
      <c r="F212" t="s">
        <v>2787</v>
      </c>
      <c r="H212" t="s">
        <v>3211</v>
      </c>
      <c r="J212" t="str">
        <f t="shared" si="3"/>
        <v>Form NCEN-C.9.c.i</v>
      </c>
      <c r="K212" t="s">
        <v>2516</v>
      </c>
      <c r="L212" t="s">
        <v>3212</v>
      </c>
      <c r="M212" t="s">
        <v>3213</v>
      </c>
      <c r="N212" t="s">
        <v>229</v>
      </c>
      <c r="Q212" s="18" t="s">
        <v>9220</v>
      </c>
    </row>
    <row r="213" spans="1:17" x14ac:dyDescent="0.35">
      <c r="A213" t="s">
        <v>2403</v>
      </c>
      <c r="B213" s="3" t="s">
        <v>102</v>
      </c>
      <c r="C213" s="3" t="s">
        <v>9209</v>
      </c>
      <c r="D213" s="3"/>
      <c r="E213" s="3"/>
      <c r="F213" t="s">
        <v>2787</v>
      </c>
      <c r="H213" t="s">
        <v>3214</v>
      </c>
      <c r="J213" t="str">
        <f t="shared" si="3"/>
        <v>Form NCEN-C.9.c.ii</v>
      </c>
      <c r="K213" t="s">
        <v>3162</v>
      </c>
      <c r="L213" t="s">
        <v>3215</v>
      </c>
      <c r="M213" t="s">
        <v>3216</v>
      </c>
      <c r="N213" t="s">
        <v>229</v>
      </c>
      <c r="Q213" s="18" t="s">
        <v>9220</v>
      </c>
    </row>
    <row r="214" spans="1:17" x14ac:dyDescent="0.35">
      <c r="A214" t="s">
        <v>2403</v>
      </c>
      <c r="B214" s="3" t="s">
        <v>102</v>
      </c>
      <c r="C214" s="3" t="s">
        <v>9209</v>
      </c>
      <c r="D214" s="3"/>
      <c r="E214" s="3"/>
      <c r="F214" t="s">
        <v>2787</v>
      </c>
      <c r="H214" t="s">
        <v>3217</v>
      </c>
      <c r="J214" t="str">
        <f t="shared" si="3"/>
        <v>Form NCEN-C.9.c.iii</v>
      </c>
      <c r="K214" t="s">
        <v>2645</v>
      </c>
      <c r="L214" t="s">
        <v>3218</v>
      </c>
      <c r="M214" t="s">
        <v>3219</v>
      </c>
      <c r="N214" t="s">
        <v>229</v>
      </c>
      <c r="Q214" s="18" t="s">
        <v>9220</v>
      </c>
    </row>
    <row r="215" spans="1:17" x14ac:dyDescent="0.35">
      <c r="A215" t="s">
        <v>2403</v>
      </c>
      <c r="B215" s="3" t="s">
        <v>102</v>
      </c>
      <c r="C215" s="3" t="s">
        <v>9209</v>
      </c>
      <c r="D215" s="3"/>
      <c r="E215" s="3"/>
      <c r="F215" t="s">
        <v>2787</v>
      </c>
      <c r="H215" t="s">
        <v>3220</v>
      </c>
      <c r="J215" t="str">
        <f t="shared" si="3"/>
        <v>Form NCEN-C.9.c.iv</v>
      </c>
      <c r="K215" t="s">
        <v>2649</v>
      </c>
      <c r="L215" t="s">
        <v>3221</v>
      </c>
      <c r="M215" t="s">
        <v>3222</v>
      </c>
      <c r="N215" t="s">
        <v>229</v>
      </c>
      <c r="Q215" s="18" t="s">
        <v>9220</v>
      </c>
    </row>
    <row r="216" spans="1:17" x14ac:dyDescent="0.35">
      <c r="A216" t="s">
        <v>2403</v>
      </c>
      <c r="B216" s="3" t="s">
        <v>102</v>
      </c>
      <c r="C216" s="3" t="s">
        <v>9209</v>
      </c>
      <c r="D216" s="3"/>
      <c r="E216" s="3"/>
      <c r="F216" t="s">
        <v>2787</v>
      </c>
      <c r="H216" t="s">
        <v>3223</v>
      </c>
      <c r="J216" t="str">
        <f t="shared" si="3"/>
        <v>Form NCEN-C.9.c.v</v>
      </c>
      <c r="K216" t="s">
        <v>2400</v>
      </c>
      <c r="L216" t="s">
        <v>3224</v>
      </c>
      <c r="M216" t="s">
        <v>3225</v>
      </c>
      <c r="N216" t="s">
        <v>229</v>
      </c>
      <c r="Q216" s="18" t="s">
        <v>9220</v>
      </c>
    </row>
    <row r="217" spans="1:17" x14ac:dyDescent="0.35">
      <c r="A217" t="s">
        <v>2403</v>
      </c>
      <c r="B217" s="3" t="s">
        <v>102</v>
      </c>
      <c r="C217" s="3" t="s">
        <v>9209</v>
      </c>
      <c r="D217" s="3"/>
      <c r="E217" s="3"/>
      <c r="F217" t="s">
        <v>2787</v>
      </c>
      <c r="H217" t="s">
        <v>3226</v>
      </c>
      <c r="J217" t="str">
        <f t="shared" si="3"/>
        <v>Form NCEN-C.9.c.vi</v>
      </c>
      <c r="K217" t="s">
        <v>2405</v>
      </c>
      <c r="L217" t="s">
        <v>3227</v>
      </c>
      <c r="M217" t="s">
        <v>3228</v>
      </c>
      <c r="N217" t="s">
        <v>229</v>
      </c>
      <c r="Q217" s="18" t="s">
        <v>9220</v>
      </c>
    </row>
    <row r="218" spans="1:17" x14ac:dyDescent="0.35">
      <c r="A218" t="s">
        <v>2403</v>
      </c>
      <c r="B218" s="3" t="s">
        <v>102</v>
      </c>
      <c r="C218" s="3" t="s">
        <v>9209</v>
      </c>
      <c r="D218" s="3"/>
      <c r="E218" s="3"/>
      <c r="F218" t="s">
        <v>2787</v>
      </c>
      <c r="H218" t="s">
        <v>3229</v>
      </c>
      <c r="J218" t="str">
        <f t="shared" si="3"/>
        <v>Form NCEN-C.9.c.vii</v>
      </c>
      <c r="K218" t="s">
        <v>3230</v>
      </c>
      <c r="L218" t="s">
        <v>3231</v>
      </c>
      <c r="M218" t="s">
        <v>3232</v>
      </c>
      <c r="N218" t="s">
        <v>2374</v>
      </c>
      <c r="Q218" s="18" t="s">
        <v>9220</v>
      </c>
    </row>
    <row r="219" spans="1:17" x14ac:dyDescent="0.35">
      <c r="A219" t="s">
        <v>2403</v>
      </c>
      <c r="B219" s="3" t="s">
        <v>102</v>
      </c>
      <c r="C219" s="3" t="s">
        <v>9209</v>
      </c>
      <c r="D219" s="3"/>
      <c r="E219" s="3"/>
      <c r="F219" t="s">
        <v>2787</v>
      </c>
      <c r="H219" t="s">
        <v>3233</v>
      </c>
      <c r="J219" t="str">
        <f t="shared" si="3"/>
        <v>Form NCEN-C.9.c.viii</v>
      </c>
      <c r="K219" t="s">
        <v>3234</v>
      </c>
      <c r="L219" t="s">
        <v>3235</v>
      </c>
      <c r="M219" t="s">
        <v>3236</v>
      </c>
      <c r="N219" t="s">
        <v>2374</v>
      </c>
      <c r="Q219" s="18" t="s">
        <v>9220</v>
      </c>
    </row>
    <row r="220" spans="1:17" x14ac:dyDescent="0.35">
      <c r="A220" t="s">
        <v>2403</v>
      </c>
      <c r="B220" s="3" t="s">
        <v>102</v>
      </c>
      <c r="C220" s="3" t="s">
        <v>9209</v>
      </c>
      <c r="D220" s="3"/>
      <c r="E220" s="3"/>
      <c r="F220" t="s">
        <v>2787</v>
      </c>
      <c r="H220" t="s">
        <v>3237</v>
      </c>
      <c r="J220" t="str">
        <f t="shared" si="3"/>
        <v>Form NCEN-C.9.c.viii.1</v>
      </c>
      <c r="K220" t="s">
        <v>3238</v>
      </c>
      <c r="L220" t="s">
        <v>3239</v>
      </c>
      <c r="M220" t="s">
        <v>3240</v>
      </c>
      <c r="N220" t="s">
        <v>248</v>
      </c>
      <c r="Q220" s="18" t="s">
        <v>9220</v>
      </c>
    </row>
    <row r="221" spans="1:17" x14ac:dyDescent="0.35">
      <c r="A221" t="s">
        <v>2403</v>
      </c>
      <c r="B221" s="3" t="s">
        <v>102</v>
      </c>
      <c r="C221" s="3" t="s">
        <v>9209</v>
      </c>
      <c r="D221" s="3"/>
      <c r="E221" s="3"/>
      <c r="F221" t="s">
        <v>2787</v>
      </c>
      <c r="H221" t="s">
        <v>3241</v>
      </c>
      <c r="J221" t="str">
        <f t="shared" si="3"/>
        <v>Form NCEN-C.9.d.i</v>
      </c>
      <c r="K221" t="s">
        <v>2516</v>
      </c>
      <c r="L221" t="s">
        <v>3242</v>
      </c>
      <c r="M221" t="s">
        <v>3243</v>
      </c>
      <c r="N221" t="s">
        <v>229</v>
      </c>
      <c r="Q221" s="18" t="s">
        <v>9220</v>
      </c>
    </row>
    <row r="222" spans="1:17" x14ac:dyDescent="0.35">
      <c r="A222" t="s">
        <v>2403</v>
      </c>
      <c r="B222" s="3" t="s">
        <v>102</v>
      </c>
      <c r="C222" s="3" t="s">
        <v>9209</v>
      </c>
      <c r="D222" s="3"/>
      <c r="E222" s="3"/>
      <c r="F222" t="s">
        <v>2787</v>
      </c>
      <c r="H222" t="s">
        <v>3244</v>
      </c>
      <c r="J222" t="str">
        <f t="shared" si="3"/>
        <v>Form NCEN-C.9.d.ii</v>
      </c>
      <c r="K222" t="s">
        <v>3162</v>
      </c>
      <c r="L222" t="s">
        <v>3245</v>
      </c>
      <c r="M222" t="s">
        <v>3246</v>
      </c>
      <c r="N222" t="s">
        <v>229</v>
      </c>
      <c r="Q222" s="18" t="s">
        <v>9220</v>
      </c>
    </row>
    <row r="223" spans="1:17" x14ac:dyDescent="0.35">
      <c r="A223" t="s">
        <v>2403</v>
      </c>
      <c r="B223" s="3" t="s">
        <v>102</v>
      </c>
      <c r="C223" s="3" t="s">
        <v>9209</v>
      </c>
      <c r="D223" s="3"/>
      <c r="E223" s="3"/>
      <c r="F223" t="s">
        <v>2787</v>
      </c>
      <c r="H223" t="s">
        <v>3247</v>
      </c>
      <c r="J223" t="str">
        <f t="shared" si="3"/>
        <v>Form NCEN-C.9.d.iii</v>
      </c>
      <c r="K223" t="s">
        <v>2645</v>
      </c>
      <c r="L223" t="s">
        <v>3248</v>
      </c>
      <c r="M223" t="s">
        <v>3249</v>
      </c>
      <c r="N223" t="s">
        <v>229</v>
      </c>
      <c r="Q223" s="18" t="s">
        <v>9220</v>
      </c>
    </row>
    <row r="224" spans="1:17" x14ac:dyDescent="0.35">
      <c r="A224" t="s">
        <v>2403</v>
      </c>
      <c r="B224" s="3" t="s">
        <v>102</v>
      </c>
      <c r="C224" s="3" t="s">
        <v>9209</v>
      </c>
      <c r="D224" s="3"/>
      <c r="E224" s="3"/>
      <c r="F224" t="s">
        <v>2787</v>
      </c>
      <c r="H224" t="s">
        <v>3250</v>
      </c>
      <c r="J224" t="str">
        <f t="shared" si="3"/>
        <v>Form NCEN-C.9.d.iv</v>
      </c>
      <c r="K224" t="s">
        <v>2649</v>
      </c>
      <c r="L224" t="s">
        <v>3251</v>
      </c>
      <c r="M224" t="s">
        <v>3252</v>
      </c>
      <c r="N224" t="s">
        <v>229</v>
      </c>
      <c r="Q224" s="18" t="s">
        <v>9220</v>
      </c>
    </row>
    <row r="225" spans="1:17" x14ac:dyDescent="0.35">
      <c r="A225" t="s">
        <v>2403</v>
      </c>
      <c r="B225" s="3" t="s">
        <v>102</v>
      </c>
      <c r="C225" s="3" t="s">
        <v>9209</v>
      </c>
      <c r="D225" s="3"/>
      <c r="E225" s="3"/>
      <c r="F225" t="s">
        <v>2787</v>
      </c>
      <c r="H225" t="s">
        <v>3253</v>
      </c>
      <c r="J225" t="str">
        <f t="shared" si="3"/>
        <v>Form NCEN-C.9.d.v</v>
      </c>
      <c r="K225" t="s">
        <v>2400</v>
      </c>
      <c r="L225" t="s">
        <v>3254</v>
      </c>
      <c r="M225" t="s">
        <v>3255</v>
      </c>
      <c r="N225" t="s">
        <v>229</v>
      </c>
      <c r="Q225" s="18" t="s">
        <v>9220</v>
      </c>
    </row>
    <row r="226" spans="1:17" x14ac:dyDescent="0.35">
      <c r="A226" t="s">
        <v>2403</v>
      </c>
      <c r="B226" s="3" t="s">
        <v>102</v>
      </c>
      <c r="C226" s="3" t="s">
        <v>9209</v>
      </c>
      <c r="D226" s="3"/>
      <c r="E226" s="3"/>
      <c r="F226" t="s">
        <v>2787</v>
      </c>
      <c r="H226" t="s">
        <v>3256</v>
      </c>
      <c r="J226" t="str">
        <f t="shared" si="3"/>
        <v>Form NCEN-C.9.d.vi</v>
      </c>
      <c r="K226" t="s">
        <v>2405</v>
      </c>
      <c r="L226" t="s">
        <v>3257</v>
      </c>
      <c r="M226" t="s">
        <v>3258</v>
      </c>
      <c r="N226" t="s">
        <v>229</v>
      </c>
      <c r="Q226" s="18" t="s">
        <v>9220</v>
      </c>
    </row>
    <row r="227" spans="1:17" x14ac:dyDescent="0.35">
      <c r="A227" t="s">
        <v>2403</v>
      </c>
      <c r="B227" s="3" t="s">
        <v>102</v>
      </c>
      <c r="C227" s="3" t="s">
        <v>9209</v>
      </c>
      <c r="D227" s="3"/>
      <c r="E227" s="3"/>
      <c r="F227" t="s">
        <v>2787</v>
      </c>
      <c r="H227" t="s">
        <v>3259</v>
      </c>
      <c r="J227" t="str">
        <f t="shared" si="3"/>
        <v>Form NCEN-C.9.d.vii</v>
      </c>
      <c r="K227" t="s">
        <v>3208</v>
      </c>
      <c r="L227" t="s">
        <v>3260</v>
      </c>
      <c r="M227" t="s">
        <v>3261</v>
      </c>
      <c r="N227" t="s">
        <v>248</v>
      </c>
      <c r="Q227" s="18" t="s">
        <v>9220</v>
      </c>
    </row>
    <row r="228" spans="1:17" x14ac:dyDescent="0.35">
      <c r="A228" t="s">
        <v>2403</v>
      </c>
      <c r="B228" s="3" t="s">
        <v>102</v>
      </c>
      <c r="C228" s="3" t="s">
        <v>9209</v>
      </c>
      <c r="D228" s="3"/>
      <c r="E228" s="3"/>
      <c r="F228" t="s">
        <v>2787</v>
      </c>
      <c r="H228" t="s">
        <v>1628</v>
      </c>
      <c r="J228" t="str">
        <f t="shared" si="3"/>
        <v>Form NCEN-C.10</v>
      </c>
      <c r="K228" t="s">
        <v>3262</v>
      </c>
      <c r="L228" t="s">
        <v>3263</v>
      </c>
      <c r="M228" t="s">
        <v>3264</v>
      </c>
      <c r="N228" t="s">
        <v>2759</v>
      </c>
      <c r="Q228" s="18" t="s">
        <v>9220</v>
      </c>
    </row>
    <row r="229" spans="1:17" x14ac:dyDescent="0.35">
      <c r="A229" t="s">
        <v>2403</v>
      </c>
      <c r="B229" s="3" t="s">
        <v>102</v>
      </c>
      <c r="C229" s="3" t="s">
        <v>9209</v>
      </c>
      <c r="D229" s="3"/>
      <c r="E229" s="3"/>
      <c r="F229" t="s">
        <v>2787</v>
      </c>
      <c r="H229" t="s">
        <v>3265</v>
      </c>
      <c r="J229" t="str">
        <f t="shared" si="3"/>
        <v>Form NCEN-C.10.a.i</v>
      </c>
      <c r="K229" t="s">
        <v>2516</v>
      </c>
      <c r="L229" t="s">
        <v>3266</v>
      </c>
      <c r="M229" t="s">
        <v>3267</v>
      </c>
      <c r="N229" t="s">
        <v>229</v>
      </c>
      <c r="Q229" s="18" t="s">
        <v>3268</v>
      </c>
    </row>
    <row r="230" spans="1:17" x14ac:dyDescent="0.35">
      <c r="A230" t="s">
        <v>2403</v>
      </c>
      <c r="B230" s="3" t="s">
        <v>102</v>
      </c>
      <c r="C230" s="3" t="s">
        <v>9209</v>
      </c>
      <c r="D230" s="3"/>
      <c r="E230" s="3"/>
      <c r="F230" t="s">
        <v>2787</v>
      </c>
      <c r="H230" t="s">
        <v>3269</v>
      </c>
      <c r="J230" t="str">
        <f t="shared" si="3"/>
        <v>Form NCEN-C.10.a.ii</v>
      </c>
      <c r="K230" t="s">
        <v>3270</v>
      </c>
      <c r="L230" t="s">
        <v>3271</v>
      </c>
      <c r="M230" t="s">
        <v>3272</v>
      </c>
      <c r="N230" t="s">
        <v>229</v>
      </c>
      <c r="Q230" s="18" t="s">
        <v>3273</v>
      </c>
    </row>
    <row r="231" spans="1:17" x14ac:dyDescent="0.35">
      <c r="A231" t="s">
        <v>2403</v>
      </c>
      <c r="B231" s="3" t="s">
        <v>102</v>
      </c>
      <c r="C231" s="3" t="s">
        <v>9209</v>
      </c>
      <c r="D231" s="3"/>
      <c r="E231" s="3"/>
      <c r="F231" t="s">
        <v>2787</v>
      </c>
      <c r="H231" t="s">
        <v>3274</v>
      </c>
      <c r="J231" t="str">
        <f t="shared" si="3"/>
        <v>Form NCEN-C.10.a.iii</v>
      </c>
      <c r="K231" t="s">
        <v>2649</v>
      </c>
      <c r="L231" t="s">
        <v>3275</v>
      </c>
      <c r="M231" t="s">
        <v>3276</v>
      </c>
      <c r="N231" t="s">
        <v>229</v>
      </c>
      <c r="Q231" s="18" t="s">
        <v>1590</v>
      </c>
    </row>
    <row r="232" spans="1:17" x14ac:dyDescent="0.35">
      <c r="A232" t="s">
        <v>2403</v>
      </c>
      <c r="B232" s="3" t="s">
        <v>102</v>
      </c>
      <c r="C232" s="3" t="s">
        <v>9209</v>
      </c>
      <c r="D232" s="3"/>
      <c r="E232" s="3"/>
      <c r="F232" t="s">
        <v>2787</v>
      </c>
      <c r="H232" t="s">
        <v>3277</v>
      </c>
      <c r="J232" t="str">
        <f t="shared" si="3"/>
        <v>Form NCEN-C.10.a.iv</v>
      </c>
      <c r="K232" t="s">
        <v>2400</v>
      </c>
      <c r="L232" t="s">
        <v>3278</v>
      </c>
      <c r="M232" t="s">
        <v>3279</v>
      </c>
      <c r="N232" t="s">
        <v>229</v>
      </c>
      <c r="Q232" s="18" t="s">
        <v>2437</v>
      </c>
    </row>
    <row r="233" spans="1:17" x14ac:dyDescent="0.35">
      <c r="A233" t="s">
        <v>2403</v>
      </c>
      <c r="B233" s="3" t="s">
        <v>102</v>
      </c>
      <c r="C233" s="3" t="s">
        <v>9209</v>
      </c>
      <c r="D233" s="3"/>
      <c r="E233" s="3"/>
      <c r="F233" t="s">
        <v>2787</v>
      </c>
      <c r="H233" t="s">
        <v>3280</v>
      </c>
      <c r="J233" t="str">
        <f t="shared" si="3"/>
        <v>Form NCEN-C.10.a.v</v>
      </c>
      <c r="K233" t="s">
        <v>2405</v>
      </c>
      <c r="L233" t="s">
        <v>3281</v>
      </c>
      <c r="M233" t="s">
        <v>3282</v>
      </c>
      <c r="N233" t="s">
        <v>229</v>
      </c>
      <c r="Q233" s="18" t="s">
        <v>2408</v>
      </c>
    </row>
    <row r="234" spans="1:17" x14ac:dyDescent="0.35">
      <c r="A234" t="s">
        <v>2403</v>
      </c>
      <c r="B234" s="3" t="s">
        <v>102</v>
      </c>
      <c r="C234" s="3" t="s">
        <v>9209</v>
      </c>
      <c r="D234" s="3"/>
      <c r="E234" s="3"/>
      <c r="F234" t="s">
        <v>2787</v>
      </c>
      <c r="H234" t="s">
        <v>3283</v>
      </c>
      <c r="J234" t="str">
        <f t="shared" si="3"/>
        <v>Form NCEN-C.10.a.vi</v>
      </c>
      <c r="K234" t="s">
        <v>3284</v>
      </c>
      <c r="L234" t="s">
        <v>3285</v>
      </c>
      <c r="M234" t="s">
        <v>3286</v>
      </c>
      <c r="N234" t="s">
        <v>2374</v>
      </c>
      <c r="Q234" s="18" t="s">
        <v>27</v>
      </c>
    </row>
    <row r="235" spans="1:17" x14ac:dyDescent="0.35">
      <c r="A235" t="s">
        <v>2403</v>
      </c>
      <c r="B235" s="3" t="s">
        <v>102</v>
      </c>
      <c r="C235" s="3" t="s">
        <v>9209</v>
      </c>
      <c r="D235" s="3"/>
      <c r="E235" s="3"/>
      <c r="F235" t="s">
        <v>2787</v>
      </c>
      <c r="H235" t="s">
        <v>3287</v>
      </c>
      <c r="J235" t="str">
        <f t="shared" si="3"/>
        <v>Form NCEN-C.10.a.vii</v>
      </c>
      <c r="K235" t="s">
        <v>3288</v>
      </c>
      <c r="L235" t="s">
        <v>3289</v>
      </c>
      <c r="M235" t="s">
        <v>3290</v>
      </c>
      <c r="N235" t="s">
        <v>2374</v>
      </c>
      <c r="Q235" s="18" t="s">
        <v>1341</v>
      </c>
    </row>
    <row r="236" spans="1:17" x14ac:dyDescent="0.35">
      <c r="A236" t="s">
        <v>2403</v>
      </c>
      <c r="B236" s="3" t="s">
        <v>102</v>
      </c>
      <c r="C236" s="3" t="s">
        <v>9209</v>
      </c>
      <c r="D236" s="3"/>
      <c r="E236" s="3"/>
      <c r="F236" t="s">
        <v>2787</v>
      </c>
      <c r="H236" t="s">
        <v>3291</v>
      </c>
      <c r="J236" t="str">
        <f t="shared" si="3"/>
        <v>Form NCEN-C.10.b</v>
      </c>
      <c r="K236" t="s">
        <v>3292</v>
      </c>
      <c r="L236" t="s">
        <v>3293</v>
      </c>
      <c r="M236" t="s">
        <v>3294</v>
      </c>
      <c r="N236" t="s">
        <v>2374</v>
      </c>
      <c r="Q236" s="18" t="s">
        <v>1341</v>
      </c>
    </row>
    <row r="237" spans="1:17" x14ac:dyDescent="0.35">
      <c r="A237" t="s">
        <v>2403</v>
      </c>
      <c r="B237" s="3" t="s">
        <v>102</v>
      </c>
      <c r="C237" s="3" t="s">
        <v>9209</v>
      </c>
      <c r="D237" s="3"/>
      <c r="E237" s="3"/>
      <c r="F237" t="s">
        <v>2787</v>
      </c>
      <c r="H237" t="s">
        <v>3295</v>
      </c>
      <c r="J237" t="str">
        <f t="shared" si="3"/>
        <v>Form NCEN-C.11.a.i</v>
      </c>
      <c r="K237" t="s">
        <v>2516</v>
      </c>
      <c r="L237" t="s">
        <v>3296</v>
      </c>
      <c r="M237" t="s">
        <v>3297</v>
      </c>
      <c r="N237" t="s">
        <v>229</v>
      </c>
      <c r="Q237" s="18" t="s">
        <v>3298</v>
      </c>
    </row>
    <row r="238" spans="1:17" x14ac:dyDescent="0.35">
      <c r="A238" t="s">
        <v>2403</v>
      </c>
      <c r="B238" s="3" t="s">
        <v>102</v>
      </c>
      <c r="C238" s="3" t="s">
        <v>9209</v>
      </c>
      <c r="D238" s="3"/>
      <c r="E238" s="3"/>
      <c r="F238" t="s">
        <v>2787</v>
      </c>
      <c r="H238" t="s">
        <v>3299</v>
      </c>
      <c r="J238" t="str">
        <f t="shared" si="3"/>
        <v>Form NCEN-C.11.a.ii</v>
      </c>
      <c r="K238" t="s">
        <v>3300</v>
      </c>
      <c r="L238" t="s">
        <v>3301</v>
      </c>
      <c r="M238" t="s">
        <v>3302</v>
      </c>
      <c r="N238" t="s">
        <v>229</v>
      </c>
      <c r="Q238" s="18" t="s">
        <v>3303</v>
      </c>
    </row>
    <row r="239" spans="1:17" x14ac:dyDescent="0.35">
      <c r="A239" t="s">
        <v>2403</v>
      </c>
      <c r="B239" s="3" t="s">
        <v>102</v>
      </c>
      <c r="C239" s="3" t="s">
        <v>9209</v>
      </c>
      <c r="D239" s="3"/>
      <c r="E239" s="3"/>
      <c r="F239" t="s">
        <v>2787</v>
      </c>
      <c r="H239" t="s">
        <v>3304</v>
      </c>
      <c r="J239" t="str">
        <f t="shared" si="3"/>
        <v>Form NCEN-C.11.a.iii</v>
      </c>
      <c r="K239" t="s">
        <v>2400</v>
      </c>
      <c r="L239" t="s">
        <v>3305</v>
      </c>
      <c r="M239" t="s">
        <v>3306</v>
      </c>
      <c r="N239" t="s">
        <v>229</v>
      </c>
      <c r="Q239" s="18" t="s">
        <v>3307</v>
      </c>
    </row>
    <row r="240" spans="1:17" x14ac:dyDescent="0.35">
      <c r="A240" t="s">
        <v>2403</v>
      </c>
      <c r="B240" s="3" t="s">
        <v>102</v>
      </c>
      <c r="C240" s="3" t="s">
        <v>9209</v>
      </c>
      <c r="D240" s="3"/>
      <c r="E240" s="3"/>
      <c r="F240" t="s">
        <v>2787</v>
      </c>
      <c r="H240" t="s">
        <v>3308</v>
      </c>
      <c r="J240" t="str">
        <f t="shared" si="3"/>
        <v>Form NCEN-C.11.a.iv</v>
      </c>
      <c r="K240" t="s">
        <v>2405</v>
      </c>
      <c r="L240" t="s">
        <v>3309</v>
      </c>
      <c r="M240" t="s">
        <v>3310</v>
      </c>
      <c r="N240" t="s">
        <v>229</v>
      </c>
      <c r="Q240" s="18" t="s">
        <v>2408</v>
      </c>
    </row>
    <row r="241" spans="1:17" x14ac:dyDescent="0.35">
      <c r="A241" t="s">
        <v>2403</v>
      </c>
      <c r="B241" s="3" t="s">
        <v>102</v>
      </c>
      <c r="C241" s="3" t="s">
        <v>9209</v>
      </c>
      <c r="D241" s="3"/>
      <c r="E241" s="3"/>
      <c r="F241" t="s">
        <v>2787</v>
      </c>
      <c r="H241" t="s">
        <v>3311</v>
      </c>
      <c r="J241" t="str">
        <f t="shared" si="3"/>
        <v>Form NCEN-C.11.a.v</v>
      </c>
      <c r="K241" t="s">
        <v>3312</v>
      </c>
      <c r="L241" t="s">
        <v>3313</v>
      </c>
      <c r="M241" t="s">
        <v>3314</v>
      </c>
      <c r="N241" t="s">
        <v>2374</v>
      </c>
      <c r="Q241" s="18" t="s">
        <v>1341</v>
      </c>
    </row>
    <row r="242" spans="1:17" x14ac:dyDescent="0.35">
      <c r="A242" t="s">
        <v>2403</v>
      </c>
      <c r="B242" s="3" t="s">
        <v>102</v>
      </c>
      <c r="C242" s="3" t="s">
        <v>9209</v>
      </c>
      <c r="D242" s="3"/>
      <c r="E242" s="3"/>
      <c r="F242" t="s">
        <v>2787</v>
      </c>
      <c r="H242" t="s">
        <v>3315</v>
      </c>
      <c r="J242" t="str">
        <f t="shared" si="3"/>
        <v>Form NCEN-C.11.b</v>
      </c>
      <c r="K242" t="s">
        <v>3316</v>
      </c>
      <c r="L242" t="s">
        <v>3317</v>
      </c>
      <c r="M242" t="s">
        <v>3318</v>
      </c>
      <c r="N242" t="s">
        <v>2374</v>
      </c>
      <c r="Q242" s="18" t="s">
        <v>1341</v>
      </c>
    </row>
    <row r="243" spans="1:17" x14ac:dyDescent="0.35">
      <c r="A243" t="s">
        <v>2403</v>
      </c>
      <c r="B243" s="3" t="s">
        <v>102</v>
      </c>
      <c r="C243" s="3" t="s">
        <v>9209</v>
      </c>
      <c r="D243" s="3"/>
      <c r="E243" s="3"/>
      <c r="F243" t="s">
        <v>2787</v>
      </c>
      <c r="H243" t="s">
        <v>1729</v>
      </c>
      <c r="J243" t="str">
        <f t="shared" si="3"/>
        <v>Form NCEN-C.12</v>
      </c>
      <c r="K243" s="15" t="s">
        <v>3319</v>
      </c>
      <c r="L243" t="s">
        <v>3320</v>
      </c>
      <c r="M243" t="s">
        <v>3321</v>
      </c>
      <c r="N243" t="s">
        <v>2759</v>
      </c>
      <c r="Q243" s="18"/>
    </row>
    <row r="244" spans="1:17" x14ac:dyDescent="0.35">
      <c r="A244" t="s">
        <v>2403</v>
      </c>
      <c r="B244" s="3" t="s">
        <v>102</v>
      </c>
      <c r="C244" s="3" t="s">
        <v>9209</v>
      </c>
      <c r="D244" s="3"/>
      <c r="E244" s="3"/>
      <c r="F244" t="s">
        <v>2787</v>
      </c>
      <c r="H244" t="s">
        <v>9231</v>
      </c>
      <c r="J244" t="str">
        <f t="shared" si="3"/>
        <v>Form NCEN-C.12.1.a.i.</v>
      </c>
      <c r="K244" t="s">
        <v>2516</v>
      </c>
      <c r="L244" t="s">
        <v>3323</v>
      </c>
      <c r="M244" t="s">
        <v>3324</v>
      </c>
      <c r="N244" t="s">
        <v>229</v>
      </c>
      <c r="Q244" s="15" t="s">
        <v>2973</v>
      </c>
    </row>
    <row r="245" spans="1:17" x14ac:dyDescent="0.35">
      <c r="A245" t="s">
        <v>2403</v>
      </c>
      <c r="B245" s="3" t="s">
        <v>102</v>
      </c>
      <c r="C245" s="3" t="s">
        <v>9209</v>
      </c>
      <c r="D245" s="3"/>
      <c r="E245" s="3"/>
      <c r="F245" t="s">
        <v>2787</v>
      </c>
      <c r="H245" t="s">
        <v>9230</v>
      </c>
      <c r="J245" t="str">
        <f t="shared" si="3"/>
        <v>Form NCEN-C.12.1.a.ii.</v>
      </c>
      <c r="K245" t="s">
        <v>2649</v>
      </c>
      <c r="L245" t="s">
        <v>3326</v>
      </c>
      <c r="M245" t="s">
        <v>3327</v>
      </c>
      <c r="N245" t="s">
        <v>229</v>
      </c>
      <c r="Q245" t="s">
        <v>1590</v>
      </c>
    </row>
    <row r="246" spans="1:17" x14ac:dyDescent="0.35">
      <c r="A246" t="s">
        <v>2403</v>
      </c>
      <c r="B246" s="3" t="s">
        <v>102</v>
      </c>
      <c r="C246" s="3" t="s">
        <v>9209</v>
      </c>
      <c r="D246" s="3"/>
      <c r="E246" s="3"/>
      <c r="F246" t="s">
        <v>2787</v>
      </c>
      <c r="H246" t="s">
        <v>9229</v>
      </c>
      <c r="J246" t="str">
        <f t="shared" si="3"/>
        <v>Form NCEN-C.12.1.a.iii.</v>
      </c>
      <c r="K246" t="s">
        <v>2400</v>
      </c>
      <c r="L246" t="s">
        <v>3329</v>
      </c>
      <c r="M246" t="s">
        <v>3330</v>
      </c>
      <c r="N246" t="s">
        <v>229</v>
      </c>
      <c r="Q246" t="s">
        <v>3307</v>
      </c>
    </row>
    <row r="247" spans="1:17" x14ac:dyDescent="0.35">
      <c r="A247" t="s">
        <v>2403</v>
      </c>
      <c r="B247" s="3" t="s">
        <v>102</v>
      </c>
      <c r="C247" s="3" t="s">
        <v>9209</v>
      </c>
      <c r="D247" s="3"/>
      <c r="E247" s="3"/>
      <c r="F247" t="s">
        <v>2787</v>
      </c>
      <c r="H247" t="s">
        <v>9228</v>
      </c>
      <c r="J247" t="str">
        <f t="shared" si="3"/>
        <v>Form NCEN-C.12.1.a.iv</v>
      </c>
      <c r="K247" t="s">
        <v>2405</v>
      </c>
      <c r="L247" t="s">
        <v>3332</v>
      </c>
      <c r="M247" t="s">
        <v>3333</v>
      </c>
      <c r="N247" t="s">
        <v>229</v>
      </c>
      <c r="Q247" t="s">
        <v>2408</v>
      </c>
    </row>
    <row r="248" spans="1:17" x14ac:dyDescent="0.35">
      <c r="A248" t="s">
        <v>2403</v>
      </c>
      <c r="B248" s="3" t="s">
        <v>102</v>
      </c>
      <c r="C248" s="3" t="s">
        <v>9209</v>
      </c>
      <c r="D248" s="3"/>
      <c r="E248" s="3"/>
      <c r="F248" t="s">
        <v>2787</v>
      </c>
      <c r="H248" t="s">
        <v>9227</v>
      </c>
      <c r="J248" t="str">
        <f t="shared" si="3"/>
        <v>Form NCEN-C.12.1.a.v</v>
      </c>
      <c r="K248" t="s">
        <v>3335</v>
      </c>
      <c r="L248" t="s">
        <v>3336</v>
      </c>
      <c r="M248" t="s">
        <v>3337</v>
      </c>
      <c r="N248" t="s">
        <v>2374</v>
      </c>
      <c r="Q248" t="s">
        <v>1341</v>
      </c>
    </row>
    <row r="249" spans="1:17" x14ac:dyDescent="0.35">
      <c r="A249" t="s">
        <v>2403</v>
      </c>
      <c r="B249" s="3" t="s">
        <v>102</v>
      </c>
      <c r="C249" s="3" t="s">
        <v>9209</v>
      </c>
      <c r="D249" s="3"/>
      <c r="E249" s="3"/>
      <c r="F249" t="s">
        <v>2787</v>
      </c>
      <c r="H249" t="s">
        <v>9232</v>
      </c>
      <c r="J249" t="str">
        <f t="shared" si="3"/>
        <v>Form NCEN-C.12.1.a.vi</v>
      </c>
      <c r="K249" t="s">
        <v>3339</v>
      </c>
      <c r="L249" t="s">
        <v>3340</v>
      </c>
      <c r="M249" t="s">
        <v>3341</v>
      </c>
      <c r="N249" t="s">
        <v>2374</v>
      </c>
      <c r="Q249" t="s">
        <v>1341</v>
      </c>
    </row>
    <row r="250" spans="1:17" x14ac:dyDescent="0.35">
      <c r="A250" t="s">
        <v>2403</v>
      </c>
      <c r="B250" s="3" t="s">
        <v>102</v>
      </c>
      <c r="C250" s="3" t="s">
        <v>9209</v>
      </c>
      <c r="D250" s="3"/>
      <c r="E250" s="3"/>
      <c r="F250" t="s">
        <v>2787</v>
      </c>
      <c r="H250" t="s">
        <v>9233</v>
      </c>
      <c r="J250" t="str">
        <f t="shared" si="3"/>
        <v>Form NCEN-C.12.1.a.vii</v>
      </c>
      <c r="K250" t="s">
        <v>3343</v>
      </c>
      <c r="L250" t="s">
        <v>3344</v>
      </c>
      <c r="M250" t="s">
        <v>3345</v>
      </c>
      <c r="N250" t="s">
        <v>3017</v>
      </c>
    </row>
    <row r="251" spans="1:17" x14ac:dyDescent="0.35">
      <c r="A251" t="s">
        <v>2403</v>
      </c>
      <c r="B251" s="3" t="s">
        <v>102</v>
      </c>
      <c r="C251" s="3" t="s">
        <v>9209</v>
      </c>
      <c r="D251" s="3"/>
      <c r="E251" s="3"/>
      <c r="F251" t="s">
        <v>2787</v>
      </c>
      <c r="H251" t="s">
        <v>9234</v>
      </c>
      <c r="J251" t="str">
        <f t="shared" si="3"/>
        <v>Form NCEN-C.12.1.a.vii.1</v>
      </c>
      <c r="K251" t="s">
        <v>3347</v>
      </c>
      <c r="L251" t="s">
        <v>3348</v>
      </c>
      <c r="M251" t="s">
        <v>3349</v>
      </c>
      <c r="N251" t="s">
        <v>3022</v>
      </c>
      <c r="Q251" t="s">
        <v>27</v>
      </c>
    </row>
    <row r="252" spans="1:17" x14ac:dyDescent="0.35">
      <c r="A252" t="s">
        <v>2403</v>
      </c>
      <c r="B252" s="3" t="s">
        <v>102</v>
      </c>
      <c r="C252" s="3" t="s">
        <v>9209</v>
      </c>
      <c r="D252" s="3"/>
      <c r="E252" s="3"/>
      <c r="F252" t="s">
        <v>2787</v>
      </c>
      <c r="H252" t="s">
        <v>9235</v>
      </c>
      <c r="J252" t="str">
        <f t="shared" si="3"/>
        <v>Form NCEN-C.12.1.a.vii.2</v>
      </c>
      <c r="K252" t="s">
        <v>3351</v>
      </c>
      <c r="L252" t="s">
        <v>3352</v>
      </c>
      <c r="M252" t="s">
        <v>3353</v>
      </c>
      <c r="N252" t="s">
        <v>3022</v>
      </c>
      <c r="Q252" s="18" t="s">
        <v>1341</v>
      </c>
    </row>
    <row r="253" spans="1:17" x14ac:dyDescent="0.35">
      <c r="A253" t="s">
        <v>2403</v>
      </c>
      <c r="B253" s="3" t="s">
        <v>102</v>
      </c>
      <c r="C253" s="3" t="s">
        <v>9209</v>
      </c>
      <c r="D253" s="3"/>
      <c r="E253" s="3"/>
      <c r="F253" t="s">
        <v>2787</v>
      </c>
      <c r="H253" t="s">
        <v>9236</v>
      </c>
      <c r="J253" t="str">
        <f t="shared" si="3"/>
        <v>Form NCEN-C.12.1.a.vii.3</v>
      </c>
      <c r="K253" t="s">
        <v>3355</v>
      </c>
      <c r="L253" t="s">
        <v>3356</v>
      </c>
      <c r="M253" t="s">
        <v>3357</v>
      </c>
      <c r="N253" t="s">
        <v>3022</v>
      </c>
      <c r="Q253" s="18" t="s">
        <v>1341</v>
      </c>
    </row>
    <row r="254" spans="1:17" x14ac:dyDescent="0.35">
      <c r="A254" t="s">
        <v>2403</v>
      </c>
      <c r="B254" s="3" t="s">
        <v>102</v>
      </c>
      <c r="C254" s="3" t="s">
        <v>9209</v>
      </c>
      <c r="D254" s="3"/>
      <c r="E254" s="3"/>
      <c r="F254" t="s">
        <v>2787</v>
      </c>
      <c r="H254" t="s">
        <v>9237</v>
      </c>
      <c r="J254" t="str">
        <f t="shared" si="3"/>
        <v>Form NCEN-C.12.1.a.vii.4</v>
      </c>
      <c r="K254" t="s">
        <v>3359</v>
      </c>
      <c r="L254" t="s">
        <v>3360</v>
      </c>
      <c r="M254" t="s">
        <v>3361</v>
      </c>
      <c r="N254" t="s">
        <v>3022</v>
      </c>
      <c r="Q254" s="18" t="s">
        <v>1341</v>
      </c>
    </row>
    <row r="255" spans="1:17" x14ac:dyDescent="0.35">
      <c r="A255" t="s">
        <v>2403</v>
      </c>
      <c r="B255" s="3" t="s">
        <v>102</v>
      </c>
      <c r="C255" s="3" t="s">
        <v>9209</v>
      </c>
      <c r="D255" s="3"/>
      <c r="E255" s="3"/>
      <c r="F255" t="s">
        <v>2787</v>
      </c>
      <c r="H255" t="s">
        <v>9238</v>
      </c>
      <c r="J255" t="str">
        <f t="shared" si="3"/>
        <v>Form NCEN-C.12.1.a.vii.5</v>
      </c>
      <c r="K255" t="s">
        <v>3363</v>
      </c>
      <c r="L255" t="s">
        <v>3364</v>
      </c>
      <c r="M255" t="s">
        <v>3365</v>
      </c>
      <c r="N255" t="s">
        <v>3022</v>
      </c>
      <c r="Q255" s="18" t="s">
        <v>1341</v>
      </c>
    </row>
    <row r="256" spans="1:17" x14ac:dyDescent="0.35">
      <c r="A256" t="s">
        <v>2403</v>
      </c>
      <c r="B256" s="3" t="s">
        <v>102</v>
      </c>
      <c r="C256" s="3" t="s">
        <v>9209</v>
      </c>
      <c r="D256" s="3"/>
      <c r="E256" s="3"/>
      <c r="F256" t="s">
        <v>2787</v>
      </c>
      <c r="H256" t="s">
        <v>9239</v>
      </c>
      <c r="J256" t="str">
        <f t="shared" si="3"/>
        <v>Form NCEN-C.12.1.a.vii.6</v>
      </c>
      <c r="K256" t="s">
        <v>3367</v>
      </c>
      <c r="L256" t="s">
        <v>3368</v>
      </c>
      <c r="M256" t="s">
        <v>3369</v>
      </c>
      <c r="N256" t="s">
        <v>3022</v>
      </c>
      <c r="Q256" s="18" t="s">
        <v>1341</v>
      </c>
    </row>
    <row r="257" spans="1:17" x14ac:dyDescent="0.35">
      <c r="A257" t="s">
        <v>2403</v>
      </c>
      <c r="B257" s="3" t="s">
        <v>102</v>
      </c>
      <c r="C257" s="3" t="s">
        <v>9209</v>
      </c>
      <c r="D257" s="3"/>
      <c r="E257" s="3"/>
      <c r="F257" t="s">
        <v>2787</v>
      </c>
      <c r="H257" t="s">
        <v>9240</v>
      </c>
      <c r="J257" t="str">
        <f t="shared" si="3"/>
        <v>Form NCEN-C.12.1.a.vii.7</v>
      </c>
      <c r="K257" t="s">
        <v>3371</v>
      </c>
      <c r="L257" t="s">
        <v>3372</v>
      </c>
      <c r="M257" t="s">
        <v>3373</v>
      </c>
      <c r="N257" t="s">
        <v>3022</v>
      </c>
      <c r="Q257" s="18" t="s">
        <v>1341</v>
      </c>
    </row>
    <row r="258" spans="1:17" x14ac:dyDescent="0.35">
      <c r="A258" t="s">
        <v>2403</v>
      </c>
      <c r="B258" s="3" t="s">
        <v>102</v>
      </c>
      <c r="C258" s="3" t="s">
        <v>9209</v>
      </c>
      <c r="D258" s="3"/>
      <c r="E258" s="3"/>
      <c r="F258" t="s">
        <v>2787</v>
      </c>
      <c r="H258" t="s">
        <v>9241</v>
      </c>
      <c r="J258" t="str">
        <f t="shared" si="3"/>
        <v>Form NCEN-C.12.1.a.vii.8</v>
      </c>
      <c r="K258" t="s">
        <v>3375</v>
      </c>
      <c r="L258" t="s">
        <v>3376</v>
      </c>
      <c r="M258" t="s">
        <v>3377</v>
      </c>
      <c r="N258" t="s">
        <v>3022</v>
      </c>
      <c r="Q258" s="18" t="s">
        <v>1341</v>
      </c>
    </row>
    <row r="259" spans="1:17" x14ac:dyDescent="0.35">
      <c r="A259" t="s">
        <v>2403</v>
      </c>
      <c r="B259" s="3" t="s">
        <v>102</v>
      </c>
      <c r="C259" s="3" t="s">
        <v>9209</v>
      </c>
      <c r="D259" s="3"/>
      <c r="E259" s="3"/>
      <c r="F259" t="s">
        <v>2787</v>
      </c>
      <c r="H259" t="s">
        <v>9242</v>
      </c>
      <c r="J259" t="str">
        <f t="shared" ref="J259:J322" si="4">_xlfn.CONCAT(A259,"-",H259)</f>
        <v>Form NCEN-C.12.1.a.vii.9</v>
      </c>
      <c r="K259" t="s">
        <v>3040</v>
      </c>
      <c r="L259" s="18" t="s">
        <v>1341</v>
      </c>
      <c r="N259" t="s">
        <v>229</v>
      </c>
      <c r="Q259" s="18" t="s">
        <v>1341</v>
      </c>
    </row>
    <row r="260" spans="1:17" x14ac:dyDescent="0.35">
      <c r="A260" t="s">
        <v>2403</v>
      </c>
      <c r="B260" s="3" t="s">
        <v>102</v>
      </c>
      <c r="C260" s="3" t="s">
        <v>9209</v>
      </c>
      <c r="D260" s="3"/>
      <c r="E260" s="3"/>
      <c r="F260" t="s">
        <v>2787</v>
      </c>
      <c r="H260" s="15" t="s">
        <v>9243</v>
      </c>
      <c r="J260" t="str">
        <f t="shared" si="4"/>
        <v>Form NCEN-C.12.2.a.i</v>
      </c>
      <c r="K260" t="s">
        <v>2516</v>
      </c>
      <c r="N260" t="s">
        <v>229</v>
      </c>
      <c r="Q260" s="18" t="s">
        <v>9221</v>
      </c>
    </row>
    <row r="261" spans="1:17" x14ac:dyDescent="0.35">
      <c r="A261" t="s">
        <v>2403</v>
      </c>
      <c r="B261" s="3" t="s">
        <v>102</v>
      </c>
      <c r="C261" s="3" t="s">
        <v>9209</v>
      </c>
      <c r="D261" s="3"/>
      <c r="E261" s="3"/>
      <c r="F261" t="s">
        <v>2787</v>
      </c>
      <c r="H261" s="15" t="s">
        <v>9244</v>
      </c>
      <c r="J261" t="str">
        <f t="shared" si="4"/>
        <v>Form NCEN-C.12.2.a.ii</v>
      </c>
      <c r="K261" t="s">
        <v>2649</v>
      </c>
      <c r="N261" t="s">
        <v>229</v>
      </c>
      <c r="Q261" s="18" t="s">
        <v>1590</v>
      </c>
    </row>
    <row r="262" spans="1:17" x14ac:dyDescent="0.35">
      <c r="A262" t="s">
        <v>2403</v>
      </c>
      <c r="B262" s="3" t="s">
        <v>102</v>
      </c>
      <c r="C262" s="3" t="s">
        <v>9209</v>
      </c>
      <c r="D262" s="3"/>
      <c r="E262" s="3"/>
      <c r="F262" t="s">
        <v>2787</v>
      </c>
      <c r="H262" s="15" t="s">
        <v>9245</v>
      </c>
      <c r="J262" t="str">
        <f t="shared" si="4"/>
        <v>Form NCEN-C.12.2.a.iii</v>
      </c>
      <c r="K262" t="s">
        <v>2400</v>
      </c>
      <c r="N262" t="s">
        <v>229</v>
      </c>
      <c r="Q262" s="18" t="s">
        <v>9220</v>
      </c>
    </row>
    <row r="263" spans="1:17" x14ac:dyDescent="0.35">
      <c r="A263" t="s">
        <v>2403</v>
      </c>
      <c r="B263" s="3" t="s">
        <v>102</v>
      </c>
      <c r="C263" s="3" t="s">
        <v>9209</v>
      </c>
      <c r="D263" s="3"/>
      <c r="E263" s="3"/>
      <c r="F263" t="s">
        <v>2787</v>
      </c>
      <c r="H263" s="15" t="s">
        <v>9246</v>
      </c>
      <c r="J263" t="str">
        <f t="shared" si="4"/>
        <v>Form NCEN-C.12.2.a.iv</v>
      </c>
      <c r="K263" t="s">
        <v>2405</v>
      </c>
      <c r="N263" t="s">
        <v>229</v>
      </c>
      <c r="Q263" s="18" t="s">
        <v>9222</v>
      </c>
    </row>
    <row r="264" spans="1:17" x14ac:dyDescent="0.35">
      <c r="A264" t="s">
        <v>2403</v>
      </c>
      <c r="B264" s="3" t="s">
        <v>102</v>
      </c>
      <c r="C264" s="3" t="s">
        <v>9209</v>
      </c>
      <c r="D264" s="3"/>
      <c r="E264" s="3"/>
      <c r="F264" t="s">
        <v>2787</v>
      </c>
      <c r="H264" s="15" t="s">
        <v>9247</v>
      </c>
      <c r="J264" t="str">
        <f t="shared" si="4"/>
        <v>Form NCEN-C.12.2.a.v</v>
      </c>
      <c r="K264" t="s">
        <v>3335</v>
      </c>
      <c r="N264" t="s">
        <v>2374</v>
      </c>
      <c r="Q264" s="18" t="s">
        <v>1341</v>
      </c>
    </row>
    <row r="265" spans="1:17" x14ac:dyDescent="0.35">
      <c r="A265" t="s">
        <v>2403</v>
      </c>
      <c r="B265" s="3" t="s">
        <v>102</v>
      </c>
      <c r="C265" s="3" t="s">
        <v>9209</v>
      </c>
      <c r="D265" s="3"/>
      <c r="E265" s="3"/>
      <c r="F265" t="s">
        <v>2787</v>
      </c>
      <c r="H265" s="15" t="s">
        <v>9248</v>
      </c>
      <c r="J265" t="str">
        <f t="shared" si="4"/>
        <v>Form NCEN-C.12.2.a.vi</v>
      </c>
      <c r="K265" t="s">
        <v>3339</v>
      </c>
      <c r="N265" t="s">
        <v>2374</v>
      </c>
      <c r="Q265" s="18" t="s">
        <v>27</v>
      </c>
    </row>
    <row r="266" spans="1:17" x14ac:dyDescent="0.35">
      <c r="A266" t="s">
        <v>2403</v>
      </c>
      <c r="B266" s="3" t="s">
        <v>102</v>
      </c>
      <c r="C266" s="3" t="s">
        <v>9209</v>
      </c>
      <c r="D266" s="3"/>
      <c r="E266" s="3"/>
      <c r="F266" t="s">
        <v>2787</v>
      </c>
      <c r="H266" s="15" t="s">
        <v>9249</v>
      </c>
      <c r="J266" t="str">
        <f t="shared" si="4"/>
        <v>Form NCEN-C.12.2.a.vii</v>
      </c>
      <c r="K266" t="s">
        <v>3343</v>
      </c>
      <c r="N266" t="s">
        <v>3017</v>
      </c>
      <c r="Q266" s="18"/>
    </row>
    <row r="267" spans="1:17" x14ac:dyDescent="0.35">
      <c r="A267" t="s">
        <v>2403</v>
      </c>
      <c r="B267" s="3" t="s">
        <v>102</v>
      </c>
      <c r="C267" s="3" t="s">
        <v>9209</v>
      </c>
      <c r="D267" s="3"/>
      <c r="E267" s="3"/>
      <c r="F267" t="s">
        <v>2787</v>
      </c>
      <c r="H267" s="15" t="s">
        <v>9250</v>
      </c>
      <c r="J267" t="str">
        <f t="shared" si="4"/>
        <v>Form NCEN-C.12.2.a.vii.1</v>
      </c>
      <c r="K267" t="s">
        <v>3347</v>
      </c>
      <c r="N267" t="s">
        <v>3022</v>
      </c>
      <c r="Q267" s="18" t="s">
        <v>27</v>
      </c>
    </row>
    <row r="268" spans="1:17" x14ac:dyDescent="0.35">
      <c r="A268" t="s">
        <v>2403</v>
      </c>
      <c r="B268" s="3" t="s">
        <v>102</v>
      </c>
      <c r="C268" s="3" t="s">
        <v>9209</v>
      </c>
      <c r="D268" s="3"/>
      <c r="E268" s="3"/>
      <c r="F268" t="s">
        <v>2787</v>
      </c>
      <c r="H268" s="15" t="s">
        <v>9251</v>
      </c>
      <c r="J268" t="str">
        <f t="shared" si="4"/>
        <v>Form NCEN-C.12.2.a.vii.2</v>
      </c>
      <c r="K268" t="s">
        <v>3351</v>
      </c>
      <c r="N268" t="s">
        <v>3022</v>
      </c>
      <c r="Q268" s="18" t="s">
        <v>1341</v>
      </c>
    </row>
    <row r="269" spans="1:17" x14ac:dyDescent="0.35">
      <c r="A269" t="s">
        <v>2403</v>
      </c>
      <c r="B269" s="3" t="s">
        <v>102</v>
      </c>
      <c r="C269" s="3" t="s">
        <v>9209</v>
      </c>
      <c r="D269" s="3"/>
      <c r="E269" s="3"/>
      <c r="F269" t="s">
        <v>2787</v>
      </c>
      <c r="H269" s="15" t="s">
        <v>9252</v>
      </c>
      <c r="J269" t="str">
        <f t="shared" si="4"/>
        <v>Form NCEN-C.12.2.a.vii.3</v>
      </c>
      <c r="K269" t="s">
        <v>3355</v>
      </c>
      <c r="N269" t="s">
        <v>3022</v>
      </c>
      <c r="Q269" s="18" t="s">
        <v>1341</v>
      </c>
    </row>
    <row r="270" spans="1:17" x14ac:dyDescent="0.35">
      <c r="A270" t="s">
        <v>2403</v>
      </c>
      <c r="B270" s="3" t="s">
        <v>102</v>
      </c>
      <c r="C270" s="3" t="s">
        <v>9209</v>
      </c>
      <c r="D270" s="3"/>
      <c r="E270" s="3"/>
      <c r="F270" t="s">
        <v>2787</v>
      </c>
      <c r="H270" s="15" t="s">
        <v>9253</v>
      </c>
      <c r="J270" t="str">
        <f t="shared" si="4"/>
        <v>Form NCEN-C.12.2.a.vii.4</v>
      </c>
      <c r="K270" t="s">
        <v>3359</v>
      </c>
      <c r="N270" t="s">
        <v>3022</v>
      </c>
      <c r="Q270" s="18" t="s">
        <v>1341</v>
      </c>
    </row>
    <row r="271" spans="1:17" x14ac:dyDescent="0.35">
      <c r="A271" t="s">
        <v>2403</v>
      </c>
      <c r="B271" s="3" t="s">
        <v>102</v>
      </c>
      <c r="C271" s="3" t="s">
        <v>9209</v>
      </c>
      <c r="D271" s="3"/>
      <c r="E271" s="3"/>
      <c r="F271" t="s">
        <v>2787</v>
      </c>
      <c r="H271" s="15" t="s">
        <v>9254</v>
      </c>
      <c r="J271" t="str">
        <f t="shared" si="4"/>
        <v>Form NCEN-C.12.2.a.vii.5</v>
      </c>
      <c r="K271" t="s">
        <v>3363</v>
      </c>
      <c r="N271" t="s">
        <v>3022</v>
      </c>
      <c r="Q271" s="18" t="s">
        <v>1341</v>
      </c>
    </row>
    <row r="272" spans="1:17" x14ac:dyDescent="0.35">
      <c r="A272" t="s">
        <v>2403</v>
      </c>
      <c r="B272" s="3" t="s">
        <v>102</v>
      </c>
      <c r="C272" s="3" t="s">
        <v>9209</v>
      </c>
      <c r="D272" s="3"/>
      <c r="E272" s="3"/>
      <c r="F272" t="s">
        <v>2787</v>
      </c>
      <c r="H272" s="15" t="s">
        <v>9255</v>
      </c>
      <c r="J272" t="str">
        <f t="shared" si="4"/>
        <v>Form NCEN-C.12.2.a.vii.6</v>
      </c>
      <c r="K272" t="s">
        <v>3367</v>
      </c>
      <c r="N272" t="s">
        <v>3022</v>
      </c>
      <c r="Q272" s="18" t="s">
        <v>1341</v>
      </c>
    </row>
    <row r="273" spans="1:17" x14ac:dyDescent="0.35">
      <c r="A273" t="s">
        <v>2403</v>
      </c>
      <c r="B273" s="3" t="s">
        <v>102</v>
      </c>
      <c r="C273" s="3" t="s">
        <v>9209</v>
      </c>
      <c r="D273" s="3"/>
      <c r="E273" s="3"/>
      <c r="F273" t="s">
        <v>2787</v>
      </c>
      <c r="H273" s="15" t="s">
        <v>9256</v>
      </c>
      <c r="J273" t="str">
        <f t="shared" si="4"/>
        <v>Form NCEN-C.12.2.a.vii.7</v>
      </c>
      <c r="K273" t="s">
        <v>3371</v>
      </c>
      <c r="N273" t="s">
        <v>3022</v>
      </c>
      <c r="Q273" s="18" t="s">
        <v>1341</v>
      </c>
    </row>
    <row r="274" spans="1:17" x14ac:dyDescent="0.35">
      <c r="A274" t="s">
        <v>2403</v>
      </c>
      <c r="B274" s="3" t="s">
        <v>102</v>
      </c>
      <c r="C274" s="3" t="s">
        <v>9209</v>
      </c>
      <c r="D274" s="3"/>
      <c r="E274" s="3"/>
      <c r="F274" t="s">
        <v>2787</v>
      </c>
      <c r="H274" s="15" t="s">
        <v>9257</v>
      </c>
      <c r="J274" t="str">
        <f t="shared" si="4"/>
        <v>Form NCEN-C.12.2.a.vii.8</v>
      </c>
      <c r="K274" t="s">
        <v>3375</v>
      </c>
      <c r="N274" t="s">
        <v>3022</v>
      </c>
      <c r="Q274" s="18" t="s">
        <v>1341</v>
      </c>
    </row>
    <row r="275" spans="1:17" x14ac:dyDescent="0.35">
      <c r="A275" t="s">
        <v>2403</v>
      </c>
      <c r="B275" s="3" t="s">
        <v>102</v>
      </c>
      <c r="C275" s="3" t="s">
        <v>9209</v>
      </c>
      <c r="D275" s="3"/>
      <c r="E275" s="3"/>
      <c r="F275" t="s">
        <v>2787</v>
      </c>
      <c r="H275" s="15" t="s">
        <v>9258</v>
      </c>
      <c r="J275" t="str">
        <f t="shared" si="4"/>
        <v>Form NCEN-C.12.2.a.vii.9</v>
      </c>
      <c r="K275" t="s">
        <v>3040</v>
      </c>
      <c r="N275" t="s">
        <v>229</v>
      </c>
      <c r="Q275" s="18" t="s">
        <v>1341</v>
      </c>
    </row>
    <row r="276" spans="1:17" x14ac:dyDescent="0.35">
      <c r="A276" t="s">
        <v>2403</v>
      </c>
      <c r="B276" s="3" t="s">
        <v>102</v>
      </c>
      <c r="C276" s="3" t="s">
        <v>9209</v>
      </c>
      <c r="D276" s="3"/>
      <c r="E276" s="3"/>
      <c r="F276" t="s">
        <v>2787</v>
      </c>
      <c r="H276" s="15" t="s">
        <v>9259</v>
      </c>
      <c r="J276" t="str">
        <f t="shared" si="4"/>
        <v>Form NCEN-C.12.3.a.i</v>
      </c>
      <c r="K276" t="s">
        <v>2516</v>
      </c>
      <c r="L276" s="18"/>
      <c r="N276" t="s">
        <v>229</v>
      </c>
      <c r="Q276" s="18" t="s">
        <v>9221</v>
      </c>
    </row>
    <row r="277" spans="1:17" x14ac:dyDescent="0.35">
      <c r="A277" t="s">
        <v>2403</v>
      </c>
      <c r="B277" s="3" t="s">
        <v>102</v>
      </c>
      <c r="C277" s="3" t="s">
        <v>9209</v>
      </c>
      <c r="D277" s="3"/>
      <c r="E277" s="3"/>
      <c r="F277" t="s">
        <v>2787</v>
      </c>
      <c r="H277" s="15" t="s">
        <v>9260</v>
      </c>
      <c r="J277" t="str">
        <f t="shared" si="4"/>
        <v>Form NCEN-C.12.3.a.ii</v>
      </c>
      <c r="K277" t="s">
        <v>2649</v>
      </c>
      <c r="L277" s="18"/>
      <c r="N277" t="s">
        <v>229</v>
      </c>
      <c r="Q277" s="18" t="s">
        <v>1590</v>
      </c>
    </row>
    <row r="278" spans="1:17" x14ac:dyDescent="0.35">
      <c r="A278" t="s">
        <v>2403</v>
      </c>
      <c r="B278" s="3" t="s">
        <v>102</v>
      </c>
      <c r="C278" s="3" t="s">
        <v>9209</v>
      </c>
      <c r="D278" s="3"/>
      <c r="E278" s="3"/>
      <c r="F278" t="s">
        <v>2787</v>
      </c>
      <c r="H278" s="15" t="s">
        <v>9261</v>
      </c>
      <c r="J278" t="str">
        <f t="shared" si="4"/>
        <v>Form NCEN-C.12.3.a.iii</v>
      </c>
      <c r="K278" t="s">
        <v>2400</v>
      </c>
      <c r="L278" s="18"/>
      <c r="N278" t="s">
        <v>229</v>
      </c>
      <c r="Q278" s="18" t="s">
        <v>9220</v>
      </c>
    </row>
    <row r="279" spans="1:17" x14ac:dyDescent="0.35">
      <c r="A279" t="s">
        <v>2403</v>
      </c>
      <c r="B279" s="3" t="s">
        <v>102</v>
      </c>
      <c r="C279" s="3" t="s">
        <v>9209</v>
      </c>
      <c r="D279" s="3"/>
      <c r="E279" s="3"/>
      <c r="F279" t="s">
        <v>2787</v>
      </c>
      <c r="H279" s="15" t="s">
        <v>9262</v>
      </c>
      <c r="J279" t="str">
        <f t="shared" si="4"/>
        <v>Form NCEN-C.12.3.a.iv</v>
      </c>
      <c r="K279" t="s">
        <v>2405</v>
      </c>
      <c r="L279" s="18"/>
      <c r="N279" t="s">
        <v>229</v>
      </c>
      <c r="Q279" s="18" t="s">
        <v>9223</v>
      </c>
    </row>
    <row r="280" spans="1:17" x14ac:dyDescent="0.35">
      <c r="A280" t="s">
        <v>2403</v>
      </c>
      <c r="B280" s="3" t="s">
        <v>102</v>
      </c>
      <c r="C280" s="3" t="s">
        <v>9209</v>
      </c>
      <c r="D280" s="3"/>
      <c r="E280" s="3"/>
      <c r="F280" t="s">
        <v>2787</v>
      </c>
      <c r="H280" s="15" t="s">
        <v>9263</v>
      </c>
      <c r="J280" t="str">
        <f t="shared" si="4"/>
        <v>Form NCEN-C.12.3.a.v</v>
      </c>
      <c r="K280" t="s">
        <v>3335</v>
      </c>
      <c r="L280" s="18"/>
      <c r="N280" t="s">
        <v>2374</v>
      </c>
      <c r="Q280" s="18" t="s">
        <v>1341</v>
      </c>
    </row>
    <row r="281" spans="1:17" x14ac:dyDescent="0.35">
      <c r="A281" t="s">
        <v>2403</v>
      </c>
      <c r="B281" s="3" t="s">
        <v>102</v>
      </c>
      <c r="C281" s="3" t="s">
        <v>9209</v>
      </c>
      <c r="D281" s="3"/>
      <c r="E281" s="3"/>
      <c r="F281" t="s">
        <v>2787</v>
      </c>
      <c r="H281" s="15" t="s">
        <v>9264</v>
      </c>
      <c r="J281" t="str">
        <f t="shared" si="4"/>
        <v>Form NCEN-C.12.3.a.vi</v>
      </c>
      <c r="K281" t="s">
        <v>3339</v>
      </c>
      <c r="L281" s="18"/>
      <c r="N281" t="s">
        <v>2374</v>
      </c>
      <c r="Q281" s="18" t="s">
        <v>27</v>
      </c>
    </row>
    <row r="282" spans="1:17" x14ac:dyDescent="0.35">
      <c r="A282" t="s">
        <v>2403</v>
      </c>
      <c r="B282" s="3" t="s">
        <v>102</v>
      </c>
      <c r="C282" s="3" t="s">
        <v>9209</v>
      </c>
      <c r="D282" s="3"/>
      <c r="E282" s="3"/>
      <c r="F282" t="s">
        <v>2787</v>
      </c>
      <c r="H282" s="15" t="s">
        <v>9265</v>
      </c>
      <c r="J282" t="str">
        <f t="shared" si="4"/>
        <v>Form NCEN-C.12.3.a.vii</v>
      </c>
      <c r="K282" t="s">
        <v>3343</v>
      </c>
      <c r="L282" s="18"/>
      <c r="N282" t="s">
        <v>3017</v>
      </c>
      <c r="Q282" s="18"/>
    </row>
    <row r="283" spans="1:17" x14ac:dyDescent="0.35">
      <c r="A283" t="s">
        <v>2403</v>
      </c>
      <c r="B283" s="3" t="s">
        <v>102</v>
      </c>
      <c r="C283" s="3" t="s">
        <v>9209</v>
      </c>
      <c r="D283" s="3"/>
      <c r="E283" s="3"/>
      <c r="F283" t="s">
        <v>2787</v>
      </c>
      <c r="H283" s="15" t="s">
        <v>9266</v>
      </c>
      <c r="J283" t="str">
        <f t="shared" si="4"/>
        <v>Form NCEN-C.12.3.a.vii.1</v>
      </c>
      <c r="K283" t="s">
        <v>3347</v>
      </c>
      <c r="L283" s="18"/>
      <c r="N283" t="s">
        <v>3022</v>
      </c>
      <c r="Q283" s="18" t="s">
        <v>27</v>
      </c>
    </row>
    <row r="284" spans="1:17" x14ac:dyDescent="0.35">
      <c r="A284" t="s">
        <v>2403</v>
      </c>
      <c r="B284" s="3" t="s">
        <v>102</v>
      </c>
      <c r="C284" s="3" t="s">
        <v>9209</v>
      </c>
      <c r="D284" s="3"/>
      <c r="E284" s="3"/>
      <c r="F284" t="s">
        <v>2787</v>
      </c>
      <c r="H284" s="15" t="s">
        <v>9267</v>
      </c>
      <c r="J284" t="str">
        <f t="shared" si="4"/>
        <v>Form NCEN-C.12.3.a.vii.2</v>
      </c>
      <c r="K284" t="s">
        <v>3351</v>
      </c>
      <c r="L284" s="18"/>
      <c r="N284" t="s">
        <v>3022</v>
      </c>
      <c r="Q284" s="18" t="s">
        <v>1341</v>
      </c>
    </row>
    <row r="285" spans="1:17" x14ac:dyDescent="0.35">
      <c r="A285" t="s">
        <v>2403</v>
      </c>
      <c r="B285" s="3" t="s">
        <v>102</v>
      </c>
      <c r="C285" s="3" t="s">
        <v>9209</v>
      </c>
      <c r="D285" s="3"/>
      <c r="E285" s="3"/>
      <c r="F285" t="s">
        <v>2787</v>
      </c>
      <c r="H285" s="15" t="s">
        <v>9268</v>
      </c>
      <c r="J285" t="str">
        <f t="shared" si="4"/>
        <v>Form NCEN-C.12.3.a.vii.3</v>
      </c>
      <c r="K285" t="s">
        <v>3355</v>
      </c>
      <c r="L285" s="18"/>
      <c r="N285" t="s">
        <v>3022</v>
      </c>
      <c r="Q285" s="18" t="s">
        <v>1341</v>
      </c>
    </row>
    <row r="286" spans="1:17" x14ac:dyDescent="0.35">
      <c r="A286" t="s">
        <v>2403</v>
      </c>
      <c r="B286" s="3" t="s">
        <v>102</v>
      </c>
      <c r="C286" s="3" t="s">
        <v>9209</v>
      </c>
      <c r="D286" s="3"/>
      <c r="E286" s="3"/>
      <c r="F286" t="s">
        <v>2787</v>
      </c>
      <c r="H286" s="15" t="s">
        <v>9269</v>
      </c>
      <c r="J286" t="str">
        <f t="shared" si="4"/>
        <v>Form NCEN-C.12.3.a.vii.4</v>
      </c>
      <c r="K286" t="s">
        <v>3359</v>
      </c>
      <c r="L286" s="18"/>
      <c r="N286" t="s">
        <v>3022</v>
      </c>
      <c r="Q286" s="18" t="s">
        <v>1341</v>
      </c>
    </row>
    <row r="287" spans="1:17" x14ac:dyDescent="0.35">
      <c r="A287" t="s">
        <v>2403</v>
      </c>
      <c r="B287" s="3" t="s">
        <v>102</v>
      </c>
      <c r="C287" s="3" t="s">
        <v>9209</v>
      </c>
      <c r="D287" s="3"/>
      <c r="E287" s="3"/>
      <c r="F287" t="s">
        <v>2787</v>
      </c>
      <c r="H287" s="15" t="s">
        <v>9270</v>
      </c>
      <c r="J287" t="str">
        <f t="shared" si="4"/>
        <v>Form NCEN-C.12.3.a.vii.5</v>
      </c>
      <c r="K287" t="s">
        <v>3363</v>
      </c>
      <c r="L287" s="18"/>
      <c r="N287" t="s">
        <v>3022</v>
      </c>
      <c r="Q287" s="18" t="s">
        <v>1341</v>
      </c>
    </row>
    <row r="288" spans="1:17" x14ac:dyDescent="0.35">
      <c r="A288" t="s">
        <v>2403</v>
      </c>
      <c r="B288" s="3" t="s">
        <v>102</v>
      </c>
      <c r="C288" s="3" t="s">
        <v>9209</v>
      </c>
      <c r="D288" s="3"/>
      <c r="E288" s="3"/>
      <c r="F288" t="s">
        <v>2787</v>
      </c>
      <c r="H288" s="15" t="s">
        <v>9271</v>
      </c>
      <c r="J288" t="str">
        <f t="shared" si="4"/>
        <v>Form NCEN-C.12.3.a.vii.6</v>
      </c>
      <c r="K288" t="s">
        <v>3367</v>
      </c>
      <c r="L288" s="18"/>
      <c r="N288" t="s">
        <v>3022</v>
      </c>
      <c r="Q288" s="18" t="s">
        <v>1341</v>
      </c>
    </row>
    <row r="289" spans="1:17" x14ac:dyDescent="0.35">
      <c r="A289" t="s">
        <v>2403</v>
      </c>
      <c r="B289" s="3" t="s">
        <v>102</v>
      </c>
      <c r="C289" s="3" t="s">
        <v>9209</v>
      </c>
      <c r="D289" s="3"/>
      <c r="E289" s="3"/>
      <c r="F289" t="s">
        <v>2787</v>
      </c>
      <c r="H289" s="15" t="s">
        <v>9272</v>
      </c>
      <c r="J289" t="str">
        <f t="shared" si="4"/>
        <v>Form NCEN-C.12.3.a.vii.7</v>
      </c>
      <c r="K289" t="s">
        <v>3371</v>
      </c>
      <c r="L289" s="18"/>
      <c r="N289" t="s">
        <v>3022</v>
      </c>
      <c r="Q289" s="18" t="s">
        <v>1341</v>
      </c>
    </row>
    <row r="290" spans="1:17" x14ac:dyDescent="0.35">
      <c r="A290" t="s">
        <v>2403</v>
      </c>
      <c r="B290" s="3" t="s">
        <v>102</v>
      </c>
      <c r="C290" s="3" t="s">
        <v>9209</v>
      </c>
      <c r="D290" s="3"/>
      <c r="E290" s="3"/>
      <c r="F290" t="s">
        <v>2787</v>
      </c>
      <c r="H290" s="15" t="s">
        <v>9273</v>
      </c>
      <c r="J290" t="str">
        <f t="shared" si="4"/>
        <v>Form NCEN-C.12.3.a.vii.8</v>
      </c>
      <c r="K290" t="s">
        <v>3375</v>
      </c>
      <c r="L290" s="18"/>
      <c r="N290" t="s">
        <v>3022</v>
      </c>
      <c r="Q290" s="18" t="s">
        <v>1341</v>
      </c>
    </row>
    <row r="291" spans="1:17" x14ac:dyDescent="0.35">
      <c r="A291" t="s">
        <v>2403</v>
      </c>
      <c r="B291" s="3" t="s">
        <v>102</v>
      </c>
      <c r="C291" s="3" t="s">
        <v>9209</v>
      </c>
      <c r="D291" s="3"/>
      <c r="E291" s="3"/>
      <c r="F291" t="s">
        <v>2787</v>
      </c>
      <c r="H291" s="15" t="s">
        <v>9274</v>
      </c>
      <c r="J291" t="str">
        <f t="shared" si="4"/>
        <v>Form NCEN-C.12.3.a.vii.9</v>
      </c>
      <c r="K291" t="s">
        <v>3040</v>
      </c>
      <c r="L291" s="18"/>
      <c r="Q291" s="18" t="s">
        <v>1341</v>
      </c>
    </row>
    <row r="292" spans="1:17" x14ac:dyDescent="0.35">
      <c r="A292" t="s">
        <v>2403</v>
      </c>
      <c r="B292" s="3" t="s">
        <v>102</v>
      </c>
      <c r="C292" s="3" t="s">
        <v>9209</v>
      </c>
      <c r="D292" s="3"/>
      <c r="E292" s="3"/>
      <c r="F292" t="s">
        <v>2787</v>
      </c>
      <c r="H292" s="15" t="s">
        <v>9275</v>
      </c>
      <c r="J292" t="str">
        <f t="shared" si="4"/>
        <v>Form NCEN-C.12.4.a.i</v>
      </c>
      <c r="K292" t="s">
        <v>2516</v>
      </c>
      <c r="L292" s="18"/>
      <c r="N292" t="s">
        <v>229</v>
      </c>
      <c r="Q292" s="18" t="s">
        <v>9224</v>
      </c>
    </row>
    <row r="293" spans="1:17" x14ac:dyDescent="0.35">
      <c r="A293" t="s">
        <v>2403</v>
      </c>
      <c r="B293" s="3" t="s">
        <v>102</v>
      </c>
      <c r="C293" s="3" t="s">
        <v>9209</v>
      </c>
      <c r="D293" s="3"/>
      <c r="E293" s="3"/>
      <c r="F293" t="s">
        <v>2787</v>
      </c>
      <c r="H293" s="15" t="s">
        <v>9276</v>
      </c>
      <c r="J293" t="str">
        <f t="shared" si="4"/>
        <v>Form NCEN-C.12.4.a.ii</v>
      </c>
      <c r="K293" t="s">
        <v>2649</v>
      </c>
      <c r="L293" s="18"/>
      <c r="N293" t="s">
        <v>229</v>
      </c>
      <c r="Q293" s="18" t="s">
        <v>1590</v>
      </c>
    </row>
    <row r="294" spans="1:17" x14ac:dyDescent="0.35">
      <c r="A294" t="s">
        <v>2403</v>
      </c>
      <c r="B294" s="3" t="s">
        <v>102</v>
      </c>
      <c r="C294" s="3" t="s">
        <v>9209</v>
      </c>
      <c r="D294" s="3"/>
      <c r="E294" s="3"/>
      <c r="F294" t="s">
        <v>2787</v>
      </c>
      <c r="H294" s="15" t="s">
        <v>9277</v>
      </c>
      <c r="J294" t="str">
        <f t="shared" si="4"/>
        <v>Form NCEN-C.12.4.a.iii</v>
      </c>
      <c r="K294" t="s">
        <v>2400</v>
      </c>
      <c r="L294" s="18"/>
      <c r="N294" t="s">
        <v>229</v>
      </c>
      <c r="Q294" s="18" t="s">
        <v>9220</v>
      </c>
    </row>
    <row r="295" spans="1:17" x14ac:dyDescent="0.35">
      <c r="A295" t="s">
        <v>2403</v>
      </c>
      <c r="B295" s="3" t="s">
        <v>102</v>
      </c>
      <c r="C295" s="3" t="s">
        <v>9209</v>
      </c>
      <c r="D295" s="3"/>
      <c r="E295" s="3"/>
      <c r="F295" t="s">
        <v>2787</v>
      </c>
      <c r="H295" s="15" t="s">
        <v>9278</v>
      </c>
      <c r="J295" t="str">
        <f t="shared" si="4"/>
        <v>Form NCEN-C.12.4.a.iv</v>
      </c>
      <c r="K295" t="s">
        <v>2405</v>
      </c>
      <c r="L295" s="18"/>
      <c r="N295" t="s">
        <v>229</v>
      </c>
      <c r="Q295" s="18" t="s">
        <v>9225</v>
      </c>
    </row>
    <row r="296" spans="1:17" x14ac:dyDescent="0.35">
      <c r="A296" t="s">
        <v>2403</v>
      </c>
      <c r="B296" s="3" t="s">
        <v>102</v>
      </c>
      <c r="C296" s="3" t="s">
        <v>9209</v>
      </c>
      <c r="D296" s="3"/>
      <c r="E296" s="3"/>
      <c r="F296" t="s">
        <v>2787</v>
      </c>
      <c r="H296" s="15" t="s">
        <v>9279</v>
      </c>
      <c r="J296" t="str">
        <f t="shared" si="4"/>
        <v>Form NCEN-C.12.4.a.v</v>
      </c>
      <c r="K296" t="s">
        <v>3335</v>
      </c>
      <c r="L296" s="18"/>
      <c r="N296" t="s">
        <v>2374</v>
      </c>
      <c r="Q296" s="18" t="s">
        <v>1341</v>
      </c>
    </row>
    <row r="297" spans="1:17" x14ac:dyDescent="0.35">
      <c r="A297" t="s">
        <v>2403</v>
      </c>
      <c r="B297" s="3" t="s">
        <v>102</v>
      </c>
      <c r="C297" s="3" t="s">
        <v>9209</v>
      </c>
      <c r="D297" s="3"/>
      <c r="E297" s="3"/>
      <c r="F297" t="s">
        <v>2787</v>
      </c>
      <c r="H297" s="15" t="s">
        <v>9280</v>
      </c>
      <c r="J297" t="str">
        <f t="shared" si="4"/>
        <v>Form NCEN-C.12.4.a.vi</v>
      </c>
      <c r="K297" t="s">
        <v>3339</v>
      </c>
      <c r="L297" s="18"/>
      <c r="N297" t="s">
        <v>2374</v>
      </c>
      <c r="Q297" s="18" t="s">
        <v>27</v>
      </c>
    </row>
    <row r="298" spans="1:17" x14ac:dyDescent="0.35">
      <c r="A298" t="s">
        <v>2403</v>
      </c>
      <c r="B298" s="3" t="s">
        <v>102</v>
      </c>
      <c r="C298" s="3" t="s">
        <v>9209</v>
      </c>
      <c r="D298" s="3"/>
      <c r="E298" s="3"/>
      <c r="F298" t="s">
        <v>2787</v>
      </c>
      <c r="H298" s="15" t="s">
        <v>9281</v>
      </c>
      <c r="J298" t="str">
        <f t="shared" si="4"/>
        <v>Form NCEN-C.12.4.a.vii</v>
      </c>
      <c r="K298" t="s">
        <v>3343</v>
      </c>
      <c r="L298" s="18"/>
      <c r="N298" t="s">
        <v>3017</v>
      </c>
      <c r="Q298" s="18"/>
    </row>
    <row r="299" spans="1:17" x14ac:dyDescent="0.35">
      <c r="A299" t="s">
        <v>2403</v>
      </c>
      <c r="B299" s="3" t="s">
        <v>102</v>
      </c>
      <c r="C299" s="3" t="s">
        <v>9209</v>
      </c>
      <c r="D299" s="3"/>
      <c r="E299" s="3"/>
      <c r="F299" t="s">
        <v>2787</v>
      </c>
      <c r="H299" s="15" t="s">
        <v>9282</v>
      </c>
      <c r="J299" t="str">
        <f t="shared" si="4"/>
        <v>Form NCEN-C.12.4.a.vii.1</v>
      </c>
      <c r="K299" t="s">
        <v>3347</v>
      </c>
      <c r="L299" s="18"/>
      <c r="N299" t="s">
        <v>3022</v>
      </c>
      <c r="Q299" s="18" t="s">
        <v>1341</v>
      </c>
    </row>
    <row r="300" spans="1:17" x14ac:dyDescent="0.35">
      <c r="A300" t="s">
        <v>2403</v>
      </c>
      <c r="B300" s="3" t="s">
        <v>102</v>
      </c>
      <c r="C300" s="3" t="s">
        <v>9209</v>
      </c>
      <c r="D300" s="3"/>
      <c r="E300" s="3"/>
      <c r="F300" t="s">
        <v>2787</v>
      </c>
      <c r="H300" s="15" t="s">
        <v>9283</v>
      </c>
      <c r="J300" t="str">
        <f t="shared" si="4"/>
        <v>Form NCEN-C.12.4.a.vii.2</v>
      </c>
      <c r="K300" t="s">
        <v>3351</v>
      </c>
      <c r="L300" s="18"/>
      <c r="N300" t="s">
        <v>3022</v>
      </c>
      <c r="Q300" s="18" t="s">
        <v>1341</v>
      </c>
    </row>
    <row r="301" spans="1:17" x14ac:dyDescent="0.35">
      <c r="A301" t="s">
        <v>2403</v>
      </c>
      <c r="B301" s="3" t="s">
        <v>102</v>
      </c>
      <c r="C301" s="3" t="s">
        <v>9209</v>
      </c>
      <c r="D301" s="3"/>
      <c r="E301" s="3"/>
      <c r="F301" t="s">
        <v>2787</v>
      </c>
      <c r="H301" s="15" t="s">
        <v>9284</v>
      </c>
      <c r="J301" t="str">
        <f t="shared" si="4"/>
        <v>Form NCEN-C.12.4.a.vii.3</v>
      </c>
      <c r="K301" t="s">
        <v>3355</v>
      </c>
      <c r="L301" s="18"/>
      <c r="N301" t="s">
        <v>3022</v>
      </c>
      <c r="Q301" s="18" t="s">
        <v>1341</v>
      </c>
    </row>
    <row r="302" spans="1:17" x14ac:dyDescent="0.35">
      <c r="A302" t="s">
        <v>2403</v>
      </c>
      <c r="B302" s="3" t="s">
        <v>102</v>
      </c>
      <c r="C302" s="3" t="s">
        <v>9209</v>
      </c>
      <c r="D302" s="3"/>
      <c r="E302" s="3"/>
      <c r="F302" t="s">
        <v>2787</v>
      </c>
      <c r="H302" s="15" t="s">
        <v>9285</v>
      </c>
      <c r="J302" t="str">
        <f t="shared" si="4"/>
        <v>Form NCEN-C.12.4.a.vii.4</v>
      </c>
      <c r="K302" t="s">
        <v>3359</v>
      </c>
      <c r="L302" s="18"/>
      <c r="N302" t="s">
        <v>3022</v>
      </c>
      <c r="Q302" s="18" t="s">
        <v>1341</v>
      </c>
    </row>
    <row r="303" spans="1:17" x14ac:dyDescent="0.35">
      <c r="A303" t="s">
        <v>2403</v>
      </c>
      <c r="B303" s="3" t="s">
        <v>102</v>
      </c>
      <c r="C303" s="3" t="s">
        <v>9209</v>
      </c>
      <c r="D303" s="3"/>
      <c r="E303" s="3"/>
      <c r="F303" t="s">
        <v>2787</v>
      </c>
      <c r="H303" s="15" t="s">
        <v>9286</v>
      </c>
      <c r="J303" t="str">
        <f t="shared" si="4"/>
        <v>Form NCEN-C.12.4.a.vii.5</v>
      </c>
      <c r="K303" t="s">
        <v>3363</v>
      </c>
      <c r="L303" s="18"/>
      <c r="N303" t="s">
        <v>3022</v>
      </c>
      <c r="Q303" s="18" t="s">
        <v>27</v>
      </c>
    </row>
    <row r="304" spans="1:17" x14ac:dyDescent="0.35">
      <c r="A304" t="s">
        <v>2403</v>
      </c>
      <c r="B304" s="3" t="s">
        <v>102</v>
      </c>
      <c r="C304" s="3" t="s">
        <v>9209</v>
      </c>
      <c r="D304" s="3"/>
      <c r="E304" s="3"/>
      <c r="F304" t="s">
        <v>2787</v>
      </c>
      <c r="H304" s="15" t="s">
        <v>9287</v>
      </c>
      <c r="J304" t="str">
        <f t="shared" si="4"/>
        <v>Form NCEN-C.12.4.a.vii.6</v>
      </c>
      <c r="K304" t="s">
        <v>3367</v>
      </c>
      <c r="L304" s="18"/>
      <c r="N304" t="s">
        <v>3022</v>
      </c>
      <c r="Q304" s="18" t="s">
        <v>1341</v>
      </c>
    </row>
    <row r="305" spans="1:17" x14ac:dyDescent="0.35">
      <c r="A305" t="s">
        <v>2403</v>
      </c>
      <c r="B305" s="3" t="s">
        <v>102</v>
      </c>
      <c r="C305" s="3" t="s">
        <v>9209</v>
      </c>
      <c r="D305" s="3"/>
      <c r="E305" s="3"/>
      <c r="F305" t="s">
        <v>2787</v>
      </c>
      <c r="H305" s="15" t="s">
        <v>9288</v>
      </c>
      <c r="J305" t="str">
        <f t="shared" si="4"/>
        <v>Form NCEN-C.12.4.a.vii.7</v>
      </c>
      <c r="K305" t="s">
        <v>3371</v>
      </c>
      <c r="L305" s="18"/>
      <c r="N305" t="s">
        <v>3022</v>
      </c>
      <c r="Q305" s="18" t="s">
        <v>1341</v>
      </c>
    </row>
    <row r="306" spans="1:17" x14ac:dyDescent="0.35">
      <c r="A306" t="s">
        <v>2403</v>
      </c>
      <c r="B306" s="3" t="s">
        <v>102</v>
      </c>
      <c r="C306" s="3" t="s">
        <v>9209</v>
      </c>
      <c r="D306" s="3"/>
      <c r="E306" s="3"/>
      <c r="F306" t="s">
        <v>2787</v>
      </c>
      <c r="H306" s="15" t="s">
        <v>9289</v>
      </c>
      <c r="J306" t="str">
        <f t="shared" si="4"/>
        <v>Form NCEN-C.12.4.a.vii.8</v>
      </c>
      <c r="K306" t="s">
        <v>3375</v>
      </c>
      <c r="L306" s="18"/>
      <c r="N306" t="s">
        <v>3022</v>
      </c>
      <c r="Q306" s="18" t="s">
        <v>1341</v>
      </c>
    </row>
    <row r="307" spans="1:17" x14ac:dyDescent="0.35">
      <c r="A307" t="s">
        <v>2403</v>
      </c>
      <c r="B307" s="3" t="s">
        <v>102</v>
      </c>
      <c r="C307" s="3" t="s">
        <v>9209</v>
      </c>
      <c r="D307" s="3"/>
      <c r="E307" s="3"/>
      <c r="F307" t="s">
        <v>2787</v>
      </c>
      <c r="H307" s="15" t="s">
        <v>9290</v>
      </c>
      <c r="J307" t="str">
        <f t="shared" si="4"/>
        <v>Form NCEN-C.12.4.a.vii.9</v>
      </c>
      <c r="K307" t="s">
        <v>3040</v>
      </c>
      <c r="L307" s="18"/>
      <c r="N307" t="s">
        <v>229</v>
      </c>
      <c r="Q307" s="18" t="s">
        <v>1341</v>
      </c>
    </row>
    <row r="308" spans="1:17" x14ac:dyDescent="0.35">
      <c r="A308" t="s">
        <v>2403</v>
      </c>
      <c r="B308" s="3" t="s">
        <v>102</v>
      </c>
      <c r="C308" s="3" t="s">
        <v>9209</v>
      </c>
      <c r="D308" s="3"/>
      <c r="E308" s="3"/>
      <c r="F308" t="s">
        <v>2787</v>
      </c>
      <c r="H308" t="s">
        <v>3381</v>
      </c>
      <c r="J308" t="str">
        <f t="shared" si="4"/>
        <v>Form NCEN-C.12.b</v>
      </c>
      <c r="K308" t="s">
        <v>3382</v>
      </c>
      <c r="L308" t="s">
        <v>3383</v>
      </c>
      <c r="M308" t="s">
        <v>3384</v>
      </c>
      <c r="N308" t="s">
        <v>2374</v>
      </c>
      <c r="Q308" s="18" t="s">
        <v>9217</v>
      </c>
    </row>
    <row r="309" spans="1:17" x14ac:dyDescent="0.35">
      <c r="A309" t="s">
        <v>2403</v>
      </c>
      <c r="B309" s="3" t="s">
        <v>102</v>
      </c>
      <c r="C309" s="3" t="s">
        <v>9209</v>
      </c>
      <c r="D309" s="3"/>
      <c r="E309" s="3"/>
      <c r="F309" t="s">
        <v>2787</v>
      </c>
      <c r="H309" t="s">
        <v>3385</v>
      </c>
      <c r="J309" t="str">
        <f t="shared" si="4"/>
        <v>Form NCEN-C.13</v>
      </c>
      <c r="K309" t="s">
        <v>3386</v>
      </c>
      <c r="L309" t="s">
        <v>3387</v>
      </c>
      <c r="M309" t="s">
        <v>3388</v>
      </c>
      <c r="N309" t="s">
        <v>2759</v>
      </c>
      <c r="Q309" s="18"/>
    </row>
    <row r="310" spans="1:17" x14ac:dyDescent="0.35">
      <c r="A310" t="s">
        <v>2403</v>
      </c>
      <c r="B310" s="3" t="s">
        <v>102</v>
      </c>
      <c r="C310" s="3" t="s">
        <v>9209</v>
      </c>
      <c r="D310" s="3"/>
      <c r="E310" s="3"/>
      <c r="F310" t="s">
        <v>2787</v>
      </c>
      <c r="H310" t="s">
        <v>3389</v>
      </c>
      <c r="J310" t="str">
        <f t="shared" si="4"/>
        <v>Form NCEN-C.13.a.i</v>
      </c>
      <c r="K310" t="s">
        <v>2516</v>
      </c>
      <c r="L310" t="s">
        <v>3390</v>
      </c>
      <c r="M310" t="s">
        <v>3391</v>
      </c>
      <c r="N310" t="s">
        <v>229</v>
      </c>
      <c r="Q310" t="s">
        <v>3268</v>
      </c>
    </row>
    <row r="311" spans="1:17" x14ac:dyDescent="0.35">
      <c r="A311" t="s">
        <v>2403</v>
      </c>
      <c r="B311" s="3" t="s">
        <v>102</v>
      </c>
      <c r="C311" s="3" t="s">
        <v>9209</v>
      </c>
      <c r="D311" s="3"/>
      <c r="E311" s="3"/>
      <c r="F311" t="s">
        <v>2787</v>
      </c>
      <c r="H311" t="s">
        <v>3392</v>
      </c>
      <c r="J311" t="str">
        <f t="shared" si="4"/>
        <v>Form NCEN-C.13.a.ii</v>
      </c>
      <c r="K311" t="s">
        <v>3300</v>
      </c>
      <c r="L311" t="s">
        <v>3393</v>
      </c>
      <c r="M311" t="s">
        <v>3394</v>
      </c>
      <c r="N311" t="s">
        <v>229</v>
      </c>
      <c r="Q311" t="s">
        <v>3273</v>
      </c>
    </row>
    <row r="312" spans="1:17" x14ac:dyDescent="0.35">
      <c r="A312" t="s">
        <v>2403</v>
      </c>
      <c r="B312" s="3" t="s">
        <v>102</v>
      </c>
      <c r="C312" s="3" t="s">
        <v>9209</v>
      </c>
      <c r="D312" s="3"/>
      <c r="E312" s="3"/>
      <c r="F312" t="s">
        <v>2787</v>
      </c>
      <c r="H312" t="s">
        <v>3395</v>
      </c>
      <c r="J312" t="str">
        <f t="shared" si="4"/>
        <v>Form NCEN-C.13.a.iii</v>
      </c>
      <c r="K312" t="s">
        <v>2400</v>
      </c>
      <c r="L312" t="s">
        <v>3396</v>
      </c>
      <c r="M312" t="s">
        <v>3397</v>
      </c>
      <c r="N312" t="s">
        <v>229</v>
      </c>
      <c r="Q312" t="s">
        <v>2437</v>
      </c>
    </row>
    <row r="313" spans="1:17" x14ac:dyDescent="0.35">
      <c r="A313" t="s">
        <v>2403</v>
      </c>
      <c r="B313" s="3" t="s">
        <v>102</v>
      </c>
      <c r="C313" s="3" t="s">
        <v>9209</v>
      </c>
      <c r="D313" s="3"/>
      <c r="E313" s="3"/>
      <c r="F313" t="s">
        <v>2787</v>
      </c>
      <c r="H313" t="s">
        <v>3398</v>
      </c>
      <c r="J313" t="str">
        <f t="shared" si="4"/>
        <v>Form NCEN-C.13.a.iv</v>
      </c>
      <c r="K313" t="s">
        <v>2405</v>
      </c>
      <c r="L313" t="s">
        <v>3399</v>
      </c>
      <c r="M313" t="s">
        <v>3400</v>
      </c>
      <c r="N313" t="s">
        <v>229</v>
      </c>
      <c r="Q313" t="s">
        <v>2408</v>
      </c>
    </row>
    <row r="314" spans="1:17" x14ac:dyDescent="0.35">
      <c r="A314" t="s">
        <v>2403</v>
      </c>
      <c r="B314" s="3" t="s">
        <v>102</v>
      </c>
      <c r="C314" s="3" t="s">
        <v>9209</v>
      </c>
      <c r="D314" s="3"/>
      <c r="E314" s="3"/>
      <c r="F314" t="s">
        <v>2787</v>
      </c>
      <c r="H314" t="s">
        <v>3401</v>
      </c>
      <c r="J314" t="str">
        <f t="shared" si="4"/>
        <v>Form NCEN-C.13.a.v</v>
      </c>
      <c r="K314" t="s">
        <v>3402</v>
      </c>
      <c r="L314" t="s">
        <v>3403</v>
      </c>
      <c r="M314" t="s">
        <v>3404</v>
      </c>
      <c r="N314" t="s">
        <v>2374</v>
      </c>
      <c r="Q314" t="s">
        <v>27</v>
      </c>
    </row>
    <row r="315" spans="1:17" x14ac:dyDescent="0.35">
      <c r="A315" t="s">
        <v>2403</v>
      </c>
      <c r="B315" s="3" t="s">
        <v>102</v>
      </c>
      <c r="C315" s="3" t="s">
        <v>9209</v>
      </c>
      <c r="D315" s="3"/>
      <c r="E315" s="3"/>
      <c r="F315" t="s">
        <v>2787</v>
      </c>
      <c r="H315" t="s">
        <v>3405</v>
      </c>
      <c r="J315" t="str">
        <f t="shared" si="4"/>
        <v>Form NCEN-C.13.a.vi</v>
      </c>
      <c r="K315" t="s">
        <v>3406</v>
      </c>
      <c r="L315" t="s">
        <v>3407</v>
      </c>
      <c r="M315" t="s">
        <v>3408</v>
      </c>
      <c r="N315" t="s">
        <v>2374</v>
      </c>
      <c r="Q315" t="s">
        <v>1341</v>
      </c>
    </row>
    <row r="316" spans="1:17" x14ac:dyDescent="0.35">
      <c r="A316" t="s">
        <v>2403</v>
      </c>
      <c r="B316" s="3" t="s">
        <v>102</v>
      </c>
      <c r="C316" s="3" t="s">
        <v>9209</v>
      </c>
      <c r="D316" s="3"/>
      <c r="E316" s="3"/>
      <c r="F316" t="s">
        <v>2787</v>
      </c>
      <c r="H316" t="s">
        <v>3409</v>
      </c>
      <c r="J316" t="str">
        <f t="shared" si="4"/>
        <v>Form NCEN-C.13.b</v>
      </c>
      <c r="K316" t="s">
        <v>3410</v>
      </c>
      <c r="L316" t="s">
        <v>3411</v>
      </c>
      <c r="M316" t="s">
        <v>3412</v>
      </c>
      <c r="N316" t="s">
        <v>2374</v>
      </c>
      <c r="Q316" t="s">
        <v>1341</v>
      </c>
    </row>
    <row r="317" spans="1:17" x14ac:dyDescent="0.35">
      <c r="A317" t="s">
        <v>2403</v>
      </c>
      <c r="B317" s="3" t="s">
        <v>102</v>
      </c>
      <c r="C317" s="3" t="s">
        <v>9209</v>
      </c>
      <c r="D317" s="3"/>
      <c r="E317" s="3"/>
      <c r="F317" t="s">
        <v>2787</v>
      </c>
      <c r="H317" t="s">
        <v>3413</v>
      </c>
      <c r="J317" t="str">
        <f t="shared" si="4"/>
        <v>Form NCEN-C.14</v>
      </c>
      <c r="K317" t="s">
        <v>3414</v>
      </c>
      <c r="L317" t="s">
        <v>3415</v>
      </c>
      <c r="M317" t="s">
        <v>3416</v>
      </c>
      <c r="N317" t="s">
        <v>2759</v>
      </c>
    </row>
    <row r="318" spans="1:17" x14ac:dyDescent="0.35">
      <c r="A318" t="s">
        <v>2403</v>
      </c>
      <c r="B318" s="3" t="s">
        <v>102</v>
      </c>
      <c r="C318" s="3" t="s">
        <v>9209</v>
      </c>
      <c r="D318" s="3"/>
      <c r="E318" s="3"/>
      <c r="F318" t="s">
        <v>2787</v>
      </c>
      <c r="H318" t="s">
        <v>3417</v>
      </c>
      <c r="J318" t="str">
        <f t="shared" si="4"/>
        <v>Form NCEN-C.14.a.i</v>
      </c>
      <c r="K318" t="s">
        <v>2516</v>
      </c>
      <c r="L318" t="s">
        <v>3418</v>
      </c>
      <c r="M318" t="s">
        <v>3419</v>
      </c>
      <c r="N318" t="s">
        <v>229</v>
      </c>
      <c r="Q318" t="s">
        <v>2427</v>
      </c>
    </row>
    <row r="319" spans="1:17" x14ac:dyDescent="0.35">
      <c r="A319" t="s">
        <v>2403</v>
      </c>
      <c r="B319" s="3" t="s">
        <v>102</v>
      </c>
      <c r="C319" s="3" t="s">
        <v>9209</v>
      </c>
      <c r="D319" s="3"/>
      <c r="E319" s="3"/>
      <c r="F319" t="s">
        <v>2787</v>
      </c>
      <c r="H319" t="s">
        <v>3420</v>
      </c>
      <c r="J319" t="str">
        <f t="shared" si="4"/>
        <v>Form NCEN-C.14.a.ii</v>
      </c>
      <c r="K319" t="s">
        <v>3300</v>
      </c>
      <c r="L319" t="s">
        <v>3421</v>
      </c>
      <c r="M319" t="s">
        <v>3422</v>
      </c>
      <c r="N319" t="s">
        <v>229</v>
      </c>
      <c r="Q319" t="s">
        <v>3173</v>
      </c>
    </row>
    <row r="320" spans="1:17" x14ac:dyDescent="0.35">
      <c r="A320" t="s">
        <v>2403</v>
      </c>
      <c r="B320" s="3" t="s">
        <v>102</v>
      </c>
      <c r="C320" s="3" t="s">
        <v>9209</v>
      </c>
      <c r="D320" s="3"/>
      <c r="E320" s="3"/>
      <c r="F320" t="s">
        <v>2787</v>
      </c>
      <c r="H320" t="s">
        <v>3423</v>
      </c>
      <c r="J320" t="str">
        <f t="shared" si="4"/>
        <v>Form NCEN-C.14.a.iii</v>
      </c>
      <c r="K320" t="s">
        <v>2400</v>
      </c>
      <c r="L320" t="s">
        <v>3424</v>
      </c>
      <c r="M320" t="s">
        <v>3425</v>
      </c>
      <c r="N320" t="s">
        <v>229</v>
      </c>
      <c r="Q320" t="s">
        <v>3177</v>
      </c>
    </row>
    <row r="321" spans="1:17" x14ac:dyDescent="0.35">
      <c r="A321" t="s">
        <v>2403</v>
      </c>
      <c r="B321" s="3" t="s">
        <v>102</v>
      </c>
      <c r="C321" s="3" t="s">
        <v>9209</v>
      </c>
      <c r="D321" s="3"/>
      <c r="E321" s="3"/>
      <c r="F321" t="s">
        <v>2787</v>
      </c>
      <c r="H321" t="s">
        <v>3426</v>
      </c>
      <c r="J321" t="str">
        <f t="shared" si="4"/>
        <v>Form NCEN-C.14.a.iv</v>
      </c>
      <c r="K321" t="s">
        <v>2405</v>
      </c>
      <c r="L321" t="s">
        <v>3427</v>
      </c>
      <c r="M321" t="s">
        <v>3428</v>
      </c>
      <c r="N321" t="s">
        <v>229</v>
      </c>
      <c r="Q321" t="s">
        <v>2408</v>
      </c>
    </row>
    <row r="322" spans="1:17" x14ac:dyDescent="0.35">
      <c r="A322" t="s">
        <v>2403</v>
      </c>
      <c r="B322" s="3" t="s">
        <v>102</v>
      </c>
      <c r="C322" s="3" t="s">
        <v>9209</v>
      </c>
      <c r="D322" s="3"/>
      <c r="E322" s="3"/>
      <c r="F322" t="s">
        <v>2787</v>
      </c>
      <c r="H322" t="s">
        <v>3429</v>
      </c>
      <c r="J322" t="str">
        <f t="shared" si="4"/>
        <v>Form NCEN-C.14.a.v</v>
      </c>
      <c r="K322" t="s">
        <v>3430</v>
      </c>
      <c r="L322" t="s">
        <v>3431</v>
      </c>
      <c r="M322" t="s">
        <v>3432</v>
      </c>
      <c r="N322" t="s">
        <v>2374</v>
      </c>
      <c r="Q322" t="s">
        <v>27</v>
      </c>
    </row>
    <row r="323" spans="1:17" x14ac:dyDescent="0.35">
      <c r="A323" t="s">
        <v>2403</v>
      </c>
      <c r="B323" s="3" t="s">
        <v>102</v>
      </c>
      <c r="C323" s="3" t="s">
        <v>9209</v>
      </c>
      <c r="D323" s="3"/>
      <c r="E323" s="3"/>
      <c r="F323" t="s">
        <v>2787</v>
      </c>
      <c r="H323" t="s">
        <v>3433</v>
      </c>
      <c r="J323" t="str">
        <f t="shared" ref="J323:J386" si="5">_xlfn.CONCAT(A323,"-",H323)</f>
        <v>Form NCEN-C.14.a.vi</v>
      </c>
      <c r="K323" t="s">
        <v>3434</v>
      </c>
      <c r="L323" t="s">
        <v>3435</v>
      </c>
      <c r="M323" t="s">
        <v>3436</v>
      </c>
      <c r="N323" t="s">
        <v>2374</v>
      </c>
      <c r="Q323" t="s">
        <v>1341</v>
      </c>
    </row>
    <row r="324" spans="1:17" x14ac:dyDescent="0.35">
      <c r="A324" t="s">
        <v>2403</v>
      </c>
      <c r="B324" s="3" t="s">
        <v>102</v>
      </c>
      <c r="C324" s="3" t="s">
        <v>9209</v>
      </c>
      <c r="D324" s="3"/>
      <c r="E324" s="3"/>
      <c r="F324" t="s">
        <v>2787</v>
      </c>
      <c r="H324" t="s">
        <v>3437</v>
      </c>
      <c r="J324" t="str">
        <f t="shared" si="5"/>
        <v>Form NCEN-C.14.b</v>
      </c>
      <c r="K324" t="s">
        <v>3438</v>
      </c>
      <c r="L324" t="s">
        <v>3439</v>
      </c>
      <c r="M324" t="s">
        <v>3440</v>
      </c>
      <c r="N324" t="s">
        <v>2374</v>
      </c>
      <c r="Q324" t="s">
        <v>1341</v>
      </c>
    </row>
    <row r="325" spans="1:17" x14ac:dyDescent="0.35">
      <c r="A325" t="s">
        <v>2403</v>
      </c>
      <c r="B325" s="3" t="s">
        <v>102</v>
      </c>
      <c r="C325" s="3" t="s">
        <v>9209</v>
      </c>
      <c r="D325" s="3"/>
      <c r="E325" s="3"/>
      <c r="F325" t="s">
        <v>2787</v>
      </c>
      <c r="H325" t="s">
        <v>3441</v>
      </c>
      <c r="J325" t="str">
        <f t="shared" si="5"/>
        <v>Form NCEN-C.15</v>
      </c>
      <c r="K325" t="s">
        <v>3442</v>
      </c>
      <c r="L325" t="s">
        <v>3443</v>
      </c>
      <c r="M325" t="s">
        <v>3444</v>
      </c>
      <c r="N325" t="s">
        <v>2759</v>
      </c>
    </row>
    <row r="326" spans="1:17" x14ac:dyDescent="0.35">
      <c r="A326" t="s">
        <v>2403</v>
      </c>
      <c r="B326" s="3" t="s">
        <v>102</v>
      </c>
      <c r="C326" s="3" t="s">
        <v>9209</v>
      </c>
      <c r="D326" s="3"/>
      <c r="E326" s="3"/>
      <c r="F326" t="s">
        <v>2787</v>
      </c>
      <c r="H326" t="s">
        <v>3445</v>
      </c>
      <c r="J326" t="str">
        <f t="shared" si="5"/>
        <v>Form NCEN-C.15.a</v>
      </c>
      <c r="K326" t="s">
        <v>2516</v>
      </c>
      <c r="L326" t="s">
        <v>3446</v>
      </c>
      <c r="M326" t="s">
        <v>3447</v>
      </c>
      <c r="N326" t="s">
        <v>229</v>
      </c>
      <c r="Q326" t="s">
        <v>2635</v>
      </c>
    </row>
    <row r="327" spans="1:17" x14ac:dyDescent="0.35">
      <c r="A327" t="s">
        <v>2403</v>
      </c>
      <c r="B327" s="3" t="s">
        <v>102</v>
      </c>
      <c r="C327" s="3" t="s">
        <v>9209</v>
      </c>
      <c r="D327" s="3"/>
      <c r="E327" s="3"/>
      <c r="F327" t="s">
        <v>2787</v>
      </c>
      <c r="H327" t="s">
        <v>3448</v>
      </c>
      <c r="J327" t="str">
        <f t="shared" si="5"/>
        <v>Form NCEN-C.15.b</v>
      </c>
      <c r="K327" t="s">
        <v>3449</v>
      </c>
      <c r="L327" t="s">
        <v>3450</v>
      </c>
      <c r="M327" t="s">
        <v>3451</v>
      </c>
      <c r="N327" t="s">
        <v>229</v>
      </c>
      <c r="Q327" t="s">
        <v>2639</v>
      </c>
    </row>
    <row r="328" spans="1:17" x14ac:dyDescent="0.35">
      <c r="A328" t="s">
        <v>2403</v>
      </c>
      <c r="B328" s="3" t="s">
        <v>102</v>
      </c>
      <c r="C328" s="3" t="s">
        <v>9209</v>
      </c>
      <c r="D328" s="3"/>
      <c r="E328" s="3"/>
      <c r="F328" t="s">
        <v>2787</v>
      </c>
      <c r="H328" t="s">
        <v>3452</v>
      </c>
      <c r="J328" t="str">
        <f t="shared" si="5"/>
        <v>Form NCEN-C.15.c</v>
      </c>
      <c r="K328" t="s">
        <v>2645</v>
      </c>
      <c r="L328" t="s">
        <v>3453</v>
      </c>
      <c r="M328" t="s">
        <v>3454</v>
      </c>
      <c r="N328" t="s">
        <v>229</v>
      </c>
      <c r="Q328" t="s">
        <v>2644</v>
      </c>
    </row>
    <row r="329" spans="1:17" x14ac:dyDescent="0.35">
      <c r="A329" t="s">
        <v>2403</v>
      </c>
      <c r="B329" s="3" t="s">
        <v>102</v>
      </c>
      <c r="C329" s="3" t="s">
        <v>9209</v>
      </c>
      <c r="D329" s="3"/>
      <c r="E329" s="3"/>
      <c r="F329" t="s">
        <v>2787</v>
      </c>
      <c r="H329" t="s">
        <v>3455</v>
      </c>
      <c r="J329" t="str">
        <f t="shared" si="5"/>
        <v>Form NCEN-C.15.d</v>
      </c>
      <c r="K329" t="s">
        <v>2649</v>
      </c>
      <c r="L329" t="s">
        <v>3456</v>
      </c>
      <c r="M329" t="s">
        <v>3457</v>
      </c>
      <c r="N329" t="s">
        <v>229</v>
      </c>
      <c r="Q329" t="s">
        <v>1590</v>
      </c>
    </row>
    <row r="330" spans="1:17" x14ac:dyDescent="0.35">
      <c r="A330" t="s">
        <v>2403</v>
      </c>
      <c r="B330" s="3" t="s">
        <v>102</v>
      </c>
      <c r="C330" s="3" t="s">
        <v>9209</v>
      </c>
      <c r="D330" s="3"/>
      <c r="E330" s="3"/>
      <c r="F330" t="s">
        <v>2787</v>
      </c>
      <c r="H330" t="s">
        <v>3458</v>
      </c>
      <c r="J330" t="str">
        <f t="shared" si="5"/>
        <v>Form NCEN-C.15.e</v>
      </c>
      <c r="K330" t="s">
        <v>2400</v>
      </c>
      <c r="L330" t="s">
        <v>3459</v>
      </c>
      <c r="M330" t="s">
        <v>3460</v>
      </c>
      <c r="N330" t="s">
        <v>229</v>
      </c>
      <c r="Q330" t="s">
        <v>2437</v>
      </c>
    </row>
    <row r="331" spans="1:17" x14ac:dyDescent="0.35">
      <c r="A331" t="s">
        <v>2403</v>
      </c>
      <c r="B331" s="3" t="s">
        <v>102</v>
      </c>
      <c r="C331" s="3" t="s">
        <v>9209</v>
      </c>
      <c r="D331" s="3"/>
      <c r="E331" s="3"/>
      <c r="F331" t="s">
        <v>2787</v>
      </c>
      <c r="H331" t="s">
        <v>3461</v>
      </c>
      <c r="J331" t="str">
        <f t="shared" si="5"/>
        <v>Form NCEN-C.15.f</v>
      </c>
      <c r="K331" t="s">
        <v>2405</v>
      </c>
      <c r="L331" t="s">
        <v>3462</v>
      </c>
      <c r="M331" t="s">
        <v>3463</v>
      </c>
      <c r="N331" t="s">
        <v>229</v>
      </c>
      <c r="Q331" t="s">
        <v>2408</v>
      </c>
    </row>
    <row r="332" spans="1:17" x14ac:dyDescent="0.35">
      <c r="A332" t="s">
        <v>2403</v>
      </c>
      <c r="B332" s="3" t="s">
        <v>102</v>
      </c>
      <c r="C332" s="3" t="s">
        <v>9209</v>
      </c>
      <c r="D332" s="3"/>
      <c r="E332" s="3"/>
      <c r="F332" t="s">
        <v>2787</v>
      </c>
      <c r="H332" t="s">
        <v>3464</v>
      </c>
      <c r="J332" t="str">
        <f t="shared" si="5"/>
        <v>Form NCEN-C.15.g</v>
      </c>
      <c r="K332" t="s">
        <v>3466</v>
      </c>
      <c r="L332" t="s">
        <v>3467</v>
      </c>
      <c r="M332" t="s">
        <v>3468</v>
      </c>
      <c r="N332" t="s">
        <v>263</v>
      </c>
      <c r="Q332" t="s">
        <v>3465</v>
      </c>
    </row>
    <row r="333" spans="1:17" x14ac:dyDescent="0.35">
      <c r="A333" t="s">
        <v>2403</v>
      </c>
      <c r="B333" s="3" t="s">
        <v>102</v>
      </c>
      <c r="C333" s="3" t="s">
        <v>9209</v>
      </c>
      <c r="D333" s="3"/>
      <c r="E333" s="3"/>
      <c r="F333" t="s">
        <v>2787</v>
      </c>
      <c r="H333" t="s">
        <v>3469</v>
      </c>
      <c r="J333" t="str">
        <f t="shared" si="5"/>
        <v>Form NCEN-C.16</v>
      </c>
      <c r="K333" t="s">
        <v>3470</v>
      </c>
      <c r="L333" t="s">
        <v>3471</v>
      </c>
      <c r="M333" t="s">
        <v>3472</v>
      </c>
      <c r="N333" t="s">
        <v>2759</v>
      </c>
    </row>
    <row r="334" spans="1:17" x14ac:dyDescent="0.35">
      <c r="A334" t="s">
        <v>2403</v>
      </c>
      <c r="B334" s="3" t="s">
        <v>102</v>
      </c>
      <c r="C334" s="3" t="s">
        <v>9209</v>
      </c>
      <c r="D334" s="3"/>
      <c r="E334" s="3"/>
      <c r="F334" t="s">
        <v>2787</v>
      </c>
      <c r="H334" t="s">
        <v>3473</v>
      </c>
      <c r="J334" t="str">
        <f t="shared" si="5"/>
        <v>Form NCEN-C.16.a</v>
      </c>
      <c r="K334" t="s">
        <v>3474</v>
      </c>
      <c r="L334" t="s">
        <v>3475</v>
      </c>
      <c r="M334" t="s">
        <v>3476</v>
      </c>
      <c r="N334" t="s">
        <v>2759</v>
      </c>
    </row>
    <row r="335" spans="1:17" x14ac:dyDescent="0.35">
      <c r="A335" t="s">
        <v>2403</v>
      </c>
      <c r="B335" s="3" t="s">
        <v>102</v>
      </c>
      <c r="C335" s="3" t="s">
        <v>9209</v>
      </c>
      <c r="D335" s="3"/>
      <c r="E335" s="3"/>
      <c r="F335" t="s">
        <v>2787</v>
      </c>
      <c r="H335" t="s">
        <v>3477</v>
      </c>
      <c r="J335" t="str">
        <f t="shared" si="5"/>
        <v>Form NCEN-C.16.a.i</v>
      </c>
      <c r="K335" t="s">
        <v>3479</v>
      </c>
      <c r="L335" t="s">
        <v>3480</v>
      </c>
      <c r="M335" t="s">
        <v>3481</v>
      </c>
      <c r="N335" t="s">
        <v>229</v>
      </c>
      <c r="Q335" t="s">
        <v>3478</v>
      </c>
    </row>
    <row r="336" spans="1:17" x14ac:dyDescent="0.35">
      <c r="A336" t="s">
        <v>2403</v>
      </c>
      <c r="B336" s="3" t="s">
        <v>102</v>
      </c>
      <c r="C336" s="3" t="s">
        <v>9209</v>
      </c>
      <c r="D336" s="3"/>
      <c r="E336" s="3"/>
      <c r="F336" t="s">
        <v>2787</v>
      </c>
      <c r="H336" t="s">
        <v>3482</v>
      </c>
      <c r="J336" t="str">
        <f t="shared" si="5"/>
        <v>Form NCEN-C.16.a.ii</v>
      </c>
      <c r="K336" t="s">
        <v>3449</v>
      </c>
      <c r="L336" t="s">
        <v>3484</v>
      </c>
      <c r="M336" t="s">
        <v>3485</v>
      </c>
      <c r="N336" t="s">
        <v>229</v>
      </c>
      <c r="Q336" t="s">
        <v>3483</v>
      </c>
    </row>
    <row r="337" spans="1:17" x14ac:dyDescent="0.35">
      <c r="A337" t="s">
        <v>2403</v>
      </c>
      <c r="B337" s="3" t="s">
        <v>102</v>
      </c>
      <c r="C337" s="3" t="s">
        <v>9209</v>
      </c>
      <c r="D337" s="3"/>
      <c r="E337" s="3"/>
      <c r="F337" t="s">
        <v>2787</v>
      </c>
      <c r="H337" t="s">
        <v>3486</v>
      </c>
      <c r="J337" t="str">
        <f t="shared" si="5"/>
        <v>Form NCEN-C.16.a.iii</v>
      </c>
      <c r="K337" t="s">
        <v>2645</v>
      </c>
      <c r="L337" t="s">
        <v>3488</v>
      </c>
      <c r="M337" t="s">
        <v>3489</v>
      </c>
      <c r="N337" t="s">
        <v>229</v>
      </c>
      <c r="Q337" t="s">
        <v>3487</v>
      </c>
    </row>
    <row r="338" spans="1:17" x14ac:dyDescent="0.35">
      <c r="A338" t="s">
        <v>2403</v>
      </c>
      <c r="B338" s="3" t="s">
        <v>102</v>
      </c>
      <c r="C338" s="3" t="s">
        <v>9209</v>
      </c>
      <c r="D338" s="3"/>
      <c r="E338" s="3"/>
      <c r="F338" t="s">
        <v>2787</v>
      </c>
      <c r="H338" t="s">
        <v>3490</v>
      </c>
      <c r="J338" t="str">
        <f t="shared" si="5"/>
        <v>Form NCEN-C.16.a.iv</v>
      </c>
      <c r="K338" t="s">
        <v>2649</v>
      </c>
      <c r="L338" t="s">
        <v>3492</v>
      </c>
      <c r="M338" t="s">
        <v>3493</v>
      </c>
      <c r="N338" t="s">
        <v>229</v>
      </c>
      <c r="Q338" t="s">
        <v>3491</v>
      </c>
    </row>
    <row r="339" spans="1:17" x14ac:dyDescent="0.35">
      <c r="A339" t="s">
        <v>2403</v>
      </c>
      <c r="B339" s="3" t="s">
        <v>102</v>
      </c>
      <c r="C339" s="3" t="s">
        <v>9209</v>
      </c>
      <c r="D339" s="3"/>
      <c r="E339" s="3"/>
      <c r="F339" t="s">
        <v>2787</v>
      </c>
      <c r="H339" t="s">
        <v>3494</v>
      </c>
      <c r="J339" t="str">
        <f t="shared" si="5"/>
        <v>Form NCEN-C.16.a.v</v>
      </c>
      <c r="K339" t="s">
        <v>2400</v>
      </c>
      <c r="L339" t="s">
        <v>3495</v>
      </c>
      <c r="M339" t="s">
        <v>3496</v>
      </c>
      <c r="N339" t="s">
        <v>229</v>
      </c>
      <c r="Q339" t="s">
        <v>3307</v>
      </c>
    </row>
    <row r="340" spans="1:17" x14ac:dyDescent="0.35">
      <c r="A340" t="s">
        <v>2403</v>
      </c>
      <c r="B340" s="3" t="s">
        <v>102</v>
      </c>
      <c r="C340" s="3" t="s">
        <v>9209</v>
      </c>
      <c r="D340" s="3"/>
      <c r="E340" s="3"/>
      <c r="F340" t="s">
        <v>2787</v>
      </c>
      <c r="H340" t="s">
        <v>3497</v>
      </c>
      <c r="J340" t="str">
        <f t="shared" si="5"/>
        <v>Form NCEN-C.16.a.vi</v>
      </c>
      <c r="K340" t="s">
        <v>2405</v>
      </c>
      <c r="L340" t="s">
        <v>3498</v>
      </c>
      <c r="M340" t="s">
        <v>3499</v>
      </c>
      <c r="N340" t="s">
        <v>229</v>
      </c>
      <c r="Q340" t="s">
        <v>2408</v>
      </c>
    </row>
    <row r="341" spans="1:17" x14ac:dyDescent="0.35">
      <c r="A341" t="s">
        <v>2403</v>
      </c>
      <c r="B341" s="3" t="s">
        <v>102</v>
      </c>
      <c r="C341" s="3" t="s">
        <v>9209</v>
      </c>
      <c r="D341" s="3"/>
      <c r="E341" s="3"/>
      <c r="F341" t="s">
        <v>2787</v>
      </c>
      <c r="H341" t="s">
        <v>3500</v>
      </c>
      <c r="J341" t="str">
        <f t="shared" si="5"/>
        <v>Form NCEN-C.16.a.vii</v>
      </c>
      <c r="K341" t="s">
        <v>3502</v>
      </c>
      <c r="L341" t="s">
        <v>3503</v>
      </c>
      <c r="M341" t="s">
        <v>3504</v>
      </c>
      <c r="N341" t="s">
        <v>263</v>
      </c>
      <c r="Q341" t="s">
        <v>3501</v>
      </c>
    </row>
    <row r="342" spans="1:17" x14ac:dyDescent="0.35">
      <c r="A342" t="s">
        <v>2403</v>
      </c>
      <c r="B342" s="3" t="s">
        <v>102</v>
      </c>
      <c r="C342" s="3" t="s">
        <v>9209</v>
      </c>
      <c r="D342" s="3"/>
      <c r="E342" s="3"/>
      <c r="F342" t="s">
        <v>2787</v>
      </c>
      <c r="H342" t="s">
        <v>3505</v>
      </c>
      <c r="J342" t="str">
        <f t="shared" si="5"/>
        <v>Form NCEN-C.16.b</v>
      </c>
      <c r="K342" t="s">
        <v>3506</v>
      </c>
      <c r="L342" t="s">
        <v>3507</v>
      </c>
      <c r="M342" t="s">
        <v>3508</v>
      </c>
      <c r="N342" t="s">
        <v>263</v>
      </c>
      <c r="Q342" t="s">
        <v>9217</v>
      </c>
    </row>
    <row r="343" spans="1:17" x14ac:dyDescent="0.35">
      <c r="A343" t="s">
        <v>2403</v>
      </c>
      <c r="B343" s="3" t="s">
        <v>102</v>
      </c>
      <c r="C343" s="3" t="s">
        <v>9209</v>
      </c>
      <c r="D343" s="3"/>
      <c r="E343" s="3"/>
      <c r="F343" t="s">
        <v>2787</v>
      </c>
      <c r="H343" t="s">
        <v>3509</v>
      </c>
      <c r="J343" t="str">
        <f t="shared" si="5"/>
        <v>Form NCEN-C.17</v>
      </c>
      <c r="K343" t="s">
        <v>3510</v>
      </c>
      <c r="L343" t="s">
        <v>3511</v>
      </c>
      <c r="M343" t="s">
        <v>3512</v>
      </c>
      <c r="N343" t="s">
        <v>2759</v>
      </c>
    </row>
    <row r="344" spans="1:17" x14ac:dyDescent="0.35">
      <c r="A344" t="s">
        <v>2403</v>
      </c>
      <c r="B344" s="3" t="s">
        <v>102</v>
      </c>
      <c r="C344" s="3" t="s">
        <v>9209</v>
      </c>
      <c r="D344" s="3"/>
      <c r="E344" s="3"/>
      <c r="F344" t="s">
        <v>2787</v>
      </c>
      <c r="H344" t="s">
        <v>3513</v>
      </c>
      <c r="J344" t="str">
        <f t="shared" si="5"/>
        <v>Form NCEN-C.17.a</v>
      </c>
      <c r="K344" t="s">
        <v>3514</v>
      </c>
      <c r="L344" t="s">
        <v>3515</v>
      </c>
      <c r="M344" t="s">
        <v>3516</v>
      </c>
      <c r="N344" t="s">
        <v>2759</v>
      </c>
    </row>
    <row r="345" spans="1:17" x14ac:dyDescent="0.35">
      <c r="A345" t="s">
        <v>2403</v>
      </c>
      <c r="B345" s="3" t="s">
        <v>102</v>
      </c>
      <c r="C345" s="3" t="s">
        <v>9209</v>
      </c>
      <c r="D345" s="3"/>
      <c r="E345" s="3"/>
      <c r="F345" t="s">
        <v>2787</v>
      </c>
      <c r="H345" t="s">
        <v>3517</v>
      </c>
      <c r="J345" t="str">
        <f t="shared" si="5"/>
        <v>Form NCEN-C.17.a.i</v>
      </c>
      <c r="K345" t="s">
        <v>3519</v>
      </c>
      <c r="L345" t="s">
        <v>3520</v>
      </c>
      <c r="M345" t="s">
        <v>3521</v>
      </c>
      <c r="N345" t="s">
        <v>229</v>
      </c>
      <c r="Q345" t="s">
        <v>3518</v>
      </c>
    </row>
    <row r="346" spans="1:17" x14ac:dyDescent="0.35">
      <c r="A346" t="s">
        <v>2403</v>
      </c>
      <c r="B346" s="3" t="s">
        <v>102</v>
      </c>
      <c r="C346" s="3" t="s">
        <v>9209</v>
      </c>
      <c r="D346" s="3"/>
      <c r="E346" s="3"/>
      <c r="F346" t="s">
        <v>2787</v>
      </c>
      <c r="H346" t="s">
        <v>3522</v>
      </c>
      <c r="J346" t="str">
        <f t="shared" si="5"/>
        <v>Form NCEN-C.17.a.ii</v>
      </c>
      <c r="K346" t="s">
        <v>3449</v>
      </c>
      <c r="L346" t="s">
        <v>3524</v>
      </c>
      <c r="M346" t="s">
        <v>3525</v>
      </c>
      <c r="N346" t="s">
        <v>229</v>
      </c>
      <c r="Q346" t="s">
        <v>3523</v>
      </c>
    </row>
    <row r="347" spans="1:17" x14ac:dyDescent="0.35">
      <c r="A347" t="s">
        <v>2403</v>
      </c>
      <c r="B347" s="3" t="s">
        <v>102</v>
      </c>
      <c r="C347" s="3" t="s">
        <v>9209</v>
      </c>
      <c r="D347" s="3"/>
      <c r="E347" s="3"/>
      <c r="F347" t="s">
        <v>2787</v>
      </c>
      <c r="H347" t="s">
        <v>3526</v>
      </c>
      <c r="J347" t="str">
        <f t="shared" si="5"/>
        <v>Form NCEN-C.17.a.iii</v>
      </c>
      <c r="K347" t="s">
        <v>2645</v>
      </c>
      <c r="L347" t="s">
        <v>3528</v>
      </c>
      <c r="M347" t="s">
        <v>3529</v>
      </c>
      <c r="N347" t="s">
        <v>229</v>
      </c>
      <c r="Q347" t="s">
        <v>3527</v>
      </c>
    </row>
    <row r="348" spans="1:17" x14ac:dyDescent="0.35">
      <c r="A348" t="s">
        <v>2403</v>
      </c>
      <c r="B348" s="3" t="s">
        <v>102</v>
      </c>
      <c r="C348" s="3" t="s">
        <v>9209</v>
      </c>
      <c r="D348" s="3"/>
      <c r="E348" s="3"/>
      <c r="F348" t="s">
        <v>2787</v>
      </c>
      <c r="H348" t="s">
        <v>3530</v>
      </c>
      <c r="J348" t="str">
        <f t="shared" si="5"/>
        <v>Form NCEN-C.17.a.iv</v>
      </c>
      <c r="K348" t="s">
        <v>2649</v>
      </c>
      <c r="L348" t="s">
        <v>3532</v>
      </c>
      <c r="M348" t="s">
        <v>3533</v>
      </c>
      <c r="N348" t="s">
        <v>229</v>
      </c>
      <c r="Q348" t="s">
        <v>3531</v>
      </c>
    </row>
    <row r="349" spans="1:17" x14ac:dyDescent="0.35">
      <c r="A349" t="s">
        <v>2403</v>
      </c>
      <c r="B349" s="3" t="s">
        <v>102</v>
      </c>
      <c r="C349" s="3" t="s">
        <v>9209</v>
      </c>
      <c r="D349" s="3"/>
      <c r="E349" s="3"/>
      <c r="F349" t="s">
        <v>2787</v>
      </c>
      <c r="H349" t="s">
        <v>3534</v>
      </c>
      <c r="J349" t="str">
        <f t="shared" si="5"/>
        <v>Form NCEN-C.17.a.v</v>
      </c>
      <c r="K349" t="s">
        <v>2400</v>
      </c>
      <c r="L349" t="s">
        <v>3535</v>
      </c>
      <c r="M349" t="s">
        <v>3536</v>
      </c>
      <c r="N349" t="s">
        <v>229</v>
      </c>
      <c r="Q349" t="s">
        <v>3307</v>
      </c>
    </row>
    <row r="350" spans="1:17" x14ac:dyDescent="0.35">
      <c r="A350" t="s">
        <v>2403</v>
      </c>
      <c r="B350" s="3" t="s">
        <v>102</v>
      </c>
      <c r="C350" s="3" t="s">
        <v>9209</v>
      </c>
      <c r="D350" s="3"/>
      <c r="E350" s="3"/>
      <c r="F350" t="s">
        <v>2787</v>
      </c>
      <c r="H350" t="s">
        <v>3537</v>
      </c>
      <c r="J350" t="str">
        <f t="shared" si="5"/>
        <v>Form NCEN-C.17.a.vi</v>
      </c>
      <c r="K350" t="s">
        <v>2405</v>
      </c>
      <c r="L350" t="s">
        <v>3538</v>
      </c>
      <c r="M350" t="s">
        <v>3539</v>
      </c>
      <c r="N350" t="s">
        <v>229</v>
      </c>
      <c r="Q350" t="s">
        <v>2408</v>
      </c>
    </row>
    <row r="351" spans="1:17" x14ac:dyDescent="0.35">
      <c r="A351" t="s">
        <v>2403</v>
      </c>
      <c r="B351" s="3" t="s">
        <v>102</v>
      </c>
      <c r="C351" s="3" t="s">
        <v>9209</v>
      </c>
      <c r="D351" s="3"/>
      <c r="E351" s="3"/>
      <c r="F351" t="s">
        <v>2787</v>
      </c>
      <c r="H351" t="s">
        <v>3540</v>
      </c>
      <c r="J351" t="str">
        <f t="shared" si="5"/>
        <v>Form NCEN-C.17.a.vii</v>
      </c>
      <c r="K351" t="s">
        <v>3542</v>
      </c>
      <c r="L351" t="s">
        <v>3543</v>
      </c>
      <c r="M351" t="s">
        <v>3544</v>
      </c>
      <c r="N351" t="s">
        <v>263</v>
      </c>
      <c r="Q351" t="s">
        <v>3541</v>
      </c>
    </row>
    <row r="352" spans="1:17" x14ac:dyDescent="0.35">
      <c r="A352" t="s">
        <v>2403</v>
      </c>
      <c r="B352" s="3" t="s">
        <v>102</v>
      </c>
      <c r="C352" s="3" t="s">
        <v>9209</v>
      </c>
      <c r="D352" s="3"/>
      <c r="E352" s="3"/>
      <c r="F352" t="s">
        <v>2787</v>
      </c>
      <c r="H352" t="s">
        <v>3545</v>
      </c>
      <c r="J352" t="str">
        <f t="shared" si="5"/>
        <v>Form NCEN-C.17.b</v>
      </c>
      <c r="K352" t="s">
        <v>3546</v>
      </c>
      <c r="L352" t="s">
        <v>3547</v>
      </c>
      <c r="M352" t="s">
        <v>3548</v>
      </c>
      <c r="N352" t="s">
        <v>263</v>
      </c>
      <c r="Q352" t="s">
        <v>9226</v>
      </c>
    </row>
    <row r="353" spans="1:17" x14ac:dyDescent="0.35">
      <c r="A353" t="s">
        <v>2403</v>
      </c>
      <c r="B353" s="3" t="s">
        <v>102</v>
      </c>
      <c r="C353" s="3" t="s">
        <v>9209</v>
      </c>
      <c r="D353" s="3"/>
      <c r="E353" s="3"/>
      <c r="F353" t="s">
        <v>2787</v>
      </c>
      <c r="H353" t="s">
        <v>3549</v>
      </c>
      <c r="J353" t="str">
        <f t="shared" si="5"/>
        <v>Form NCEN-C.18</v>
      </c>
      <c r="K353" t="s">
        <v>3550</v>
      </c>
      <c r="L353" t="s">
        <v>3551</v>
      </c>
      <c r="M353" t="s">
        <v>3552</v>
      </c>
      <c r="N353" t="s">
        <v>2374</v>
      </c>
      <c r="Q353" t="s">
        <v>27</v>
      </c>
    </row>
    <row r="354" spans="1:17" x14ac:dyDescent="0.35">
      <c r="A354" t="s">
        <v>2403</v>
      </c>
      <c r="B354" s="3" t="s">
        <v>102</v>
      </c>
      <c r="C354" s="3" t="s">
        <v>9209</v>
      </c>
      <c r="D354" s="3"/>
      <c r="E354" s="3"/>
      <c r="F354" t="s">
        <v>2787</v>
      </c>
      <c r="H354" t="s">
        <v>3553</v>
      </c>
      <c r="J354" t="str">
        <f t="shared" si="5"/>
        <v>Form NCEN-C.19</v>
      </c>
      <c r="K354" t="s">
        <v>3555</v>
      </c>
      <c r="L354" t="s">
        <v>3556</v>
      </c>
      <c r="M354" t="s">
        <v>3557</v>
      </c>
      <c r="N354" t="s">
        <v>2759</v>
      </c>
    </row>
    <row r="355" spans="1:17" x14ac:dyDescent="0.35">
      <c r="A355" t="s">
        <v>2403</v>
      </c>
      <c r="B355" s="3" t="s">
        <v>102</v>
      </c>
      <c r="C355" s="3" t="s">
        <v>9209</v>
      </c>
      <c r="D355" s="3"/>
      <c r="E355" s="3"/>
      <c r="F355" t="s">
        <v>2787</v>
      </c>
      <c r="H355" t="s">
        <v>3558</v>
      </c>
      <c r="J355" t="str">
        <f t="shared" si="5"/>
        <v>Form NCEN-C.19.a</v>
      </c>
      <c r="K355" t="s">
        <v>3559</v>
      </c>
      <c r="L355" t="s">
        <v>3560</v>
      </c>
      <c r="M355" t="s">
        <v>3561</v>
      </c>
      <c r="N355" t="s">
        <v>263</v>
      </c>
      <c r="Q355" t="s">
        <v>3554</v>
      </c>
    </row>
    <row r="356" spans="1:17" x14ac:dyDescent="0.35">
      <c r="A356" t="s">
        <v>2403</v>
      </c>
      <c r="B356" s="3" t="s">
        <v>102</v>
      </c>
      <c r="C356" s="3" t="s">
        <v>9209</v>
      </c>
      <c r="D356" s="3"/>
      <c r="E356" s="3"/>
      <c r="F356" t="s">
        <v>2787</v>
      </c>
      <c r="H356" t="s">
        <v>3562</v>
      </c>
      <c r="J356" t="str">
        <f t="shared" si="5"/>
        <v>Form NCEN-C.19.b</v>
      </c>
      <c r="K356" t="s">
        <v>3563</v>
      </c>
      <c r="L356" t="s">
        <v>3564</v>
      </c>
      <c r="M356" t="s">
        <v>3565</v>
      </c>
      <c r="N356" t="s">
        <v>263</v>
      </c>
      <c r="Q356" t="s">
        <v>9220</v>
      </c>
    </row>
    <row r="357" spans="1:17" x14ac:dyDescent="0.35">
      <c r="A357" t="s">
        <v>2403</v>
      </c>
      <c r="B357" s="3" t="s">
        <v>102</v>
      </c>
      <c r="C357" s="3" t="s">
        <v>9209</v>
      </c>
      <c r="D357" s="3"/>
      <c r="E357" s="3"/>
      <c r="F357" t="s">
        <v>2787</v>
      </c>
      <c r="H357" t="s">
        <v>3566</v>
      </c>
      <c r="J357" t="str">
        <f t="shared" si="5"/>
        <v>Form NCEN-C.20</v>
      </c>
      <c r="K357" t="s">
        <v>3567</v>
      </c>
      <c r="L357" t="s">
        <v>3568</v>
      </c>
      <c r="M357" t="s">
        <v>3569</v>
      </c>
      <c r="N357" t="s">
        <v>2759</v>
      </c>
    </row>
    <row r="358" spans="1:17" x14ac:dyDescent="0.35">
      <c r="A358" t="s">
        <v>2403</v>
      </c>
      <c r="B358" s="3" t="s">
        <v>102</v>
      </c>
      <c r="C358" s="3" t="s">
        <v>9209</v>
      </c>
      <c r="D358" s="3"/>
      <c r="E358" s="3"/>
      <c r="F358" t="s">
        <v>2787</v>
      </c>
      <c r="H358" t="s">
        <v>3570</v>
      </c>
      <c r="J358" t="str">
        <f t="shared" si="5"/>
        <v>Form NCEN-C.20.a</v>
      </c>
      <c r="K358" t="s">
        <v>3571</v>
      </c>
      <c r="L358" t="s">
        <v>3572</v>
      </c>
      <c r="M358" t="s">
        <v>3573</v>
      </c>
      <c r="N358" t="s">
        <v>2374</v>
      </c>
      <c r="Q358" t="s">
        <v>27</v>
      </c>
    </row>
    <row r="359" spans="1:17" x14ac:dyDescent="0.35">
      <c r="A359" t="s">
        <v>2403</v>
      </c>
      <c r="B359" s="3" t="s">
        <v>102</v>
      </c>
      <c r="C359" s="3" t="s">
        <v>9209</v>
      </c>
      <c r="D359" s="3"/>
      <c r="E359" s="3"/>
      <c r="F359" t="s">
        <v>2787</v>
      </c>
      <c r="H359" t="s">
        <v>3574</v>
      </c>
      <c r="J359" t="str">
        <f t="shared" si="5"/>
        <v>Form NCEN-C.20.a.i</v>
      </c>
      <c r="K359" t="s">
        <v>3576</v>
      </c>
      <c r="L359" t="s">
        <v>3577</v>
      </c>
      <c r="M359" t="s">
        <v>3578</v>
      </c>
      <c r="N359" t="s">
        <v>229</v>
      </c>
      <c r="Q359" t="s">
        <v>3575</v>
      </c>
    </row>
    <row r="360" spans="1:17" x14ac:dyDescent="0.35">
      <c r="A360" t="s">
        <v>2403</v>
      </c>
      <c r="B360" s="3" t="s">
        <v>102</v>
      </c>
      <c r="C360" s="3" t="s">
        <v>9209</v>
      </c>
      <c r="D360" s="3"/>
      <c r="E360" s="3"/>
      <c r="F360" t="s">
        <v>2787</v>
      </c>
      <c r="H360" t="s">
        <v>3579</v>
      </c>
      <c r="J360" t="str">
        <f t="shared" si="5"/>
        <v>Form NCEN-C.20.a.ii</v>
      </c>
      <c r="K360" t="s">
        <v>3581</v>
      </c>
      <c r="L360" t="s">
        <v>3582</v>
      </c>
      <c r="M360" t="s">
        <v>3583</v>
      </c>
      <c r="N360" t="s">
        <v>263</v>
      </c>
      <c r="Q360" t="s">
        <v>3580</v>
      </c>
    </row>
    <row r="361" spans="1:17" x14ac:dyDescent="0.35">
      <c r="A361" t="s">
        <v>2403</v>
      </c>
      <c r="B361" s="3" t="s">
        <v>102</v>
      </c>
      <c r="C361" s="3" t="s">
        <v>9209</v>
      </c>
      <c r="D361" s="3"/>
      <c r="E361" s="3"/>
      <c r="F361" t="s">
        <v>2787</v>
      </c>
      <c r="H361" t="s">
        <v>3584</v>
      </c>
      <c r="J361" t="str">
        <f t="shared" si="5"/>
        <v>Form NCEN-C.20.a.iii</v>
      </c>
      <c r="K361" t="s">
        <v>3586</v>
      </c>
      <c r="L361" t="s">
        <v>3587</v>
      </c>
      <c r="M361" t="s">
        <v>3588</v>
      </c>
      <c r="N361" t="s">
        <v>229</v>
      </c>
      <c r="Q361" t="s">
        <v>3585</v>
      </c>
    </row>
    <row r="362" spans="1:17" x14ac:dyDescent="0.35">
      <c r="A362" t="s">
        <v>2403</v>
      </c>
      <c r="B362" s="3" t="s">
        <v>102</v>
      </c>
      <c r="C362" s="3" t="s">
        <v>9209</v>
      </c>
      <c r="D362" s="3"/>
      <c r="E362" s="3"/>
      <c r="F362" t="s">
        <v>2787</v>
      </c>
      <c r="H362" t="s">
        <v>3589</v>
      </c>
      <c r="J362" t="str">
        <f t="shared" si="5"/>
        <v>Form NCEN-C.20.a.iv</v>
      </c>
      <c r="K362" t="s">
        <v>3591</v>
      </c>
      <c r="L362" t="s">
        <v>3592</v>
      </c>
      <c r="M362" t="s">
        <v>3593</v>
      </c>
      <c r="N362" t="s">
        <v>229</v>
      </c>
      <c r="Q362" t="s">
        <v>3590</v>
      </c>
    </row>
    <row r="363" spans="1:17" x14ac:dyDescent="0.35">
      <c r="A363" t="s">
        <v>2403</v>
      </c>
      <c r="B363" s="3" t="s">
        <v>102</v>
      </c>
      <c r="C363" s="3" t="s">
        <v>9209</v>
      </c>
      <c r="D363" s="3"/>
      <c r="E363" s="3"/>
      <c r="F363" t="s">
        <v>2787</v>
      </c>
      <c r="H363" t="s">
        <v>3594</v>
      </c>
      <c r="J363" t="str">
        <f t="shared" si="5"/>
        <v>Form NCEN-C.20.a.iv.1</v>
      </c>
      <c r="K363" t="s">
        <v>3596</v>
      </c>
      <c r="L363" t="s">
        <v>3597</v>
      </c>
      <c r="M363" t="s">
        <v>3598</v>
      </c>
      <c r="N363" t="s">
        <v>229</v>
      </c>
      <c r="Q363" t="s">
        <v>3595</v>
      </c>
    </row>
    <row r="364" spans="1:17" x14ac:dyDescent="0.35">
      <c r="A364" t="s">
        <v>2403</v>
      </c>
      <c r="B364" s="3" t="s">
        <v>102</v>
      </c>
      <c r="C364" s="3" t="s">
        <v>9209</v>
      </c>
      <c r="D364" s="3"/>
      <c r="E364" s="3"/>
      <c r="F364" t="s">
        <v>2787</v>
      </c>
      <c r="H364" t="s">
        <v>3599</v>
      </c>
      <c r="J364" t="str">
        <f t="shared" si="5"/>
        <v>Form NCEN-C.20.a.v</v>
      </c>
      <c r="K364" t="s">
        <v>3600</v>
      </c>
      <c r="L364" t="s">
        <v>3601</v>
      </c>
      <c r="M364" t="s">
        <v>3602</v>
      </c>
      <c r="N364" t="s">
        <v>2374</v>
      </c>
      <c r="Q364" t="s">
        <v>1341</v>
      </c>
    </row>
    <row r="365" spans="1:17" x14ac:dyDescent="0.35">
      <c r="A365" t="s">
        <v>2403</v>
      </c>
      <c r="B365" s="3" t="s">
        <v>102</v>
      </c>
      <c r="C365" s="3" t="s">
        <v>9209</v>
      </c>
      <c r="D365" s="3"/>
      <c r="E365" s="3"/>
      <c r="F365" t="s">
        <v>2787</v>
      </c>
      <c r="H365" t="s">
        <v>3603</v>
      </c>
      <c r="J365" t="str">
        <f t="shared" si="5"/>
        <v>Form NCEN-C.20.a.vi</v>
      </c>
      <c r="K365" t="s">
        <v>3604</v>
      </c>
      <c r="L365" t="s">
        <v>3605</v>
      </c>
      <c r="M365" t="s">
        <v>3606</v>
      </c>
      <c r="N365" t="s">
        <v>263</v>
      </c>
      <c r="Q365" t="s">
        <v>9217</v>
      </c>
    </row>
    <row r="366" spans="1:17" x14ac:dyDescent="0.35">
      <c r="A366" t="s">
        <v>2403</v>
      </c>
      <c r="B366" s="3" t="s">
        <v>102</v>
      </c>
      <c r="C366" s="3" t="s">
        <v>9209</v>
      </c>
      <c r="D366" s="3"/>
      <c r="E366" s="3"/>
      <c r="F366" t="s">
        <v>2787</v>
      </c>
      <c r="H366" t="s">
        <v>3607</v>
      </c>
      <c r="J366" t="str">
        <f t="shared" si="5"/>
        <v>Form NCEN-C.20.a.vii</v>
      </c>
      <c r="K366" t="s">
        <v>3608</v>
      </c>
      <c r="L366" t="s">
        <v>3609</v>
      </c>
      <c r="M366" t="s">
        <v>3610</v>
      </c>
      <c r="N366" t="s">
        <v>241</v>
      </c>
      <c r="Q366" t="s">
        <v>9217</v>
      </c>
    </row>
    <row r="367" spans="1:17" x14ac:dyDescent="0.35">
      <c r="A367" t="s">
        <v>2403</v>
      </c>
      <c r="B367" s="3" t="s">
        <v>102</v>
      </c>
      <c r="C367" s="3" t="s">
        <v>9209</v>
      </c>
      <c r="D367" s="3"/>
      <c r="E367" s="3"/>
      <c r="F367" t="s">
        <v>2787</v>
      </c>
      <c r="H367" t="s">
        <v>3611</v>
      </c>
      <c r="J367" t="str">
        <f t="shared" si="5"/>
        <v>Form NCEN-C.20.b</v>
      </c>
      <c r="K367" t="s">
        <v>3612</v>
      </c>
      <c r="L367" t="s">
        <v>3613</v>
      </c>
      <c r="M367" t="s">
        <v>3614</v>
      </c>
      <c r="N367" t="s">
        <v>2374</v>
      </c>
      <c r="Q367" t="s">
        <v>1341</v>
      </c>
    </row>
    <row r="368" spans="1:17" x14ac:dyDescent="0.35">
      <c r="A368" t="s">
        <v>2403</v>
      </c>
      <c r="B368" s="3" t="s">
        <v>102</v>
      </c>
      <c r="C368" s="3" t="s">
        <v>9209</v>
      </c>
      <c r="D368" s="3"/>
      <c r="E368" s="3"/>
      <c r="F368" t="s">
        <v>2787</v>
      </c>
      <c r="H368" t="s">
        <v>3615</v>
      </c>
      <c r="J368" t="str">
        <f t="shared" si="5"/>
        <v>Form NCEN-C.20.b.i</v>
      </c>
      <c r="K368" t="s">
        <v>3616</v>
      </c>
      <c r="L368" t="s">
        <v>3617</v>
      </c>
      <c r="M368" t="s">
        <v>3618</v>
      </c>
      <c r="N368" t="s">
        <v>263</v>
      </c>
      <c r="Q368" t="s">
        <v>9217</v>
      </c>
    </row>
    <row r="369" spans="1:17" x14ac:dyDescent="0.35">
      <c r="A369" t="s">
        <v>2403</v>
      </c>
      <c r="B369" s="3" t="s">
        <v>102</v>
      </c>
      <c r="C369" s="3" t="s">
        <v>9209</v>
      </c>
      <c r="D369" s="3"/>
      <c r="E369" s="3"/>
      <c r="F369" t="s">
        <v>2787</v>
      </c>
      <c r="H369" t="s">
        <v>3619</v>
      </c>
      <c r="J369" t="str">
        <f t="shared" si="5"/>
        <v>Form NCEN-C.20.b.ii</v>
      </c>
      <c r="K369" t="s">
        <v>3620</v>
      </c>
      <c r="L369" t="s">
        <v>3621</v>
      </c>
      <c r="M369" t="s">
        <v>3622</v>
      </c>
      <c r="N369" t="s">
        <v>241</v>
      </c>
      <c r="Q369" t="s">
        <v>9217</v>
      </c>
    </row>
    <row r="370" spans="1:17" x14ac:dyDescent="0.35">
      <c r="A370" t="s">
        <v>2403</v>
      </c>
      <c r="B370" s="3" t="s">
        <v>102</v>
      </c>
      <c r="C370" s="3" t="s">
        <v>9209</v>
      </c>
      <c r="D370" s="3"/>
      <c r="E370" s="3"/>
      <c r="F370" t="s">
        <v>2787</v>
      </c>
      <c r="H370" t="s">
        <v>3623</v>
      </c>
      <c r="J370" t="str">
        <f t="shared" si="5"/>
        <v>Form NCEN-C.20.c</v>
      </c>
      <c r="K370" t="s">
        <v>3624</v>
      </c>
      <c r="L370" t="s">
        <v>3625</v>
      </c>
      <c r="M370" t="s">
        <v>3626</v>
      </c>
      <c r="N370" t="s">
        <v>2374</v>
      </c>
      <c r="Q370" t="s">
        <v>1341</v>
      </c>
    </row>
    <row r="371" spans="1:17" x14ac:dyDescent="0.35">
      <c r="A371" t="s">
        <v>2403</v>
      </c>
      <c r="B371" s="3" t="s">
        <v>102</v>
      </c>
      <c r="C371" s="3" t="s">
        <v>9209</v>
      </c>
      <c r="D371" s="3"/>
      <c r="E371" s="3"/>
      <c r="F371" t="s">
        <v>2787</v>
      </c>
      <c r="H371" t="s">
        <v>3627</v>
      </c>
      <c r="J371" t="str">
        <f t="shared" si="5"/>
        <v>Form NCEN-C.20.c.i</v>
      </c>
      <c r="K371" t="s">
        <v>3616</v>
      </c>
      <c r="L371" t="s">
        <v>3628</v>
      </c>
      <c r="M371" t="s">
        <v>3629</v>
      </c>
      <c r="N371" t="s">
        <v>263</v>
      </c>
      <c r="Q371" s="18" t="s">
        <v>9217</v>
      </c>
    </row>
    <row r="372" spans="1:17" x14ac:dyDescent="0.35">
      <c r="A372" t="s">
        <v>2403</v>
      </c>
      <c r="B372" s="3" t="s">
        <v>102</v>
      </c>
      <c r="C372" s="3" t="s">
        <v>9209</v>
      </c>
      <c r="D372" s="3"/>
      <c r="E372" s="3"/>
      <c r="F372" t="s">
        <v>2787</v>
      </c>
      <c r="H372" t="s">
        <v>3630</v>
      </c>
      <c r="J372" t="str">
        <f t="shared" si="5"/>
        <v>Form NCEN-C.20.c.ii</v>
      </c>
      <c r="K372" t="s">
        <v>3620</v>
      </c>
      <c r="L372" t="s">
        <v>3631</v>
      </c>
      <c r="M372" t="s">
        <v>3632</v>
      </c>
      <c r="N372" t="s">
        <v>241</v>
      </c>
      <c r="Q372" s="18" t="s">
        <v>9217</v>
      </c>
    </row>
    <row r="373" spans="1:17" x14ac:dyDescent="0.35">
      <c r="A373" t="s">
        <v>2403</v>
      </c>
      <c r="B373" s="3" t="s">
        <v>102</v>
      </c>
      <c r="C373" s="3" t="s">
        <v>9209</v>
      </c>
      <c r="D373" s="3"/>
      <c r="E373" s="3"/>
      <c r="F373" t="s">
        <v>2787</v>
      </c>
      <c r="H373" t="s">
        <v>3633</v>
      </c>
      <c r="J373" t="str">
        <f t="shared" si="5"/>
        <v>Form NCEN-C.21</v>
      </c>
      <c r="K373" t="s">
        <v>3634</v>
      </c>
      <c r="L373" t="s">
        <v>3635</v>
      </c>
      <c r="M373" t="s">
        <v>3636</v>
      </c>
      <c r="N373" t="s">
        <v>2759</v>
      </c>
    </row>
    <row r="374" spans="1:17" x14ac:dyDescent="0.35">
      <c r="A374" t="s">
        <v>2403</v>
      </c>
      <c r="B374" s="3" t="s">
        <v>102</v>
      </c>
      <c r="C374" s="3" t="s">
        <v>9209</v>
      </c>
      <c r="D374" s="3"/>
      <c r="E374" s="3"/>
      <c r="F374" t="s">
        <v>2787</v>
      </c>
      <c r="H374" t="s">
        <v>3637</v>
      </c>
      <c r="J374" t="str">
        <f t="shared" si="5"/>
        <v>Form NCEN-C.21.a</v>
      </c>
      <c r="K374" t="s">
        <v>3638</v>
      </c>
      <c r="L374" t="s">
        <v>3639</v>
      </c>
      <c r="M374" t="s">
        <v>3640</v>
      </c>
      <c r="N374" t="s">
        <v>2374</v>
      </c>
      <c r="Q374" t="s">
        <v>1341</v>
      </c>
    </row>
    <row r="375" spans="1:17" x14ac:dyDescent="0.35">
      <c r="A375" t="s">
        <v>2403</v>
      </c>
      <c r="B375" s="3" t="s">
        <v>102</v>
      </c>
      <c r="C375" s="3" t="s">
        <v>9209</v>
      </c>
      <c r="D375" s="3"/>
      <c r="E375" s="3"/>
      <c r="F375" t="s">
        <v>2787</v>
      </c>
      <c r="H375" t="s">
        <v>3641</v>
      </c>
      <c r="J375" t="str">
        <f t="shared" si="5"/>
        <v>Form NCEN-C.21.a.i</v>
      </c>
      <c r="K375" t="s">
        <v>3642</v>
      </c>
      <c r="L375" t="s">
        <v>3643</v>
      </c>
      <c r="M375" t="s">
        <v>3644</v>
      </c>
      <c r="N375" t="s">
        <v>241</v>
      </c>
      <c r="Q375" s="18" t="s">
        <v>9217</v>
      </c>
    </row>
    <row r="376" spans="1:17" x14ac:dyDescent="0.35">
      <c r="A376" t="s">
        <v>2403</v>
      </c>
      <c r="B376" s="3" t="s">
        <v>102</v>
      </c>
      <c r="C376" s="3" t="s">
        <v>9209</v>
      </c>
      <c r="D376" s="3"/>
      <c r="E376" s="3"/>
      <c r="F376" t="s">
        <v>3645</v>
      </c>
      <c r="H376" t="s">
        <v>3646</v>
      </c>
      <c r="J376" t="str">
        <f t="shared" si="5"/>
        <v>Form NCEN-D.1</v>
      </c>
      <c r="K376" t="s">
        <v>3647</v>
      </c>
      <c r="L376" t="s">
        <v>3648</v>
      </c>
      <c r="M376" t="s">
        <v>3649</v>
      </c>
      <c r="N376" t="s">
        <v>2759</v>
      </c>
      <c r="Q376" s="18" t="s">
        <v>9217</v>
      </c>
    </row>
    <row r="377" spans="1:17" x14ac:dyDescent="0.35">
      <c r="A377" t="s">
        <v>2403</v>
      </c>
      <c r="B377" s="3" t="s">
        <v>102</v>
      </c>
      <c r="C377" s="3" t="s">
        <v>9209</v>
      </c>
      <c r="D377" s="3"/>
      <c r="E377" s="3"/>
      <c r="F377" t="s">
        <v>3645</v>
      </c>
      <c r="H377" t="s">
        <v>3650</v>
      </c>
      <c r="J377" t="str">
        <f t="shared" si="5"/>
        <v>Form NCEN-D.1.a</v>
      </c>
      <c r="K377" t="s">
        <v>3651</v>
      </c>
      <c r="L377" t="s">
        <v>3652</v>
      </c>
      <c r="M377" t="s">
        <v>3653</v>
      </c>
      <c r="N377" t="s">
        <v>2374</v>
      </c>
      <c r="Q377" s="18" t="s">
        <v>9217</v>
      </c>
    </row>
    <row r="378" spans="1:17" x14ac:dyDescent="0.35">
      <c r="A378" t="s">
        <v>2403</v>
      </c>
      <c r="B378" s="3" t="s">
        <v>102</v>
      </c>
      <c r="C378" s="3" t="s">
        <v>9209</v>
      </c>
      <c r="D378" s="3"/>
      <c r="E378" s="3"/>
      <c r="F378" t="s">
        <v>3645</v>
      </c>
      <c r="H378" t="s">
        <v>3654</v>
      </c>
      <c r="J378" t="str">
        <f t="shared" si="5"/>
        <v>Form NCEN-D.1.a.i</v>
      </c>
      <c r="K378" t="s">
        <v>3655</v>
      </c>
      <c r="L378" t="s">
        <v>3656</v>
      </c>
      <c r="M378" t="s">
        <v>3657</v>
      </c>
      <c r="N378" t="s">
        <v>229</v>
      </c>
      <c r="Q378" s="18" t="s">
        <v>9217</v>
      </c>
    </row>
    <row r="379" spans="1:17" x14ac:dyDescent="0.35">
      <c r="A379" t="s">
        <v>2403</v>
      </c>
      <c r="B379" s="3" t="s">
        <v>102</v>
      </c>
      <c r="C379" s="3" t="s">
        <v>9209</v>
      </c>
      <c r="D379" s="3"/>
      <c r="E379" s="3"/>
      <c r="F379" t="s">
        <v>3645</v>
      </c>
      <c r="H379" t="s">
        <v>3658</v>
      </c>
      <c r="J379" t="str">
        <f t="shared" si="5"/>
        <v>Form NCEN-D.1.a.ii</v>
      </c>
      <c r="K379" t="s">
        <v>3659</v>
      </c>
      <c r="L379" t="s">
        <v>3660</v>
      </c>
      <c r="M379" t="s">
        <v>3661</v>
      </c>
      <c r="N379" t="s">
        <v>229</v>
      </c>
      <c r="Q379" s="18" t="s">
        <v>9217</v>
      </c>
    </row>
    <row r="380" spans="1:17" x14ac:dyDescent="0.35">
      <c r="A380" t="s">
        <v>2403</v>
      </c>
      <c r="B380" s="3" t="s">
        <v>102</v>
      </c>
      <c r="C380" s="3" t="s">
        <v>9209</v>
      </c>
      <c r="D380" s="3"/>
      <c r="E380" s="3"/>
      <c r="F380" t="s">
        <v>3645</v>
      </c>
      <c r="H380" t="s">
        <v>3662</v>
      </c>
      <c r="J380" t="str">
        <f t="shared" si="5"/>
        <v>Form NCEN-D.1.a.iii</v>
      </c>
      <c r="K380" t="s">
        <v>3663</v>
      </c>
      <c r="L380" t="s">
        <v>3664</v>
      </c>
      <c r="M380" t="s">
        <v>3665</v>
      </c>
      <c r="N380" t="s">
        <v>229</v>
      </c>
      <c r="Q380" s="18" t="s">
        <v>9217</v>
      </c>
    </row>
    <row r="381" spans="1:17" x14ac:dyDescent="0.35">
      <c r="A381" t="s">
        <v>2403</v>
      </c>
      <c r="B381" s="3" t="s">
        <v>102</v>
      </c>
      <c r="C381" s="3" t="s">
        <v>9209</v>
      </c>
      <c r="D381" s="3"/>
      <c r="E381" s="3"/>
      <c r="F381" t="s">
        <v>3645</v>
      </c>
      <c r="H381" t="s">
        <v>3666</v>
      </c>
      <c r="J381" t="str">
        <f t="shared" si="5"/>
        <v>Form NCEN-D.1.b</v>
      </c>
      <c r="K381" t="s">
        <v>3667</v>
      </c>
      <c r="L381" t="s">
        <v>3668</v>
      </c>
      <c r="M381" t="s">
        <v>3669</v>
      </c>
      <c r="N381" t="s">
        <v>2374</v>
      </c>
      <c r="Q381" s="18" t="s">
        <v>9217</v>
      </c>
    </row>
    <row r="382" spans="1:17" x14ac:dyDescent="0.35">
      <c r="A382" t="s">
        <v>2403</v>
      </c>
      <c r="B382" s="3" t="s">
        <v>102</v>
      </c>
      <c r="C382" s="3" t="s">
        <v>9209</v>
      </c>
      <c r="D382" s="3"/>
      <c r="E382" s="3"/>
      <c r="F382" t="s">
        <v>3645</v>
      </c>
      <c r="H382" t="s">
        <v>3670</v>
      </c>
      <c r="J382" t="str">
        <f t="shared" si="5"/>
        <v>Form NCEN-D.1.b.i</v>
      </c>
      <c r="K382" t="s">
        <v>3655</v>
      </c>
      <c r="L382" t="s">
        <v>3671</v>
      </c>
      <c r="M382" t="s">
        <v>3672</v>
      </c>
      <c r="N382" t="s">
        <v>229</v>
      </c>
      <c r="Q382" s="18" t="s">
        <v>9217</v>
      </c>
    </row>
    <row r="383" spans="1:17" x14ac:dyDescent="0.35">
      <c r="A383" t="s">
        <v>2403</v>
      </c>
      <c r="B383" s="3" t="s">
        <v>102</v>
      </c>
      <c r="C383" s="3" t="s">
        <v>9209</v>
      </c>
      <c r="D383" s="3"/>
      <c r="E383" s="3"/>
      <c r="F383" t="s">
        <v>3645</v>
      </c>
      <c r="H383" t="s">
        <v>3673</v>
      </c>
      <c r="J383" t="str">
        <f t="shared" si="5"/>
        <v>Form NCEN-D.1.b.ii</v>
      </c>
      <c r="K383" t="s">
        <v>3659</v>
      </c>
      <c r="L383" t="s">
        <v>3674</v>
      </c>
      <c r="M383" t="s">
        <v>3675</v>
      </c>
      <c r="N383" t="s">
        <v>229</v>
      </c>
      <c r="Q383" s="18" t="s">
        <v>9217</v>
      </c>
    </row>
    <row r="384" spans="1:17" x14ac:dyDescent="0.35">
      <c r="A384" t="s">
        <v>2403</v>
      </c>
      <c r="B384" s="3" t="s">
        <v>102</v>
      </c>
      <c r="C384" s="3" t="s">
        <v>9209</v>
      </c>
      <c r="D384" s="3"/>
      <c r="E384" s="3"/>
      <c r="F384" t="s">
        <v>3645</v>
      </c>
      <c r="H384" t="s">
        <v>3676</v>
      </c>
      <c r="J384" t="str">
        <f t="shared" si="5"/>
        <v>Form NCEN-D.1.b.iii</v>
      </c>
      <c r="K384" t="s">
        <v>3663</v>
      </c>
      <c r="L384" t="s">
        <v>3677</v>
      </c>
      <c r="M384" t="s">
        <v>3678</v>
      </c>
      <c r="N384" t="s">
        <v>229</v>
      </c>
      <c r="Q384" s="18" t="s">
        <v>9217</v>
      </c>
    </row>
    <row r="385" spans="1:17" x14ac:dyDescent="0.35">
      <c r="A385" t="s">
        <v>2403</v>
      </c>
      <c r="B385" s="3" t="s">
        <v>102</v>
      </c>
      <c r="C385" s="3" t="s">
        <v>9209</v>
      </c>
      <c r="D385" s="3"/>
      <c r="E385" s="3"/>
      <c r="F385" t="s">
        <v>3645</v>
      </c>
      <c r="H385" t="s">
        <v>3679</v>
      </c>
      <c r="J385" t="str">
        <f t="shared" si="5"/>
        <v>Form NCEN-D.1.c</v>
      </c>
      <c r="K385" t="s">
        <v>3680</v>
      </c>
      <c r="L385" t="s">
        <v>3681</v>
      </c>
      <c r="M385" t="s">
        <v>3682</v>
      </c>
      <c r="N385" t="s">
        <v>2374</v>
      </c>
      <c r="Q385" s="18" t="s">
        <v>9217</v>
      </c>
    </row>
    <row r="386" spans="1:17" x14ac:dyDescent="0.35">
      <c r="A386" t="s">
        <v>2403</v>
      </c>
      <c r="B386" s="3" t="s">
        <v>102</v>
      </c>
      <c r="C386" s="3" t="s">
        <v>9209</v>
      </c>
      <c r="D386" s="3"/>
      <c r="E386" s="3"/>
      <c r="F386" t="s">
        <v>3645</v>
      </c>
      <c r="H386" t="s">
        <v>3683</v>
      </c>
      <c r="J386" t="str">
        <f t="shared" si="5"/>
        <v>Form NCEN-D.1.c.i</v>
      </c>
      <c r="K386" t="s">
        <v>3655</v>
      </c>
      <c r="L386" t="s">
        <v>3684</v>
      </c>
      <c r="M386" t="s">
        <v>3685</v>
      </c>
      <c r="N386" t="s">
        <v>229</v>
      </c>
      <c r="Q386" s="18" t="s">
        <v>9217</v>
      </c>
    </row>
    <row r="387" spans="1:17" x14ac:dyDescent="0.35">
      <c r="A387" t="s">
        <v>2403</v>
      </c>
      <c r="B387" s="3" t="s">
        <v>102</v>
      </c>
      <c r="C387" s="3" t="s">
        <v>9209</v>
      </c>
      <c r="D387" s="3"/>
      <c r="E387" s="3"/>
      <c r="F387" t="s">
        <v>3645</v>
      </c>
      <c r="H387" t="s">
        <v>3686</v>
      </c>
      <c r="J387" t="str">
        <f t="shared" ref="J387:J450" si="6">_xlfn.CONCAT(A387,"-",H387)</f>
        <v>Form NCEN-D.1.c.ii</v>
      </c>
      <c r="K387" t="s">
        <v>3659</v>
      </c>
      <c r="L387" t="s">
        <v>3687</v>
      </c>
      <c r="M387" t="s">
        <v>3688</v>
      </c>
      <c r="N387" t="s">
        <v>229</v>
      </c>
      <c r="Q387" s="18" t="s">
        <v>9217</v>
      </c>
    </row>
    <row r="388" spans="1:17" x14ac:dyDescent="0.35">
      <c r="A388" t="s">
        <v>2403</v>
      </c>
      <c r="B388" s="3" t="s">
        <v>102</v>
      </c>
      <c r="C388" s="3" t="s">
        <v>9209</v>
      </c>
      <c r="D388" s="3"/>
      <c r="E388" s="3"/>
      <c r="F388" t="s">
        <v>3645</v>
      </c>
      <c r="H388" t="s">
        <v>3689</v>
      </c>
      <c r="J388" t="str">
        <f t="shared" si="6"/>
        <v>Form NCEN-D.1.c.iii</v>
      </c>
      <c r="K388" t="s">
        <v>3663</v>
      </c>
      <c r="L388" t="s">
        <v>3690</v>
      </c>
      <c r="M388" t="s">
        <v>3691</v>
      </c>
      <c r="N388" t="s">
        <v>229</v>
      </c>
      <c r="Q388" s="18" t="s">
        <v>9217</v>
      </c>
    </row>
    <row r="389" spans="1:17" x14ac:dyDescent="0.35">
      <c r="A389" t="s">
        <v>2403</v>
      </c>
      <c r="B389" s="3" t="s">
        <v>102</v>
      </c>
      <c r="C389" s="3" t="s">
        <v>9209</v>
      </c>
      <c r="D389" s="3"/>
      <c r="E389" s="3"/>
      <c r="F389" t="s">
        <v>3645</v>
      </c>
      <c r="H389" t="s">
        <v>3692</v>
      </c>
      <c r="J389" t="str">
        <f t="shared" si="6"/>
        <v>Form NCEN-D.1.d</v>
      </c>
      <c r="K389" t="s">
        <v>3693</v>
      </c>
      <c r="L389" t="s">
        <v>3694</v>
      </c>
      <c r="M389" t="s">
        <v>3695</v>
      </c>
      <c r="N389" t="s">
        <v>2374</v>
      </c>
      <c r="Q389" s="18" t="s">
        <v>9217</v>
      </c>
    </row>
    <row r="390" spans="1:17" x14ac:dyDescent="0.35">
      <c r="A390" t="s">
        <v>2403</v>
      </c>
      <c r="B390" s="3" t="s">
        <v>102</v>
      </c>
      <c r="C390" s="3" t="s">
        <v>9209</v>
      </c>
      <c r="D390" s="3"/>
      <c r="E390" s="3"/>
      <c r="F390" t="s">
        <v>3645</v>
      </c>
      <c r="H390" t="s">
        <v>3696</v>
      </c>
      <c r="J390" t="str">
        <f t="shared" si="6"/>
        <v>Form NCEN-D.1.d.i</v>
      </c>
      <c r="K390" t="s">
        <v>3655</v>
      </c>
      <c r="L390" t="s">
        <v>3697</v>
      </c>
      <c r="M390" t="s">
        <v>3698</v>
      </c>
      <c r="N390" t="s">
        <v>229</v>
      </c>
      <c r="Q390" s="18" t="s">
        <v>9217</v>
      </c>
    </row>
    <row r="391" spans="1:17" x14ac:dyDescent="0.35">
      <c r="A391" t="s">
        <v>2403</v>
      </c>
      <c r="B391" s="3" t="s">
        <v>102</v>
      </c>
      <c r="C391" s="3" t="s">
        <v>9209</v>
      </c>
      <c r="D391" s="3"/>
      <c r="E391" s="3"/>
      <c r="F391" t="s">
        <v>3645</v>
      </c>
      <c r="H391" t="s">
        <v>3699</v>
      </c>
      <c r="J391" t="str">
        <f t="shared" si="6"/>
        <v>Form NCEN-D.1.d.ii</v>
      </c>
      <c r="K391" t="s">
        <v>3659</v>
      </c>
      <c r="L391" t="s">
        <v>3700</v>
      </c>
      <c r="M391" t="s">
        <v>3701</v>
      </c>
      <c r="N391" t="s">
        <v>229</v>
      </c>
      <c r="Q391" s="18" t="s">
        <v>9217</v>
      </c>
    </row>
    <row r="392" spans="1:17" x14ac:dyDescent="0.35">
      <c r="A392" t="s">
        <v>2403</v>
      </c>
      <c r="B392" s="3" t="s">
        <v>102</v>
      </c>
      <c r="C392" s="3" t="s">
        <v>9209</v>
      </c>
      <c r="D392" s="3"/>
      <c r="E392" s="3"/>
      <c r="F392" t="s">
        <v>3645</v>
      </c>
      <c r="H392" t="s">
        <v>3702</v>
      </c>
      <c r="J392" t="str">
        <f t="shared" si="6"/>
        <v>Form NCEN-D.1.d.iii</v>
      </c>
      <c r="K392" t="s">
        <v>3663</v>
      </c>
      <c r="L392" t="s">
        <v>3703</v>
      </c>
      <c r="M392" t="s">
        <v>3704</v>
      </c>
      <c r="N392" t="s">
        <v>229</v>
      </c>
      <c r="Q392" s="18" t="s">
        <v>9217</v>
      </c>
    </row>
    <row r="393" spans="1:17" x14ac:dyDescent="0.35">
      <c r="A393" t="s">
        <v>2403</v>
      </c>
      <c r="B393" s="3" t="s">
        <v>102</v>
      </c>
      <c r="C393" s="3" t="s">
        <v>9209</v>
      </c>
      <c r="D393" s="3"/>
      <c r="E393" s="3"/>
      <c r="F393" t="s">
        <v>3645</v>
      </c>
      <c r="H393" t="s">
        <v>3705</v>
      </c>
      <c r="J393" t="str">
        <f t="shared" si="6"/>
        <v>Form NCEN-D.1.e</v>
      </c>
      <c r="K393" t="s">
        <v>3706</v>
      </c>
      <c r="L393" t="s">
        <v>3707</v>
      </c>
      <c r="M393" t="s">
        <v>3708</v>
      </c>
      <c r="N393" t="s">
        <v>2374</v>
      </c>
      <c r="Q393" s="18" t="s">
        <v>9217</v>
      </c>
    </row>
    <row r="394" spans="1:17" x14ac:dyDescent="0.35">
      <c r="A394" t="s">
        <v>2403</v>
      </c>
      <c r="B394" s="3" t="s">
        <v>102</v>
      </c>
      <c r="C394" s="3" t="s">
        <v>9209</v>
      </c>
      <c r="D394" s="3"/>
      <c r="E394" s="3"/>
      <c r="F394" t="s">
        <v>3645</v>
      </c>
      <c r="H394" t="s">
        <v>3709</v>
      </c>
      <c r="J394" t="str">
        <f t="shared" si="6"/>
        <v>Form NCEN-D.1.e.i</v>
      </c>
      <c r="K394" t="s">
        <v>3655</v>
      </c>
      <c r="L394" t="s">
        <v>3710</v>
      </c>
      <c r="M394" t="s">
        <v>3711</v>
      </c>
      <c r="N394" t="s">
        <v>229</v>
      </c>
      <c r="Q394" s="18" t="s">
        <v>9217</v>
      </c>
    </row>
    <row r="395" spans="1:17" x14ac:dyDescent="0.35">
      <c r="A395" t="s">
        <v>2403</v>
      </c>
      <c r="B395" s="3" t="s">
        <v>102</v>
      </c>
      <c r="C395" s="3" t="s">
        <v>9209</v>
      </c>
      <c r="D395" s="3"/>
      <c r="E395" s="3"/>
      <c r="F395" t="s">
        <v>3645</v>
      </c>
      <c r="H395" t="s">
        <v>3712</v>
      </c>
      <c r="J395" t="str">
        <f t="shared" si="6"/>
        <v>Form NCEN-D.1.e.ii</v>
      </c>
      <c r="K395" t="s">
        <v>3659</v>
      </c>
      <c r="L395" t="s">
        <v>3713</v>
      </c>
      <c r="M395" t="s">
        <v>3714</v>
      </c>
      <c r="N395" t="s">
        <v>229</v>
      </c>
      <c r="Q395" s="18" t="s">
        <v>9217</v>
      </c>
    </row>
    <row r="396" spans="1:17" x14ac:dyDescent="0.35">
      <c r="A396" t="s">
        <v>2403</v>
      </c>
      <c r="B396" s="3" t="s">
        <v>102</v>
      </c>
      <c r="C396" s="3" t="s">
        <v>9209</v>
      </c>
      <c r="D396" s="3"/>
      <c r="E396" s="3"/>
      <c r="F396" t="s">
        <v>3645</v>
      </c>
      <c r="H396" t="s">
        <v>3715</v>
      </c>
      <c r="J396" t="str">
        <f t="shared" si="6"/>
        <v>Form NCEN-D.1.e.iii</v>
      </c>
      <c r="K396" t="s">
        <v>3663</v>
      </c>
      <c r="L396" t="s">
        <v>3716</v>
      </c>
      <c r="M396" t="s">
        <v>3717</v>
      </c>
      <c r="N396" t="s">
        <v>229</v>
      </c>
      <c r="Q396" s="18" t="s">
        <v>9217</v>
      </c>
    </row>
    <row r="397" spans="1:17" x14ac:dyDescent="0.35">
      <c r="A397" t="s">
        <v>2403</v>
      </c>
      <c r="B397" s="3" t="s">
        <v>102</v>
      </c>
      <c r="C397" s="3" t="s">
        <v>9209</v>
      </c>
      <c r="D397" s="3"/>
      <c r="E397" s="3"/>
      <c r="F397" t="s">
        <v>3645</v>
      </c>
      <c r="H397" t="s">
        <v>3718</v>
      </c>
      <c r="J397" t="str">
        <f t="shared" si="6"/>
        <v>Form NCEN-D.1.f</v>
      </c>
      <c r="K397" t="s">
        <v>3040</v>
      </c>
      <c r="L397" t="s">
        <v>3719</v>
      </c>
      <c r="M397" t="s">
        <v>3720</v>
      </c>
      <c r="N397" t="s">
        <v>229</v>
      </c>
      <c r="Q397" s="18" t="s">
        <v>9217</v>
      </c>
    </row>
    <row r="398" spans="1:17" x14ac:dyDescent="0.35">
      <c r="A398" t="s">
        <v>2403</v>
      </c>
      <c r="B398" s="3" t="s">
        <v>102</v>
      </c>
      <c r="C398" s="3" t="s">
        <v>9209</v>
      </c>
      <c r="D398" s="3"/>
      <c r="E398" s="3"/>
      <c r="F398" t="s">
        <v>3645</v>
      </c>
      <c r="H398" t="s">
        <v>3721</v>
      </c>
      <c r="J398" t="str">
        <f t="shared" si="6"/>
        <v>Form NCEN-D.1.f.i</v>
      </c>
      <c r="K398" t="s">
        <v>3655</v>
      </c>
      <c r="L398" t="s">
        <v>3722</v>
      </c>
      <c r="M398" t="s">
        <v>3723</v>
      </c>
      <c r="N398" t="s">
        <v>229</v>
      </c>
      <c r="Q398" s="18" t="s">
        <v>9217</v>
      </c>
    </row>
    <row r="399" spans="1:17" x14ac:dyDescent="0.35">
      <c r="A399" t="s">
        <v>2403</v>
      </c>
      <c r="B399" s="3" t="s">
        <v>102</v>
      </c>
      <c r="C399" s="3" t="s">
        <v>9209</v>
      </c>
      <c r="D399" s="3"/>
      <c r="E399" s="3"/>
      <c r="F399" t="s">
        <v>3645</v>
      </c>
      <c r="H399" t="s">
        <v>3724</v>
      </c>
      <c r="J399" t="str">
        <f t="shared" si="6"/>
        <v>Form NCEN-D.1.f.ii</v>
      </c>
      <c r="K399" t="s">
        <v>3659</v>
      </c>
      <c r="L399" t="s">
        <v>3725</v>
      </c>
      <c r="M399" t="s">
        <v>3726</v>
      </c>
      <c r="N399" t="s">
        <v>229</v>
      </c>
      <c r="Q399" s="18" t="s">
        <v>9217</v>
      </c>
    </row>
    <row r="400" spans="1:17" x14ac:dyDescent="0.35">
      <c r="A400" t="s">
        <v>2403</v>
      </c>
      <c r="B400" s="3" t="s">
        <v>102</v>
      </c>
      <c r="C400" s="3" t="s">
        <v>9209</v>
      </c>
      <c r="D400" s="3"/>
      <c r="E400" s="3"/>
      <c r="F400" t="s">
        <v>3645</v>
      </c>
      <c r="H400" t="s">
        <v>3727</v>
      </c>
      <c r="J400" t="str">
        <f t="shared" si="6"/>
        <v>Form NCEN-D.1.f.iii</v>
      </c>
      <c r="K400" t="s">
        <v>3663</v>
      </c>
      <c r="L400" t="s">
        <v>3728</v>
      </c>
      <c r="M400" t="s">
        <v>3729</v>
      </c>
      <c r="N400" t="s">
        <v>229</v>
      </c>
      <c r="Q400" s="18" t="s">
        <v>9217</v>
      </c>
    </row>
    <row r="401" spans="1:17" x14ac:dyDescent="0.35">
      <c r="A401" t="s">
        <v>2403</v>
      </c>
      <c r="B401" s="3" t="s">
        <v>102</v>
      </c>
      <c r="C401" s="3" t="s">
        <v>9209</v>
      </c>
      <c r="D401" s="3"/>
      <c r="E401" s="3"/>
      <c r="F401" t="s">
        <v>3645</v>
      </c>
      <c r="H401" t="s">
        <v>3730</v>
      </c>
      <c r="J401" t="str">
        <f t="shared" si="6"/>
        <v>Form NCEN-D.2</v>
      </c>
      <c r="K401" t="s">
        <v>3731</v>
      </c>
      <c r="L401" t="s">
        <v>3732</v>
      </c>
      <c r="M401" t="s">
        <v>3733</v>
      </c>
      <c r="N401" t="s">
        <v>2759</v>
      </c>
      <c r="Q401" s="18" t="s">
        <v>9217</v>
      </c>
    </row>
    <row r="402" spans="1:17" x14ac:dyDescent="0.35">
      <c r="A402" t="s">
        <v>2403</v>
      </c>
      <c r="B402" s="3" t="s">
        <v>102</v>
      </c>
      <c r="C402" s="3" t="s">
        <v>9209</v>
      </c>
      <c r="D402" s="3"/>
      <c r="E402" s="3"/>
      <c r="F402" t="s">
        <v>3645</v>
      </c>
      <c r="H402" t="s">
        <v>3734</v>
      </c>
      <c r="J402" t="str">
        <f t="shared" si="6"/>
        <v>Form NCEN-D.2.a</v>
      </c>
      <c r="K402" t="s">
        <v>3735</v>
      </c>
      <c r="L402" t="s">
        <v>3736</v>
      </c>
      <c r="M402" t="s">
        <v>3737</v>
      </c>
      <c r="N402" t="s">
        <v>2374</v>
      </c>
      <c r="Q402" s="18" t="s">
        <v>9217</v>
      </c>
    </row>
    <row r="403" spans="1:17" x14ac:dyDescent="0.35">
      <c r="A403" t="s">
        <v>2403</v>
      </c>
      <c r="B403" s="3" t="s">
        <v>102</v>
      </c>
      <c r="C403" s="3" t="s">
        <v>9209</v>
      </c>
      <c r="D403" s="3"/>
      <c r="E403" s="3"/>
      <c r="F403" t="s">
        <v>3645</v>
      </c>
      <c r="H403" t="s">
        <v>3738</v>
      </c>
      <c r="J403" t="str">
        <f t="shared" si="6"/>
        <v>Form NCEN-D.2.b</v>
      </c>
      <c r="K403" t="s">
        <v>3739</v>
      </c>
      <c r="L403" t="s">
        <v>3740</v>
      </c>
      <c r="M403" t="s">
        <v>3741</v>
      </c>
      <c r="N403" t="s">
        <v>3017</v>
      </c>
      <c r="Q403" s="18" t="s">
        <v>9217</v>
      </c>
    </row>
    <row r="404" spans="1:17" x14ac:dyDescent="0.35">
      <c r="A404" t="s">
        <v>2403</v>
      </c>
      <c r="B404" s="3" t="s">
        <v>102</v>
      </c>
      <c r="C404" s="3" t="s">
        <v>9209</v>
      </c>
      <c r="D404" s="3"/>
      <c r="E404" s="3"/>
      <c r="F404" t="s">
        <v>3645</v>
      </c>
      <c r="H404" t="s">
        <v>3742</v>
      </c>
      <c r="J404" t="str">
        <f t="shared" si="6"/>
        <v>Form NCEN-D.2.b.i</v>
      </c>
      <c r="K404" t="s">
        <v>3651</v>
      </c>
      <c r="L404" t="s">
        <v>3743</v>
      </c>
      <c r="M404" t="s">
        <v>3744</v>
      </c>
      <c r="N404" t="s">
        <v>3022</v>
      </c>
      <c r="Q404" s="18" t="s">
        <v>9217</v>
      </c>
    </row>
    <row r="405" spans="1:17" x14ac:dyDescent="0.35">
      <c r="A405" t="s">
        <v>2403</v>
      </c>
      <c r="B405" s="3" t="s">
        <v>102</v>
      </c>
      <c r="C405" s="3" t="s">
        <v>9209</v>
      </c>
      <c r="D405" s="3"/>
      <c r="E405" s="3"/>
      <c r="F405" t="s">
        <v>3645</v>
      </c>
      <c r="H405" t="s">
        <v>3745</v>
      </c>
      <c r="J405" t="str">
        <f t="shared" si="6"/>
        <v>Form NCEN-D.2.b.ii</v>
      </c>
      <c r="K405" t="s">
        <v>3667</v>
      </c>
      <c r="L405" t="s">
        <v>3746</v>
      </c>
      <c r="M405" t="s">
        <v>3747</v>
      </c>
      <c r="N405" t="s">
        <v>3022</v>
      </c>
      <c r="Q405" s="18" t="s">
        <v>9217</v>
      </c>
    </row>
    <row r="406" spans="1:17" x14ac:dyDescent="0.35">
      <c r="A406" t="s">
        <v>2403</v>
      </c>
      <c r="B406" s="3" t="s">
        <v>102</v>
      </c>
      <c r="C406" s="3" t="s">
        <v>9209</v>
      </c>
      <c r="D406" s="3"/>
      <c r="E406" s="3"/>
      <c r="F406" t="s">
        <v>3645</v>
      </c>
      <c r="H406" t="s">
        <v>3748</v>
      </c>
      <c r="J406" t="str">
        <f t="shared" si="6"/>
        <v>Form NCEN-D.2.b.iii</v>
      </c>
      <c r="K406" t="s">
        <v>3680</v>
      </c>
      <c r="L406" t="s">
        <v>3749</v>
      </c>
      <c r="M406" t="s">
        <v>3750</v>
      </c>
      <c r="N406" t="s">
        <v>3022</v>
      </c>
      <c r="Q406" s="18" t="s">
        <v>9217</v>
      </c>
    </row>
    <row r="407" spans="1:17" x14ac:dyDescent="0.35">
      <c r="A407" t="s">
        <v>2403</v>
      </c>
      <c r="B407" s="3" t="s">
        <v>102</v>
      </c>
      <c r="C407" s="3" t="s">
        <v>9209</v>
      </c>
      <c r="D407" s="3"/>
      <c r="E407" s="3"/>
      <c r="F407" t="s">
        <v>3645</v>
      </c>
      <c r="H407" t="s">
        <v>3751</v>
      </c>
      <c r="J407" t="str">
        <f t="shared" si="6"/>
        <v>Form NCEN-D.2.b.iv</v>
      </c>
      <c r="K407" t="s">
        <v>3693</v>
      </c>
      <c r="L407" t="s">
        <v>3752</v>
      </c>
      <c r="M407" t="s">
        <v>3753</v>
      </c>
      <c r="N407" t="s">
        <v>3022</v>
      </c>
      <c r="Q407" s="18" t="s">
        <v>9217</v>
      </c>
    </row>
    <row r="408" spans="1:17" x14ac:dyDescent="0.35">
      <c r="A408" t="s">
        <v>2403</v>
      </c>
      <c r="B408" s="3" t="s">
        <v>102</v>
      </c>
      <c r="C408" s="3" t="s">
        <v>9209</v>
      </c>
      <c r="D408" s="3"/>
      <c r="E408" s="3"/>
      <c r="F408" t="s">
        <v>3645</v>
      </c>
      <c r="H408" t="s">
        <v>3754</v>
      </c>
      <c r="J408" t="str">
        <f t="shared" si="6"/>
        <v>Form NCEN-D.2.b.v</v>
      </c>
      <c r="K408" t="s">
        <v>3706</v>
      </c>
      <c r="L408" t="s">
        <v>3755</v>
      </c>
      <c r="M408" t="s">
        <v>3756</v>
      </c>
      <c r="N408" t="s">
        <v>3022</v>
      </c>
      <c r="Q408" s="18" t="s">
        <v>9217</v>
      </c>
    </row>
    <row r="409" spans="1:17" x14ac:dyDescent="0.35">
      <c r="A409" t="s">
        <v>2403</v>
      </c>
      <c r="B409" s="3" t="s">
        <v>102</v>
      </c>
      <c r="C409" s="3" t="s">
        <v>9209</v>
      </c>
      <c r="D409" s="3"/>
      <c r="E409" s="3"/>
      <c r="F409" t="s">
        <v>3645</v>
      </c>
      <c r="H409" t="s">
        <v>3757</v>
      </c>
      <c r="J409" t="str">
        <f t="shared" si="6"/>
        <v>Form NCEN-D.2.b.vi</v>
      </c>
      <c r="K409" t="s">
        <v>3040</v>
      </c>
      <c r="L409" t="s">
        <v>3758</v>
      </c>
      <c r="M409" t="s">
        <v>3759</v>
      </c>
      <c r="N409" t="s">
        <v>229</v>
      </c>
      <c r="Q409" s="18" t="s">
        <v>9217</v>
      </c>
    </row>
    <row r="410" spans="1:17" x14ac:dyDescent="0.35">
      <c r="A410" t="s">
        <v>2403</v>
      </c>
      <c r="B410" s="3" t="s">
        <v>102</v>
      </c>
      <c r="C410" s="3" t="s">
        <v>9209</v>
      </c>
      <c r="D410" s="3"/>
      <c r="E410" s="3"/>
      <c r="F410" t="s">
        <v>3645</v>
      </c>
      <c r="H410" t="s">
        <v>3760</v>
      </c>
      <c r="J410" t="str">
        <f t="shared" si="6"/>
        <v>Form NCEN-D.2.c</v>
      </c>
      <c r="K410" t="s">
        <v>3761</v>
      </c>
      <c r="L410" t="s">
        <v>3762</v>
      </c>
      <c r="M410" t="s">
        <v>3763</v>
      </c>
      <c r="N410" t="s">
        <v>1198</v>
      </c>
      <c r="Q410" s="18" t="s">
        <v>9217</v>
      </c>
    </row>
    <row r="411" spans="1:17" x14ac:dyDescent="0.35">
      <c r="A411" t="s">
        <v>2403</v>
      </c>
      <c r="B411" s="3" t="s">
        <v>102</v>
      </c>
      <c r="C411" s="3" t="s">
        <v>9209</v>
      </c>
      <c r="D411" s="3"/>
      <c r="E411" s="3"/>
      <c r="F411" t="s">
        <v>3645</v>
      </c>
      <c r="H411" t="s">
        <v>3764</v>
      </c>
      <c r="J411" t="str">
        <f t="shared" si="6"/>
        <v>Form NCEN-D.3</v>
      </c>
      <c r="K411" t="s">
        <v>3765</v>
      </c>
      <c r="L411" t="s">
        <v>3766</v>
      </c>
      <c r="M411" t="s">
        <v>3767</v>
      </c>
      <c r="N411" t="s">
        <v>2759</v>
      </c>
      <c r="Q411" s="18" t="s">
        <v>9217</v>
      </c>
    </row>
    <row r="412" spans="1:17" x14ac:dyDescent="0.35">
      <c r="A412" t="s">
        <v>2403</v>
      </c>
      <c r="B412" s="3" t="s">
        <v>102</v>
      </c>
      <c r="C412" s="3" t="s">
        <v>9209</v>
      </c>
      <c r="D412" s="3"/>
      <c r="E412" s="3"/>
      <c r="F412" t="s">
        <v>3645</v>
      </c>
      <c r="H412" t="s">
        <v>3768</v>
      </c>
      <c r="J412" t="str">
        <f t="shared" si="6"/>
        <v>Form NCEN-D.3.a</v>
      </c>
      <c r="K412" t="s">
        <v>3769</v>
      </c>
      <c r="L412" t="s">
        <v>3770</v>
      </c>
      <c r="M412" t="s">
        <v>3771</v>
      </c>
      <c r="N412" t="s">
        <v>2374</v>
      </c>
      <c r="Q412" s="18" t="s">
        <v>9217</v>
      </c>
    </row>
    <row r="413" spans="1:17" x14ac:dyDescent="0.35">
      <c r="A413" t="s">
        <v>2403</v>
      </c>
      <c r="B413" s="3" t="s">
        <v>102</v>
      </c>
      <c r="C413" s="3" t="s">
        <v>9209</v>
      </c>
      <c r="D413" s="3"/>
      <c r="E413" s="3"/>
      <c r="F413" t="s">
        <v>3645</v>
      </c>
      <c r="H413" t="s">
        <v>3772</v>
      </c>
      <c r="J413" t="str">
        <f t="shared" si="6"/>
        <v>Form NCEN-D.3.b</v>
      </c>
      <c r="K413" t="s">
        <v>3773</v>
      </c>
      <c r="L413" t="s">
        <v>3774</v>
      </c>
      <c r="M413" t="s">
        <v>3775</v>
      </c>
      <c r="N413" t="s">
        <v>3017</v>
      </c>
      <c r="Q413" s="18" t="s">
        <v>9217</v>
      </c>
    </row>
    <row r="414" spans="1:17" x14ac:dyDescent="0.35">
      <c r="A414" t="s">
        <v>2403</v>
      </c>
      <c r="B414" s="3" t="s">
        <v>102</v>
      </c>
      <c r="C414" s="3" t="s">
        <v>9209</v>
      </c>
      <c r="D414" s="3"/>
      <c r="E414" s="3"/>
      <c r="F414" t="s">
        <v>3645</v>
      </c>
      <c r="H414" t="s">
        <v>3776</v>
      </c>
      <c r="J414" t="str">
        <f t="shared" si="6"/>
        <v>Form NCEN-D.3.b.i</v>
      </c>
      <c r="K414" t="s">
        <v>3651</v>
      </c>
      <c r="L414" t="s">
        <v>3777</v>
      </c>
      <c r="M414" t="s">
        <v>3778</v>
      </c>
      <c r="N414" t="s">
        <v>3022</v>
      </c>
      <c r="Q414" s="18" t="s">
        <v>9217</v>
      </c>
    </row>
    <row r="415" spans="1:17" x14ac:dyDescent="0.35">
      <c r="A415" t="s">
        <v>2403</v>
      </c>
      <c r="B415" s="3" t="s">
        <v>102</v>
      </c>
      <c r="C415" s="3" t="s">
        <v>9209</v>
      </c>
      <c r="D415" s="3"/>
      <c r="E415" s="3"/>
      <c r="F415" t="s">
        <v>3645</v>
      </c>
      <c r="H415" t="s">
        <v>3779</v>
      </c>
      <c r="J415" t="str">
        <f t="shared" si="6"/>
        <v>Form NCEN-D.3.b.ii</v>
      </c>
      <c r="K415" t="s">
        <v>3667</v>
      </c>
      <c r="L415" t="s">
        <v>3780</v>
      </c>
      <c r="M415" t="s">
        <v>3781</v>
      </c>
      <c r="N415" t="s">
        <v>3022</v>
      </c>
      <c r="Q415" s="18" t="s">
        <v>9217</v>
      </c>
    </row>
    <row r="416" spans="1:17" x14ac:dyDescent="0.35">
      <c r="A416" t="s">
        <v>2403</v>
      </c>
      <c r="B416" s="3" t="s">
        <v>102</v>
      </c>
      <c r="C416" s="3" t="s">
        <v>9209</v>
      </c>
      <c r="D416" s="3"/>
      <c r="E416" s="3"/>
      <c r="F416" t="s">
        <v>3645</v>
      </c>
      <c r="H416" t="s">
        <v>3782</v>
      </c>
      <c r="J416" t="str">
        <f t="shared" si="6"/>
        <v>Form NCEN-D.3.b.iii</v>
      </c>
      <c r="K416" t="s">
        <v>3680</v>
      </c>
      <c r="L416" t="s">
        <v>3783</v>
      </c>
      <c r="M416" t="s">
        <v>3784</v>
      </c>
      <c r="N416" t="s">
        <v>3022</v>
      </c>
      <c r="Q416" s="18" t="s">
        <v>9217</v>
      </c>
    </row>
    <row r="417" spans="1:17" x14ac:dyDescent="0.35">
      <c r="A417" t="s">
        <v>2403</v>
      </c>
      <c r="B417" s="3" t="s">
        <v>102</v>
      </c>
      <c r="C417" s="3" t="s">
        <v>9209</v>
      </c>
      <c r="D417" s="3"/>
      <c r="E417" s="3"/>
      <c r="F417" t="s">
        <v>3645</v>
      </c>
      <c r="H417" t="s">
        <v>3785</v>
      </c>
      <c r="J417" t="str">
        <f t="shared" si="6"/>
        <v>Form NCEN-D.3.b.iv</v>
      </c>
      <c r="K417" t="s">
        <v>3693</v>
      </c>
      <c r="L417" t="s">
        <v>3786</v>
      </c>
      <c r="M417" t="s">
        <v>3787</v>
      </c>
      <c r="N417" t="s">
        <v>3022</v>
      </c>
      <c r="Q417" s="18" t="s">
        <v>9217</v>
      </c>
    </row>
    <row r="418" spans="1:17" x14ac:dyDescent="0.35">
      <c r="A418" t="s">
        <v>2403</v>
      </c>
      <c r="B418" s="3" t="s">
        <v>102</v>
      </c>
      <c r="C418" s="3" t="s">
        <v>9209</v>
      </c>
      <c r="D418" s="3"/>
      <c r="E418" s="3"/>
      <c r="F418" t="s">
        <v>3645</v>
      </c>
      <c r="H418" t="s">
        <v>3788</v>
      </c>
      <c r="J418" t="str">
        <f t="shared" si="6"/>
        <v>Form NCEN-D.3.b.v</v>
      </c>
      <c r="K418" t="s">
        <v>3706</v>
      </c>
      <c r="L418" t="s">
        <v>3789</v>
      </c>
      <c r="M418" t="s">
        <v>3790</v>
      </c>
      <c r="N418" t="s">
        <v>3022</v>
      </c>
      <c r="Q418" s="18" t="s">
        <v>9217</v>
      </c>
    </row>
    <row r="419" spans="1:17" x14ac:dyDescent="0.35">
      <c r="A419" t="s">
        <v>2403</v>
      </c>
      <c r="B419" s="3" t="s">
        <v>102</v>
      </c>
      <c r="C419" s="3" t="s">
        <v>9209</v>
      </c>
      <c r="D419" s="3"/>
      <c r="E419" s="3"/>
      <c r="F419" t="s">
        <v>3645</v>
      </c>
      <c r="H419" t="s">
        <v>3791</v>
      </c>
      <c r="J419" t="str">
        <f t="shared" si="6"/>
        <v>Form NCEN-D.3.b.vi</v>
      </c>
      <c r="K419" t="s">
        <v>3040</v>
      </c>
      <c r="L419" t="s">
        <v>3792</v>
      </c>
      <c r="M419" t="s">
        <v>3793</v>
      </c>
      <c r="N419" t="s">
        <v>229</v>
      </c>
      <c r="Q419" s="18" t="s">
        <v>9217</v>
      </c>
    </row>
    <row r="420" spans="1:17" x14ac:dyDescent="0.35">
      <c r="A420" t="s">
        <v>2403</v>
      </c>
      <c r="B420" s="3" t="s">
        <v>102</v>
      </c>
      <c r="C420" s="3" t="s">
        <v>9209</v>
      </c>
      <c r="D420" s="3"/>
      <c r="E420" s="3"/>
      <c r="F420" t="s">
        <v>3645</v>
      </c>
      <c r="H420" t="s">
        <v>3794</v>
      </c>
      <c r="J420" t="str">
        <f t="shared" si="6"/>
        <v>Form NCEN-D.4</v>
      </c>
      <c r="K420" t="s">
        <v>3795</v>
      </c>
      <c r="L420" t="s">
        <v>3796</v>
      </c>
      <c r="M420" t="s">
        <v>3797</v>
      </c>
      <c r="N420" t="s">
        <v>2759</v>
      </c>
      <c r="Q420" s="18" t="s">
        <v>9217</v>
      </c>
    </row>
    <row r="421" spans="1:17" x14ac:dyDescent="0.35">
      <c r="A421" t="s">
        <v>2403</v>
      </c>
      <c r="B421" s="3" t="s">
        <v>102</v>
      </c>
      <c r="C421" s="3" t="s">
        <v>9209</v>
      </c>
      <c r="D421" s="3"/>
      <c r="E421" s="3"/>
      <c r="F421" t="s">
        <v>3645</v>
      </c>
      <c r="H421" t="s">
        <v>3798</v>
      </c>
      <c r="J421" t="str">
        <f t="shared" si="6"/>
        <v>Form NCEN-D.4.a</v>
      </c>
      <c r="K421" t="s">
        <v>3799</v>
      </c>
      <c r="L421" t="s">
        <v>3800</v>
      </c>
      <c r="M421" t="s">
        <v>3801</v>
      </c>
      <c r="N421" t="s">
        <v>2374</v>
      </c>
      <c r="Q421" s="18" t="s">
        <v>9217</v>
      </c>
    </row>
    <row r="422" spans="1:17" x14ac:dyDescent="0.35">
      <c r="A422" t="s">
        <v>2403</v>
      </c>
      <c r="B422" s="3" t="s">
        <v>102</v>
      </c>
      <c r="C422" s="3" t="s">
        <v>9209</v>
      </c>
      <c r="D422" s="3"/>
      <c r="E422" s="3"/>
      <c r="F422" t="s">
        <v>3645</v>
      </c>
      <c r="H422" t="s">
        <v>3802</v>
      </c>
      <c r="J422" t="str">
        <f t="shared" si="6"/>
        <v>Form NCEN-D.4.b</v>
      </c>
      <c r="K422" t="s">
        <v>3773</v>
      </c>
      <c r="L422" t="s">
        <v>3803</v>
      </c>
      <c r="M422" t="s">
        <v>3804</v>
      </c>
      <c r="N422" t="s">
        <v>3017</v>
      </c>
      <c r="Q422" s="18" t="s">
        <v>9217</v>
      </c>
    </row>
    <row r="423" spans="1:17" x14ac:dyDescent="0.35">
      <c r="A423" t="s">
        <v>2403</v>
      </c>
      <c r="B423" s="3" t="s">
        <v>102</v>
      </c>
      <c r="C423" s="3" t="s">
        <v>9209</v>
      </c>
      <c r="D423" s="3"/>
      <c r="E423" s="3"/>
      <c r="F423" t="s">
        <v>3645</v>
      </c>
      <c r="H423" t="s">
        <v>3805</v>
      </c>
      <c r="J423" t="str">
        <f t="shared" si="6"/>
        <v>Form NCEN-D.4.b.i</v>
      </c>
      <c r="K423" t="s">
        <v>3651</v>
      </c>
      <c r="L423" t="s">
        <v>3806</v>
      </c>
      <c r="M423" t="s">
        <v>3807</v>
      </c>
      <c r="N423" t="s">
        <v>3022</v>
      </c>
      <c r="Q423" s="18" t="s">
        <v>9217</v>
      </c>
    </row>
    <row r="424" spans="1:17" x14ac:dyDescent="0.35">
      <c r="A424" t="s">
        <v>2403</v>
      </c>
      <c r="B424" s="3" t="s">
        <v>102</v>
      </c>
      <c r="C424" s="3" t="s">
        <v>9209</v>
      </c>
      <c r="D424" s="3"/>
      <c r="E424" s="3"/>
      <c r="F424" t="s">
        <v>3645</v>
      </c>
      <c r="H424" t="s">
        <v>3808</v>
      </c>
      <c r="J424" t="str">
        <f t="shared" si="6"/>
        <v>Form NCEN-D.4.b.ii</v>
      </c>
      <c r="K424" t="s">
        <v>3667</v>
      </c>
      <c r="L424" t="s">
        <v>3809</v>
      </c>
      <c r="M424" t="s">
        <v>3810</v>
      </c>
      <c r="N424" t="s">
        <v>3022</v>
      </c>
      <c r="Q424" s="18" t="s">
        <v>9217</v>
      </c>
    </row>
    <row r="425" spans="1:17" x14ac:dyDescent="0.35">
      <c r="A425" t="s">
        <v>2403</v>
      </c>
      <c r="B425" s="3" t="s">
        <v>102</v>
      </c>
      <c r="C425" s="3" t="s">
        <v>9209</v>
      </c>
      <c r="D425" s="3"/>
      <c r="E425" s="3"/>
      <c r="F425" t="s">
        <v>3645</v>
      </c>
      <c r="H425" t="s">
        <v>3811</v>
      </c>
      <c r="J425" t="str">
        <f t="shared" si="6"/>
        <v>Form NCEN-D.4.b.iii</v>
      </c>
      <c r="K425" t="s">
        <v>3680</v>
      </c>
      <c r="L425" t="s">
        <v>3812</v>
      </c>
      <c r="M425" t="s">
        <v>3813</v>
      </c>
      <c r="N425" t="s">
        <v>3022</v>
      </c>
      <c r="Q425" s="18" t="s">
        <v>9217</v>
      </c>
    </row>
    <row r="426" spans="1:17" x14ac:dyDescent="0.35">
      <c r="A426" t="s">
        <v>2403</v>
      </c>
      <c r="B426" s="3" t="s">
        <v>102</v>
      </c>
      <c r="C426" s="3" t="s">
        <v>9209</v>
      </c>
      <c r="D426" s="3"/>
      <c r="E426" s="3"/>
      <c r="F426" t="s">
        <v>3645</v>
      </c>
      <c r="H426" t="s">
        <v>3814</v>
      </c>
      <c r="J426" t="str">
        <f t="shared" si="6"/>
        <v>Form NCEN-D.4.b.iv</v>
      </c>
      <c r="K426" t="s">
        <v>3693</v>
      </c>
      <c r="L426" t="s">
        <v>3815</v>
      </c>
      <c r="M426" t="s">
        <v>3816</v>
      </c>
      <c r="N426" t="s">
        <v>3022</v>
      </c>
      <c r="Q426" s="18" t="s">
        <v>9217</v>
      </c>
    </row>
    <row r="427" spans="1:17" x14ac:dyDescent="0.35">
      <c r="A427" t="s">
        <v>2403</v>
      </c>
      <c r="B427" s="3" t="s">
        <v>102</v>
      </c>
      <c r="C427" s="3" t="s">
        <v>9209</v>
      </c>
      <c r="D427" s="3"/>
      <c r="E427" s="3"/>
      <c r="F427" t="s">
        <v>3645</v>
      </c>
      <c r="H427" t="s">
        <v>3817</v>
      </c>
      <c r="J427" t="str">
        <f t="shared" si="6"/>
        <v>Form NCEN-D.4.b.v</v>
      </c>
      <c r="K427" t="s">
        <v>3706</v>
      </c>
      <c r="L427" t="s">
        <v>3818</v>
      </c>
      <c r="M427" t="s">
        <v>3819</v>
      </c>
      <c r="N427" t="s">
        <v>3022</v>
      </c>
      <c r="Q427" s="18" t="s">
        <v>9217</v>
      </c>
    </row>
    <row r="428" spans="1:17" x14ac:dyDescent="0.35">
      <c r="A428" t="s">
        <v>2403</v>
      </c>
      <c r="B428" s="3" t="s">
        <v>102</v>
      </c>
      <c r="C428" s="3" t="s">
        <v>9209</v>
      </c>
      <c r="D428" s="3"/>
      <c r="E428" s="3"/>
      <c r="F428" t="s">
        <v>3645</v>
      </c>
      <c r="H428" t="s">
        <v>3820</v>
      </c>
      <c r="J428" t="str">
        <f t="shared" si="6"/>
        <v>Form NCEN-D.4.b.vi</v>
      </c>
      <c r="K428" t="s">
        <v>3040</v>
      </c>
      <c r="L428" t="s">
        <v>3821</v>
      </c>
      <c r="M428" t="s">
        <v>3822</v>
      </c>
      <c r="N428" t="s">
        <v>229</v>
      </c>
      <c r="Q428" s="18" t="s">
        <v>9217</v>
      </c>
    </row>
    <row r="429" spans="1:17" x14ac:dyDescent="0.35">
      <c r="A429" t="s">
        <v>2403</v>
      </c>
      <c r="B429" s="3" t="s">
        <v>102</v>
      </c>
      <c r="C429" s="3" t="s">
        <v>9209</v>
      </c>
      <c r="D429" s="3"/>
      <c r="E429" s="3"/>
      <c r="F429" t="s">
        <v>3645</v>
      </c>
      <c r="H429" t="s">
        <v>3823</v>
      </c>
      <c r="J429" t="str">
        <f t="shared" si="6"/>
        <v>Form NCEN-D.5</v>
      </c>
      <c r="K429" t="s">
        <v>3824</v>
      </c>
      <c r="L429" t="s">
        <v>3825</v>
      </c>
      <c r="M429" t="s">
        <v>3826</v>
      </c>
      <c r="N429" t="s">
        <v>2759</v>
      </c>
      <c r="Q429" s="18" t="s">
        <v>9217</v>
      </c>
    </row>
    <row r="430" spans="1:17" x14ac:dyDescent="0.35">
      <c r="A430" t="s">
        <v>2403</v>
      </c>
      <c r="B430" s="3" t="s">
        <v>102</v>
      </c>
      <c r="C430" s="3" t="s">
        <v>9209</v>
      </c>
      <c r="D430" s="3"/>
      <c r="E430" s="3"/>
      <c r="F430" t="s">
        <v>3645</v>
      </c>
      <c r="H430" t="s">
        <v>3827</v>
      </c>
      <c r="J430" t="str">
        <f t="shared" si="6"/>
        <v>Form NCEN-D.5.a</v>
      </c>
      <c r="K430" t="s">
        <v>3828</v>
      </c>
      <c r="L430" t="s">
        <v>3829</v>
      </c>
      <c r="M430" t="s">
        <v>3830</v>
      </c>
      <c r="N430" t="s">
        <v>2374</v>
      </c>
      <c r="Q430" s="18" t="s">
        <v>9217</v>
      </c>
    </row>
    <row r="431" spans="1:17" x14ac:dyDescent="0.35">
      <c r="A431" t="s">
        <v>2403</v>
      </c>
      <c r="B431" s="3" t="s">
        <v>102</v>
      </c>
      <c r="C431" s="3" t="s">
        <v>9209</v>
      </c>
      <c r="D431" s="3"/>
      <c r="E431" s="3"/>
      <c r="F431" t="s">
        <v>3645</v>
      </c>
      <c r="H431" t="s">
        <v>3831</v>
      </c>
      <c r="J431" t="str">
        <f t="shared" si="6"/>
        <v>Form NCEN-D.5.a.i</v>
      </c>
      <c r="K431" t="s">
        <v>3832</v>
      </c>
      <c r="L431" t="s">
        <v>3833</v>
      </c>
      <c r="M431" t="s">
        <v>3834</v>
      </c>
      <c r="N431" t="s">
        <v>229</v>
      </c>
      <c r="Q431" s="18" t="s">
        <v>9217</v>
      </c>
    </row>
    <row r="432" spans="1:17" x14ac:dyDescent="0.35">
      <c r="A432" t="s">
        <v>2403</v>
      </c>
      <c r="B432" s="3" t="s">
        <v>102</v>
      </c>
      <c r="C432" s="3" t="s">
        <v>9209</v>
      </c>
      <c r="D432" s="3"/>
      <c r="E432" s="3"/>
      <c r="F432" t="s">
        <v>3645</v>
      </c>
      <c r="H432" t="s">
        <v>3835</v>
      </c>
      <c r="J432" t="str">
        <f t="shared" si="6"/>
        <v>Form NCEN-D.5.a.ii</v>
      </c>
      <c r="K432" t="s">
        <v>3836</v>
      </c>
      <c r="L432" t="s">
        <v>3837</v>
      </c>
      <c r="M432" t="s">
        <v>3838</v>
      </c>
      <c r="N432" t="s">
        <v>248</v>
      </c>
      <c r="Q432" s="18" t="s">
        <v>9217</v>
      </c>
    </row>
    <row r="433" spans="1:17" x14ac:dyDescent="0.35">
      <c r="A433" t="s">
        <v>2403</v>
      </c>
      <c r="B433" s="3" t="s">
        <v>102</v>
      </c>
      <c r="C433" s="3" t="s">
        <v>9209</v>
      </c>
      <c r="D433" s="3"/>
      <c r="E433" s="3"/>
      <c r="F433" t="s">
        <v>3645</v>
      </c>
      <c r="H433" t="s">
        <v>3839</v>
      </c>
      <c r="J433" t="str">
        <f t="shared" si="6"/>
        <v>Form NCEN-D.5.a.iii</v>
      </c>
      <c r="K433" t="s">
        <v>3840</v>
      </c>
      <c r="L433" t="s">
        <v>3841</v>
      </c>
      <c r="M433" t="s">
        <v>3842</v>
      </c>
      <c r="N433" t="s">
        <v>263</v>
      </c>
      <c r="Q433" s="18" t="s">
        <v>9217</v>
      </c>
    </row>
    <row r="434" spans="1:17" x14ac:dyDescent="0.35">
      <c r="A434" t="s">
        <v>2403</v>
      </c>
      <c r="B434" s="3" t="s">
        <v>102</v>
      </c>
      <c r="C434" s="3" t="s">
        <v>9209</v>
      </c>
      <c r="D434" s="3"/>
      <c r="E434" s="3"/>
      <c r="F434" t="s">
        <v>3645</v>
      </c>
      <c r="H434" t="s">
        <v>3843</v>
      </c>
      <c r="J434" t="str">
        <f t="shared" si="6"/>
        <v>Form NCEN-D.5.a.iv</v>
      </c>
      <c r="K434" t="s">
        <v>3844</v>
      </c>
      <c r="L434" t="s">
        <v>3845</v>
      </c>
      <c r="M434" t="s">
        <v>3846</v>
      </c>
      <c r="N434" t="s">
        <v>263</v>
      </c>
      <c r="Q434" s="18" t="s">
        <v>9217</v>
      </c>
    </row>
    <row r="435" spans="1:17" x14ac:dyDescent="0.35">
      <c r="A435" t="s">
        <v>2403</v>
      </c>
      <c r="B435" s="3" t="s">
        <v>102</v>
      </c>
      <c r="C435" s="3" t="s">
        <v>9209</v>
      </c>
      <c r="D435" s="3"/>
      <c r="E435" s="3"/>
      <c r="F435" t="s">
        <v>3645</v>
      </c>
      <c r="H435" t="s">
        <v>3847</v>
      </c>
      <c r="J435" t="str">
        <f t="shared" si="6"/>
        <v>Form NCEN-D.6</v>
      </c>
      <c r="K435" t="s">
        <v>3848</v>
      </c>
      <c r="L435" t="s">
        <v>3849</v>
      </c>
      <c r="M435" t="s">
        <v>3850</v>
      </c>
      <c r="N435" t="s">
        <v>2759</v>
      </c>
      <c r="Q435" s="18" t="s">
        <v>9217</v>
      </c>
    </row>
    <row r="436" spans="1:17" x14ac:dyDescent="0.35">
      <c r="A436" t="s">
        <v>2403</v>
      </c>
      <c r="B436" s="3" t="s">
        <v>102</v>
      </c>
      <c r="C436" s="3" t="s">
        <v>9209</v>
      </c>
      <c r="D436" s="3"/>
      <c r="E436" s="3"/>
      <c r="F436" t="s">
        <v>3645</v>
      </c>
      <c r="H436" t="s">
        <v>3851</v>
      </c>
      <c r="J436" t="str">
        <f t="shared" si="6"/>
        <v>Form NCEN-D.6.a</v>
      </c>
      <c r="K436" t="s">
        <v>3852</v>
      </c>
      <c r="L436" t="s">
        <v>3853</v>
      </c>
      <c r="M436" t="s">
        <v>3854</v>
      </c>
      <c r="N436" t="s">
        <v>2374</v>
      </c>
      <c r="Q436" s="18" t="s">
        <v>9217</v>
      </c>
    </row>
    <row r="437" spans="1:17" x14ac:dyDescent="0.35">
      <c r="A437" t="s">
        <v>2403</v>
      </c>
      <c r="B437" s="3" t="s">
        <v>102</v>
      </c>
      <c r="C437" s="3" t="s">
        <v>9209</v>
      </c>
      <c r="D437" s="3"/>
      <c r="E437" s="3"/>
      <c r="F437" t="s">
        <v>3645</v>
      </c>
      <c r="H437" t="s">
        <v>3855</v>
      </c>
      <c r="J437" t="str">
        <f t="shared" si="6"/>
        <v>Form NCEN-D.6.a.i</v>
      </c>
      <c r="K437" t="s">
        <v>3856</v>
      </c>
      <c r="L437" t="s">
        <v>3857</v>
      </c>
      <c r="M437" t="s">
        <v>3858</v>
      </c>
      <c r="N437" t="s">
        <v>229</v>
      </c>
      <c r="Q437" s="18" t="s">
        <v>9217</v>
      </c>
    </row>
    <row r="438" spans="1:17" x14ac:dyDescent="0.35">
      <c r="A438" t="s">
        <v>2403</v>
      </c>
      <c r="B438" s="3" t="s">
        <v>102</v>
      </c>
      <c r="C438" s="3" t="s">
        <v>9209</v>
      </c>
      <c r="D438" s="3"/>
      <c r="E438" s="3"/>
      <c r="F438" t="s">
        <v>3645</v>
      </c>
      <c r="H438" t="s">
        <v>3859</v>
      </c>
      <c r="J438" t="str">
        <f t="shared" si="6"/>
        <v>Form NCEN-D.6.a.ii</v>
      </c>
      <c r="K438" t="s">
        <v>3860</v>
      </c>
      <c r="L438" t="s">
        <v>3861</v>
      </c>
      <c r="M438" t="s">
        <v>3862</v>
      </c>
      <c r="N438" t="s">
        <v>263</v>
      </c>
      <c r="Q438" s="18" t="s">
        <v>9217</v>
      </c>
    </row>
    <row r="439" spans="1:17" x14ac:dyDescent="0.35">
      <c r="A439" t="s">
        <v>2403</v>
      </c>
      <c r="B439" s="3" t="s">
        <v>102</v>
      </c>
      <c r="C439" s="3" t="s">
        <v>9209</v>
      </c>
      <c r="D439" s="3"/>
      <c r="E439" s="3"/>
      <c r="F439" t="s">
        <v>3645</v>
      </c>
      <c r="H439" t="s">
        <v>3863</v>
      </c>
      <c r="J439" t="str">
        <f t="shared" si="6"/>
        <v>Form NCEN-D.7</v>
      </c>
      <c r="K439" t="s">
        <v>3864</v>
      </c>
      <c r="L439" t="s">
        <v>3865</v>
      </c>
      <c r="M439" t="s">
        <v>3866</v>
      </c>
      <c r="N439" t="s">
        <v>2759</v>
      </c>
      <c r="Q439" s="18" t="s">
        <v>9217</v>
      </c>
    </row>
    <row r="440" spans="1:17" x14ac:dyDescent="0.35">
      <c r="A440" t="s">
        <v>2403</v>
      </c>
      <c r="B440" s="3" t="s">
        <v>102</v>
      </c>
      <c r="C440" s="3" t="s">
        <v>9209</v>
      </c>
      <c r="D440" s="3"/>
      <c r="E440" s="3"/>
      <c r="F440" t="s">
        <v>3645</v>
      </c>
      <c r="H440" t="s">
        <v>3867</v>
      </c>
      <c r="J440" t="str">
        <f t="shared" si="6"/>
        <v>Form NCEN-D.7.a</v>
      </c>
      <c r="K440" t="s">
        <v>3868</v>
      </c>
      <c r="L440" t="s">
        <v>3869</v>
      </c>
      <c r="M440" t="s">
        <v>3870</v>
      </c>
      <c r="N440" t="s">
        <v>2374</v>
      </c>
      <c r="Q440" s="18" t="s">
        <v>9217</v>
      </c>
    </row>
    <row r="441" spans="1:17" x14ac:dyDescent="0.35">
      <c r="A441" t="s">
        <v>2403</v>
      </c>
      <c r="B441" s="3" t="s">
        <v>102</v>
      </c>
      <c r="C441" s="3" t="s">
        <v>9209</v>
      </c>
      <c r="D441" s="3"/>
      <c r="E441" s="3"/>
      <c r="F441" t="s">
        <v>3645</v>
      </c>
      <c r="H441" t="s">
        <v>3871</v>
      </c>
      <c r="J441" t="str">
        <f t="shared" si="6"/>
        <v>Form NCEN-D.8</v>
      </c>
      <c r="K441" t="s">
        <v>3872</v>
      </c>
      <c r="L441" t="s">
        <v>3873</v>
      </c>
      <c r="M441" t="s">
        <v>3874</v>
      </c>
      <c r="N441" t="s">
        <v>1198</v>
      </c>
      <c r="Q441" s="18" t="s">
        <v>9217</v>
      </c>
    </row>
    <row r="442" spans="1:17" x14ac:dyDescent="0.35">
      <c r="A442" t="s">
        <v>2403</v>
      </c>
      <c r="B442" s="3" t="s">
        <v>102</v>
      </c>
      <c r="C442" s="3" t="s">
        <v>9209</v>
      </c>
      <c r="D442" s="3"/>
      <c r="E442" s="3"/>
      <c r="F442" t="s">
        <v>3645</v>
      </c>
      <c r="H442" t="s">
        <v>3875</v>
      </c>
      <c r="J442" t="str">
        <f t="shared" si="6"/>
        <v>Form NCEN-D.9</v>
      </c>
      <c r="K442" t="s">
        <v>3876</v>
      </c>
      <c r="L442" t="s">
        <v>3877</v>
      </c>
      <c r="M442" t="s">
        <v>3878</v>
      </c>
      <c r="N442" t="s">
        <v>1198</v>
      </c>
      <c r="Q442" s="18" t="s">
        <v>9217</v>
      </c>
    </row>
    <row r="443" spans="1:17" x14ac:dyDescent="0.35">
      <c r="A443" t="s">
        <v>2403</v>
      </c>
      <c r="B443" s="3" t="s">
        <v>102</v>
      </c>
      <c r="C443" s="3" t="s">
        <v>9209</v>
      </c>
      <c r="D443" s="3"/>
      <c r="E443" s="3"/>
      <c r="F443" t="s">
        <v>3645</v>
      </c>
      <c r="H443" t="s">
        <v>3879</v>
      </c>
      <c r="J443" t="str">
        <f t="shared" si="6"/>
        <v>Form NCEN-D.10</v>
      </c>
      <c r="K443" t="s">
        <v>3880</v>
      </c>
      <c r="L443" t="s">
        <v>3881</v>
      </c>
      <c r="M443" t="s">
        <v>3882</v>
      </c>
      <c r="N443" t="s">
        <v>263</v>
      </c>
      <c r="Q443" s="18" t="s">
        <v>9217</v>
      </c>
    </row>
    <row r="444" spans="1:17" x14ac:dyDescent="0.35">
      <c r="A444" t="s">
        <v>2403</v>
      </c>
      <c r="B444" s="3" t="s">
        <v>102</v>
      </c>
      <c r="C444" s="3" t="s">
        <v>9209</v>
      </c>
      <c r="D444" s="3"/>
      <c r="E444" s="3"/>
      <c r="F444" t="s">
        <v>3645</v>
      </c>
      <c r="H444" t="s">
        <v>3883</v>
      </c>
      <c r="J444" t="str">
        <f t="shared" si="6"/>
        <v>Form NCEN-D.11</v>
      </c>
      <c r="K444" t="s">
        <v>3884</v>
      </c>
      <c r="L444" t="s">
        <v>1914</v>
      </c>
      <c r="M444" t="s">
        <v>3885</v>
      </c>
      <c r="N444" t="s">
        <v>263</v>
      </c>
      <c r="Q444" s="18" t="s">
        <v>9217</v>
      </c>
    </row>
    <row r="445" spans="1:17" x14ac:dyDescent="0.35">
      <c r="A445" t="s">
        <v>2403</v>
      </c>
      <c r="B445" s="3" t="s">
        <v>102</v>
      </c>
      <c r="C445" s="3" t="s">
        <v>9209</v>
      </c>
      <c r="D445" s="3"/>
      <c r="E445" s="3"/>
      <c r="F445" t="s">
        <v>3645</v>
      </c>
      <c r="H445" t="s">
        <v>3886</v>
      </c>
      <c r="J445" t="str">
        <f t="shared" si="6"/>
        <v>Form NCEN-D.12</v>
      </c>
      <c r="K445" t="s">
        <v>3887</v>
      </c>
      <c r="L445" t="s">
        <v>3156</v>
      </c>
      <c r="M445" t="s">
        <v>3888</v>
      </c>
      <c r="N445" t="s">
        <v>2759</v>
      </c>
      <c r="Q445" s="18" t="s">
        <v>9217</v>
      </c>
    </row>
    <row r="446" spans="1:17" x14ac:dyDescent="0.35">
      <c r="A446" t="s">
        <v>2403</v>
      </c>
      <c r="B446" s="3" t="s">
        <v>102</v>
      </c>
      <c r="C446" s="3" t="s">
        <v>9209</v>
      </c>
      <c r="D446" s="3"/>
      <c r="E446" s="3"/>
      <c r="F446" t="s">
        <v>3645</v>
      </c>
      <c r="H446" t="s">
        <v>3889</v>
      </c>
      <c r="J446" t="str">
        <f t="shared" si="6"/>
        <v>Form NCEN-D.12.a</v>
      </c>
      <c r="K446" t="s">
        <v>3890</v>
      </c>
      <c r="L446" t="s">
        <v>3891</v>
      </c>
      <c r="M446" t="s">
        <v>3888</v>
      </c>
      <c r="N446" t="s">
        <v>2759</v>
      </c>
      <c r="Q446" s="18" t="s">
        <v>9217</v>
      </c>
    </row>
    <row r="447" spans="1:17" x14ac:dyDescent="0.35">
      <c r="A447" t="s">
        <v>2403</v>
      </c>
      <c r="B447" s="3" t="s">
        <v>102</v>
      </c>
      <c r="C447" s="3" t="s">
        <v>9209</v>
      </c>
      <c r="D447" s="3"/>
      <c r="E447" s="3"/>
      <c r="F447" t="s">
        <v>3645</v>
      </c>
      <c r="H447" t="s">
        <v>3892</v>
      </c>
      <c r="J447" t="str">
        <f t="shared" si="6"/>
        <v>Form NCEN-D.12.a.i</v>
      </c>
      <c r="K447" t="s">
        <v>2516</v>
      </c>
      <c r="L447" t="s">
        <v>3159</v>
      </c>
      <c r="M447" t="s">
        <v>3893</v>
      </c>
      <c r="N447" t="s">
        <v>229</v>
      </c>
      <c r="Q447" s="18" t="s">
        <v>9217</v>
      </c>
    </row>
    <row r="448" spans="1:17" x14ac:dyDescent="0.35">
      <c r="A448" t="s">
        <v>2403</v>
      </c>
      <c r="B448" s="3" t="s">
        <v>102</v>
      </c>
      <c r="C448" s="3" t="s">
        <v>9209</v>
      </c>
      <c r="D448" s="3"/>
      <c r="E448" s="3"/>
      <c r="F448" t="s">
        <v>3645</v>
      </c>
      <c r="H448" t="s">
        <v>3894</v>
      </c>
      <c r="J448" t="str">
        <f t="shared" si="6"/>
        <v>Form NCEN-D.12.a.ii</v>
      </c>
      <c r="K448" t="s">
        <v>3162</v>
      </c>
      <c r="L448" t="s">
        <v>3163</v>
      </c>
      <c r="M448" t="s">
        <v>3895</v>
      </c>
      <c r="N448" t="s">
        <v>229</v>
      </c>
      <c r="Q448" s="18" t="s">
        <v>9217</v>
      </c>
    </row>
    <row r="449" spans="1:17" x14ac:dyDescent="0.35">
      <c r="A449" t="s">
        <v>2403</v>
      </c>
      <c r="B449" s="3" t="s">
        <v>102</v>
      </c>
      <c r="C449" s="3" t="s">
        <v>9209</v>
      </c>
      <c r="D449" s="3"/>
      <c r="E449" s="3"/>
      <c r="F449" t="s">
        <v>3645</v>
      </c>
      <c r="H449" t="s">
        <v>3896</v>
      </c>
      <c r="J449" t="str">
        <f t="shared" si="6"/>
        <v>Form NCEN-D.12.a.iii</v>
      </c>
      <c r="K449" t="s">
        <v>2645</v>
      </c>
      <c r="L449" t="s">
        <v>3167</v>
      </c>
      <c r="M449" t="s">
        <v>3897</v>
      </c>
      <c r="N449" t="s">
        <v>229</v>
      </c>
      <c r="Q449" s="18" t="s">
        <v>9217</v>
      </c>
    </row>
    <row r="450" spans="1:17" x14ac:dyDescent="0.35">
      <c r="A450" t="s">
        <v>2403</v>
      </c>
      <c r="B450" s="3" t="s">
        <v>102</v>
      </c>
      <c r="C450" s="3" t="s">
        <v>9209</v>
      </c>
      <c r="D450" s="3"/>
      <c r="E450" s="3"/>
      <c r="F450" t="s">
        <v>3645</v>
      </c>
      <c r="H450" t="s">
        <v>3898</v>
      </c>
      <c r="J450" t="str">
        <f t="shared" si="6"/>
        <v>Form NCEN-D.12.a.iv</v>
      </c>
      <c r="K450" t="s">
        <v>2649</v>
      </c>
      <c r="L450" t="s">
        <v>3171</v>
      </c>
      <c r="M450" t="s">
        <v>3899</v>
      </c>
      <c r="N450" t="s">
        <v>229</v>
      </c>
      <c r="Q450" s="18" t="s">
        <v>9217</v>
      </c>
    </row>
    <row r="451" spans="1:17" x14ac:dyDescent="0.35">
      <c r="A451" t="s">
        <v>2403</v>
      </c>
      <c r="B451" s="3" t="s">
        <v>102</v>
      </c>
      <c r="C451" s="3" t="s">
        <v>9209</v>
      </c>
      <c r="D451" s="3"/>
      <c r="E451" s="3"/>
      <c r="F451" t="s">
        <v>3645</v>
      </c>
      <c r="H451" t="s">
        <v>3900</v>
      </c>
      <c r="J451" t="str">
        <f t="shared" ref="J451:J514" si="7">_xlfn.CONCAT(A451,"-",H451)</f>
        <v>Form NCEN-D.12.a.v</v>
      </c>
      <c r="K451" t="s">
        <v>2400</v>
      </c>
      <c r="L451" t="s">
        <v>3175</v>
      </c>
      <c r="M451" t="s">
        <v>3901</v>
      </c>
      <c r="N451" t="s">
        <v>229</v>
      </c>
      <c r="Q451" s="18" t="s">
        <v>9217</v>
      </c>
    </row>
    <row r="452" spans="1:17" x14ac:dyDescent="0.35">
      <c r="A452" t="s">
        <v>2403</v>
      </c>
      <c r="B452" s="3" t="s">
        <v>102</v>
      </c>
      <c r="C452" s="3" t="s">
        <v>9209</v>
      </c>
      <c r="D452" s="3"/>
      <c r="E452" s="3"/>
      <c r="F452" t="s">
        <v>3645</v>
      </c>
      <c r="H452" t="s">
        <v>3902</v>
      </c>
      <c r="J452" t="str">
        <f t="shared" si="7"/>
        <v>Form NCEN-D.12.a.vi</v>
      </c>
      <c r="K452" t="s">
        <v>2405</v>
      </c>
      <c r="L452" t="s">
        <v>3179</v>
      </c>
      <c r="M452" t="s">
        <v>3903</v>
      </c>
      <c r="N452" t="s">
        <v>229</v>
      </c>
      <c r="Q452" s="18" t="s">
        <v>9217</v>
      </c>
    </row>
    <row r="453" spans="1:17" x14ac:dyDescent="0.35">
      <c r="A453" t="s">
        <v>2403</v>
      </c>
      <c r="B453" s="3" t="s">
        <v>102</v>
      </c>
      <c r="C453" s="3" t="s">
        <v>9209</v>
      </c>
      <c r="D453" s="3"/>
      <c r="E453" s="3"/>
      <c r="F453" t="s">
        <v>3645</v>
      </c>
      <c r="H453" t="s">
        <v>3904</v>
      </c>
      <c r="J453" t="str">
        <f t="shared" si="7"/>
        <v>Form NCEN-D.12.a.vii</v>
      </c>
      <c r="K453" t="s">
        <v>3182</v>
      </c>
      <c r="L453" t="s">
        <v>3183</v>
      </c>
      <c r="M453" t="s">
        <v>3184</v>
      </c>
      <c r="N453" t="s">
        <v>2374</v>
      </c>
      <c r="Q453" s="18" t="s">
        <v>9217</v>
      </c>
    </row>
    <row r="454" spans="1:17" x14ac:dyDescent="0.35">
      <c r="A454" t="s">
        <v>2403</v>
      </c>
      <c r="B454" s="3" t="s">
        <v>102</v>
      </c>
      <c r="C454" s="3" t="s">
        <v>9209</v>
      </c>
      <c r="D454" s="3"/>
      <c r="E454" s="3"/>
      <c r="F454" t="s">
        <v>3645</v>
      </c>
      <c r="H454" t="s">
        <v>3905</v>
      </c>
      <c r="J454" t="str">
        <f t="shared" si="7"/>
        <v>Form NCEN-D.12.a.vii.1</v>
      </c>
      <c r="K454" t="s">
        <v>3186</v>
      </c>
      <c r="L454" t="s">
        <v>3187</v>
      </c>
      <c r="M454" t="s">
        <v>3188</v>
      </c>
      <c r="N454" t="s">
        <v>248</v>
      </c>
      <c r="Q454" s="18" t="s">
        <v>9217</v>
      </c>
    </row>
    <row r="455" spans="1:17" x14ac:dyDescent="0.35">
      <c r="A455" t="s">
        <v>2403</v>
      </c>
      <c r="B455" s="3" t="s">
        <v>102</v>
      </c>
      <c r="C455" s="3" t="s">
        <v>9209</v>
      </c>
      <c r="D455" s="3"/>
      <c r="E455" s="3"/>
      <c r="F455" t="s">
        <v>3645</v>
      </c>
      <c r="H455" t="s">
        <v>3906</v>
      </c>
      <c r="J455" t="str">
        <f t="shared" si="7"/>
        <v>Form NCEN-D.12.b</v>
      </c>
      <c r="K455" t="s">
        <v>3907</v>
      </c>
      <c r="L455" t="s">
        <v>3908</v>
      </c>
      <c r="M455" t="s">
        <v>3909</v>
      </c>
      <c r="N455" t="s">
        <v>2759</v>
      </c>
      <c r="Q455" s="18" t="s">
        <v>9217</v>
      </c>
    </row>
    <row r="456" spans="1:17" x14ac:dyDescent="0.35">
      <c r="A456" t="s">
        <v>2403</v>
      </c>
      <c r="B456" s="3" t="s">
        <v>102</v>
      </c>
      <c r="C456" s="3" t="s">
        <v>9209</v>
      </c>
      <c r="D456" s="3"/>
      <c r="E456" s="3"/>
      <c r="F456" t="s">
        <v>3645</v>
      </c>
      <c r="H456" t="s">
        <v>3910</v>
      </c>
      <c r="J456" t="str">
        <f t="shared" si="7"/>
        <v>Form NCEN-D.12.b.i</v>
      </c>
      <c r="K456" t="s">
        <v>2516</v>
      </c>
      <c r="L456" t="s">
        <v>3190</v>
      </c>
      <c r="M456" t="s">
        <v>3911</v>
      </c>
      <c r="N456" t="s">
        <v>229</v>
      </c>
      <c r="Q456" s="18" t="s">
        <v>9217</v>
      </c>
    </row>
    <row r="457" spans="1:17" x14ac:dyDescent="0.35">
      <c r="A457" t="s">
        <v>2403</v>
      </c>
      <c r="B457" s="3" t="s">
        <v>102</v>
      </c>
      <c r="C457" s="3" t="s">
        <v>9209</v>
      </c>
      <c r="D457" s="3"/>
      <c r="E457" s="3"/>
      <c r="F457" t="s">
        <v>3645</v>
      </c>
      <c r="H457" t="s">
        <v>3912</v>
      </c>
      <c r="J457" t="str">
        <f t="shared" si="7"/>
        <v>Form NCEN-D.12.b.ii</v>
      </c>
      <c r="K457" t="s">
        <v>3162</v>
      </c>
      <c r="L457" t="s">
        <v>3193</v>
      </c>
      <c r="M457" t="s">
        <v>3913</v>
      </c>
      <c r="N457" t="s">
        <v>229</v>
      </c>
      <c r="Q457" s="18" t="s">
        <v>9217</v>
      </c>
    </row>
    <row r="458" spans="1:17" x14ac:dyDescent="0.35">
      <c r="A458" t="s">
        <v>2403</v>
      </c>
      <c r="B458" s="3" t="s">
        <v>102</v>
      </c>
      <c r="C458" s="3" t="s">
        <v>9209</v>
      </c>
      <c r="D458" s="3"/>
      <c r="E458" s="3"/>
      <c r="F458" t="s">
        <v>3645</v>
      </c>
      <c r="H458" t="s">
        <v>3914</v>
      </c>
      <c r="J458" t="str">
        <f t="shared" si="7"/>
        <v>Form NCEN-D.12.b.iii</v>
      </c>
      <c r="K458" t="s">
        <v>2645</v>
      </c>
      <c r="L458" t="s">
        <v>3196</v>
      </c>
      <c r="M458" t="s">
        <v>3915</v>
      </c>
      <c r="N458" t="s">
        <v>229</v>
      </c>
      <c r="Q458" s="18" t="s">
        <v>9217</v>
      </c>
    </row>
    <row r="459" spans="1:17" x14ac:dyDescent="0.35">
      <c r="A459" t="s">
        <v>2403</v>
      </c>
      <c r="B459" s="3" t="s">
        <v>102</v>
      </c>
      <c r="C459" s="3" t="s">
        <v>9209</v>
      </c>
      <c r="D459" s="3"/>
      <c r="E459" s="3"/>
      <c r="F459" t="s">
        <v>3645</v>
      </c>
      <c r="H459" t="s">
        <v>3916</v>
      </c>
      <c r="J459" t="str">
        <f t="shared" si="7"/>
        <v>Form NCEN-D.12.b.iv</v>
      </c>
      <c r="K459" t="s">
        <v>2649</v>
      </c>
      <c r="L459" t="s">
        <v>3199</v>
      </c>
      <c r="M459" t="s">
        <v>3917</v>
      </c>
      <c r="N459" t="s">
        <v>229</v>
      </c>
      <c r="Q459" s="18" t="s">
        <v>9217</v>
      </c>
    </row>
    <row r="460" spans="1:17" x14ac:dyDescent="0.35">
      <c r="A460" t="s">
        <v>2403</v>
      </c>
      <c r="B460" s="3" t="s">
        <v>102</v>
      </c>
      <c r="C460" s="3" t="s">
        <v>9209</v>
      </c>
      <c r="D460" s="3"/>
      <c r="E460" s="3"/>
      <c r="F460" t="s">
        <v>3645</v>
      </c>
      <c r="H460" t="s">
        <v>3918</v>
      </c>
      <c r="J460" t="str">
        <f t="shared" si="7"/>
        <v>Form NCEN-D.12.b.v</v>
      </c>
      <c r="K460" t="s">
        <v>2400</v>
      </c>
      <c r="L460" t="s">
        <v>3202</v>
      </c>
      <c r="M460" t="s">
        <v>3919</v>
      </c>
      <c r="N460" t="s">
        <v>229</v>
      </c>
      <c r="Q460" s="18" t="s">
        <v>9217</v>
      </c>
    </row>
    <row r="461" spans="1:17" x14ac:dyDescent="0.35">
      <c r="A461" t="s">
        <v>2403</v>
      </c>
      <c r="B461" s="3" t="s">
        <v>102</v>
      </c>
      <c r="C461" s="3" t="s">
        <v>9209</v>
      </c>
      <c r="D461" s="3"/>
      <c r="E461" s="3"/>
      <c r="F461" t="s">
        <v>3645</v>
      </c>
      <c r="H461" t="s">
        <v>3920</v>
      </c>
      <c r="J461" t="str">
        <f t="shared" si="7"/>
        <v>Form NCEN-D.12.b.vi</v>
      </c>
      <c r="K461" t="s">
        <v>2405</v>
      </c>
      <c r="L461" t="s">
        <v>3205</v>
      </c>
      <c r="M461" t="s">
        <v>3921</v>
      </c>
      <c r="N461" t="s">
        <v>229</v>
      </c>
      <c r="Q461" s="18" t="s">
        <v>9217</v>
      </c>
    </row>
    <row r="462" spans="1:17" x14ac:dyDescent="0.35">
      <c r="A462" t="s">
        <v>2403</v>
      </c>
      <c r="B462" s="3" t="s">
        <v>102</v>
      </c>
      <c r="C462" s="3" t="s">
        <v>9209</v>
      </c>
      <c r="D462" s="3"/>
      <c r="E462" s="3"/>
      <c r="F462" t="s">
        <v>3645</v>
      </c>
      <c r="H462" t="s">
        <v>3922</v>
      </c>
      <c r="J462" t="str">
        <f t="shared" si="7"/>
        <v>Form NCEN-D.12.b.vii</v>
      </c>
      <c r="K462" t="s">
        <v>3208</v>
      </c>
      <c r="L462" t="s">
        <v>3209</v>
      </c>
      <c r="M462" t="s">
        <v>3210</v>
      </c>
      <c r="N462" t="s">
        <v>248</v>
      </c>
      <c r="Q462" s="18" t="s">
        <v>9217</v>
      </c>
    </row>
    <row r="463" spans="1:17" x14ac:dyDescent="0.35">
      <c r="A463" t="s">
        <v>2403</v>
      </c>
      <c r="B463" s="3" t="s">
        <v>102</v>
      </c>
      <c r="C463" s="3" t="s">
        <v>9209</v>
      </c>
      <c r="D463" s="3"/>
      <c r="E463" s="3"/>
      <c r="F463" t="s">
        <v>3645</v>
      </c>
      <c r="H463" t="s">
        <v>3923</v>
      </c>
      <c r="J463" t="str">
        <f t="shared" si="7"/>
        <v>Form NCEN-D.12.c</v>
      </c>
      <c r="K463" t="s">
        <v>3924</v>
      </c>
      <c r="L463" t="s">
        <v>3925</v>
      </c>
      <c r="M463" t="s">
        <v>3926</v>
      </c>
      <c r="N463" t="s">
        <v>2759</v>
      </c>
      <c r="Q463" s="18" t="s">
        <v>9217</v>
      </c>
    </row>
    <row r="464" spans="1:17" x14ac:dyDescent="0.35">
      <c r="A464" t="s">
        <v>2403</v>
      </c>
      <c r="B464" s="3" t="s">
        <v>102</v>
      </c>
      <c r="C464" s="3" t="s">
        <v>9209</v>
      </c>
      <c r="D464" s="3"/>
      <c r="E464" s="3"/>
      <c r="F464" t="s">
        <v>3645</v>
      </c>
      <c r="H464" t="s">
        <v>3927</v>
      </c>
      <c r="J464" t="str">
        <f t="shared" si="7"/>
        <v>Form NCEN-D.12.c.i</v>
      </c>
      <c r="K464" t="s">
        <v>2516</v>
      </c>
      <c r="L464" t="s">
        <v>3212</v>
      </c>
      <c r="M464" t="s">
        <v>3928</v>
      </c>
      <c r="N464" t="s">
        <v>229</v>
      </c>
      <c r="Q464" s="18" t="s">
        <v>9217</v>
      </c>
    </row>
    <row r="465" spans="1:17" x14ac:dyDescent="0.35">
      <c r="A465" t="s">
        <v>2403</v>
      </c>
      <c r="B465" s="3" t="s">
        <v>102</v>
      </c>
      <c r="C465" s="3" t="s">
        <v>9209</v>
      </c>
      <c r="D465" s="3"/>
      <c r="E465" s="3"/>
      <c r="F465" t="s">
        <v>3645</v>
      </c>
      <c r="H465" t="s">
        <v>3929</v>
      </c>
      <c r="J465" t="str">
        <f t="shared" si="7"/>
        <v>Form NCEN-D.12.c.ii</v>
      </c>
      <c r="K465" t="s">
        <v>3162</v>
      </c>
      <c r="L465" t="s">
        <v>3215</v>
      </c>
      <c r="M465" t="s">
        <v>3930</v>
      </c>
      <c r="N465" t="s">
        <v>229</v>
      </c>
      <c r="Q465" s="18" t="s">
        <v>9217</v>
      </c>
    </row>
    <row r="466" spans="1:17" x14ac:dyDescent="0.35">
      <c r="A466" t="s">
        <v>2403</v>
      </c>
      <c r="B466" s="3" t="s">
        <v>102</v>
      </c>
      <c r="C466" s="3" t="s">
        <v>9209</v>
      </c>
      <c r="D466" s="3"/>
      <c r="E466" s="3"/>
      <c r="F466" t="s">
        <v>3645</v>
      </c>
      <c r="H466" t="s">
        <v>3931</v>
      </c>
      <c r="J466" t="str">
        <f t="shared" si="7"/>
        <v>Form NCEN-D.12.c.iii</v>
      </c>
      <c r="K466" t="s">
        <v>2645</v>
      </c>
      <c r="L466" t="s">
        <v>3218</v>
      </c>
      <c r="M466" t="s">
        <v>3932</v>
      </c>
      <c r="N466" t="s">
        <v>229</v>
      </c>
      <c r="Q466" s="18" t="s">
        <v>9217</v>
      </c>
    </row>
    <row r="467" spans="1:17" x14ac:dyDescent="0.35">
      <c r="A467" t="s">
        <v>2403</v>
      </c>
      <c r="B467" s="3" t="s">
        <v>102</v>
      </c>
      <c r="C467" s="3" t="s">
        <v>9209</v>
      </c>
      <c r="D467" s="3"/>
      <c r="E467" s="3"/>
      <c r="F467" t="s">
        <v>3645</v>
      </c>
      <c r="H467" t="s">
        <v>3933</v>
      </c>
      <c r="J467" t="str">
        <f t="shared" si="7"/>
        <v>Form NCEN-D.12.c.iv</v>
      </c>
      <c r="K467" t="s">
        <v>2649</v>
      </c>
      <c r="L467" t="s">
        <v>3221</v>
      </c>
      <c r="M467" t="s">
        <v>3934</v>
      </c>
      <c r="N467" t="s">
        <v>229</v>
      </c>
      <c r="Q467" s="18" t="s">
        <v>9217</v>
      </c>
    </row>
    <row r="468" spans="1:17" x14ac:dyDescent="0.35">
      <c r="A468" t="s">
        <v>2403</v>
      </c>
      <c r="B468" s="3" t="s">
        <v>102</v>
      </c>
      <c r="C468" s="3" t="s">
        <v>9209</v>
      </c>
      <c r="D468" s="3"/>
      <c r="E468" s="3"/>
      <c r="F468" t="s">
        <v>3645</v>
      </c>
      <c r="H468" t="s">
        <v>3935</v>
      </c>
      <c r="J468" t="str">
        <f t="shared" si="7"/>
        <v>Form NCEN-D.12.c.v</v>
      </c>
      <c r="K468" t="s">
        <v>2400</v>
      </c>
      <c r="L468" t="s">
        <v>3224</v>
      </c>
      <c r="M468" t="s">
        <v>3936</v>
      </c>
      <c r="N468" t="s">
        <v>229</v>
      </c>
      <c r="Q468" s="18" t="s">
        <v>9217</v>
      </c>
    </row>
    <row r="469" spans="1:17" x14ac:dyDescent="0.35">
      <c r="A469" t="s">
        <v>2403</v>
      </c>
      <c r="B469" s="3" t="s">
        <v>102</v>
      </c>
      <c r="C469" s="3" t="s">
        <v>9209</v>
      </c>
      <c r="D469" s="3"/>
      <c r="E469" s="3"/>
      <c r="F469" t="s">
        <v>3645</v>
      </c>
      <c r="H469" t="s">
        <v>3937</v>
      </c>
      <c r="J469" t="str">
        <f t="shared" si="7"/>
        <v>Form NCEN-D.12.c.vi</v>
      </c>
      <c r="K469" t="s">
        <v>2405</v>
      </c>
      <c r="L469" t="s">
        <v>3227</v>
      </c>
      <c r="M469" t="s">
        <v>3938</v>
      </c>
      <c r="N469" t="s">
        <v>229</v>
      </c>
      <c r="Q469" s="18" t="s">
        <v>9217</v>
      </c>
    </row>
    <row r="470" spans="1:17" x14ac:dyDescent="0.35">
      <c r="A470" t="s">
        <v>2403</v>
      </c>
      <c r="B470" s="3" t="s">
        <v>102</v>
      </c>
      <c r="C470" s="3" t="s">
        <v>9209</v>
      </c>
      <c r="D470" s="3"/>
      <c r="E470" s="3"/>
      <c r="F470" t="s">
        <v>3645</v>
      </c>
      <c r="H470" t="s">
        <v>3939</v>
      </c>
      <c r="J470" t="str">
        <f t="shared" si="7"/>
        <v>Form NCEN-D.12.c.vii</v>
      </c>
      <c r="K470" t="s">
        <v>3230</v>
      </c>
      <c r="L470" t="s">
        <v>3231</v>
      </c>
      <c r="M470" t="s">
        <v>3940</v>
      </c>
      <c r="N470" t="s">
        <v>2374</v>
      </c>
      <c r="Q470" s="18" t="s">
        <v>9217</v>
      </c>
    </row>
    <row r="471" spans="1:17" x14ac:dyDescent="0.35">
      <c r="A471" t="s">
        <v>2403</v>
      </c>
      <c r="B471" s="3" t="s">
        <v>102</v>
      </c>
      <c r="C471" s="3" t="s">
        <v>9209</v>
      </c>
      <c r="D471" s="3"/>
      <c r="E471" s="3"/>
      <c r="F471" t="s">
        <v>3645</v>
      </c>
      <c r="H471" t="s">
        <v>3941</v>
      </c>
      <c r="J471" t="str">
        <f t="shared" si="7"/>
        <v>Form NCEN-D.12.c.viii</v>
      </c>
      <c r="K471" t="s">
        <v>3234</v>
      </c>
      <c r="L471" t="s">
        <v>3235</v>
      </c>
      <c r="M471" t="s">
        <v>3942</v>
      </c>
      <c r="N471" t="s">
        <v>2374</v>
      </c>
      <c r="Q471" s="18" t="s">
        <v>9217</v>
      </c>
    </row>
    <row r="472" spans="1:17" x14ac:dyDescent="0.35">
      <c r="A472" t="s">
        <v>2403</v>
      </c>
      <c r="B472" s="3" t="s">
        <v>102</v>
      </c>
      <c r="C472" s="3" t="s">
        <v>9209</v>
      </c>
      <c r="D472" s="3"/>
      <c r="E472" s="3"/>
      <c r="F472" t="s">
        <v>3645</v>
      </c>
      <c r="H472" t="s">
        <v>3943</v>
      </c>
      <c r="J472" t="str">
        <f t="shared" si="7"/>
        <v>Form NCEN-D.12.c.viii.1</v>
      </c>
      <c r="K472" t="s">
        <v>3238</v>
      </c>
      <c r="L472" t="s">
        <v>3944</v>
      </c>
      <c r="M472" t="s">
        <v>3945</v>
      </c>
      <c r="N472" t="s">
        <v>248</v>
      </c>
      <c r="Q472" s="18" t="s">
        <v>9217</v>
      </c>
    </row>
    <row r="473" spans="1:17" x14ac:dyDescent="0.35">
      <c r="A473" t="s">
        <v>2403</v>
      </c>
      <c r="B473" s="3" t="s">
        <v>102</v>
      </c>
      <c r="C473" s="3" t="s">
        <v>9209</v>
      </c>
      <c r="D473" s="3"/>
      <c r="E473" s="3"/>
      <c r="F473" t="s">
        <v>3645</v>
      </c>
      <c r="H473" t="s">
        <v>3946</v>
      </c>
      <c r="J473" t="str">
        <f t="shared" si="7"/>
        <v>Form NCEN-D.12.d</v>
      </c>
      <c r="K473" t="s">
        <v>3947</v>
      </c>
      <c r="L473" t="s">
        <v>3948</v>
      </c>
      <c r="M473" t="s">
        <v>3949</v>
      </c>
      <c r="N473" t="s">
        <v>2759</v>
      </c>
      <c r="Q473" s="18" t="s">
        <v>9217</v>
      </c>
    </row>
    <row r="474" spans="1:17" x14ac:dyDescent="0.35">
      <c r="A474" t="s">
        <v>2403</v>
      </c>
      <c r="B474" s="3" t="s">
        <v>102</v>
      </c>
      <c r="C474" s="3" t="s">
        <v>9209</v>
      </c>
      <c r="D474" s="3"/>
      <c r="E474" s="3"/>
      <c r="F474" t="s">
        <v>3645</v>
      </c>
      <c r="H474" t="s">
        <v>3950</v>
      </c>
      <c r="J474" t="str">
        <f t="shared" si="7"/>
        <v>Form NCEN-D.12.d.i</v>
      </c>
      <c r="K474" t="s">
        <v>2516</v>
      </c>
      <c r="L474" t="s">
        <v>3242</v>
      </c>
      <c r="M474" t="s">
        <v>3951</v>
      </c>
      <c r="N474" t="s">
        <v>229</v>
      </c>
      <c r="Q474" s="18" t="s">
        <v>9217</v>
      </c>
    </row>
    <row r="475" spans="1:17" x14ac:dyDescent="0.35">
      <c r="A475" t="s">
        <v>2403</v>
      </c>
      <c r="B475" s="3" t="s">
        <v>102</v>
      </c>
      <c r="C475" s="3" t="s">
        <v>9209</v>
      </c>
      <c r="D475" s="3"/>
      <c r="E475" s="3"/>
      <c r="F475" t="s">
        <v>3645</v>
      </c>
      <c r="H475" t="s">
        <v>3952</v>
      </c>
      <c r="J475" t="str">
        <f t="shared" si="7"/>
        <v>Form NCEN-D.12.d.ii</v>
      </c>
      <c r="K475" t="s">
        <v>3162</v>
      </c>
      <c r="L475" t="s">
        <v>3245</v>
      </c>
      <c r="M475" t="s">
        <v>3953</v>
      </c>
      <c r="N475" t="s">
        <v>229</v>
      </c>
      <c r="Q475" s="18" t="s">
        <v>9217</v>
      </c>
    </row>
    <row r="476" spans="1:17" x14ac:dyDescent="0.35">
      <c r="A476" t="s">
        <v>2403</v>
      </c>
      <c r="B476" s="3" t="s">
        <v>102</v>
      </c>
      <c r="C476" s="3" t="s">
        <v>9209</v>
      </c>
      <c r="D476" s="3"/>
      <c r="E476" s="3"/>
      <c r="F476" t="s">
        <v>3645</v>
      </c>
      <c r="H476" t="s">
        <v>3954</v>
      </c>
      <c r="J476" t="str">
        <f t="shared" si="7"/>
        <v>Form NCEN-D.12.d.iii</v>
      </c>
      <c r="K476" t="s">
        <v>2645</v>
      </c>
      <c r="L476" t="s">
        <v>3248</v>
      </c>
      <c r="M476" t="s">
        <v>3955</v>
      </c>
      <c r="N476" t="s">
        <v>229</v>
      </c>
      <c r="Q476" s="18" t="s">
        <v>9217</v>
      </c>
    </row>
    <row r="477" spans="1:17" x14ac:dyDescent="0.35">
      <c r="A477" t="s">
        <v>2403</v>
      </c>
      <c r="B477" s="3" t="s">
        <v>102</v>
      </c>
      <c r="C477" s="3" t="s">
        <v>9209</v>
      </c>
      <c r="D477" s="3"/>
      <c r="E477" s="3"/>
      <c r="F477" t="s">
        <v>3645</v>
      </c>
      <c r="H477" t="s">
        <v>3956</v>
      </c>
      <c r="J477" t="str">
        <f t="shared" si="7"/>
        <v>Form NCEN-D.12.d.iv</v>
      </c>
      <c r="K477" t="s">
        <v>2649</v>
      </c>
      <c r="L477" t="s">
        <v>3251</v>
      </c>
      <c r="M477" t="s">
        <v>3957</v>
      </c>
      <c r="N477" t="s">
        <v>229</v>
      </c>
      <c r="Q477" s="18" t="s">
        <v>9217</v>
      </c>
    </row>
    <row r="478" spans="1:17" x14ac:dyDescent="0.35">
      <c r="A478" t="s">
        <v>2403</v>
      </c>
      <c r="B478" s="3" t="s">
        <v>102</v>
      </c>
      <c r="C478" s="3" t="s">
        <v>9209</v>
      </c>
      <c r="D478" s="3"/>
      <c r="E478" s="3"/>
      <c r="F478" t="s">
        <v>3645</v>
      </c>
      <c r="H478" t="s">
        <v>3958</v>
      </c>
      <c r="J478" t="str">
        <f t="shared" si="7"/>
        <v>Form NCEN-D.12.d.v</v>
      </c>
      <c r="K478" t="s">
        <v>2400</v>
      </c>
      <c r="L478" t="s">
        <v>3254</v>
      </c>
      <c r="M478" t="s">
        <v>3959</v>
      </c>
      <c r="N478" t="s">
        <v>229</v>
      </c>
      <c r="Q478" s="18" t="s">
        <v>9217</v>
      </c>
    </row>
    <row r="479" spans="1:17" x14ac:dyDescent="0.35">
      <c r="A479" t="s">
        <v>2403</v>
      </c>
      <c r="B479" s="3" t="s">
        <v>102</v>
      </c>
      <c r="C479" s="3" t="s">
        <v>9209</v>
      </c>
      <c r="D479" s="3"/>
      <c r="E479" s="3"/>
      <c r="F479" t="s">
        <v>3645</v>
      </c>
      <c r="H479" t="s">
        <v>3960</v>
      </c>
      <c r="J479" t="str">
        <f t="shared" si="7"/>
        <v>Form NCEN-D.12.d.vi</v>
      </c>
      <c r="K479" t="s">
        <v>2405</v>
      </c>
      <c r="L479" t="s">
        <v>3257</v>
      </c>
      <c r="M479" t="s">
        <v>3961</v>
      </c>
      <c r="N479" t="s">
        <v>229</v>
      </c>
      <c r="Q479" s="18" t="s">
        <v>9217</v>
      </c>
    </row>
    <row r="480" spans="1:17" x14ac:dyDescent="0.35">
      <c r="A480" t="s">
        <v>2403</v>
      </c>
      <c r="B480" s="3" t="s">
        <v>102</v>
      </c>
      <c r="C480" s="3" t="s">
        <v>9209</v>
      </c>
      <c r="D480" s="3"/>
      <c r="E480" s="3"/>
      <c r="F480" t="s">
        <v>3645</v>
      </c>
      <c r="H480" t="s">
        <v>3962</v>
      </c>
      <c r="J480" t="str">
        <f t="shared" si="7"/>
        <v>Form NCEN-D.12.d.vii</v>
      </c>
      <c r="K480" t="s">
        <v>3208</v>
      </c>
      <c r="L480" t="s">
        <v>3260</v>
      </c>
      <c r="M480" t="s">
        <v>3963</v>
      </c>
      <c r="N480" t="s">
        <v>248</v>
      </c>
      <c r="Q480" s="18" t="s">
        <v>9217</v>
      </c>
    </row>
    <row r="481" spans="1:17" x14ac:dyDescent="0.35">
      <c r="A481" t="s">
        <v>2403</v>
      </c>
      <c r="B481" s="3" t="s">
        <v>102</v>
      </c>
      <c r="C481" s="3" t="s">
        <v>9209</v>
      </c>
      <c r="D481" s="3"/>
      <c r="E481" s="3"/>
      <c r="F481" t="s">
        <v>3645</v>
      </c>
      <c r="H481" t="s">
        <v>3964</v>
      </c>
      <c r="J481" t="str">
        <f t="shared" si="7"/>
        <v>Form NCEN-D.13</v>
      </c>
      <c r="K481" t="s">
        <v>3965</v>
      </c>
      <c r="L481" t="s">
        <v>3966</v>
      </c>
      <c r="M481" t="s">
        <v>3967</v>
      </c>
      <c r="N481" t="s">
        <v>2759</v>
      </c>
      <c r="Q481" s="18" t="s">
        <v>9217</v>
      </c>
    </row>
    <row r="482" spans="1:17" x14ac:dyDescent="0.35">
      <c r="A482" t="s">
        <v>2403</v>
      </c>
      <c r="B482" s="3" t="s">
        <v>102</v>
      </c>
      <c r="C482" s="3" t="s">
        <v>9209</v>
      </c>
      <c r="D482" s="3"/>
      <c r="E482" s="3"/>
      <c r="F482" t="s">
        <v>3645</v>
      </c>
      <c r="H482" t="s">
        <v>3968</v>
      </c>
      <c r="J482" t="str">
        <f t="shared" si="7"/>
        <v>Form NCEN-D.13.a</v>
      </c>
      <c r="K482" t="s">
        <v>3969</v>
      </c>
      <c r="L482" t="s">
        <v>3970</v>
      </c>
      <c r="M482" t="s">
        <v>3971</v>
      </c>
      <c r="N482" t="s">
        <v>2759</v>
      </c>
      <c r="Q482" s="18" t="s">
        <v>9217</v>
      </c>
    </row>
    <row r="483" spans="1:17" x14ac:dyDescent="0.35">
      <c r="A483" t="s">
        <v>2403</v>
      </c>
      <c r="B483" s="3" t="s">
        <v>102</v>
      </c>
      <c r="C483" s="3" t="s">
        <v>9209</v>
      </c>
      <c r="D483" s="3"/>
      <c r="E483" s="3"/>
      <c r="F483" t="s">
        <v>3645</v>
      </c>
      <c r="H483" t="s">
        <v>3972</v>
      </c>
      <c r="J483" t="str">
        <f t="shared" si="7"/>
        <v>Form NCEN-D.13.a.i</v>
      </c>
      <c r="K483" t="s">
        <v>2516</v>
      </c>
      <c r="L483" t="s">
        <v>3266</v>
      </c>
      <c r="M483" t="s">
        <v>3973</v>
      </c>
      <c r="N483" t="s">
        <v>229</v>
      </c>
      <c r="Q483" s="18" t="s">
        <v>9217</v>
      </c>
    </row>
    <row r="484" spans="1:17" x14ac:dyDescent="0.35">
      <c r="A484" t="s">
        <v>2403</v>
      </c>
      <c r="B484" s="3" t="s">
        <v>102</v>
      </c>
      <c r="C484" s="3" t="s">
        <v>9209</v>
      </c>
      <c r="D484" s="3"/>
      <c r="E484" s="3"/>
      <c r="F484" t="s">
        <v>3645</v>
      </c>
      <c r="H484" t="s">
        <v>3974</v>
      </c>
      <c r="J484" t="str">
        <f t="shared" si="7"/>
        <v>Form NCEN-D.13.a.ii</v>
      </c>
      <c r="K484" t="s">
        <v>3270</v>
      </c>
      <c r="L484" t="s">
        <v>3271</v>
      </c>
      <c r="M484" t="s">
        <v>3975</v>
      </c>
      <c r="N484" t="s">
        <v>229</v>
      </c>
      <c r="Q484" s="18" t="s">
        <v>9217</v>
      </c>
    </row>
    <row r="485" spans="1:17" x14ac:dyDescent="0.35">
      <c r="A485" t="s">
        <v>2403</v>
      </c>
      <c r="B485" s="3" t="s">
        <v>102</v>
      </c>
      <c r="C485" s="3" t="s">
        <v>9209</v>
      </c>
      <c r="D485" s="3"/>
      <c r="E485" s="3"/>
      <c r="F485" t="s">
        <v>3645</v>
      </c>
      <c r="H485" t="s">
        <v>3976</v>
      </c>
      <c r="J485" t="str">
        <f t="shared" si="7"/>
        <v>Form NCEN-D.13.a.iii</v>
      </c>
      <c r="K485" t="s">
        <v>2649</v>
      </c>
      <c r="L485" t="s">
        <v>3275</v>
      </c>
      <c r="M485" t="s">
        <v>3977</v>
      </c>
      <c r="N485" t="s">
        <v>229</v>
      </c>
      <c r="Q485" s="18" t="s">
        <v>9217</v>
      </c>
    </row>
    <row r="486" spans="1:17" x14ac:dyDescent="0.35">
      <c r="A486" t="s">
        <v>2403</v>
      </c>
      <c r="B486" s="3" t="s">
        <v>102</v>
      </c>
      <c r="C486" s="3" t="s">
        <v>9209</v>
      </c>
      <c r="D486" s="3"/>
      <c r="E486" s="3"/>
      <c r="F486" t="s">
        <v>3645</v>
      </c>
      <c r="H486" t="s">
        <v>3978</v>
      </c>
      <c r="J486" t="str">
        <f t="shared" si="7"/>
        <v>Form NCEN-D.13.a.iv</v>
      </c>
      <c r="K486" t="s">
        <v>2400</v>
      </c>
      <c r="L486" t="s">
        <v>3278</v>
      </c>
      <c r="M486" t="s">
        <v>3979</v>
      </c>
      <c r="N486" t="s">
        <v>229</v>
      </c>
      <c r="Q486" s="18" t="s">
        <v>9217</v>
      </c>
    </row>
    <row r="487" spans="1:17" x14ac:dyDescent="0.35">
      <c r="A487" t="s">
        <v>2403</v>
      </c>
      <c r="B487" s="3" t="s">
        <v>102</v>
      </c>
      <c r="C487" s="3" t="s">
        <v>9209</v>
      </c>
      <c r="D487" s="3"/>
      <c r="E487" s="3"/>
      <c r="F487" t="s">
        <v>3645</v>
      </c>
      <c r="H487" t="s">
        <v>3980</v>
      </c>
      <c r="J487" t="str">
        <f t="shared" si="7"/>
        <v>Form NCEN-D.13.a.v</v>
      </c>
      <c r="K487" t="s">
        <v>2405</v>
      </c>
      <c r="L487" t="s">
        <v>3281</v>
      </c>
      <c r="M487" t="s">
        <v>3981</v>
      </c>
      <c r="N487" t="s">
        <v>229</v>
      </c>
      <c r="Q487" s="18" t="s">
        <v>9217</v>
      </c>
    </row>
    <row r="488" spans="1:17" x14ac:dyDescent="0.35">
      <c r="A488" t="s">
        <v>2403</v>
      </c>
      <c r="B488" s="3" t="s">
        <v>102</v>
      </c>
      <c r="C488" s="3" t="s">
        <v>9209</v>
      </c>
      <c r="D488" s="3"/>
      <c r="E488" s="3"/>
      <c r="F488" t="s">
        <v>3645</v>
      </c>
      <c r="H488" t="s">
        <v>3982</v>
      </c>
      <c r="J488" t="str">
        <f t="shared" si="7"/>
        <v>Form NCEN-D.13.a.vi</v>
      </c>
      <c r="K488" t="s">
        <v>3284</v>
      </c>
      <c r="L488" t="s">
        <v>3285</v>
      </c>
      <c r="M488" t="s">
        <v>3983</v>
      </c>
      <c r="N488" t="s">
        <v>2374</v>
      </c>
      <c r="Q488" s="18" t="s">
        <v>9217</v>
      </c>
    </row>
    <row r="489" spans="1:17" x14ac:dyDescent="0.35">
      <c r="A489" t="s">
        <v>2403</v>
      </c>
      <c r="B489" s="3" t="s">
        <v>102</v>
      </c>
      <c r="C489" s="3" t="s">
        <v>9209</v>
      </c>
      <c r="D489" s="3"/>
      <c r="E489" s="3"/>
      <c r="F489" t="s">
        <v>3645</v>
      </c>
      <c r="H489" t="s">
        <v>3984</v>
      </c>
      <c r="J489" t="str">
        <f t="shared" si="7"/>
        <v>Form NCEN-D.13.a.vii</v>
      </c>
      <c r="K489" t="s">
        <v>3288</v>
      </c>
      <c r="L489" t="s">
        <v>3985</v>
      </c>
      <c r="M489" t="s">
        <v>3986</v>
      </c>
      <c r="N489" t="s">
        <v>2374</v>
      </c>
      <c r="Q489" s="18" t="s">
        <v>9217</v>
      </c>
    </row>
    <row r="490" spans="1:17" x14ac:dyDescent="0.35">
      <c r="A490" t="s">
        <v>2403</v>
      </c>
      <c r="B490" s="3" t="s">
        <v>102</v>
      </c>
      <c r="C490" s="3" t="s">
        <v>9209</v>
      </c>
      <c r="D490" s="3"/>
      <c r="E490" s="3"/>
      <c r="F490" t="s">
        <v>3645</v>
      </c>
      <c r="H490" t="s">
        <v>3987</v>
      </c>
      <c r="J490" t="str">
        <f t="shared" si="7"/>
        <v>Form NCEN-D.13.b</v>
      </c>
      <c r="K490" t="s">
        <v>3292</v>
      </c>
      <c r="L490" t="s">
        <v>3988</v>
      </c>
      <c r="M490" t="s">
        <v>3989</v>
      </c>
      <c r="N490" t="s">
        <v>2374</v>
      </c>
      <c r="Q490" s="18" t="s">
        <v>9217</v>
      </c>
    </row>
    <row r="491" spans="1:17" x14ac:dyDescent="0.35">
      <c r="A491" t="s">
        <v>2403</v>
      </c>
      <c r="B491" s="3" t="s">
        <v>102</v>
      </c>
      <c r="C491" s="3" t="s">
        <v>9209</v>
      </c>
      <c r="D491" s="3"/>
      <c r="E491" s="3"/>
      <c r="F491" t="s">
        <v>3645</v>
      </c>
      <c r="H491" t="s">
        <v>3990</v>
      </c>
      <c r="J491" t="str">
        <f t="shared" si="7"/>
        <v>Form NCEN-D.14</v>
      </c>
      <c r="K491" t="s">
        <v>3991</v>
      </c>
      <c r="L491" t="s">
        <v>3992</v>
      </c>
      <c r="M491" t="s">
        <v>3993</v>
      </c>
      <c r="N491" t="s">
        <v>2759</v>
      </c>
      <c r="Q491" s="18" t="s">
        <v>9217</v>
      </c>
    </row>
    <row r="492" spans="1:17" x14ac:dyDescent="0.35">
      <c r="A492" t="s">
        <v>2403</v>
      </c>
      <c r="B492" s="3" t="s">
        <v>102</v>
      </c>
      <c r="C492" s="3" t="s">
        <v>9209</v>
      </c>
      <c r="D492" s="3"/>
      <c r="E492" s="3"/>
      <c r="F492" t="s">
        <v>3645</v>
      </c>
      <c r="H492" t="s">
        <v>3994</v>
      </c>
      <c r="J492" t="str">
        <f t="shared" si="7"/>
        <v>Form NCEN-D.14.a</v>
      </c>
      <c r="K492" t="s">
        <v>3995</v>
      </c>
      <c r="L492" t="s">
        <v>3996</v>
      </c>
      <c r="M492" t="s">
        <v>3997</v>
      </c>
      <c r="N492" t="s">
        <v>2759</v>
      </c>
      <c r="Q492" s="18" t="s">
        <v>9217</v>
      </c>
    </row>
    <row r="493" spans="1:17" x14ac:dyDescent="0.35">
      <c r="A493" t="s">
        <v>2403</v>
      </c>
      <c r="B493" s="3" t="s">
        <v>102</v>
      </c>
      <c r="C493" s="3" t="s">
        <v>9209</v>
      </c>
      <c r="D493" s="3"/>
      <c r="E493" s="3"/>
      <c r="F493" t="s">
        <v>3645</v>
      </c>
      <c r="H493" t="s">
        <v>3998</v>
      </c>
      <c r="J493" t="str">
        <f t="shared" si="7"/>
        <v>Form NCEN-D.14.a.i</v>
      </c>
      <c r="K493" t="s">
        <v>2516</v>
      </c>
      <c r="L493" t="s">
        <v>3323</v>
      </c>
      <c r="M493" t="s">
        <v>3999</v>
      </c>
      <c r="N493" t="s">
        <v>229</v>
      </c>
      <c r="Q493" s="18" t="s">
        <v>9217</v>
      </c>
    </row>
    <row r="494" spans="1:17" x14ac:dyDescent="0.35">
      <c r="A494" t="s">
        <v>2403</v>
      </c>
      <c r="B494" s="3" t="s">
        <v>102</v>
      </c>
      <c r="C494" s="3" t="s">
        <v>9209</v>
      </c>
      <c r="D494" s="3"/>
      <c r="E494" s="3"/>
      <c r="F494" t="s">
        <v>3645</v>
      </c>
      <c r="H494" t="s">
        <v>4000</v>
      </c>
      <c r="J494" t="str">
        <f t="shared" si="7"/>
        <v>Form NCEN-D.14.a.ii</v>
      </c>
      <c r="K494" t="s">
        <v>2649</v>
      </c>
      <c r="L494" t="s">
        <v>3326</v>
      </c>
      <c r="M494" t="s">
        <v>4001</v>
      </c>
      <c r="N494" t="s">
        <v>229</v>
      </c>
      <c r="Q494" s="18" t="s">
        <v>9217</v>
      </c>
    </row>
    <row r="495" spans="1:17" x14ac:dyDescent="0.35">
      <c r="A495" t="s">
        <v>2403</v>
      </c>
      <c r="B495" s="3" t="s">
        <v>102</v>
      </c>
      <c r="C495" s="3" t="s">
        <v>9209</v>
      </c>
      <c r="D495" s="3"/>
      <c r="E495" s="3"/>
      <c r="F495" t="s">
        <v>3645</v>
      </c>
      <c r="H495" t="s">
        <v>4002</v>
      </c>
      <c r="J495" t="str">
        <f t="shared" si="7"/>
        <v>Form NCEN-D.14.a.iii</v>
      </c>
      <c r="K495" t="s">
        <v>2400</v>
      </c>
      <c r="L495" t="s">
        <v>3329</v>
      </c>
      <c r="M495" t="s">
        <v>4003</v>
      </c>
      <c r="N495" t="s">
        <v>229</v>
      </c>
      <c r="Q495" s="18" t="s">
        <v>9217</v>
      </c>
    </row>
    <row r="496" spans="1:17" x14ac:dyDescent="0.35">
      <c r="A496" t="s">
        <v>2403</v>
      </c>
      <c r="B496" s="3" t="s">
        <v>102</v>
      </c>
      <c r="C496" s="3" t="s">
        <v>9209</v>
      </c>
      <c r="D496" s="3"/>
      <c r="E496" s="3"/>
      <c r="F496" t="s">
        <v>3645</v>
      </c>
      <c r="H496" t="s">
        <v>4004</v>
      </c>
      <c r="J496" t="str">
        <f t="shared" si="7"/>
        <v>Form NCEN-D.14.a.iv</v>
      </c>
      <c r="K496" t="s">
        <v>2405</v>
      </c>
      <c r="L496" t="s">
        <v>3332</v>
      </c>
      <c r="M496" t="s">
        <v>4005</v>
      </c>
      <c r="N496" t="s">
        <v>229</v>
      </c>
      <c r="Q496" s="18" t="s">
        <v>9217</v>
      </c>
    </row>
    <row r="497" spans="1:17" x14ac:dyDescent="0.35">
      <c r="A497" t="s">
        <v>2403</v>
      </c>
      <c r="B497" s="3" t="s">
        <v>102</v>
      </c>
      <c r="C497" s="3" t="s">
        <v>9209</v>
      </c>
      <c r="D497" s="3"/>
      <c r="E497" s="3"/>
      <c r="F497" t="s">
        <v>3645</v>
      </c>
      <c r="H497" t="s">
        <v>4006</v>
      </c>
      <c r="J497" t="str">
        <f t="shared" si="7"/>
        <v>Form NCEN-D.14.a.v</v>
      </c>
      <c r="K497" t="s">
        <v>3335</v>
      </c>
      <c r="L497" t="s">
        <v>3336</v>
      </c>
      <c r="M497" t="s">
        <v>4007</v>
      </c>
      <c r="N497" t="s">
        <v>2374</v>
      </c>
      <c r="Q497" s="18" t="s">
        <v>9217</v>
      </c>
    </row>
    <row r="498" spans="1:17" x14ac:dyDescent="0.35">
      <c r="A498" t="s">
        <v>2403</v>
      </c>
      <c r="B498" s="3" t="s">
        <v>102</v>
      </c>
      <c r="C498" s="3" t="s">
        <v>9209</v>
      </c>
      <c r="D498" s="3"/>
      <c r="E498" s="3"/>
      <c r="F498" t="s">
        <v>3645</v>
      </c>
      <c r="H498" t="s">
        <v>4008</v>
      </c>
      <c r="J498" t="str">
        <f t="shared" si="7"/>
        <v>Form NCEN-D.14.a.vi</v>
      </c>
      <c r="K498" t="s">
        <v>3339</v>
      </c>
      <c r="L498" t="s">
        <v>3340</v>
      </c>
      <c r="M498" t="s">
        <v>4009</v>
      </c>
      <c r="N498" t="s">
        <v>2374</v>
      </c>
      <c r="Q498" s="18" t="s">
        <v>9217</v>
      </c>
    </row>
    <row r="499" spans="1:17" x14ac:dyDescent="0.35">
      <c r="A499" t="s">
        <v>2403</v>
      </c>
      <c r="B499" s="3" t="s">
        <v>102</v>
      </c>
      <c r="C499" s="3" t="s">
        <v>9209</v>
      </c>
      <c r="D499" s="3"/>
      <c r="E499" s="3"/>
      <c r="F499" t="s">
        <v>3645</v>
      </c>
      <c r="H499" t="s">
        <v>4010</v>
      </c>
      <c r="J499" t="str">
        <f t="shared" si="7"/>
        <v>Form NCEN-D.14.a.vii</v>
      </c>
      <c r="K499" t="s">
        <v>3343</v>
      </c>
      <c r="L499" t="s">
        <v>3344</v>
      </c>
      <c r="M499" t="s">
        <v>3345</v>
      </c>
      <c r="N499" t="s">
        <v>3017</v>
      </c>
      <c r="Q499" s="18" t="s">
        <v>9217</v>
      </c>
    </row>
    <row r="500" spans="1:17" x14ac:dyDescent="0.35">
      <c r="A500" t="s">
        <v>2403</v>
      </c>
      <c r="B500" s="3" t="s">
        <v>102</v>
      </c>
      <c r="C500" s="3" t="s">
        <v>9209</v>
      </c>
      <c r="D500" s="3"/>
      <c r="E500" s="3"/>
      <c r="F500" t="s">
        <v>3645</v>
      </c>
      <c r="H500" t="s">
        <v>4011</v>
      </c>
      <c r="J500" t="str">
        <f t="shared" si="7"/>
        <v>Form NCEN-D.14.a.vii.1</v>
      </c>
      <c r="K500" t="s">
        <v>3347</v>
      </c>
      <c r="L500" t="s">
        <v>3348</v>
      </c>
      <c r="M500" t="s">
        <v>3349</v>
      </c>
      <c r="N500" t="s">
        <v>3022</v>
      </c>
      <c r="Q500" s="18" t="s">
        <v>9217</v>
      </c>
    </row>
    <row r="501" spans="1:17" x14ac:dyDescent="0.35">
      <c r="A501" t="s">
        <v>2403</v>
      </c>
      <c r="B501" s="3" t="s">
        <v>102</v>
      </c>
      <c r="C501" s="3" t="s">
        <v>9209</v>
      </c>
      <c r="D501" s="3"/>
      <c r="E501" s="3"/>
      <c r="F501" t="s">
        <v>3645</v>
      </c>
      <c r="H501" t="s">
        <v>4012</v>
      </c>
      <c r="J501" t="str">
        <f t="shared" si="7"/>
        <v>Form NCEN-D.14.a.vii.2</v>
      </c>
      <c r="K501" t="s">
        <v>3351</v>
      </c>
      <c r="L501" t="s">
        <v>3352</v>
      </c>
      <c r="M501" t="s">
        <v>3353</v>
      </c>
      <c r="N501" t="s">
        <v>3022</v>
      </c>
      <c r="Q501" s="18" t="s">
        <v>9217</v>
      </c>
    </row>
    <row r="502" spans="1:17" x14ac:dyDescent="0.35">
      <c r="A502" t="s">
        <v>2403</v>
      </c>
      <c r="B502" s="3" t="s">
        <v>102</v>
      </c>
      <c r="C502" s="3" t="s">
        <v>9209</v>
      </c>
      <c r="D502" s="3"/>
      <c r="E502" s="3"/>
      <c r="F502" t="s">
        <v>3645</v>
      </c>
      <c r="H502" t="s">
        <v>4013</v>
      </c>
      <c r="J502" t="str">
        <f t="shared" si="7"/>
        <v>Form NCEN-D.14.a.vii.3</v>
      </c>
      <c r="K502" t="s">
        <v>3355</v>
      </c>
      <c r="L502" t="s">
        <v>3356</v>
      </c>
      <c r="M502" t="s">
        <v>3357</v>
      </c>
      <c r="N502" t="s">
        <v>3022</v>
      </c>
      <c r="Q502" s="18" t="s">
        <v>9217</v>
      </c>
    </row>
    <row r="503" spans="1:17" x14ac:dyDescent="0.35">
      <c r="A503" t="s">
        <v>2403</v>
      </c>
      <c r="B503" s="3" t="s">
        <v>102</v>
      </c>
      <c r="C503" s="3" t="s">
        <v>9209</v>
      </c>
      <c r="D503" s="3"/>
      <c r="E503" s="3"/>
      <c r="F503" t="s">
        <v>3645</v>
      </c>
      <c r="H503" t="s">
        <v>4014</v>
      </c>
      <c r="J503" t="str">
        <f t="shared" si="7"/>
        <v>Form NCEN-D.14.a.vii.4</v>
      </c>
      <c r="K503" t="s">
        <v>3359</v>
      </c>
      <c r="L503" t="s">
        <v>3360</v>
      </c>
      <c r="M503" t="s">
        <v>3361</v>
      </c>
      <c r="N503" t="s">
        <v>3022</v>
      </c>
      <c r="Q503" s="18" t="s">
        <v>9217</v>
      </c>
    </row>
    <row r="504" spans="1:17" x14ac:dyDescent="0.35">
      <c r="A504" t="s">
        <v>2403</v>
      </c>
      <c r="B504" s="3" t="s">
        <v>102</v>
      </c>
      <c r="C504" s="3" t="s">
        <v>9209</v>
      </c>
      <c r="D504" s="3"/>
      <c r="E504" s="3"/>
      <c r="F504" t="s">
        <v>3645</v>
      </c>
      <c r="H504" t="s">
        <v>4015</v>
      </c>
      <c r="J504" t="str">
        <f t="shared" si="7"/>
        <v>Form NCEN-D.14.a.vii.5</v>
      </c>
      <c r="K504" t="s">
        <v>3363</v>
      </c>
      <c r="L504" t="s">
        <v>3364</v>
      </c>
      <c r="M504" t="s">
        <v>3365</v>
      </c>
      <c r="N504" t="s">
        <v>3022</v>
      </c>
      <c r="Q504" s="18" t="s">
        <v>9217</v>
      </c>
    </row>
    <row r="505" spans="1:17" x14ac:dyDescent="0.35">
      <c r="A505" t="s">
        <v>2403</v>
      </c>
      <c r="B505" s="3" t="s">
        <v>102</v>
      </c>
      <c r="C505" s="3" t="s">
        <v>9209</v>
      </c>
      <c r="D505" s="3"/>
      <c r="E505" s="3"/>
      <c r="F505" t="s">
        <v>3645</v>
      </c>
      <c r="H505" t="s">
        <v>4016</v>
      </c>
      <c r="J505" t="str">
        <f t="shared" si="7"/>
        <v>Form NCEN-D.14.a.vii.6</v>
      </c>
      <c r="K505" t="s">
        <v>3367</v>
      </c>
      <c r="L505" t="s">
        <v>3368</v>
      </c>
      <c r="M505" t="s">
        <v>3369</v>
      </c>
      <c r="N505" t="s">
        <v>3022</v>
      </c>
      <c r="Q505" s="18" t="s">
        <v>9217</v>
      </c>
    </row>
    <row r="506" spans="1:17" x14ac:dyDescent="0.35">
      <c r="A506" t="s">
        <v>2403</v>
      </c>
      <c r="B506" s="3" t="s">
        <v>102</v>
      </c>
      <c r="C506" s="3" t="s">
        <v>9209</v>
      </c>
      <c r="D506" s="3"/>
      <c r="E506" s="3"/>
      <c r="F506" t="s">
        <v>3645</v>
      </c>
      <c r="H506" t="s">
        <v>4017</v>
      </c>
      <c r="J506" t="str">
        <f t="shared" si="7"/>
        <v>Form NCEN-D.14.a.vii.7</v>
      </c>
      <c r="K506" t="s">
        <v>3371</v>
      </c>
      <c r="L506" t="s">
        <v>3372</v>
      </c>
      <c r="M506" t="s">
        <v>3373</v>
      </c>
      <c r="N506" t="s">
        <v>3022</v>
      </c>
      <c r="Q506" s="18" t="s">
        <v>9217</v>
      </c>
    </row>
    <row r="507" spans="1:17" x14ac:dyDescent="0.35">
      <c r="A507" t="s">
        <v>2403</v>
      </c>
      <c r="B507" s="3" t="s">
        <v>102</v>
      </c>
      <c r="C507" s="3" t="s">
        <v>9209</v>
      </c>
      <c r="D507" s="3"/>
      <c r="E507" s="3"/>
      <c r="F507" t="s">
        <v>3645</v>
      </c>
      <c r="H507" t="s">
        <v>4018</v>
      </c>
      <c r="J507" t="str">
        <f t="shared" si="7"/>
        <v>Form NCEN-D.14.a.vii.8</v>
      </c>
      <c r="K507" t="s">
        <v>3375</v>
      </c>
      <c r="L507" t="s">
        <v>3376</v>
      </c>
      <c r="M507" t="s">
        <v>4019</v>
      </c>
      <c r="N507" t="s">
        <v>3022</v>
      </c>
      <c r="Q507" s="18" t="s">
        <v>9217</v>
      </c>
    </row>
    <row r="508" spans="1:17" x14ac:dyDescent="0.35">
      <c r="A508" t="s">
        <v>2403</v>
      </c>
      <c r="B508" s="3" t="s">
        <v>102</v>
      </c>
      <c r="C508" s="3" t="s">
        <v>9209</v>
      </c>
      <c r="D508" s="3"/>
      <c r="E508" s="3"/>
      <c r="F508" t="s">
        <v>3645</v>
      </c>
      <c r="H508" t="s">
        <v>4020</v>
      </c>
      <c r="J508" t="str">
        <f t="shared" si="7"/>
        <v>Form NCEN-D.14.a.vii.9</v>
      </c>
      <c r="K508" t="s">
        <v>3040</v>
      </c>
      <c r="L508" t="s">
        <v>3379</v>
      </c>
      <c r="M508" t="s">
        <v>3380</v>
      </c>
      <c r="N508" t="s">
        <v>229</v>
      </c>
      <c r="Q508" s="18" t="s">
        <v>9217</v>
      </c>
    </row>
    <row r="509" spans="1:17" x14ac:dyDescent="0.35">
      <c r="A509" t="s">
        <v>2403</v>
      </c>
      <c r="B509" s="3" t="s">
        <v>102</v>
      </c>
      <c r="C509" s="3" t="s">
        <v>9209</v>
      </c>
      <c r="D509" s="3"/>
      <c r="E509" s="3"/>
      <c r="F509" t="s">
        <v>3645</v>
      </c>
      <c r="H509" t="s">
        <v>4021</v>
      </c>
      <c r="J509" t="str">
        <f t="shared" si="7"/>
        <v>Form NCEN-D.14.b</v>
      </c>
      <c r="K509" t="s">
        <v>3382</v>
      </c>
      <c r="L509" t="s">
        <v>4022</v>
      </c>
      <c r="M509" t="s">
        <v>4023</v>
      </c>
      <c r="N509" t="s">
        <v>2374</v>
      </c>
      <c r="Q509" s="18" t="s">
        <v>9217</v>
      </c>
    </row>
    <row r="510" spans="1:17" x14ac:dyDescent="0.35">
      <c r="A510" t="s">
        <v>2403</v>
      </c>
      <c r="B510" s="3" t="s">
        <v>102</v>
      </c>
      <c r="C510" s="3" t="s">
        <v>9209</v>
      </c>
      <c r="D510" s="3"/>
      <c r="E510" s="3"/>
      <c r="F510" t="s">
        <v>4024</v>
      </c>
      <c r="H510" t="s">
        <v>4025</v>
      </c>
      <c r="J510" t="str">
        <f t="shared" si="7"/>
        <v>Form NCEN-E.1</v>
      </c>
      <c r="K510" t="s">
        <v>4026</v>
      </c>
      <c r="L510" t="s">
        <v>4027</v>
      </c>
      <c r="M510" t="s">
        <v>4028</v>
      </c>
      <c r="N510" t="s">
        <v>2759</v>
      </c>
      <c r="Q510" s="18" t="s">
        <v>9217</v>
      </c>
    </row>
    <row r="511" spans="1:17" x14ac:dyDescent="0.35">
      <c r="A511" t="s">
        <v>2403</v>
      </c>
      <c r="B511" s="3" t="s">
        <v>102</v>
      </c>
      <c r="C511" s="3" t="s">
        <v>9209</v>
      </c>
      <c r="D511" s="3"/>
      <c r="E511" s="3"/>
      <c r="F511" t="s">
        <v>4024</v>
      </c>
      <c r="H511" t="s">
        <v>4029</v>
      </c>
      <c r="J511" t="str">
        <f t="shared" si="7"/>
        <v>Form NCEN-E.1.a</v>
      </c>
      <c r="K511" t="s">
        <v>4030</v>
      </c>
      <c r="L511" t="s">
        <v>4031</v>
      </c>
      <c r="M511" t="s">
        <v>4032</v>
      </c>
      <c r="N511" t="s">
        <v>229</v>
      </c>
      <c r="Q511" s="18" t="s">
        <v>9217</v>
      </c>
    </row>
    <row r="512" spans="1:17" x14ac:dyDescent="0.35">
      <c r="A512" t="s">
        <v>2403</v>
      </c>
      <c r="B512" s="3" t="s">
        <v>102</v>
      </c>
      <c r="C512" s="3" t="s">
        <v>9209</v>
      </c>
      <c r="D512" s="3"/>
      <c r="E512" s="3"/>
      <c r="F512" t="s">
        <v>4024</v>
      </c>
      <c r="H512" t="s">
        <v>4033</v>
      </c>
      <c r="J512" t="str">
        <f t="shared" si="7"/>
        <v>Form NCEN-E.1.b</v>
      </c>
      <c r="K512" t="s">
        <v>4034</v>
      </c>
      <c r="L512" t="s">
        <v>4035</v>
      </c>
      <c r="M512" t="s">
        <v>4036</v>
      </c>
      <c r="N512" t="s">
        <v>229</v>
      </c>
      <c r="Q512" s="18" t="s">
        <v>9217</v>
      </c>
    </row>
    <row r="513" spans="1:17" x14ac:dyDescent="0.35">
      <c r="A513" t="s">
        <v>2403</v>
      </c>
      <c r="B513" s="3" t="s">
        <v>102</v>
      </c>
      <c r="C513" s="3" t="s">
        <v>9209</v>
      </c>
      <c r="D513" s="3"/>
      <c r="E513" s="3"/>
      <c r="F513" t="s">
        <v>4024</v>
      </c>
      <c r="H513" t="s">
        <v>4037</v>
      </c>
      <c r="J513" t="str">
        <f t="shared" si="7"/>
        <v>Form NCEN-E.2</v>
      </c>
      <c r="K513" t="s">
        <v>4038</v>
      </c>
      <c r="L513" t="s">
        <v>4039</v>
      </c>
      <c r="M513" t="s">
        <v>4040</v>
      </c>
      <c r="N513" t="s">
        <v>2759</v>
      </c>
      <c r="Q513" s="18" t="s">
        <v>9217</v>
      </c>
    </row>
    <row r="514" spans="1:17" x14ac:dyDescent="0.35">
      <c r="A514" t="s">
        <v>2403</v>
      </c>
      <c r="B514" s="3" t="s">
        <v>102</v>
      </c>
      <c r="C514" s="3" t="s">
        <v>9209</v>
      </c>
      <c r="D514" s="3"/>
      <c r="E514" s="3"/>
      <c r="F514" t="s">
        <v>4024</v>
      </c>
      <c r="H514" t="s">
        <v>4041</v>
      </c>
      <c r="J514" t="str">
        <f t="shared" si="7"/>
        <v>Form NCEN-E.2.a</v>
      </c>
      <c r="K514" t="s">
        <v>2516</v>
      </c>
      <c r="L514" t="s">
        <v>4042</v>
      </c>
      <c r="M514" t="s">
        <v>4043</v>
      </c>
      <c r="N514" t="s">
        <v>229</v>
      </c>
      <c r="Q514" s="18" t="s">
        <v>9217</v>
      </c>
    </row>
    <row r="515" spans="1:17" x14ac:dyDescent="0.35">
      <c r="A515" t="s">
        <v>2403</v>
      </c>
      <c r="B515" s="3" t="s">
        <v>102</v>
      </c>
      <c r="C515" s="3" t="s">
        <v>9209</v>
      </c>
      <c r="D515" s="3"/>
      <c r="E515" s="3"/>
      <c r="F515" t="s">
        <v>4024</v>
      </c>
      <c r="H515" t="s">
        <v>4044</v>
      </c>
      <c r="J515" t="str">
        <f t="shared" ref="J515:J578" si="8">_xlfn.CONCAT(A515,"-",H515)</f>
        <v>Form NCEN-E.2.b</v>
      </c>
      <c r="K515" t="s">
        <v>3449</v>
      </c>
      <c r="L515" t="s">
        <v>4045</v>
      </c>
      <c r="M515" t="s">
        <v>4046</v>
      </c>
      <c r="N515" t="s">
        <v>229</v>
      </c>
      <c r="Q515" s="18" t="s">
        <v>9217</v>
      </c>
    </row>
    <row r="516" spans="1:17" x14ac:dyDescent="0.35">
      <c r="A516" t="s">
        <v>2403</v>
      </c>
      <c r="B516" s="3" t="s">
        <v>102</v>
      </c>
      <c r="C516" s="3" t="s">
        <v>9209</v>
      </c>
      <c r="D516" s="3"/>
      <c r="E516" s="3"/>
      <c r="F516" t="s">
        <v>4024</v>
      </c>
      <c r="H516" t="s">
        <v>4047</v>
      </c>
      <c r="J516" t="str">
        <f t="shared" si="8"/>
        <v>Form NCEN-E.2.c</v>
      </c>
      <c r="K516" t="s">
        <v>2645</v>
      </c>
      <c r="L516" t="s">
        <v>4048</v>
      </c>
      <c r="M516" t="s">
        <v>4049</v>
      </c>
      <c r="N516" t="s">
        <v>229</v>
      </c>
      <c r="Q516" s="18" t="s">
        <v>9217</v>
      </c>
    </row>
    <row r="517" spans="1:17" x14ac:dyDescent="0.35">
      <c r="A517" t="s">
        <v>2403</v>
      </c>
      <c r="B517" s="3" t="s">
        <v>102</v>
      </c>
      <c r="C517" s="3" t="s">
        <v>9209</v>
      </c>
      <c r="D517" s="3"/>
      <c r="E517" s="3"/>
      <c r="F517" t="s">
        <v>4024</v>
      </c>
      <c r="H517" t="s">
        <v>4050</v>
      </c>
      <c r="J517" t="str">
        <f t="shared" si="8"/>
        <v>Form NCEN-E.2.d</v>
      </c>
      <c r="K517" t="s">
        <v>2649</v>
      </c>
      <c r="L517" t="s">
        <v>4051</v>
      </c>
      <c r="M517" t="s">
        <v>4052</v>
      </c>
      <c r="N517" t="s">
        <v>229</v>
      </c>
      <c r="Q517" s="18" t="s">
        <v>9217</v>
      </c>
    </row>
    <row r="518" spans="1:17" x14ac:dyDescent="0.35">
      <c r="A518" t="s">
        <v>2403</v>
      </c>
      <c r="B518" s="3" t="s">
        <v>102</v>
      </c>
      <c r="C518" s="3" t="s">
        <v>9209</v>
      </c>
      <c r="D518" s="3"/>
      <c r="E518" s="3"/>
      <c r="F518" t="s">
        <v>4024</v>
      </c>
      <c r="H518" t="s">
        <v>4053</v>
      </c>
      <c r="J518" t="str">
        <f t="shared" si="8"/>
        <v>Form NCEN-E.2.e</v>
      </c>
      <c r="K518" t="s">
        <v>4054</v>
      </c>
      <c r="L518" t="s">
        <v>4055</v>
      </c>
      <c r="M518" t="s">
        <v>4056</v>
      </c>
      <c r="N518" t="s">
        <v>263</v>
      </c>
      <c r="Q518" s="18" t="s">
        <v>9217</v>
      </c>
    </row>
    <row r="519" spans="1:17" x14ac:dyDescent="0.35">
      <c r="A519" t="s">
        <v>2403</v>
      </c>
      <c r="B519" s="3" t="s">
        <v>102</v>
      </c>
      <c r="C519" s="3" t="s">
        <v>9209</v>
      </c>
      <c r="D519" s="3"/>
      <c r="E519" s="3"/>
      <c r="F519" t="s">
        <v>4024</v>
      </c>
      <c r="H519" t="s">
        <v>4057</v>
      </c>
      <c r="J519" t="str">
        <f t="shared" si="8"/>
        <v>Form NCEN-E.2.f</v>
      </c>
      <c r="K519" t="s">
        <v>4058</v>
      </c>
      <c r="L519" t="s">
        <v>4059</v>
      </c>
      <c r="M519" t="s">
        <v>4060</v>
      </c>
      <c r="N519" t="s">
        <v>263</v>
      </c>
      <c r="Q519" s="18" t="s">
        <v>9217</v>
      </c>
    </row>
    <row r="520" spans="1:17" x14ac:dyDescent="0.35">
      <c r="A520" t="s">
        <v>2403</v>
      </c>
      <c r="B520" s="3" t="s">
        <v>102</v>
      </c>
      <c r="C520" s="3" t="s">
        <v>9209</v>
      </c>
      <c r="D520" s="3"/>
      <c r="E520" s="3"/>
      <c r="F520" t="s">
        <v>4024</v>
      </c>
      <c r="H520" t="s">
        <v>4061</v>
      </c>
      <c r="J520" t="str">
        <f t="shared" si="8"/>
        <v>Form NCEN-E.2.g</v>
      </c>
      <c r="K520" t="s">
        <v>4062</v>
      </c>
      <c r="L520" t="s">
        <v>4063</v>
      </c>
      <c r="M520" t="s">
        <v>4064</v>
      </c>
      <c r="N520" t="s">
        <v>2374</v>
      </c>
      <c r="Q520" s="18" t="s">
        <v>9217</v>
      </c>
    </row>
    <row r="521" spans="1:17" x14ac:dyDescent="0.35">
      <c r="A521" t="s">
        <v>2403</v>
      </c>
      <c r="B521" s="3" t="s">
        <v>102</v>
      </c>
      <c r="C521" s="3" t="s">
        <v>9209</v>
      </c>
      <c r="D521" s="3"/>
      <c r="E521" s="3"/>
      <c r="F521" t="s">
        <v>4024</v>
      </c>
      <c r="H521" t="s">
        <v>4065</v>
      </c>
      <c r="J521" t="str">
        <f t="shared" si="8"/>
        <v>Form NCEN-E.3</v>
      </c>
      <c r="K521" t="s">
        <v>4066</v>
      </c>
      <c r="L521" t="s">
        <v>4067</v>
      </c>
      <c r="M521" t="s">
        <v>4068</v>
      </c>
      <c r="N521" t="s">
        <v>2759</v>
      </c>
      <c r="Q521" s="18" t="s">
        <v>9217</v>
      </c>
    </row>
    <row r="522" spans="1:17" x14ac:dyDescent="0.35">
      <c r="A522" t="s">
        <v>2403</v>
      </c>
      <c r="B522" s="3" t="s">
        <v>102</v>
      </c>
      <c r="C522" s="3" t="s">
        <v>9209</v>
      </c>
      <c r="D522" s="3"/>
      <c r="E522" s="3"/>
      <c r="F522" t="s">
        <v>4024</v>
      </c>
      <c r="H522" t="s">
        <v>4069</v>
      </c>
      <c r="J522" t="str">
        <f t="shared" si="8"/>
        <v>Form NCEN-E.3.a</v>
      </c>
      <c r="K522" t="s">
        <v>4070</v>
      </c>
      <c r="L522" t="s">
        <v>4071</v>
      </c>
      <c r="M522" t="s">
        <v>4072</v>
      </c>
      <c r="N522" t="s">
        <v>241</v>
      </c>
      <c r="Q522" s="18" t="s">
        <v>9217</v>
      </c>
    </row>
    <row r="523" spans="1:17" x14ac:dyDescent="0.35">
      <c r="A523" t="s">
        <v>2403</v>
      </c>
      <c r="B523" s="3" t="s">
        <v>102</v>
      </c>
      <c r="C523" s="3" t="s">
        <v>9209</v>
      </c>
      <c r="D523" s="3"/>
      <c r="E523" s="3"/>
      <c r="F523" t="s">
        <v>4024</v>
      </c>
      <c r="H523" t="s">
        <v>4073</v>
      </c>
      <c r="J523" t="str">
        <f t="shared" si="8"/>
        <v>Form NCEN-E.3.b</v>
      </c>
      <c r="K523" t="s">
        <v>4074</v>
      </c>
      <c r="L523" t="s">
        <v>4075</v>
      </c>
      <c r="M523" t="s">
        <v>4076</v>
      </c>
      <c r="N523" t="s">
        <v>2759</v>
      </c>
      <c r="Q523" s="18" t="s">
        <v>9217</v>
      </c>
    </row>
    <row r="524" spans="1:17" x14ac:dyDescent="0.35">
      <c r="A524" t="s">
        <v>2403</v>
      </c>
      <c r="B524" s="3" t="s">
        <v>102</v>
      </c>
      <c r="C524" s="3" t="s">
        <v>9209</v>
      </c>
      <c r="D524" s="3"/>
      <c r="E524" s="3"/>
      <c r="F524" t="s">
        <v>4024</v>
      </c>
      <c r="H524" t="s">
        <v>4077</v>
      </c>
      <c r="J524" t="str">
        <f t="shared" si="8"/>
        <v>Form NCEN-E.3.b.i</v>
      </c>
      <c r="K524" t="s">
        <v>4078</v>
      </c>
      <c r="L524" t="s">
        <v>4079</v>
      </c>
      <c r="M524" t="s">
        <v>4080</v>
      </c>
      <c r="N524" t="s">
        <v>1198</v>
      </c>
      <c r="Q524" s="18" t="s">
        <v>9217</v>
      </c>
    </row>
    <row r="525" spans="1:17" x14ac:dyDescent="0.35">
      <c r="A525" t="s">
        <v>2403</v>
      </c>
      <c r="B525" s="3" t="s">
        <v>102</v>
      </c>
      <c r="C525" s="3" t="s">
        <v>9209</v>
      </c>
      <c r="D525" s="3"/>
      <c r="E525" s="3"/>
      <c r="F525" t="s">
        <v>4024</v>
      </c>
      <c r="H525" t="s">
        <v>4081</v>
      </c>
      <c r="J525" t="str">
        <f t="shared" si="8"/>
        <v>Form NCEN-E.3.b.ii</v>
      </c>
      <c r="K525" t="s">
        <v>4082</v>
      </c>
      <c r="L525" t="s">
        <v>4083</v>
      </c>
      <c r="M525" t="s">
        <v>4084</v>
      </c>
      <c r="N525" t="s">
        <v>1198</v>
      </c>
      <c r="Q525" s="18" t="s">
        <v>9217</v>
      </c>
    </row>
    <row r="526" spans="1:17" x14ac:dyDescent="0.35">
      <c r="A526" t="s">
        <v>2403</v>
      </c>
      <c r="B526" s="3" t="s">
        <v>102</v>
      </c>
      <c r="C526" s="3" t="s">
        <v>9209</v>
      </c>
      <c r="D526" s="3"/>
      <c r="E526" s="3"/>
      <c r="F526" t="s">
        <v>4024</v>
      </c>
      <c r="H526" t="s">
        <v>4085</v>
      </c>
      <c r="J526" t="str">
        <f t="shared" si="8"/>
        <v>Form NCEN-E.3.b.iii</v>
      </c>
      <c r="K526" t="s">
        <v>4086</v>
      </c>
      <c r="L526" t="s">
        <v>4087</v>
      </c>
      <c r="M526" t="s">
        <v>4088</v>
      </c>
      <c r="N526" t="s">
        <v>1198</v>
      </c>
      <c r="Q526" s="18" t="s">
        <v>9217</v>
      </c>
    </row>
    <row r="527" spans="1:17" x14ac:dyDescent="0.35">
      <c r="A527" t="s">
        <v>2403</v>
      </c>
      <c r="B527" s="3" t="s">
        <v>102</v>
      </c>
      <c r="C527" s="3" t="s">
        <v>9209</v>
      </c>
      <c r="D527" s="3"/>
      <c r="E527" s="3"/>
      <c r="F527" t="s">
        <v>4024</v>
      </c>
      <c r="H527" t="s">
        <v>4089</v>
      </c>
      <c r="J527" t="str">
        <f t="shared" si="8"/>
        <v>Form NCEN-E.3.b.iv</v>
      </c>
      <c r="K527" t="s">
        <v>4090</v>
      </c>
      <c r="L527" t="s">
        <v>4091</v>
      </c>
      <c r="M527" t="s">
        <v>4092</v>
      </c>
      <c r="N527" t="s">
        <v>1198</v>
      </c>
      <c r="Q527" s="18" t="s">
        <v>9217</v>
      </c>
    </row>
    <row r="528" spans="1:17" x14ac:dyDescent="0.35">
      <c r="A528" t="s">
        <v>2403</v>
      </c>
      <c r="B528" s="3" t="s">
        <v>102</v>
      </c>
      <c r="C528" s="3" t="s">
        <v>9209</v>
      </c>
      <c r="D528" s="3"/>
      <c r="E528" s="3"/>
      <c r="F528" t="s">
        <v>4024</v>
      </c>
      <c r="H528" t="s">
        <v>4093</v>
      </c>
      <c r="J528" t="str">
        <f t="shared" si="8"/>
        <v>Form NCEN-E.3.c</v>
      </c>
      <c r="K528" t="s">
        <v>4094</v>
      </c>
      <c r="L528" t="s">
        <v>4095</v>
      </c>
      <c r="M528" t="s">
        <v>4096</v>
      </c>
      <c r="N528" t="s">
        <v>2759</v>
      </c>
      <c r="Q528" s="18" t="s">
        <v>9217</v>
      </c>
    </row>
    <row r="529" spans="1:17" x14ac:dyDescent="0.35">
      <c r="A529" t="s">
        <v>2403</v>
      </c>
      <c r="B529" s="3" t="s">
        <v>102</v>
      </c>
      <c r="C529" s="3" t="s">
        <v>9209</v>
      </c>
      <c r="D529" s="3"/>
      <c r="E529" s="3"/>
      <c r="F529" t="s">
        <v>4024</v>
      </c>
      <c r="H529" t="s">
        <v>4097</v>
      </c>
      <c r="J529" t="str">
        <f t="shared" si="8"/>
        <v>Form NCEN-E.3.c.i</v>
      </c>
      <c r="K529" t="s">
        <v>4078</v>
      </c>
      <c r="L529" t="s">
        <v>4098</v>
      </c>
      <c r="M529" t="s">
        <v>4099</v>
      </c>
      <c r="N529" t="s">
        <v>1198</v>
      </c>
      <c r="Q529" s="18" t="s">
        <v>9217</v>
      </c>
    </row>
    <row r="530" spans="1:17" x14ac:dyDescent="0.35">
      <c r="A530" t="s">
        <v>2403</v>
      </c>
      <c r="B530" s="3" t="s">
        <v>102</v>
      </c>
      <c r="C530" s="3" t="s">
        <v>9209</v>
      </c>
      <c r="D530" s="3"/>
      <c r="E530" s="3"/>
      <c r="F530" t="s">
        <v>4024</v>
      </c>
      <c r="H530" t="s">
        <v>4100</v>
      </c>
      <c r="J530" t="str">
        <f t="shared" si="8"/>
        <v>Form NCEN-E.3.c.ii</v>
      </c>
      <c r="K530" t="s">
        <v>4082</v>
      </c>
      <c r="L530" t="s">
        <v>4101</v>
      </c>
      <c r="M530" t="s">
        <v>4102</v>
      </c>
      <c r="N530" t="s">
        <v>1198</v>
      </c>
      <c r="Q530" s="18" t="s">
        <v>9217</v>
      </c>
    </row>
    <row r="531" spans="1:17" x14ac:dyDescent="0.35">
      <c r="A531" t="s">
        <v>2403</v>
      </c>
      <c r="B531" s="3" t="s">
        <v>102</v>
      </c>
      <c r="C531" s="3" t="s">
        <v>9209</v>
      </c>
      <c r="D531" s="3"/>
      <c r="E531" s="3"/>
      <c r="F531" t="s">
        <v>4024</v>
      </c>
      <c r="H531" t="s">
        <v>4103</v>
      </c>
      <c r="J531" t="str">
        <f t="shared" si="8"/>
        <v>Form NCEN-E.3.c.iii</v>
      </c>
      <c r="K531" t="s">
        <v>4086</v>
      </c>
      <c r="L531" t="s">
        <v>4104</v>
      </c>
      <c r="M531" t="s">
        <v>4105</v>
      </c>
      <c r="N531" t="s">
        <v>1198</v>
      </c>
      <c r="Q531" s="18" t="s">
        <v>9217</v>
      </c>
    </row>
    <row r="532" spans="1:17" x14ac:dyDescent="0.35">
      <c r="A532" t="s">
        <v>2403</v>
      </c>
      <c r="B532" s="3" t="s">
        <v>102</v>
      </c>
      <c r="C532" s="3" t="s">
        <v>9209</v>
      </c>
      <c r="D532" s="3"/>
      <c r="E532" s="3"/>
      <c r="F532" t="s">
        <v>4024</v>
      </c>
      <c r="H532" t="s">
        <v>4106</v>
      </c>
      <c r="J532" t="str">
        <f t="shared" si="8"/>
        <v>Form NCEN-E.3.c.iv</v>
      </c>
      <c r="K532" t="s">
        <v>4090</v>
      </c>
      <c r="L532" t="s">
        <v>4107</v>
      </c>
      <c r="M532" t="s">
        <v>4108</v>
      </c>
      <c r="N532" t="s">
        <v>1198</v>
      </c>
      <c r="Q532" s="18" t="s">
        <v>9217</v>
      </c>
    </row>
    <row r="533" spans="1:17" x14ac:dyDescent="0.35">
      <c r="A533" t="s">
        <v>2403</v>
      </c>
      <c r="B533" s="3" t="s">
        <v>102</v>
      </c>
      <c r="C533" s="3" t="s">
        <v>9209</v>
      </c>
      <c r="D533" s="3"/>
      <c r="E533" s="3"/>
      <c r="F533" t="s">
        <v>4024</v>
      </c>
      <c r="H533" t="s">
        <v>4109</v>
      </c>
      <c r="J533" t="str">
        <f t="shared" si="8"/>
        <v>Form NCEN-E.3.d</v>
      </c>
      <c r="K533" t="s">
        <v>4110</v>
      </c>
      <c r="L533" t="s">
        <v>4111</v>
      </c>
      <c r="M533" t="s">
        <v>4112</v>
      </c>
      <c r="N533" t="s">
        <v>2759</v>
      </c>
      <c r="Q533" s="18" t="s">
        <v>9217</v>
      </c>
    </row>
    <row r="534" spans="1:17" x14ac:dyDescent="0.35">
      <c r="A534" t="s">
        <v>2403</v>
      </c>
      <c r="B534" s="3" t="s">
        <v>102</v>
      </c>
      <c r="C534" s="3" t="s">
        <v>9209</v>
      </c>
      <c r="D534" s="3"/>
      <c r="E534" s="3"/>
      <c r="F534" t="s">
        <v>4024</v>
      </c>
      <c r="H534" t="s">
        <v>4113</v>
      </c>
      <c r="J534" t="str">
        <f t="shared" si="8"/>
        <v>Form NCEN-E.3.d.i.1</v>
      </c>
      <c r="K534" t="s">
        <v>4114</v>
      </c>
      <c r="L534" t="s">
        <v>4115</v>
      </c>
      <c r="M534" t="s">
        <v>4116</v>
      </c>
      <c r="N534" t="s">
        <v>263</v>
      </c>
      <c r="Q534" s="18" t="s">
        <v>9217</v>
      </c>
    </row>
    <row r="535" spans="1:17" x14ac:dyDescent="0.35">
      <c r="A535" t="s">
        <v>2403</v>
      </c>
      <c r="B535" s="3" t="s">
        <v>102</v>
      </c>
      <c r="C535" s="3" t="s">
        <v>9209</v>
      </c>
      <c r="D535" s="3"/>
      <c r="E535" s="3"/>
      <c r="F535" t="s">
        <v>4024</v>
      </c>
      <c r="H535" t="s">
        <v>4117</v>
      </c>
      <c r="J535" t="str">
        <f t="shared" si="8"/>
        <v>Form NCEN-E.3.d.i.2</v>
      </c>
      <c r="K535" t="s">
        <v>4118</v>
      </c>
      <c r="L535" t="s">
        <v>4119</v>
      </c>
      <c r="M535" t="s">
        <v>4120</v>
      </c>
      <c r="N535" t="s">
        <v>263</v>
      </c>
      <c r="Q535" s="18" t="s">
        <v>9217</v>
      </c>
    </row>
    <row r="536" spans="1:17" x14ac:dyDescent="0.35">
      <c r="A536" t="s">
        <v>2403</v>
      </c>
      <c r="B536" s="3" t="s">
        <v>102</v>
      </c>
      <c r="C536" s="3" t="s">
        <v>9209</v>
      </c>
      <c r="D536" s="3"/>
      <c r="E536" s="3"/>
      <c r="F536" t="s">
        <v>4024</v>
      </c>
      <c r="H536" t="s">
        <v>4121</v>
      </c>
      <c r="J536" t="str">
        <f t="shared" si="8"/>
        <v>Form NCEN-E.3.d.i.3</v>
      </c>
      <c r="K536" t="s">
        <v>4122</v>
      </c>
      <c r="L536" t="s">
        <v>4123</v>
      </c>
      <c r="M536" t="s">
        <v>4124</v>
      </c>
      <c r="N536" t="s">
        <v>1198</v>
      </c>
      <c r="Q536" s="18" t="s">
        <v>9217</v>
      </c>
    </row>
    <row r="537" spans="1:17" x14ac:dyDescent="0.35">
      <c r="A537" t="s">
        <v>2403</v>
      </c>
      <c r="B537" s="3" t="s">
        <v>102</v>
      </c>
      <c r="C537" s="3" t="s">
        <v>9209</v>
      </c>
      <c r="D537" s="3"/>
      <c r="E537" s="3"/>
      <c r="F537" t="s">
        <v>4024</v>
      </c>
      <c r="H537" t="s">
        <v>4125</v>
      </c>
      <c r="J537" t="str">
        <f t="shared" si="8"/>
        <v>Form NCEN-E.3.d.ii.1</v>
      </c>
      <c r="K537" t="s">
        <v>4126</v>
      </c>
      <c r="L537" t="s">
        <v>4127</v>
      </c>
      <c r="M537" t="s">
        <v>4128</v>
      </c>
      <c r="N537" t="s">
        <v>263</v>
      </c>
      <c r="Q537" s="18" t="s">
        <v>9217</v>
      </c>
    </row>
    <row r="538" spans="1:17" x14ac:dyDescent="0.35">
      <c r="A538" t="s">
        <v>2403</v>
      </c>
      <c r="B538" s="3" t="s">
        <v>102</v>
      </c>
      <c r="C538" s="3" t="s">
        <v>9209</v>
      </c>
      <c r="D538" s="3"/>
      <c r="E538" s="3"/>
      <c r="F538" t="s">
        <v>4024</v>
      </c>
      <c r="H538" t="s">
        <v>4129</v>
      </c>
      <c r="J538" t="str">
        <f t="shared" si="8"/>
        <v>Form NCEN-E.3.d.ii.2</v>
      </c>
      <c r="K538" t="s">
        <v>4118</v>
      </c>
      <c r="L538" t="s">
        <v>4130</v>
      </c>
      <c r="M538" t="s">
        <v>4131</v>
      </c>
      <c r="N538" t="s">
        <v>263</v>
      </c>
      <c r="Q538" s="18" t="s">
        <v>9217</v>
      </c>
    </row>
    <row r="539" spans="1:17" x14ac:dyDescent="0.35">
      <c r="A539" t="s">
        <v>2403</v>
      </c>
      <c r="B539" s="3" t="s">
        <v>102</v>
      </c>
      <c r="C539" s="3" t="s">
        <v>9209</v>
      </c>
      <c r="D539" s="3"/>
      <c r="E539" s="3"/>
      <c r="F539" t="s">
        <v>4024</v>
      </c>
      <c r="H539" t="s">
        <v>4132</v>
      </c>
      <c r="J539" t="str">
        <f t="shared" si="8"/>
        <v>Form NCEN-E.3.d.ii.3</v>
      </c>
      <c r="K539" t="s">
        <v>4133</v>
      </c>
      <c r="L539" t="s">
        <v>4134</v>
      </c>
      <c r="M539" t="s">
        <v>4135</v>
      </c>
      <c r="N539" t="s">
        <v>1198</v>
      </c>
      <c r="Q539" s="18" t="s">
        <v>9217</v>
      </c>
    </row>
    <row r="540" spans="1:17" x14ac:dyDescent="0.35">
      <c r="A540" t="s">
        <v>2403</v>
      </c>
      <c r="B540" s="3" t="s">
        <v>102</v>
      </c>
      <c r="C540" s="3" t="s">
        <v>9209</v>
      </c>
      <c r="D540" s="3"/>
      <c r="E540" s="3"/>
      <c r="F540" t="s">
        <v>4024</v>
      </c>
      <c r="H540" t="s">
        <v>4136</v>
      </c>
      <c r="J540" t="str">
        <f t="shared" si="8"/>
        <v>Form NCEN-E.3.e</v>
      </c>
      <c r="K540" t="s">
        <v>4137</v>
      </c>
      <c r="L540" t="s">
        <v>4138</v>
      </c>
      <c r="M540" t="s">
        <v>4139</v>
      </c>
      <c r="N540" t="s">
        <v>2759</v>
      </c>
      <c r="Q540" s="18" t="s">
        <v>9217</v>
      </c>
    </row>
    <row r="541" spans="1:17" x14ac:dyDescent="0.35">
      <c r="A541" t="s">
        <v>2403</v>
      </c>
      <c r="B541" s="3" t="s">
        <v>102</v>
      </c>
      <c r="C541" s="3" t="s">
        <v>9209</v>
      </c>
      <c r="D541" s="3"/>
      <c r="E541" s="3"/>
      <c r="F541" t="s">
        <v>4024</v>
      </c>
      <c r="H541" t="s">
        <v>4140</v>
      </c>
      <c r="J541" t="str">
        <f t="shared" si="8"/>
        <v>Form NCEN-E.3.e.i.1</v>
      </c>
      <c r="K541" t="s">
        <v>4114</v>
      </c>
      <c r="L541" t="s">
        <v>4141</v>
      </c>
      <c r="M541" t="s">
        <v>4142</v>
      </c>
      <c r="N541" t="s">
        <v>263</v>
      </c>
      <c r="Q541" s="18" t="s">
        <v>9217</v>
      </c>
    </row>
    <row r="542" spans="1:17" x14ac:dyDescent="0.35">
      <c r="A542" t="s">
        <v>2403</v>
      </c>
      <c r="B542" s="3" t="s">
        <v>102</v>
      </c>
      <c r="C542" s="3" t="s">
        <v>9209</v>
      </c>
      <c r="D542" s="3"/>
      <c r="E542" s="3"/>
      <c r="F542" t="s">
        <v>4024</v>
      </c>
      <c r="H542" t="s">
        <v>4143</v>
      </c>
      <c r="J542" t="str">
        <f t="shared" si="8"/>
        <v>Form NCEN-E.3.e.i.2</v>
      </c>
      <c r="K542" t="s">
        <v>4144</v>
      </c>
      <c r="L542" t="s">
        <v>4145</v>
      </c>
      <c r="M542" t="s">
        <v>4146</v>
      </c>
      <c r="N542" t="s">
        <v>263</v>
      </c>
      <c r="Q542" s="18" t="s">
        <v>9217</v>
      </c>
    </row>
    <row r="543" spans="1:17" x14ac:dyDescent="0.35">
      <c r="A543" t="s">
        <v>2403</v>
      </c>
      <c r="B543" s="3" t="s">
        <v>102</v>
      </c>
      <c r="C543" s="3" t="s">
        <v>9209</v>
      </c>
      <c r="D543" s="3"/>
      <c r="E543" s="3"/>
      <c r="F543" t="s">
        <v>4024</v>
      </c>
      <c r="H543" t="s">
        <v>4147</v>
      </c>
      <c r="J543" t="str">
        <f t="shared" si="8"/>
        <v>Form NCEN-E.3.e.i.3</v>
      </c>
      <c r="K543" t="s">
        <v>4122</v>
      </c>
      <c r="L543" t="s">
        <v>4148</v>
      </c>
      <c r="M543" t="s">
        <v>4149</v>
      </c>
      <c r="N543" t="s">
        <v>1198</v>
      </c>
      <c r="Q543" s="18" t="s">
        <v>9217</v>
      </c>
    </row>
    <row r="544" spans="1:17" x14ac:dyDescent="0.35">
      <c r="A544" t="s">
        <v>2403</v>
      </c>
      <c r="B544" s="3" t="s">
        <v>102</v>
      </c>
      <c r="C544" s="3" t="s">
        <v>9209</v>
      </c>
      <c r="D544" s="3"/>
      <c r="E544" s="3"/>
      <c r="F544" t="s">
        <v>4024</v>
      </c>
      <c r="H544" t="s">
        <v>4150</v>
      </c>
      <c r="J544" t="str">
        <f t="shared" si="8"/>
        <v>Form NCEN-E.3.e.ii.1</v>
      </c>
      <c r="K544" t="s">
        <v>4126</v>
      </c>
      <c r="L544" t="s">
        <v>4151</v>
      </c>
      <c r="M544" t="s">
        <v>4128</v>
      </c>
      <c r="N544" t="s">
        <v>263</v>
      </c>
      <c r="Q544" s="18" t="s">
        <v>9217</v>
      </c>
    </row>
    <row r="545" spans="1:17" x14ac:dyDescent="0.35">
      <c r="A545" t="s">
        <v>2403</v>
      </c>
      <c r="B545" s="3" t="s">
        <v>102</v>
      </c>
      <c r="C545" s="3" t="s">
        <v>9209</v>
      </c>
      <c r="D545" s="3"/>
      <c r="E545" s="3"/>
      <c r="F545" t="s">
        <v>4024</v>
      </c>
      <c r="H545" t="s">
        <v>4152</v>
      </c>
      <c r="J545" t="str">
        <f t="shared" si="8"/>
        <v>Form NCEN-E.3.e.ii.2</v>
      </c>
      <c r="K545" t="s">
        <v>4144</v>
      </c>
      <c r="L545" t="s">
        <v>4153</v>
      </c>
      <c r="M545" t="s">
        <v>4154</v>
      </c>
      <c r="N545" t="s">
        <v>263</v>
      </c>
      <c r="Q545" s="18" t="s">
        <v>9217</v>
      </c>
    </row>
    <row r="546" spans="1:17" x14ac:dyDescent="0.35">
      <c r="A546" t="s">
        <v>2403</v>
      </c>
      <c r="B546" s="3" t="s">
        <v>102</v>
      </c>
      <c r="C546" s="3" t="s">
        <v>9209</v>
      </c>
      <c r="D546" s="3"/>
      <c r="E546" s="3"/>
      <c r="F546" t="s">
        <v>4024</v>
      </c>
      <c r="H546" t="s">
        <v>4155</v>
      </c>
      <c r="J546" t="str">
        <f t="shared" si="8"/>
        <v>Form NCEN-E.3.e.ii.3</v>
      </c>
      <c r="K546" t="s">
        <v>4133</v>
      </c>
      <c r="L546" t="s">
        <v>4156</v>
      </c>
      <c r="M546" t="s">
        <v>4135</v>
      </c>
      <c r="N546" t="s">
        <v>1198</v>
      </c>
      <c r="Q546" s="18" t="s">
        <v>9217</v>
      </c>
    </row>
    <row r="547" spans="1:17" x14ac:dyDescent="0.35">
      <c r="A547" t="s">
        <v>2403</v>
      </c>
      <c r="B547" s="3" t="s">
        <v>102</v>
      </c>
      <c r="C547" s="3" t="s">
        <v>9209</v>
      </c>
      <c r="D547" s="3"/>
      <c r="E547" s="3"/>
      <c r="F547" t="s">
        <v>4024</v>
      </c>
      <c r="H547" t="s">
        <v>4157</v>
      </c>
      <c r="J547" t="str">
        <f t="shared" si="8"/>
        <v>Form NCEN-E.4</v>
      </c>
      <c r="K547" t="s">
        <v>4158</v>
      </c>
      <c r="L547" t="s">
        <v>4159</v>
      </c>
      <c r="M547" t="s">
        <v>4160</v>
      </c>
      <c r="N547" t="s">
        <v>2759</v>
      </c>
      <c r="Q547" s="18" t="s">
        <v>9217</v>
      </c>
    </row>
    <row r="548" spans="1:17" x14ac:dyDescent="0.35">
      <c r="A548" t="s">
        <v>2403</v>
      </c>
      <c r="B548" s="3" t="s">
        <v>102</v>
      </c>
      <c r="C548" s="3" t="s">
        <v>9209</v>
      </c>
      <c r="D548" s="3"/>
      <c r="E548" s="3"/>
      <c r="F548" t="s">
        <v>4024</v>
      </c>
      <c r="H548" t="s">
        <v>4161</v>
      </c>
      <c r="J548" t="str">
        <f t="shared" si="8"/>
        <v>Form NCEN-E.4.a</v>
      </c>
      <c r="K548" t="s">
        <v>4162</v>
      </c>
      <c r="L548" t="s">
        <v>4163</v>
      </c>
      <c r="M548" t="s">
        <v>4164</v>
      </c>
      <c r="N548" t="s">
        <v>2759</v>
      </c>
      <c r="Q548" s="18" t="s">
        <v>9217</v>
      </c>
    </row>
    <row r="549" spans="1:17" x14ac:dyDescent="0.35">
      <c r="A549" t="s">
        <v>2403</v>
      </c>
      <c r="B549" s="3" t="s">
        <v>102</v>
      </c>
      <c r="C549" s="3" t="s">
        <v>9209</v>
      </c>
      <c r="D549" s="3"/>
      <c r="E549" s="3"/>
      <c r="F549" t="s">
        <v>4024</v>
      </c>
      <c r="H549" t="s">
        <v>4165</v>
      </c>
      <c r="J549" t="str">
        <f t="shared" si="8"/>
        <v>Form NCEN-E.4.a.i.1</v>
      </c>
      <c r="K549" t="s">
        <v>4166</v>
      </c>
      <c r="L549" t="s">
        <v>4167</v>
      </c>
      <c r="M549" t="s">
        <v>4168</v>
      </c>
      <c r="N549" t="s">
        <v>2374</v>
      </c>
      <c r="Q549" s="18" t="s">
        <v>9217</v>
      </c>
    </row>
    <row r="550" spans="1:17" x14ac:dyDescent="0.35">
      <c r="A550" t="s">
        <v>2403</v>
      </c>
      <c r="B550" s="3" t="s">
        <v>102</v>
      </c>
      <c r="C550" s="3" t="s">
        <v>9209</v>
      </c>
      <c r="D550" s="3"/>
      <c r="E550" s="3"/>
      <c r="F550" t="s">
        <v>4024</v>
      </c>
      <c r="H550" t="s">
        <v>4169</v>
      </c>
      <c r="J550" t="str">
        <f t="shared" si="8"/>
        <v>Form NCEN-E.4.a.i.2</v>
      </c>
      <c r="K550" t="s">
        <v>4170</v>
      </c>
      <c r="L550" t="s">
        <v>2854</v>
      </c>
      <c r="M550" t="s">
        <v>4171</v>
      </c>
      <c r="N550" t="s">
        <v>2374</v>
      </c>
      <c r="Q550" s="18" t="s">
        <v>9217</v>
      </c>
    </row>
    <row r="551" spans="1:17" x14ac:dyDescent="0.35">
      <c r="A551" t="s">
        <v>2403</v>
      </c>
      <c r="B551" s="3" t="s">
        <v>102</v>
      </c>
      <c r="C551" s="3" t="s">
        <v>9209</v>
      </c>
      <c r="D551" s="3"/>
      <c r="E551" s="3"/>
      <c r="F551" t="s">
        <v>4024</v>
      </c>
      <c r="H551" t="s">
        <v>4172</v>
      </c>
      <c r="J551" t="str">
        <f t="shared" si="8"/>
        <v>Form NCEN-E.4.a.ii.1</v>
      </c>
      <c r="K551" t="s">
        <v>4173</v>
      </c>
      <c r="L551" t="s">
        <v>4174</v>
      </c>
      <c r="M551" t="s">
        <v>4175</v>
      </c>
      <c r="N551" t="s">
        <v>263</v>
      </c>
      <c r="Q551" s="18" t="s">
        <v>9217</v>
      </c>
    </row>
    <row r="552" spans="1:17" x14ac:dyDescent="0.35">
      <c r="A552" t="s">
        <v>2403</v>
      </c>
      <c r="B552" s="3" t="s">
        <v>102</v>
      </c>
      <c r="C552" s="3" t="s">
        <v>9209</v>
      </c>
      <c r="D552" s="3"/>
      <c r="E552" s="3"/>
      <c r="F552" t="s">
        <v>4024</v>
      </c>
      <c r="H552" t="s">
        <v>4176</v>
      </c>
      <c r="J552" t="str">
        <f t="shared" si="8"/>
        <v>Form NCEN-E.4.a.ii.2</v>
      </c>
      <c r="K552" t="s">
        <v>4177</v>
      </c>
      <c r="L552" t="s">
        <v>4178</v>
      </c>
      <c r="M552" t="s">
        <v>4179</v>
      </c>
      <c r="N552" t="s">
        <v>263</v>
      </c>
      <c r="Q552" s="18" t="s">
        <v>9217</v>
      </c>
    </row>
    <row r="553" spans="1:17" x14ac:dyDescent="0.35">
      <c r="A553" t="s">
        <v>2403</v>
      </c>
      <c r="B553" s="3" t="s">
        <v>102</v>
      </c>
      <c r="C553" s="3" t="s">
        <v>9209</v>
      </c>
      <c r="D553" s="3"/>
      <c r="E553" s="3"/>
      <c r="F553" t="s">
        <v>4024</v>
      </c>
      <c r="H553" t="s">
        <v>4180</v>
      </c>
      <c r="J553" t="str">
        <f t="shared" si="8"/>
        <v>Form NCEN-E.4.a.iii.1</v>
      </c>
      <c r="K553" t="s">
        <v>4181</v>
      </c>
      <c r="L553" t="s">
        <v>4182</v>
      </c>
      <c r="M553" t="s">
        <v>4183</v>
      </c>
      <c r="N553" t="s">
        <v>1198</v>
      </c>
      <c r="Q553" s="18" t="s">
        <v>9217</v>
      </c>
    </row>
    <row r="554" spans="1:17" x14ac:dyDescent="0.35">
      <c r="A554" t="s">
        <v>2403</v>
      </c>
      <c r="B554" s="3" t="s">
        <v>102</v>
      </c>
      <c r="C554" s="3" t="s">
        <v>9209</v>
      </c>
      <c r="D554" s="3"/>
      <c r="E554" s="3"/>
      <c r="F554" t="s">
        <v>4024</v>
      </c>
      <c r="H554" t="s">
        <v>4184</v>
      </c>
      <c r="J554" t="str">
        <f t="shared" si="8"/>
        <v>Form NCEN-E.4.a.iii.2</v>
      </c>
      <c r="K554" t="s">
        <v>4185</v>
      </c>
      <c r="L554" t="s">
        <v>4186</v>
      </c>
      <c r="M554" t="s">
        <v>4187</v>
      </c>
      <c r="N554" t="s">
        <v>1198</v>
      </c>
      <c r="Q554" s="18" t="s">
        <v>9217</v>
      </c>
    </row>
    <row r="555" spans="1:17" x14ac:dyDescent="0.35">
      <c r="A555" t="s">
        <v>2403</v>
      </c>
      <c r="B555" s="3" t="s">
        <v>102</v>
      </c>
      <c r="C555" s="3" t="s">
        <v>9209</v>
      </c>
      <c r="D555" s="3"/>
      <c r="E555" s="3"/>
      <c r="F555" t="s">
        <v>4024</v>
      </c>
      <c r="H555" t="s">
        <v>4188</v>
      </c>
      <c r="J555" t="str">
        <f t="shared" si="8"/>
        <v>Form NCEN-E.5</v>
      </c>
      <c r="K555" t="s">
        <v>4189</v>
      </c>
      <c r="L555" t="s">
        <v>4190</v>
      </c>
      <c r="M555" t="s">
        <v>4191</v>
      </c>
      <c r="N555" t="s">
        <v>2374</v>
      </c>
      <c r="Q555" s="18" t="s">
        <v>9217</v>
      </c>
    </row>
    <row r="556" spans="1:17" x14ac:dyDescent="0.35">
      <c r="A556" t="s">
        <v>2403</v>
      </c>
      <c r="B556" s="3" t="s">
        <v>102</v>
      </c>
      <c r="C556" s="3" t="s">
        <v>9209</v>
      </c>
      <c r="D556" s="3"/>
      <c r="E556" s="3"/>
      <c r="F556" t="s">
        <v>4192</v>
      </c>
      <c r="H556" t="s">
        <v>4193</v>
      </c>
      <c r="J556" t="str">
        <f t="shared" si="8"/>
        <v>Form NCEN-F.1</v>
      </c>
      <c r="K556" t="s">
        <v>4194</v>
      </c>
      <c r="L556" t="s">
        <v>4195</v>
      </c>
      <c r="M556" t="s">
        <v>4196</v>
      </c>
      <c r="N556" t="s">
        <v>2759</v>
      </c>
      <c r="Q556" s="18" t="s">
        <v>9217</v>
      </c>
    </row>
    <row r="557" spans="1:17" x14ac:dyDescent="0.35">
      <c r="A557" t="s">
        <v>2403</v>
      </c>
      <c r="B557" s="3" t="s">
        <v>102</v>
      </c>
      <c r="C557" s="3" t="s">
        <v>9209</v>
      </c>
      <c r="D557" s="3"/>
      <c r="E557" s="3"/>
      <c r="F557" t="s">
        <v>4192</v>
      </c>
      <c r="H557" t="s">
        <v>4197</v>
      </c>
      <c r="J557" t="str">
        <f t="shared" si="8"/>
        <v>Form NCEN-F.1.a</v>
      </c>
      <c r="K557" t="s">
        <v>2516</v>
      </c>
      <c r="L557" t="s">
        <v>4198</v>
      </c>
      <c r="M557" t="s">
        <v>4199</v>
      </c>
      <c r="N557" t="s">
        <v>229</v>
      </c>
      <c r="Q557" s="18" t="s">
        <v>9217</v>
      </c>
    </row>
    <row r="558" spans="1:17" x14ac:dyDescent="0.35">
      <c r="A558" t="s">
        <v>2403</v>
      </c>
      <c r="B558" s="3" t="s">
        <v>102</v>
      </c>
      <c r="C558" s="3" t="s">
        <v>9209</v>
      </c>
      <c r="D558" s="3"/>
      <c r="E558" s="3"/>
      <c r="F558" t="s">
        <v>4192</v>
      </c>
      <c r="H558" t="s">
        <v>4200</v>
      </c>
      <c r="J558" t="str">
        <f t="shared" si="8"/>
        <v>Form NCEN-F.1.b</v>
      </c>
      <c r="K558" t="s">
        <v>2521</v>
      </c>
      <c r="L558" t="s">
        <v>4201</v>
      </c>
      <c r="M558" t="s">
        <v>4202</v>
      </c>
      <c r="N558" t="s">
        <v>229</v>
      </c>
      <c r="Q558" s="18" t="s">
        <v>9217</v>
      </c>
    </row>
    <row r="559" spans="1:17" x14ac:dyDescent="0.35">
      <c r="A559" t="s">
        <v>2403</v>
      </c>
      <c r="B559" s="3" t="s">
        <v>102</v>
      </c>
      <c r="C559" s="3" t="s">
        <v>9209</v>
      </c>
      <c r="D559" s="3"/>
      <c r="E559" s="3"/>
      <c r="F559" t="s">
        <v>4192</v>
      </c>
      <c r="H559" t="s">
        <v>4203</v>
      </c>
      <c r="J559" t="str">
        <f t="shared" si="8"/>
        <v>Form NCEN-F.1.c</v>
      </c>
      <c r="K559" t="s">
        <v>2649</v>
      </c>
      <c r="L559" t="s">
        <v>4204</v>
      </c>
      <c r="M559" t="s">
        <v>4205</v>
      </c>
      <c r="N559" t="s">
        <v>229</v>
      </c>
      <c r="Q559" s="18" t="s">
        <v>9217</v>
      </c>
    </row>
    <row r="560" spans="1:17" x14ac:dyDescent="0.35">
      <c r="A560" t="s">
        <v>2403</v>
      </c>
      <c r="B560" s="3" t="s">
        <v>102</v>
      </c>
      <c r="C560" s="3" t="s">
        <v>9209</v>
      </c>
      <c r="D560" s="3"/>
      <c r="E560" s="3"/>
      <c r="F560" t="s">
        <v>4192</v>
      </c>
      <c r="H560" t="s">
        <v>4206</v>
      </c>
      <c r="J560" t="str">
        <f t="shared" si="8"/>
        <v>Form NCEN-F.1.d</v>
      </c>
      <c r="K560" t="s">
        <v>2400</v>
      </c>
      <c r="L560" t="s">
        <v>4207</v>
      </c>
      <c r="M560" t="s">
        <v>4208</v>
      </c>
      <c r="N560" t="s">
        <v>229</v>
      </c>
      <c r="Q560" s="18" t="s">
        <v>9217</v>
      </c>
    </row>
    <row r="561" spans="1:17" x14ac:dyDescent="0.35">
      <c r="A561" t="s">
        <v>2403</v>
      </c>
      <c r="B561" s="3" t="s">
        <v>102</v>
      </c>
      <c r="C561" s="3" t="s">
        <v>9209</v>
      </c>
      <c r="D561" s="3"/>
      <c r="E561" s="3"/>
      <c r="F561" t="s">
        <v>4192</v>
      </c>
      <c r="H561" t="s">
        <v>4209</v>
      </c>
      <c r="J561" t="str">
        <f t="shared" si="8"/>
        <v>Form NCEN-F.1.e</v>
      </c>
      <c r="K561" t="s">
        <v>2405</v>
      </c>
      <c r="L561" t="s">
        <v>4210</v>
      </c>
      <c r="M561" t="s">
        <v>4211</v>
      </c>
      <c r="N561" t="s">
        <v>229</v>
      </c>
      <c r="Q561" s="18" t="s">
        <v>9217</v>
      </c>
    </row>
    <row r="562" spans="1:17" x14ac:dyDescent="0.35">
      <c r="A562" t="s">
        <v>2403</v>
      </c>
      <c r="B562" s="3" t="s">
        <v>102</v>
      </c>
      <c r="C562" s="3" t="s">
        <v>9209</v>
      </c>
      <c r="D562" s="3"/>
      <c r="E562" s="3"/>
      <c r="F562" t="s">
        <v>4192</v>
      </c>
      <c r="H562" t="s">
        <v>4212</v>
      </c>
      <c r="J562" t="str">
        <f t="shared" si="8"/>
        <v>Form NCEN-F.1.f</v>
      </c>
      <c r="K562" t="s">
        <v>4213</v>
      </c>
      <c r="L562" t="s">
        <v>4214</v>
      </c>
      <c r="M562" t="s">
        <v>4215</v>
      </c>
      <c r="N562" t="s">
        <v>229</v>
      </c>
      <c r="Q562" s="18" t="s">
        <v>9217</v>
      </c>
    </row>
    <row r="563" spans="1:17" x14ac:dyDescent="0.35">
      <c r="A563" t="s">
        <v>2403</v>
      </c>
      <c r="B563" s="3" t="s">
        <v>102</v>
      </c>
      <c r="C563" s="3" t="s">
        <v>9209</v>
      </c>
      <c r="D563" s="3"/>
      <c r="E563" s="3"/>
      <c r="F563" t="s">
        <v>4192</v>
      </c>
      <c r="H563" t="s">
        <v>4216</v>
      </c>
      <c r="J563" t="str">
        <f t="shared" si="8"/>
        <v>Form NCEN-F.2</v>
      </c>
      <c r="K563" t="s">
        <v>4217</v>
      </c>
      <c r="L563" t="s">
        <v>4218</v>
      </c>
      <c r="M563" t="s">
        <v>4219</v>
      </c>
      <c r="N563" t="s">
        <v>2759</v>
      </c>
      <c r="Q563" s="18" t="s">
        <v>9217</v>
      </c>
    </row>
    <row r="564" spans="1:17" x14ac:dyDescent="0.35">
      <c r="A564" t="s">
        <v>2403</v>
      </c>
      <c r="B564" s="3" t="s">
        <v>102</v>
      </c>
      <c r="C564" s="3" t="s">
        <v>9209</v>
      </c>
      <c r="D564" s="3"/>
      <c r="E564" s="3"/>
      <c r="F564" t="s">
        <v>4192</v>
      </c>
      <c r="H564" t="s">
        <v>4220</v>
      </c>
      <c r="J564" t="str">
        <f t="shared" si="8"/>
        <v>Form NCEN-F.2.a</v>
      </c>
      <c r="K564" t="s">
        <v>4221</v>
      </c>
      <c r="L564" t="s">
        <v>4222</v>
      </c>
      <c r="M564" t="s">
        <v>4223</v>
      </c>
      <c r="N564" t="s">
        <v>2759</v>
      </c>
      <c r="Q564" s="18" t="s">
        <v>9217</v>
      </c>
    </row>
    <row r="565" spans="1:17" x14ac:dyDescent="0.35">
      <c r="A565" t="s">
        <v>2403</v>
      </c>
      <c r="B565" s="3" t="s">
        <v>102</v>
      </c>
      <c r="C565" s="3" t="s">
        <v>9209</v>
      </c>
      <c r="D565" s="3"/>
      <c r="E565" s="3"/>
      <c r="F565" t="s">
        <v>4192</v>
      </c>
      <c r="H565" t="s">
        <v>4224</v>
      </c>
      <c r="J565" t="str">
        <f t="shared" si="8"/>
        <v>Form NCEN-F.2.a.i</v>
      </c>
      <c r="K565" t="s">
        <v>2516</v>
      </c>
      <c r="L565" t="s">
        <v>3418</v>
      </c>
      <c r="M565" t="s">
        <v>4225</v>
      </c>
      <c r="N565" t="s">
        <v>229</v>
      </c>
      <c r="Q565" s="18" t="s">
        <v>9217</v>
      </c>
    </row>
    <row r="566" spans="1:17" x14ac:dyDescent="0.35">
      <c r="A566" t="s">
        <v>2403</v>
      </c>
      <c r="B566" s="3" t="s">
        <v>102</v>
      </c>
      <c r="C566" s="3" t="s">
        <v>9209</v>
      </c>
      <c r="D566" s="3"/>
      <c r="E566" s="3"/>
      <c r="F566" t="s">
        <v>4192</v>
      </c>
      <c r="H566" t="s">
        <v>4226</v>
      </c>
      <c r="J566" t="str">
        <f t="shared" si="8"/>
        <v>Form NCEN-F.2.a.ii</v>
      </c>
      <c r="K566" t="s">
        <v>3300</v>
      </c>
      <c r="L566" t="s">
        <v>3421</v>
      </c>
      <c r="M566" t="s">
        <v>4227</v>
      </c>
      <c r="N566" t="s">
        <v>229</v>
      </c>
      <c r="Q566" s="18" t="s">
        <v>9217</v>
      </c>
    </row>
    <row r="567" spans="1:17" x14ac:dyDescent="0.35">
      <c r="A567" t="s">
        <v>2403</v>
      </c>
      <c r="B567" s="3" t="s">
        <v>102</v>
      </c>
      <c r="C567" s="3" t="s">
        <v>9209</v>
      </c>
      <c r="D567" s="3"/>
      <c r="E567" s="3"/>
      <c r="F567" t="s">
        <v>4192</v>
      </c>
      <c r="H567" t="s">
        <v>4228</v>
      </c>
      <c r="J567" t="str">
        <f t="shared" si="8"/>
        <v>Form NCEN-F.2.a.iii</v>
      </c>
      <c r="K567" t="s">
        <v>2400</v>
      </c>
      <c r="L567" t="s">
        <v>3424</v>
      </c>
      <c r="M567" t="s">
        <v>4229</v>
      </c>
      <c r="N567" t="s">
        <v>229</v>
      </c>
      <c r="Q567" s="18" t="s">
        <v>9217</v>
      </c>
    </row>
    <row r="568" spans="1:17" x14ac:dyDescent="0.35">
      <c r="A568" t="s">
        <v>2403</v>
      </c>
      <c r="B568" s="3" t="s">
        <v>102</v>
      </c>
      <c r="C568" s="3" t="s">
        <v>9209</v>
      </c>
      <c r="D568" s="3"/>
      <c r="E568" s="3"/>
      <c r="F568" t="s">
        <v>4192</v>
      </c>
      <c r="H568" t="s">
        <v>4230</v>
      </c>
      <c r="J568" t="str">
        <f t="shared" si="8"/>
        <v>Form NCEN-F.2.a.iv</v>
      </c>
      <c r="K568" t="s">
        <v>2405</v>
      </c>
      <c r="L568" t="s">
        <v>3427</v>
      </c>
      <c r="M568" t="s">
        <v>4231</v>
      </c>
      <c r="N568" t="s">
        <v>229</v>
      </c>
      <c r="Q568" s="18" t="s">
        <v>9217</v>
      </c>
    </row>
    <row r="569" spans="1:17" x14ac:dyDescent="0.35">
      <c r="A569" t="s">
        <v>2403</v>
      </c>
      <c r="B569" s="3" t="s">
        <v>102</v>
      </c>
      <c r="C569" s="3" t="s">
        <v>9209</v>
      </c>
      <c r="D569" s="3"/>
      <c r="E569" s="3"/>
      <c r="F569" t="s">
        <v>4192</v>
      </c>
      <c r="H569" t="s">
        <v>4232</v>
      </c>
      <c r="J569" t="str">
        <f t="shared" si="8"/>
        <v>Form NCEN-F.2.a.v</v>
      </c>
      <c r="K569" t="s">
        <v>4233</v>
      </c>
      <c r="L569" t="s">
        <v>3431</v>
      </c>
      <c r="M569" t="s">
        <v>4234</v>
      </c>
      <c r="N569" t="s">
        <v>2374</v>
      </c>
      <c r="Q569" s="18" t="s">
        <v>9217</v>
      </c>
    </row>
    <row r="570" spans="1:17" x14ac:dyDescent="0.35">
      <c r="A570" t="s">
        <v>2403</v>
      </c>
      <c r="B570" s="3" t="s">
        <v>102</v>
      </c>
      <c r="C570" s="3" t="s">
        <v>9209</v>
      </c>
      <c r="D570" s="3"/>
      <c r="E570" s="3"/>
      <c r="F570" t="s">
        <v>4192</v>
      </c>
      <c r="H570" t="s">
        <v>4235</v>
      </c>
      <c r="J570" t="str">
        <f t="shared" si="8"/>
        <v>Form NCEN-F.2.a.vi</v>
      </c>
      <c r="K570" t="s">
        <v>3434</v>
      </c>
      <c r="L570" t="s">
        <v>3435</v>
      </c>
      <c r="M570" t="s">
        <v>4236</v>
      </c>
      <c r="N570" t="s">
        <v>2374</v>
      </c>
      <c r="Q570" s="18" t="s">
        <v>9217</v>
      </c>
    </row>
    <row r="571" spans="1:17" x14ac:dyDescent="0.35">
      <c r="A571" t="s">
        <v>2403</v>
      </c>
      <c r="B571" s="3" t="s">
        <v>102</v>
      </c>
      <c r="C571" s="3" t="s">
        <v>9209</v>
      </c>
      <c r="D571" s="3"/>
      <c r="E571" s="3"/>
      <c r="F571" t="s">
        <v>4192</v>
      </c>
      <c r="H571" t="s">
        <v>4237</v>
      </c>
      <c r="J571" t="str">
        <f t="shared" si="8"/>
        <v>Form NCEN-F.2.b</v>
      </c>
      <c r="K571" t="s">
        <v>3438</v>
      </c>
      <c r="L571" t="s">
        <v>4238</v>
      </c>
      <c r="M571" t="s">
        <v>4239</v>
      </c>
      <c r="N571" t="s">
        <v>2374</v>
      </c>
      <c r="Q571" s="18" t="s">
        <v>9217</v>
      </c>
    </row>
    <row r="572" spans="1:17" x14ac:dyDescent="0.35">
      <c r="A572" t="s">
        <v>2403</v>
      </c>
      <c r="B572" s="3" t="s">
        <v>102</v>
      </c>
      <c r="C572" s="3" t="s">
        <v>9209</v>
      </c>
      <c r="D572" s="3"/>
      <c r="E572" s="3"/>
      <c r="F572" t="s">
        <v>4192</v>
      </c>
      <c r="H572" t="s">
        <v>4240</v>
      </c>
      <c r="J572" t="str">
        <f t="shared" si="8"/>
        <v>Form NCEN-F.3</v>
      </c>
      <c r="K572" t="s">
        <v>4241</v>
      </c>
      <c r="L572" t="s">
        <v>4242</v>
      </c>
      <c r="M572" t="s">
        <v>4243</v>
      </c>
      <c r="N572" t="s">
        <v>2374</v>
      </c>
      <c r="Q572" s="18" t="s">
        <v>9217</v>
      </c>
    </row>
    <row r="573" spans="1:17" x14ac:dyDescent="0.35">
      <c r="A573" t="s">
        <v>2403</v>
      </c>
      <c r="B573" s="3" t="s">
        <v>102</v>
      </c>
      <c r="C573" s="3" t="s">
        <v>9209</v>
      </c>
      <c r="D573" s="3"/>
      <c r="E573" s="3"/>
      <c r="F573" t="s">
        <v>4192</v>
      </c>
      <c r="H573" t="s">
        <v>4244</v>
      </c>
      <c r="J573" t="str">
        <f t="shared" si="8"/>
        <v>Form NCEN-F.4</v>
      </c>
      <c r="K573" t="s">
        <v>4245</v>
      </c>
      <c r="L573" t="s">
        <v>4246</v>
      </c>
      <c r="M573" t="s">
        <v>4247</v>
      </c>
      <c r="N573" t="s">
        <v>2759</v>
      </c>
      <c r="Q573" s="18" t="s">
        <v>9217</v>
      </c>
    </row>
    <row r="574" spans="1:17" x14ac:dyDescent="0.35">
      <c r="A574" t="s">
        <v>2403</v>
      </c>
      <c r="B574" s="3" t="s">
        <v>102</v>
      </c>
      <c r="C574" s="3" t="s">
        <v>9209</v>
      </c>
      <c r="D574" s="3"/>
      <c r="E574" s="3"/>
      <c r="F574" t="s">
        <v>4192</v>
      </c>
      <c r="H574" t="s">
        <v>4248</v>
      </c>
      <c r="J574" t="str">
        <f t="shared" si="8"/>
        <v>Form NCEN-F.4.a</v>
      </c>
      <c r="K574" t="s">
        <v>2516</v>
      </c>
      <c r="L574" t="s">
        <v>4249</v>
      </c>
      <c r="M574" t="s">
        <v>4250</v>
      </c>
      <c r="N574" t="s">
        <v>229</v>
      </c>
      <c r="Q574" s="18" t="s">
        <v>9217</v>
      </c>
    </row>
    <row r="575" spans="1:17" x14ac:dyDescent="0.35">
      <c r="A575" t="s">
        <v>2403</v>
      </c>
      <c r="B575" s="3" t="s">
        <v>102</v>
      </c>
      <c r="C575" s="3" t="s">
        <v>9209</v>
      </c>
      <c r="D575" s="3"/>
      <c r="E575" s="3"/>
      <c r="F575" t="s">
        <v>4192</v>
      </c>
      <c r="H575" t="s">
        <v>4251</v>
      </c>
      <c r="J575" t="str">
        <f t="shared" si="8"/>
        <v>Form NCEN-F.4.b</v>
      </c>
      <c r="K575" t="s">
        <v>2521</v>
      </c>
      <c r="L575" t="s">
        <v>4252</v>
      </c>
      <c r="M575" t="s">
        <v>4253</v>
      </c>
      <c r="N575" t="s">
        <v>229</v>
      </c>
      <c r="Q575" s="18" t="s">
        <v>9217</v>
      </c>
    </row>
    <row r="576" spans="1:17" x14ac:dyDescent="0.35">
      <c r="A576" t="s">
        <v>2403</v>
      </c>
      <c r="B576" s="3" t="s">
        <v>102</v>
      </c>
      <c r="C576" s="3" t="s">
        <v>9209</v>
      </c>
      <c r="D576" s="3"/>
      <c r="E576" s="3"/>
      <c r="F576" t="s">
        <v>4192</v>
      </c>
      <c r="H576" t="s">
        <v>4254</v>
      </c>
      <c r="J576" t="str">
        <f t="shared" si="8"/>
        <v>Form NCEN-F.4.c</v>
      </c>
      <c r="K576" t="s">
        <v>2649</v>
      </c>
      <c r="L576" t="s">
        <v>4255</v>
      </c>
      <c r="M576" t="s">
        <v>4256</v>
      </c>
      <c r="N576" t="s">
        <v>229</v>
      </c>
      <c r="Q576" s="18" t="s">
        <v>9217</v>
      </c>
    </row>
    <row r="577" spans="1:17" x14ac:dyDescent="0.35">
      <c r="A577" t="s">
        <v>2403</v>
      </c>
      <c r="B577" s="3" t="s">
        <v>102</v>
      </c>
      <c r="C577" s="3" t="s">
        <v>9209</v>
      </c>
      <c r="D577" s="3"/>
      <c r="E577" s="3"/>
      <c r="F577" t="s">
        <v>4192</v>
      </c>
      <c r="H577" t="s">
        <v>4257</v>
      </c>
      <c r="J577" t="str">
        <f t="shared" si="8"/>
        <v>Form NCEN-F.4.d</v>
      </c>
      <c r="K577" t="s">
        <v>2400</v>
      </c>
      <c r="L577" t="s">
        <v>4258</v>
      </c>
      <c r="M577" t="s">
        <v>4259</v>
      </c>
      <c r="N577" t="s">
        <v>229</v>
      </c>
      <c r="Q577" s="18" t="s">
        <v>9217</v>
      </c>
    </row>
    <row r="578" spans="1:17" x14ac:dyDescent="0.35">
      <c r="A578" t="s">
        <v>2403</v>
      </c>
      <c r="B578" s="3" t="s">
        <v>102</v>
      </c>
      <c r="C578" s="3" t="s">
        <v>9209</v>
      </c>
      <c r="D578" s="3"/>
      <c r="E578" s="3"/>
      <c r="F578" t="s">
        <v>4192</v>
      </c>
      <c r="H578" t="s">
        <v>4260</v>
      </c>
      <c r="J578" t="str">
        <f t="shared" si="8"/>
        <v>Form NCEN-F.4.e</v>
      </c>
      <c r="K578" t="s">
        <v>2405</v>
      </c>
      <c r="L578" t="s">
        <v>4261</v>
      </c>
      <c r="M578" t="s">
        <v>4262</v>
      </c>
      <c r="N578" t="s">
        <v>229</v>
      </c>
      <c r="Q578" s="18" t="s">
        <v>9217</v>
      </c>
    </row>
    <row r="579" spans="1:17" x14ac:dyDescent="0.35">
      <c r="A579" t="s">
        <v>2403</v>
      </c>
      <c r="B579" s="3" t="s">
        <v>102</v>
      </c>
      <c r="C579" s="3" t="s">
        <v>9209</v>
      </c>
      <c r="D579" s="3"/>
      <c r="E579" s="3"/>
      <c r="F579" t="s">
        <v>4192</v>
      </c>
      <c r="H579" t="s">
        <v>4263</v>
      </c>
      <c r="J579" t="str">
        <f t="shared" ref="J579:J642" si="9">_xlfn.CONCAT(A579,"-",H579)</f>
        <v>Form NCEN-F.5</v>
      </c>
      <c r="K579" t="s">
        <v>4264</v>
      </c>
      <c r="L579" t="s">
        <v>4265</v>
      </c>
      <c r="M579" t="s">
        <v>4266</v>
      </c>
      <c r="N579" t="s">
        <v>2759</v>
      </c>
      <c r="Q579" s="18" t="s">
        <v>9217</v>
      </c>
    </row>
    <row r="580" spans="1:17" x14ac:dyDescent="0.35">
      <c r="A580" t="s">
        <v>2403</v>
      </c>
      <c r="B580" s="3" t="s">
        <v>102</v>
      </c>
      <c r="C580" s="3" t="s">
        <v>9209</v>
      </c>
      <c r="D580" s="3"/>
      <c r="E580" s="3"/>
      <c r="F580" t="s">
        <v>4192</v>
      </c>
      <c r="H580" t="s">
        <v>4267</v>
      </c>
      <c r="J580" t="str">
        <f t="shared" si="9"/>
        <v>Form NCEN-F.5.a</v>
      </c>
      <c r="K580" t="s">
        <v>2516</v>
      </c>
      <c r="L580" t="s">
        <v>4268</v>
      </c>
      <c r="M580" t="s">
        <v>4269</v>
      </c>
      <c r="N580" t="s">
        <v>229</v>
      </c>
      <c r="Q580" s="18" t="s">
        <v>9217</v>
      </c>
    </row>
    <row r="581" spans="1:17" x14ac:dyDescent="0.35">
      <c r="A581" t="s">
        <v>2403</v>
      </c>
      <c r="B581" s="3" t="s">
        <v>102</v>
      </c>
      <c r="C581" s="3" t="s">
        <v>9209</v>
      </c>
      <c r="D581" s="3"/>
      <c r="E581" s="3"/>
      <c r="F581" t="s">
        <v>4192</v>
      </c>
      <c r="H581" t="s">
        <v>4270</v>
      </c>
      <c r="J581" t="str">
        <f t="shared" si="9"/>
        <v>Form NCEN-F.5.b</v>
      </c>
      <c r="K581" t="s">
        <v>2400</v>
      </c>
      <c r="L581" t="s">
        <v>4271</v>
      </c>
      <c r="M581" t="s">
        <v>4272</v>
      </c>
      <c r="N581" t="s">
        <v>229</v>
      </c>
      <c r="Q581" s="18" t="s">
        <v>9217</v>
      </c>
    </row>
    <row r="582" spans="1:17" x14ac:dyDescent="0.35">
      <c r="A582" t="s">
        <v>2403</v>
      </c>
      <c r="B582" s="3" t="s">
        <v>102</v>
      </c>
      <c r="C582" s="3" t="s">
        <v>9209</v>
      </c>
      <c r="D582" s="3"/>
      <c r="E582" s="3"/>
      <c r="F582" t="s">
        <v>4192</v>
      </c>
      <c r="H582" t="s">
        <v>4273</v>
      </c>
      <c r="J582" t="str">
        <f t="shared" si="9"/>
        <v>Form NCEN-F.5.c</v>
      </c>
      <c r="K582" t="s">
        <v>2405</v>
      </c>
      <c r="L582" t="s">
        <v>4274</v>
      </c>
      <c r="M582" t="s">
        <v>4275</v>
      </c>
      <c r="N582" t="s">
        <v>229</v>
      </c>
      <c r="Q582" s="18" t="s">
        <v>9217</v>
      </c>
    </row>
    <row r="583" spans="1:17" x14ac:dyDescent="0.35">
      <c r="A583" t="s">
        <v>2403</v>
      </c>
      <c r="B583" s="3" t="s">
        <v>102</v>
      </c>
      <c r="C583" s="3" t="s">
        <v>9209</v>
      </c>
      <c r="D583" s="3"/>
      <c r="E583" s="3"/>
      <c r="F583" t="s">
        <v>4192</v>
      </c>
      <c r="H583" t="s">
        <v>4276</v>
      </c>
      <c r="J583" t="str">
        <f t="shared" si="9"/>
        <v>Form NCEN-F.6</v>
      </c>
      <c r="K583" t="s">
        <v>4277</v>
      </c>
      <c r="L583" t="s">
        <v>4278</v>
      </c>
      <c r="M583" t="s">
        <v>4279</v>
      </c>
      <c r="N583" t="s">
        <v>2759</v>
      </c>
      <c r="Q583" s="18" t="s">
        <v>9217</v>
      </c>
    </row>
    <row r="584" spans="1:17" x14ac:dyDescent="0.35">
      <c r="A584" t="s">
        <v>2403</v>
      </c>
      <c r="B584" s="3" t="s">
        <v>102</v>
      </c>
      <c r="C584" s="3" t="s">
        <v>9209</v>
      </c>
      <c r="D584" s="3"/>
      <c r="E584" s="3"/>
      <c r="F584" t="s">
        <v>4192</v>
      </c>
      <c r="H584" t="s">
        <v>4280</v>
      </c>
      <c r="J584" t="str">
        <f t="shared" si="9"/>
        <v>Form NCEN-F.6.a</v>
      </c>
      <c r="K584" t="s">
        <v>4281</v>
      </c>
      <c r="L584" t="s">
        <v>4282</v>
      </c>
      <c r="M584" t="s">
        <v>4283</v>
      </c>
      <c r="N584" t="s">
        <v>241</v>
      </c>
      <c r="Q584" s="18" t="s">
        <v>9217</v>
      </c>
    </row>
    <row r="585" spans="1:17" x14ac:dyDescent="0.35">
      <c r="A585" t="s">
        <v>2403</v>
      </c>
      <c r="B585" s="3" t="s">
        <v>102</v>
      </c>
      <c r="C585" s="3" t="s">
        <v>9209</v>
      </c>
      <c r="D585" s="3"/>
      <c r="E585" s="3"/>
      <c r="F585" t="s">
        <v>4192</v>
      </c>
      <c r="H585" t="s">
        <v>4284</v>
      </c>
      <c r="J585" t="str">
        <f t="shared" si="9"/>
        <v>Form NCEN-F.6.b</v>
      </c>
      <c r="K585" t="s">
        <v>4285</v>
      </c>
      <c r="L585" t="s">
        <v>4286</v>
      </c>
      <c r="M585" t="s">
        <v>4287</v>
      </c>
      <c r="N585" t="s">
        <v>229</v>
      </c>
      <c r="Q585" s="18" t="s">
        <v>9217</v>
      </c>
    </row>
    <row r="586" spans="1:17" x14ac:dyDescent="0.35">
      <c r="A586" t="s">
        <v>2403</v>
      </c>
      <c r="B586" s="3" t="s">
        <v>102</v>
      </c>
      <c r="C586" s="3" t="s">
        <v>9209</v>
      </c>
      <c r="D586" s="3"/>
      <c r="E586" s="3"/>
      <c r="F586" t="s">
        <v>4192</v>
      </c>
      <c r="H586" t="s">
        <v>4288</v>
      </c>
      <c r="J586" t="str">
        <f t="shared" si="9"/>
        <v>Form NCEN-F.7</v>
      </c>
      <c r="K586" t="s">
        <v>4289</v>
      </c>
      <c r="L586" t="s">
        <v>4290</v>
      </c>
      <c r="M586" t="s">
        <v>4291</v>
      </c>
      <c r="N586" t="s">
        <v>2759</v>
      </c>
      <c r="Q586" s="18" t="s">
        <v>9217</v>
      </c>
    </row>
    <row r="587" spans="1:17" x14ac:dyDescent="0.35">
      <c r="A587" t="s">
        <v>2403</v>
      </c>
      <c r="B587" s="3" t="s">
        <v>102</v>
      </c>
      <c r="C587" s="3" t="s">
        <v>9209</v>
      </c>
      <c r="D587" s="3"/>
      <c r="E587" s="3"/>
      <c r="F587" t="s">
        <v>4192</v>
      </c>
      <c r="H587" t="s">
        <v>4292</v>
      </c>
      <c r="J587" t="str">
        <f t="shared" si="9"/>
        <v>Form NCEN-F.7.a</v>
      </c>
      <c r="K587" t="s">
        <v>4293</v>
      </c>
      <c r="L587" t="s">
        <v>4294</v>
      </c>
      <c r="M587" t="s">
        <v>4295</v>
      </c>
      <c r="N587" t="s">
        <v>241</v>
      </c>
      <c r="Q587" s="18" t="s">
        <v>9217</v>
      </c>
    </row>
    <row r="588" spans="1:17" x14ac:dyDescent="0.35">
      <c r="A588" t="s">
        <v>2403</v>
      </c>
      <c r="B588" s="3" t="s">
        <v>102</v>
      </c>
      <c r="C588" s="3" t="s">
        <v>9209</v>
      </c>
      <c r="D588" s="3"/>
      <c r="E588" s="3"/>
      <c r="F588" t="s">
        <v>4192</v>
      </c>
      <c r="H588" t="s">
        <v>4296</v>
      </c>
      <c r="J588" t="str">
        <f t="shared" si="9"/>
        <v>Form NCEN-F.7.b</v>
      </c>
      <c r="K588" t="s">
        <v>4297</v>
      </c>
      <c r="L588" t="s">
        <v>4298</v>
      </c>
      <c r="M588" t="s">
        <v>4299</v>
      </c>
      <c r="N588" t="s">
        <v>263</v>
      </c>
      <c r="Q588" s="18" t="s">
        <v>9217</v>
      </c>
    </row>
    <row r="589" spans="1:17" x14ac:dyDescent="0.35">
      <c r="A589" t="s">
        <v>2403</v>
      </c>
      <c r="B589" s="3" t="s">
        <v>102</v>
      </c>
      <c r="C589" s="3" t="s">
        <v>9209</v>
      </c>
      <c r="D589" s="3"/>
      <c r="E589" s="3"/>
      <c r="F589" t="s">
        <v>4192</v>
      </c>
      <c r="H589" t="s">
        <v>4300</v>
      </c>
      <c r="J589" t="str">
        <f t="shared" si="9"/>
        <v>Form NCEN-F.8</v>
      </c>
      <c r="K589" t="s">
        <v>4301</v>
      </c>
      <c r="L589" t="s">
        <v>4302</v>
      </c>
      <c r="M589" t="s">
        <v>4303</v>
      </c>
      <c r="N589" t="s">
        <v>2759</v>
      </c>
      <c r="Q589" s="18" t="s">
        <v>9217</v>
      </c>
    </row>
    <row r="590" spans="1:17" x14ac:dyDescent="0.35">
      <c r="A590" t="s">
        <v>2403</v>
      </c>
      <c r="B590" s="3" t="s">
        <v>102</v>
      </c>
      <c r="C590" s="3" t="s">
        <v>9209</v>
      </c>
      <c r="D590" s="3"/>
      <c r="E590" s="3"/>
      <c r="F590" t="s">
        <v>4192</v>
      </c>
      <c r="H590" t="s">
        <v>4304</v>
      </c>
      <c r="J590" t="str">
        <f t="shared" si="9"/>
        <v>Form NCEN-F.8.a</v>
      </c>
      <c r="K590" t="s">
        <v>4305</v>
      </c>
      <c r="L590" t="s">
        <v>4306</v>
      </c>
      <c r="M590" t="s">
        <v>4307</v>
      </c>
      <c r="N590" t="s">
        <v>241</v>
      </c>
      <c r="Q590" s="18" t="s">
        <v>9217</v>
      </c>
    </row>
    <row r="591" spans="1:17" x14ac:dyDescent="0.35">
      <c r="A591" t="s">
        <v>2403</v>
      </c>
      <c r="B591" s="3" t="s">
        <v>102</v>
      </c>
      <c r="C591" s="3" t="s">
        <v>9209</v>
      </c>
      <c r="D591" s="3"/>
      <c r="E591" s="3"/>
      <c r="F591" t="s">
        <v>4192</v>
      </c>
      <c r="H591" t="s">
        <v>4308</v>
      </c>
      <c r="J591" t="str">
        <f t="shared" si="9"/>
        <v>Form NCEN-F.9</v>
      </c>
      <c r="K591" t="s">
        <v>4309</v>
      </c>
      <c r="L591" t="s">
        <v>4310</v>
      </c>
      <c r="M591" t="s">
        <v>4311</v>
      </c>
      <c r="N591" t="s">
        <v>2759</v>
      </c>
      <c r="Q591" s="18" t="s">
        <v>9217</v>
      </c>
    </row>
    <row r="592" spans="1:17" x14ac:dyDescent="0.35">
      <c r="A592" t="s">
        <v>2403</v>
      </c>
      <c r="B592" s="3" t="s">
        <v>102</v>
      </c>
      <c r="C592" s="3" t="s">
        <v>9209</v>
      </c>
      <c r="D592" s="3"/>
      <c r="E592" s="3"/>
      <c r="F592" t="s">
        <v>4192</v>
      </c>
      <c r="H592" t="s">
        <v>4312</v>
      </c>
      <c r="J592" t="str">
        <f t="shared" si="9"/>
        <v>Form NCEN-F.9.a</v>
      </c>
      <c r="K592" t="s">
        <v>4313</v>
      </c>
      <c r="L592" t="s">
        <v>4314</v>
      </c>
      <c r="M592" t="s">
        <v>4315</v>
      </c>
      <c r="N592" t="s">
        <v>241</v>
      </c>
      <c r="Q592" s="18" t="s">
        <v>9217</v>
      </c>
    </row>
    <row r="593" spans="1:17" x14ac:dyDescent="0.35">
      <c r="A593" t="s">
        <v>2403</v>
      </c>
      <c r="B593" s="3" t="s">
        <v>102</v>
      </c>
      <c r="C593" s="3" t="s">
        <v>9209</v>
      </c>
      <c r="D593" s="3"/>
      <c r="E593" s="3"/>
      <c r="F593" t="s">
        <v>4192</v>
      </c>
      <c r="H593" t="s">
        <v>4316</v>
      </c>
      <c r="J593" t="str">
        <f t="shared" si="9"/>
        <v>Form NCEN-F.9.b</v>
      </c>
      <c r="K593" t="s">
        <v>4317</v>
      </c>
      <c r="L593" t="s">
        <v>4318</v>
      </c>
      <c r="M593" t="s">
        <v>4319</v>
      </c>
      <c r="N593" t="s">
        <v>263</v>
      </c>
      <c r="Q593" s="18" t="s">
        <v>9217</v>
      </c>
    </row>
    <row r="594" spans="1:17" x14ac:dyDescent="0.35">
      <c r="A594" t="s">
        <v>2403</v>
      </c>
      <c r="B594" s="3" t="s">
        <v>102</v>
      </c>
      <c r="C594" s="3" t="s">
        <v>9209</v>
      </c>
      <c r="D594" s="3"/>
      <c r="E594" s="3"/>
      <c r="F594" t="s">
        <v>4192</v>
      </c>
      <c r="H594" t="s">
        <v>4320</v>
      </c>
      <c r="J594" t="str">
        <f t="shared" si="9"/>
        <v>Form NCEN-F.10</v>
      </c>
      <c r="K594" t="s">
        <v>4321</v>
      </c>
      <c r="L594" t="s">
        <v>4322</v>
      </c>
      <c r="M594" t="s">
        <v>4323</v>
      </c>
      <c r="N594" t="s">
        <v>2759</v>
      </c>
      <c r="Q594" s="18" t="s">
        <v>9217</v>
      </c>
    </row>
    <row r="595" spans="1:17" x14ac:dyDescent="0.35">
      <c r="A595" t="s">
        <v>2403</v>
      </c>
      <c r="B595" s="3" t="s">
        <v>102</v>
      </c>
      <c r="C595" s="3" t="s">
        <v>9209</v>
      </c>
      <c r="D595" s="3"/>
      <c r="E595" s="3"/>
      <c r="F595" t="s">
        <v>4192</v>
      </c>
      <c r="H595" t="s">
        <v>4324</v>
      </c>
      <c r="J595" t="str">
        <f t="shared" si="9"/>
        <v>Form NCEN-F.10.a</v>
      </c>
      <c r="K595" t="s">
        <v>4325</v>
      </c>
      <c r="L595" t="s">
        <v>4326</v>
      </c>
      <c r="M595" t="s">
        <v>4327</v>
      </c>
      <c r="N595" t="s">
        <v>263</v>
      </c>
      <c r="Q595" s="18" t="s">
        <v>9217</v>
      </c>
    </row>
    <row r="596" spans="1:17" x14ac:dyDescent="0.35">
      <c r="A596" t="s">
        <v>2403</v>
      </c>
      <c r="B596" s="3" t="s">
        <v>102</v>
      </c>
      <c r="C596" s="3" t="s">
        <v>9209</v>
      </c>
      <c r="D596" s="3"/>
      <c r="E596" s="3"/>
      <c r="F596" t="s">
        <v>4192</v>
      </c>
      <c r="H596" t="s">
        <v>4328</v>
      </c>
      <c r="J596" t="str">
        <f t="shared" si="9"/>
        <v>Form NCEN-F.11</v>
      </c>
      <c r="K596" t="s">
        <v>4329</v>
      </c>
      <c r="L596" t="s">
        <v>4330</v>
      </c>
      <c r="M596" t="s">
        <v>4331</v>
      </c>
      <c r="N596" t="s">
        <v>2759</v>
      </c>
      <c r="Q596" s="18" t="s">
        <v>9217</v>
      </c>
    </row>
    <row r="597" spans="1:17" x14ac:dyDescent="0.35">
      <c r="A597" t="s">
        <v>2403</v>
      </c>
      <c r="B597" s="3" t="s">
        <v>102</v>
      </c>
      <c r="C597" s="3" t="s">
        <v>9209</v>
      </c>
      <c r="D597" s="3"/>
      <c r="E597" s="3"/>
      <c r="F597" t="s">
        <v>4192</v>
      </c>
      <c r="H597" t="s">
        <v>4332</v>
      </c>
      <c r="J597" t="str">
        <f t="shared" si="9"/>
        <v>Form NCEN-F.11.a</v>
      </c>
      <c r="K597" t="s">
        <v>4333</v>
      </c>
      <c r="L597" t="s">
        <v>4334</v>
      </c>
      <c r="M597" t="s">
        <v>4335</v>
      </c>
      <c r="N597" t="s">
        <v>263</v>
      </c>
      <c r="Q597" s="18" t="s">
        <v>9217</v>
      </c>
    </row>
    <row r="598" spans="1:17" x14ac:dyDescent="0.35">
      <c r="A598" t="s">
        <v>2403</v>
      </c>
      <c r="B598" s="3" t="s">
        <v>102</v>
      </c>
      <c r="C598" s="3" t="s">
        <v>9209</v>
      </c>
      <c r="D598" s="3"/>
      <c r="E598" s="3"/>
      <c r="F598" t="s">
        <v>4192</v>
      </c>
      <c r="H598" t="s">
        <v>4336</v>
      </c>
      <c r="J598" t="str">
        <f t="shared" si="9"/>
        <v>Form NCEN-F.12</v>
      </c>
      <c r="K598" t="s">
        <v>4337</v>
      </c>
      <c r="L598" t="s">
        <v>4338</v>
      </c>
      <c r="M598" t="s">
        <v>4339</v>
      </c>
      <c r="N598" t="s">
        <v>229</v>
      </c>
      <c r="Q598" s="18" t="s">
        <v>9217</v>
      </c>
    </row>
    <row r="599" spans="1:17" x14ac:dyDescent="0.35">
      <c r="A599" t="s">
        <v>2403</v>
      </c>
      <c r="B599" s="3" t="s">
        <v>102</v>
      </c>
      <c r="C599" s="3" t="s">
        <v>9209</v>
      </c>
      <c r="D599" s="3"/>
      <c r="E599" s="3"/>
      <c r="F599" t="s">
        <v>4192</v>
      </c>
      <c r="H599" t="s">
        <v>4340</v>
      </c>
      <c r="J599" t="str">
        <f t="shared" si="9"/>
        <v>Form NCEN-F.13</v>
      </c>
      <c r="K599" t="s">
        <v>4341</v>
      </c>
      <c r="L599" t="s">
        <v>4342</v>
      </c>
      <c r="M599" t="s">
        <v>4343</v>
      </c>
      <c r="N599" t="s">
        <v>2759</v>
      </c>
      <c r="Q599" s="18" t="s">
        <v>9217</v>
      </c>
    </row>
    <row r="600" spans="1:17" x14ac:dyDescent="0.35">
      <c r="A600" t="s">
        <v>2403</v>
      </c>
      <c r="B600" s="3" t="s">
        <v>102</v>
      </c>
      <c r="C600" s="3" t="s">
        <v>9209</v>
      </c>
      <c r="D600" s="3"/>
      <c r="E600" s="3"/>
      <c r="F600" t="s">
        <v>4192</v>
      </c>
      <c r="H600" t="s">
        <v>4344</v>
      </c>
      <c r="J600" t="str">
        <f t="shared" si="9"/>
        <v>Form NCEN-F.13.a</v>
      </c>
      <c r="K600" t="s">
        <v>4345</v>
      </c>
      <c r="L600" t="s">
        <v>4346</v>
      </c>
      <c r="M600" t="s">
        <v>4347</v>
      </c>
      <c r="N600" t="s">
        <v>241</v>
      </c>
      <c r="Q600" s="18" t="s">
        <v>9217</v>
      </c>
    </row>
    <row r="601" spans="1:17" x14ac:dyDescent="0.35">
      <c r="A601" t="s">
        <v>2403</v>
      </c>
      <c r="B601" s="3" t="s">
        <v>102</v>
      </c>
      <c r="C601" s="3" t="s">
        <v>9209</v>
      </c>
      <c r="D601" s="3"/>
      <c r="E601" s="3"/>
      <c r="F601" t="s">
        <v>4192</v>
      </c>
      <c r="H601" t="s">
        <v>4348</v>
      </c>
      <c r="J601" t="str">
        <f t="shared" si="9"/>
        <v>Form NCEN-F.14</v>
      </c>
      <c r="K601" t="s">
        <v>4349</v>
      </c>
      <c r="L601" t="s">
        <v>4350</v>
      </c>
      <c r="M601" t="s">
        <v>4351</v>
      </c>
      <c r="N601" t="s">
        <v>2759</v>
      </c>
      <c r="Q601" s="18" t="s">
        <v>9217</v>
      </c>
    </row>
    <row r="602" spans="1:17" x14ac:dyDescent="0.35">
      <c r="A602" t="s">
        <v>2403</v>
      </c>
      <c r="B602" s="3" t="s">
        <v>102</v>
      </c>
      <c r="C602" s="3" t="s">
        <v>9209</v>
      </c>
      <c r="D602" s="3"/>
      <c r="E602" s="3"/>
      <c r="F602" t="s">
        <v>4192</v>
      </c>
      <c r="H602" t="s">
        <v>4352</v>
      </c>
      <c r="J602" t="str">
        <f t="shared" si="9"/>
        <v>Form NCEN-F.14.a</v>
      </c>
      <c r="K602" t="s">
        <v>4353</v>
      </c>
      <c r="L602" t="s">
        <v>4354</v>
      </c>
      <c r="M602" t="s">
        <v>4355</v>
      </c>
      <c r="N602" t="s">
        <v>229</v>
      </c>
      <c r="Q602" s="18" t="s">
        <v>9217</v>
      </c>
    </row>
    <row r="603" spans="1:17" x14ac:dyDescent="0.35">
      <c r="A603" t="s">
        <v>2403</v>
      </c>
      <c r="B603" s="3" t="s">
        <v>102</v>
      </c>
      <c r="C603" s="3" t="s">
        <v>9209</v>
      </c>
      <c r="D603" s="3"/>
      <c r="E603" s="3"/>
      <c r="F603" t="s">
        <v>4192</v>
      </c>
      <c r="H603" t="s">
        <v>4356</v>
      </c>
      <c r="J603" t="str">
        <f t="shared" si="9"/>
        <v>Form NCEN-F.14.b</v>
      </c>
      <c r="K603" t="s">
        <v>4357</v>
      </c>
      <c r="L603" t="s">
        <v>4358</v>
      </c>
      <c r="M603" t="s">
        <v>4359</v>
      </c>
      <c r="N603" t="s">
        <v>229</v>
      </c>
      <c r="Q603" s="18" t="s">
        <v>9217</v>
      </c>
    </row>
    <row r="604" spans="1:17" x14ac:dyDescent="0.35">
      <c r="A604" t="s">
        <v>2403</v>
      </c>
      <c r="B604" s="3" t="s">
        <v>102</v>
      </c>
      <c r="C604" s="3" t="s">
        <v>9209</v>
      </c>
      <c r="D604" s="3"/>
      <c r="E604" s="3"/>
      <c r="F604" t="s">
        <v>4192</v>
      </c>
      <c r="H604" t="s">
        <v>4360</v>
      </c>
      <c r="J604" t="str">
        <f t="shared" si="9"/>
        <v>Form NCEN-F.14.c</v>
      </c>
      <c r="K604" t="s">
        <v>4361</v>
      </c>
      <c r="L604" t="s">
        <v>4362</v>
      </c>
      <c r="M604" t="s">
        <v>4363</v>
      </c>
      <c r="N604" t="s">
        <v>263</v>
      </c>
      <c r="Q604" s="18" t="s">
        <v>9217</v>
      </c>
    </row>
    <row r="605" spans="1:17" x14ac:dyDescent="0.35">
      <c r="A605" t="s">
        <v>2403</v>
      </c>
      <c r="B605" s="3" t="s">
        <v>102</v>
      </c>
      <c r="C605" s="3" t="s">
        <v>9209</v>
      </c>
      <c r="D605" s="3"/>
      <c r="E605" s="3"/>
      <c r="F605" t="s">
        <v>4192</v>
      </c>
      <c r="H605" t="s">
        <v>4364</v>
      </c>
      <c r="J605" t="str">
        <f t="shared" si="9"/>
        <v>Form NCEN-F.14.d</v>
      </c>
      <c r="K605" t="s">
        <v>4365</v>
      </c>
      <c r="L605" t="s">
        <v>4366</v>
      </c>
      <c r="M605" t="s">
        <v>4367</v>
      </c>
      <c r="N605" t="s">
        <v>241</v>
      </c>
      <c r="Q605" s="18" t="s">
        <v>9217</v>
      </c>
    </row>
    <row r="606" spans="1:17" x14ac:dyDescent="0.35">
      <c r="A606" t="s">
        <v>2403</v>
      </c>
      <c r="B606" s="3" t="s">
        <v>102</v>
      </c>
      <c r="C606" s="3" t="s">
        <v>9209</v>
      </c>
      <c r="D606" s="3"/>
      <c r="E606" s="3"/>
      <c r="F606" t="s">
        <v>4192</v>
      </c>
      <c r="H606" t="s">
        <v>4368</v>
      </c>
      <c r="J606" t="str">
        <f t="shared" si="9"/>
        <v>Form NCEN-F.14.e</v>
      </c>
      <c r="K606" t="s">
        <v>4369</v>
      </c>
      <c r="L606" t="s">
        <v>4370</v>
      </c>
      <c r="M606" t="s">
        <v>4371</v>
      </c>
      <c r="N606" t="s">
        <v>263</v>
      </c>
      <c r="Q606" s="18" t="s">
        <v>9217</v>
      </c>
    </row>
    <row r="607" spans="1:17" x14ac:dyDescent="0.35">
      <c r="A607" t="s">
        <v>2403</v>
      </c>
      <c r="B607" s="3" t="s">
        <v>102</v>
      </c>
      <c r="C607" s="3" t="s">
        <v>9209</v>
      </c>
      <c r="D607" s="3"/>
      <c r="E607" s="3"/>
      <c r="F607" t="s">
        <v>4192</v>
      </c>
      <c r="H607" t="s">
        <v>4372</v>
      </c>
      <c r="J607" t="str">
        <f t="shared" si="9"/>
        <v>Form NCEN-F.14.f</v>
      </c>
      <c r="K607" t="s">
        <v>4373</v>
      </c>
      <c r="L607" t="s">
        <v>4374</v>
      </c>
      <c r="M607" t="s">
        <v>4375</v>
      </c>
      <c r="N607" t="s">
        <v>263</v>
      </c>
      <c r="Q607" s="18" t="s">
        <v>9217</v>
      </c>
    </row>
    <row r="608" spans="1:17" x14ac:dyDescent="0.35">
      <c r="A608" t="s">
        <v>2403</v>
      </c>
      <c r="B608" s="3" t="s">
        <v>102</v>
      </c>
      <c r="C608" s="3" t="s">
        <v>9209</v>
      </c>
      <c r="D608" s="3"/>
      <c r="E608" s="3"/>
      <c r="F608" t="s">
        <v>4192</v>
      </c>
      <c r="H608" t="s">
        <v>4376</v>
      </c>
      <c r="J608" t="str">
        <f t="shared" si="9"/>
        <v>Form NCEN-F.14.g</v>
      </c>
      <c r="K608" t="s">
        <v>4377</v>
      </c>
      <c r="L608" t="s">
        <v>4378</v>
      </c>
      <c r="M608" t="s">
        <v>4379</v>
      </c>
      <c r="N608" t="s">
        <v>241</v>
      </c>
      <c r="Q608" s="18" t="s">
        <v>9217</v>
      </c>
    </row>
    <row r="609" spans="1:17" x14ac:dyDescent="0.35">
      <c r="A609" t="s">
        <v>2403</v>
      </c>
      <c r="B609" s="3" t="s">
        <v>102</v>
      </c>
      <c r="C609" s="3" t="s">
        <v>9209</v>
      </c>
      <c r="D609" s="3"/>
      <c r="E609" s="3"/>
      <c r="F609" t="s">
        <v>4192</v>
      </c>
      <c r="H609" t="s">
        <v>4380</v>
      </c>
      <c r="J609" t="str">
        <f t="shared" si="9"/>
        <v>Form NCEN-F.14.h</v>
      </c>
      <c r="K609" t="s">
        <v>4381</v>
      </c>
      <c r="L609" t="s">
        <v>4382</v>
      </c>
      <c r="M609" t="s">
        <v>4383</v>
      </c>
      <c r="N609" t="s">
        <v>263</v>
      </c>
      <c r="Q609" s="18" t="s">
        <v>9217</v>
      </c>
    </row>
    <row r="610" spans="1:17" x14ac:dyDescent="0.35">
      <c r="A610" t="s">
        <v>2403</v>
      </c>
      <c r="B610" s="3" t="s">
        <v>102</v>
      </c>
      <c r="C610" s="3" t="s">
        <v>9209</v>
      </c>
      <c r="D610" s="3"/>
      <c r="E610" s="3"/>
      <c r="F610" t="s">
        <v>4192</v>
      </c>
      <c r="H610" t="s">
        <v>4384</v>
      </c>
      <c r="J610" t="str">
        <f t="shared" si="9"/>
        <v>Form NCEN-F.14.i</v>
      </c>
      <c r="K610" t="s">
        <v>4385</v>
      </c>
      <c r="L610" t="s">
        <v>4386</v>
      </c>
      <c r="M610" t="s">
        <v>4387</v>
      </c>
      <c r="N610" t="s">
        <v>263</v>
      </c>
      <c r="Q610" s="18" t="s">
        <v>9217</v>
      </c>
    </row>
    <row r="611" spans="1:17" x14ac:dyDescent="0.35">
      <c r="A611" t="s">
        <v>2403</v>
      </c>
      <c r="B611" s="3" t="s">
        <v>102</v>
      </c>
      <c r="C611" s="3" t="s">
        <v>9209</v>
      </c>
      <c r="D611" s="3"/>
      <c r="E611" s="3"/>
      <c r="F611" t="s">
        <v>4192</v>
      </c>
      <c r="H611" t="s">
        <v>4388</v>
      </c>
      <c r="J611" t="str">
        <f t="shared" si="9"/>
        <v>Form NCEN-F.14.j</v>
      </c>
      <c r="K611" t="s">
        <v>4389</v>
      </c>
      <c r="L611" t="s">
        <v>4378</v>
      </c>
      <c r="M611" t="s">
        <v>4390</v>
      </c>
      <c r="N611" t="s">
        <v>241</v>
      </c>
      <c r="Q611" s="18" t="s">
        <v>9217</v>
      </c>
    </row>
    <row r="612" spans="1:17" x14ac:dyDescent="0.35">
      <c r="A612" t="s">
        <v>2403</v>
      </c>
      <c r="B612" s="3" t="s">
        <v>102</v>
      </c>
      <c r="C612" s="3" t="s">
        <v>9209</v>
      </c>
      <c r="D612" s="3"/>
      <c r="E612" s="3"/>
      <c r="F612" t="s">
        <v>4192</v>
      </c>
      <c r="H612" t="s">
        <v>4391</v>
      </c>
      <c r="J612" t="str">
        <f t="shared" si="9"/>
        <v>Form NCEN-F.15</v>
      </c>
      <c r="K612" t="s">
        <v>4392</v>
      </c>
      <c r="L612" t="s">
        <v>4393</v>
      </c>
      <c r="M612" t="s">
        <v>4394</v>
      </c>
      <c r="N612" t="s">
        <v>2374</v>
      </c>
      <c r="Q612" s="18" t="s">
        <v>9217</v>
      </c>
    </row>
    <row r="613" spans="1:17" x14ac:dyDescent="0.35">
      <c r="A613" t="s">
        <v>2403</v>
      </c>
      <c r="B613" s="3" t="s">
        <v>102</v>
      </c>
      <c r="C613" s="3" t="s">
        <v>9209</v>
      </c>
      <c r="D613" s="3"/>
      <c r="E613" s="3"/>
      <c r="F613" t="s">
        <v>4192</v>
      </c>
      <c r="H613" t="s">
        <v>4395</v>
      </c>
      <c r="J613" t="str">
        <f t="shared" si="9"/>
        <v>Form NCEN-F.16</v>
      </c>
      <c r="K613" t="s">
        <v>4396</v>
      </c>
      <c r="L613" t="s">
        <v>4397</v>
      </c>
      <c r="M613" t="s">
        <v>4398</v>
      </c>
      <c r="N613" t="s">
        <v>2374</v>
      </c>
      <c r="Q613" s="18" t="s">
        <v>9217</v>
      </c>
    </row>
    <row r="614" spans="1:17" x14ac:dyDescent="0.35">
      <c r="A614" t="s">
        <v>2403</v>
      </c>
      <c r="B614" s="3" t="s">
        <v>102</v>
      </c>
      <c r="C614" s="3" t="s">
        <v>9209</v>
      </c>
      <c r="D614" s="3"/>
      <c r="E614" s="3"/>
      <c r="F614" t="s">
        <v>4192</v>
      </c>
      <c r="H614" t="s">
        <v>4399</v>
      </c>
      <c r="J614" t="str">
        <f t="shared" si="9"/>
        <v>Form NCEN-F.17</v>
      </c>
      <c r="K614" t="s">
        <v>4400</v>
      </c>
      <c r="L614" t="s">
        <v>4401</v>
      </c>
      <c r="M614" t="s">
        <v>4402</v>
      </c>
      <c r="N614" t="s">
        <v>2759</v>
      </c>
      <c r="Q614" s="18" t="s">
        <v>9217</v>
      </c>
    </row>
    <row r="615" spans="1:17" x14ac:dyDescent="0.35">
      <c r="A615" t="s">
        <v>2403</v>
      </c>
      <c r="B615" s="3" t="s">
        <v>102</v>
      </c>
      <c r="C615" s="3" t="s">
        <v>9209</v>
      </c>
      <c r="D615" s="3"/>
      <c r="E615" s="3"/>
      <c r="F615" t="s">
        <v>4192</v>
      </c>
      <c r="H615" t="s">
        <v>4403</v>
      </c>
      <c r="J615" t="str">
        <f t="shared" si="9"/>
        <v>Form NCEN-F.17.a</v>
      </c>
      <c r="K615" t="s">
        <v>4404</v>
      </c>
      <c r="L615" t="s">
        <v>4405</v>
      </c>
      <c r="M615" t="s">
        <v>4406</v>
      </c>
      <c r="N615" t="s">
        <v>2759</v>
      </c>
      <c r="Q615" s="18" t="s">
        <v>9217</v>
      </c>
    </row>
    <row r="616" spans="1:17" x14ac:dyDescent="0.35">
      <c r="A616" t="s">
        <v>2403</v>
      </c>
      <c r="B616" s="3" t="s">
        <v>102</v>
      </c>
      <c r="C616" s="3" t="s">
        <v>9209</v>
      </c>
      <c r="D616" s="3"/>
      <c r="E616" s="3"/>
      <c r="F616" t="s">
        <v>4192</v>
      </c>
      <c r="H616" t="s">
        <v>4407</v>
      </c>
      <c r="J616" t="str">
        <f t="shared" si="9"/>
        <v>Form NCEN-F.17.a.i</v>
      </c>
      <c r="K616" t="s">
        <v>4408</v>
      </c>
      <c r="L616" t="s">
        <v>4409</v>
      </c>
      <c r="M616" t="s">
        <v>4410</v>
      </c>
      <c r="N616" t="s">
        <v>229</v>
      </c>
      <c r="Q616" s="18" t="s">
        <v>9217</v>
      </c>
    </row>
    <row r="617" spans="1:17" x14ac:dyDescent="0.35">
      <c r="A617" t="s">
        <v>2403</v>
      </c>
      <c r="B617" s="3" t="s">
        <v>102</v>
      </c>
      <c r="C617" s="3" t="s">
        <v>9209</v>
      </c>
      <c r="D617" s="3"/>
      <c r="E617" s="3"/>
      <c r="F617" t="s">
        <v>4192</v>
      </c>
      <c r="H617" t="s">
        <v>4411</v>
      </c>
      <c r="J617" t="str">
        <f t="shared" si="9"/>
        <v>Form NCEN-F.17.a.ii</v>
      </c>
      <c r="K617" t="s">
        <v>3663</v>
      </c>
      <c r="L617" t="s">
        <v>4412</v>
      </c>
      <c r="M617" t="s">
        <v>4413</v>
      </c>
      <c r="N617" t="s">
        <v>229</v>
      </c>
      <c r="Q617" s="18" t="s">
        <v>9217</v>
      </c>
    </row>
    <row r="618" spans="1:17" x14ac:dyDescent="0.35">
      <c r="A618" t="s">
        <v>2403</v>
      </c>
      <c r="B618" s="3" t="s">
        <v>102</v>
      </c>
      <c r="C618" s="3" t="s">
        <v>9209</v>
      </c>
      <c r="D618" s="3"/>
      <c r="E618" s="3"/>
      <c r="F618" t="s">
        <v>4192</v>
      </c>
      <c r="H618" t="s">
        <v>4414</v>
      </c>
      <c r="J618" t="str">
        <f t="shared" si="9"/>
        <v>Form NCEN-F.17.a.iii</v>
      </c>
      <c r="K618" t="s">
        <v>4415</v>
      </c>
      <c r="L618" t="s">
        <v>4416</v>
      </c>
      <c r="M618" t="s">
        <v>4417</v>
      </c>
      <c r="N618" t="s">
        <v>229</v>
      </c>
      <c r="Q618" s="18" t="s">
        <v>9217</v>
      </c>
    </row>
    <row r="619" spans="1:17" x14ac:dyDescent="0.35">
      <c r="A619" t="s">
        <v>2403</v>
      </c>
      <c r="B619" s="3" t="s">
        <v>102</v>
      </c>
      <c r="C619" s="3" t="s">
        <v>9209</v>
      </c>
      <c r="D619" s="3"/>
      <c r="E619" s="3"/>
      <c r="F619" t="s">
        <v>4192</v>
      </c>
      <c r="H619" t="s">
        <v>4418</v>
      </c>
      <c r="J619" t="str">
        <f t="shared" si="9"/>
        <v>Form NCEN-F.17.a.iv</v>
      </c>
      <c r="K619" t="s">
        <v>4419</v>
      </c>
      <c r="L619" t="s">
        <v>4420</v>
      </c>
      <c r="M619" t="s">
        <v>4421</v>
      </c>
      <c r="N619" t="s">
        <v>241</v>
      </c>
      <c r="Q619" s="18" t="s">
        <v>9217</v>
      </c>
    </row>
    <row r="620" spans="1:17" x14ac:dyDescent="0.35">
      <c r="A620" t="s">
        <v>2403</v>
      </c>
      <c r="B620" s="3" t="s">
        <v>102</v>
      </c>
      <c r="C620" s="3" t="s">
        <v>9209</v>
      </c>
      <c r="D620" s="3"/>
      <c r="E620" s="3"/>
      <c r="F620" t="s">
        <v>4192</v>
      </c>
      <c r="H620" t="s">
        <v>4422</v>
      </c>
      <c r="J620" t="str">
        <f t="shared" si="9"/>
        <v>Form NCEN-F.17.a.v</v>
      </c>
      <c r="K620" t="s">
        <v>4423</v>
      </c>
      <c r="L620" t="s">
        <v>4424</v>
      </c>
      <c r="M620" t="s">
        <v>4425</v>
      </c>
      <c r="N620" t="s">
        <v>248</v>
      </c>
      <c r="Q620" s="18" t="s">
        <v>9217</v>
      </c>
    </row>
    <row r="621" spans="1:17" x14ac:dyDescent="0.35">
      <c r="A621" t="s">
        <v>2403</v>
      </c>
      <c r="B621" s="3" t="s">
        <v>102</v>
      </c>
      <c r="C621" s="3" t="s">
        <v>9209</v>
      </c>
      <c r="D621" s="3"/>
      <c r="E621" s="3"/>
      <c r="F621" t="s">
        <v>4192</v>
      </c>
      <c r="H621" t="s">
        <v>4426</v>
      </c>
      <c r="J621" t="str">
        <f t="shared" si="9"/>
        <v>Form NCEN-F.17.a.vi</v>
      </c>
      <c r="K621" t="s">
        <v>4427</v>
      </c>
      <c r="L621" t="s">
        <v>4428</v>
      </c>
      <c r="M621" t="s">
        <v>4429</v>
      </c>
      <c r="N621" t="s">
        <v>229</v>
      </c>
      <c r="Q621" s="18" t="s">
        <v>9217</v>
      </c>
    </row>
    <row r="622" spans="1:17" x14ac:dyDescent="0.35">
      <c r="A622" t="s">
        <v>2403</v>
      </c>
      <c r="B622" s="3" t="s">
        <v>102</v>
      </c>
      <c r="C622" s="3" t="s">
        <v>9209</v>
      </c>
      <c r="D622" s="3"/>
      <c r="E622" s="3"/>
      <c r="F622" t="s">
        <v>4192</v>
      </c>
      <c r="H622" t="s">
        <v>4430</v>
      </c>
      <c r="J622" t="str">
        <f t="shared" si="9"/>
        <v>Form NCEN-F.17.b</v>
      </c>
      <c r="K622" t="s">
        <v>4431</v>
      </c>
      <c r="L622" t="s">
        <v>4432</v>
      </c>
      <c r="M622" t="s">
        <v>4433</v>
      </c>
      <c r="N622" t="s">
        <v>2759</v>
      </c>
      <c r="Q622" s="18" t="s">
        <v>9217</v>
      </c>
    </row>
    <row r="623" spans="1:17" x14ac:dyDescent="0.35">
      <c r="A623" t="s">
        <v>2403</v>
      </c>
      <c r="B623" s="3" t="s">
        <v>102</v>
      </c>
      <c r="C623" s="3" t="s">
        <v>9209</v>
      </c>
      <c r="D623" s="3"/>
      <c r="E623" s="3"/>
      <c r="F623" t="s">
        <v>4192</v>
      </c>
      <c r="H623" t="s">
        <v>4434</v>
      </c>
      <c r="J623" t="str">
        <f t="shared" si="9"/>
        <v>Form NCEN-F.17.b.i</v>
      </c>
      <c r="K623" t="s">
        <v>3663</v>
      </c>
      <c r="L623" t="s">
        <v>4435</v>
      </c>
      <c r="M623" t="s">
        <v>4436</v>
      </c>
      <c r="N623" t="s">
        <v>229</v>
      </c>
      <c r="Q623" s="18" t="s">
        <v>9217</v>
      </c>
    </row>
    <row r="624" spans="1:17" x14ac:dyDescent="0.35">
      <c r="A624" t="s">
        <v>2403</v>
      </c>
      <c r="B624" s="3" t="s">
        <v>102</v>
      </c>
      <c r="C624" s="3" t="s">
        <v>9209</v>
      </c>
      <c r="D624" s="3"/>
      <c r="E624" s="3"/>
      <c r="F624" t="s">
        <v>4192</v>
      </c>
      <c r="H624" t="s">
        <v>4437</v>
      </c>
      <c r="J624" t="str">
        <f t="shared" si="9"/>
        <v>Form NCEN-F.17.b.ii</v>
      </c>
      <c r="K624" t="s">
        <v>4415</v>
      </c>
      <c r="L624" t="s">
        <v>4438</v>
      </c>
      <c r="M624" t="s">
        <v>4439</v>
      </c>
      <c r="N624" t="s">
        <v>229</v>
      </c>
      <c r="Q624" s="18" t="s">
        <v>9217</v>
      </c>
    </row>
    <row r="625" spans="1:17" x14ac:dyDescent="0.35">
      <c r="A625" t="s">
        <v>2403</v>
      </c>
      <c r="B625" s="3" t="s">
        <v>102</v>
      </c>
      <c r="C625" s="3" t="s">
        <v>9209</v>
      </c>
      <c r="D625" s="3"/>
      <c r="E625" s="3"/>
      <c r="F625" t="s">
        <v>4192</v>
      </c>
      <c r="H625" t="s">
        <v>4440</v>
      </c>
      <c r="J625" t="str">
        <f t="shared" si="9"/>
        <v>Form NCEN-F.17.b.iii</v>
      </c>
      <c r="K625" t="s">
        <v>4441</v>
      </c>
      <c r="L625" t="s">
        <v>4442</v>
      </c>
      <c r="M625" t="s">
        <v>4443</v>
      </c>
      <c r="N625" t="s">
        <v>241</v>
      </c>
      <c r="Q625" s="18" t="s">
        <v>9217</v>
      </c>
    </row>
    <row r="626" spans="1:17" x14ac:dyDescent="0.35">
      <c r="A626" t="s">
        <v>2403</v>
      </c>
      <c r="B626" s="3" t="s">
        <v>102</v>
      </c>
      <c r="C626" s="3" t="s">
        <v>9209</v>
      </c>
      <c r="D626" s="3"/>
      <c r="E626" s="3"/>
      <c r="F626" t="s">
        <v>4192</v>
      </c>
      <c r="H626" t="s">
        <v>4444</v>
      </c>
      <c r="J626" t="str">
        <f t="shared" si="9"/>
        <v>Form NCEN-F.18</v>
      </c>
      <c r="K626" t="s">
        <v>4445</v>
      </c>
      <c r="L626" t="s">
        <v>4446</v>
      </c>
      <c r="M626" t="s">
        <v>4447</v>
      </c>
      <c r="N626" t="s">
        <v>2374</v>
      </c>
      <c r="Q626" s="18" t="s">
        <v>9217</v>
      </c>
    </row>
    <row r="627" spans="1:17" x14ac:dyDescent="0.35">
      <c r="A627" t="s">
        <v>2403</v>
      </c>
      <c r="B627" s="3" t="s">
        <v>102</v>
      </c>
      <c r="C627" s="3" t="s">
        <v>9209</v>
      </c>
      <c r="D627" s="3"/>
      <c r="E627" s="3"/>
      <c r="F627" t="s">
        <v>4192</v>
      </c>
      <c r="H627" t="s">
        <v>4448</v>
      </c>
      <c r="J627" t="str">
        <f t="shared" si="9"/>
        <v>Form NCEN-F.19</v>
      </c>
      <c r="K627" t="s">
        <v>4449</v>
      </c>
      <c r="L627" t="s">
        <v>4450</v>
      </c>
      <c r="M627" t="s">
        <v>4451</v>
      </c>
      <c r="N627" t="s">
        <v>2374</v>
      </c>
      <c r="Q627" s="18" t="s">
        <v>9217</v>
      </c>
    </row>
    <row r="628" spans="1:17" x14ac:dyDescent="0.35">
      <c r="A628" t="s">
        <v>2403</v>
      </c>
      <c r="B628" s="3" t="s">
        <v>102</v>
      </c>
      <c r="C628" s="3" t="s">
        <v>9209</v>
      </c>
      <c r="D628" s="3"/>
      <c r="E628" s="3"/>
      <c r="F628" t="s">
        <v>4452</v>
      </c>
      <c r="H628" t="s">
        <v>4453</v>
      </c>
      <c r="J628" t="str">
        <f t="shared" si="9"/>
        <v>Form NCEN-G.1</v>
      </c>
      <c r="K628" t="s">
        <v>4454</v>
      </c>
      <c r="L628" t="s">
        <v>4455</v>
      </c>
      <c r="M628" t="s">
        <v>4456</v>
      </c>
      <c r="N628" t="s">
        <v>2759</v>
      </c>
      <c r="Q628" s="18"/>
    </row>
    <row r="629" spans="1:17" x14ac:dyDescent="0.35">
      <c r="A629" t="s">
        <v>2403</v>
      </c>
      <c r="B629" s="3" t="s">
        <v>102</v>
      </c>
      <c r="C629" s="3" t="s">
        <v>9209</v>
      </c>
      <c r="D629" s="3"/>
      <c r="E629" s="3"/>
      <c r="F629" t="s">
        <v>4452</v>
      </c>
      <c r="H629" t="s">
        <v>4457</v>
      </c>
      <c r="J629" t="str">
        <f t="shared" si="9"/>
        <v>Form NCEN-G.1.a.i</v>
      </c>
      <c r="K629" t="s">
        <v>4458</v>
      </c>
      <c r="L629" t="s">
        <v>4459</v>
      </c>
      <c r="M629" t="s">
        <v>4460</v>
      </c>
      <c r="N629" t="s">
        <v>229</v>
      </c>
      <c r="Q629" s="18" t="s">
        <v>1341</v>
      </c>
    </row>
    <row r="630" spans="1:17" x14ac:dyDescent="0.35">
      <c r="A630" t="s">
        <v>2403</v>
      </c>
      <c r="B630" s="3" t="s">
        <v>102</v>
      </c>
      <c r="C630" s="3" t="s">
        <v>9209</v>
      </c>
      <c r="D630" s="3"/>
      <c r="E630" s="3"/>
      <c r="F630" t="s">
        <v>4452</v>
      </c>
      <c r="H630" t="s">
        <v>4461</v>
      </c>
      <c r="J630" t="str">
        <f t="shared" si="9"/>
        <v>Form NCEN-G.1.a.i (instruction)</v>
      </c>
      <c r="K630" t="s">
        <v>4462</v>
      </c>
      <c r="L630" t="s">
        <v>4463</v>
      </c>
      <c r="M630" t="s">
        <v>4464</v>
      </c>
      <c r="N630" t="s">
        <v>229</v>
      </c>
      <c r="Q630" s="18" t="s">
        <v>9217</v>
      </c>
    </row>
    <row r="631" spans="1:17" x14ac:dyDescent="0.35">
      <c r="A631" t="s">
        <v>2403</v>
      </c>
      <c r="B631" s="3" t="s">
        <v>102</v>
      </c>
      <c r="C631" s="3" t="s">
        <v>9209</v>
      </c>
      <c r="D631" s="3"/>
      <c r="E631" s="3"/>
      <c r="F631" t="s">
        <v>4452</v>
      </c>
      <c r="H631" t="s">
        <v>4465</v>
      </c>
      <c r="J631" t="str">
        <f t="shared" si="9"/>
        <v>Form NCEN-G.1.a.ii</v>
      </c>
      <c r="K631" t="s">
        <v>4466</v>
      </c>
      <c r="L631" t="s">
        <v>4467</v>
      </c>
      <c r="M631" t="s">
        <v>4468</v>
      </c>
      <c r="N631" t="s">
        <v>2759</v>
      </c>
      <c r="Q631" s="18" t="s">
        <v>1341</v>
      </c>
    </row>
    <row r="632" spans="1:17" x14ac:dyDescent="0.35">
      <c r="A632" t="s">
        <v>2403</v>
      </c>
      <c r="B632" s="3" t="s">
        <v>102</v>
      </c>
      <c r="C632" s="3" t="s">
        <v>9209</v>
      </c>
      <c r="D632" s="3"/>
      <c r="E632" s="3"/>
      <c r="F632" t="s">
        <v>4452</v>
      </c>
      <c r="H632" t="s">
        <v>4469</v>
      </c>
      <c r="J632" t="str">
        <f t="shared" si="9"/>
        <v>Form NCEN-G.1.a.ii (instruction)</v>
      </c>
      <c r="K632" t="s">
        <v>4470</v>
      </c>
      <c r="L632" t="s">
        <v>4471</v>
      </c>
      <c r="M632" t="s">
        <v>4472</v>
      </c>
      <c r="N632" t="s">
        <v>2759</v>
      </c>
      <c r="Q632" s="18" t="s">
        <v>9217</v>
      </c>
    </row>
    <row r="633" spans="1:17" x14ac:dyDescent="0.35">
      <c r="A633" t="s">
        <v>2403</v>
      </c>
      <c r="B633" s="3" t="s">
        <v>102</v>
      </c>
      <c r="C633" s="3" t="s">
        <v>9209</v>
      </c>
      <c r="D633" s="3"/>
      <c r="E633" s="3"/>
      <c r="F633" t="s">
        <v>4452</v>
      </c>
      <c r="H633" t="s">
        <v>4473</v>
      </c>
      <c r="J633" t="str">
        <f t="shared" si="9"/>
        <v>Form NCEN-G.1.a.iii</v>
      </c>
      <c r="K633" t="s">
        <v>4474</v>
      </c>
      <c r="L633" t="s">
        <v>4475</v>
      </c>
      <c r="M633" t="s">
        <v>4476</v>
      </c>
      <c r="N633" t="s">
        <v>229</v>
      </c>
      <c r="Q633" t="s">
        <v>27</v>
      </c>
    </row>
    <row r="634" spans="1:17" x14ac:dyDescent="0.35">
      <c r="A634" t="s">
        <v>2403</v>
      </c>
      <c r="B634" s="3" t="s">
        <v>102</v>
      </c>
      <c r="C634" s="3" t="s">
        <v>9209</v>
      </c>
      <c r="D634" s="3"/>
      <c r="E634" s="3"/>
      <c r="F634" t="s">
        <v>4452</v>
      </c>
      <c r="H634" t="s">
        <v>4477</v>
      </c>
      <c r="J634" t="str">
        <f t="shared" si="9"/>
        <v>Form NCEN-G.1.a.iii (instruction)</v>
      </c>
      <c r="K634" t="s">
        <v>4478</v>
      </c>
      <c r="L634" t="s">
        <v>4479</v>
      </c>
      <c r="M634" t="s">
        <v>4480</v>
      </c>
      <c r="N634" t="s">
        <v>229</v>
      </c>
      <c r="Q634" s="18" t="s">
        <v>9217</v>
      </c>
    </row>
    <row r="635" spans="1:17" x14ac:dyDescent="0.35">
      <c r="A635" t="s">
        <v>2403</v>
      </c>
      <c r="B635" s="3" t="s">
        <v>102</v>
      </c>
      <c r="C635" s="3" t="s">
        <v>9209</v>
      </c>
      <c r="D635" s="3"/>
      <c r="E635" s="3"/>
      <c r="F635" t="s">
        <v>4452</v>
      </c>
      <c r="H635" t="s">
        <v>4481</v>
      </c>
      <c r="J635" t="str">
        <f t="shared" si="9"/>
        <v>Form NCEN-G.1.a.iv</v>
      </c>
      <c r="K635" t="s">
        <v>4482</v>
      </c>
      <c r="L635" t="s">
        <v>4483</v>
      </c>
      <c r="M635" t="s">
        <v>4484</v>
      </c>
      <c r="N635" t="s">
        <v>2759</v>
      </c>
      <c r="Q635" s="18" t="s">
        <v>1341</v>
      </c>
    </row>
    <row r="636" spans="1:17" x14ac:dyDescent="0.35">
      <c r="A636" t="s">
        <v>2403</v>
      </c>
      <c r="B636" s="3" t="s">
        <v>102</v>
      </c>
      <c r="C636" s="3" t="s">
        <v>9209</v>
      </c>
      <c r="D636" s="3"/>
      <c r="E636" s="3"/>
      <c r="F636" t="s">
        <v>4452</v>
      </c>
      <c r="H636" t="s">
        <v>4485</v>
      </c>
      <c r="J636" t="str">
        <f t="shared" si="9"/>
        <v>Form NCEN-G.1.a.iv (instruction)</v>
      </c>
      <c r="K636" t="s">
        <v>4486</v>
      </c>
      <c r="L636" t="s">
        <v>4487</v>
      </c>
      <c r="M636" t="s">
        <v>4488</v>
      </c>
      <c r="N636" t="s">
        <v>229</v>
      </c>
      <c r="Q636" s="18" t="s">
        <v>9217</v>
      </c>
    </row>
    <row r="637" spans="1:17" x14ac:dyDescent="0.35">
      <c r="A637" t="s">
        <v>2403</v>
      </c>
      <c r="B637" s="3" t="s">
        <v>102</v>
      </c>
      <c r="C637" s="3" t="s">
        <v>9209</v>
      </c>
      <c r="D637" s="3"/>
      <c r="E637" s="3"/>
      <c r="F637" t="s">
        <v>4452</v>
      </c>
      <c r="H637" t="s">
        <v>4489</v>
      </c>
      <c r="J637" t="str">
        <f t="shared" si="9"/>
        <v>Form NCEN-G.1.a.v</v>
      </c>
      <c r="K637" t="s">
        <v>4490</v>
      </c>
      <c r="L637" t="s">
        <v>4491</v>
      </c>
      <c r="M637" t="s">
        <v>4492</v>
      </c>
      <c r="N637" t="s">
        <v>229</v>
      </c>
      <c r="Q637" s="18" t="s">
        <v>1341</v>
      </c>
    </row>
    <row r="638" spans="1:17" x14ac:dyDescent="0.35">
      <c r="A638" t="s">
        <v>2403</v>
      </c>
      <c r="B638" s="3" t="s">
        <v>102</v>
      </c>
      <c r="C638" s="3" t="s">
        <v>9209</v>
      </c>
      <c r="D638" s="3"/>
      <c r="E638" s="3"/>
      <c r="F638" t="s">
        <v>4452</v>
      </c>
      <c r="H638" t="s">
        <v>4493</v>
      </c>
      <c r="J638" t="str">
        <f t="shared" si="9"/>
        <v>Form NCEN-G.1.a.vi</v>
      </c>
      <c r="K638" t="s">
        <v>4494</v>
      </c>
      <c r="L638" t="s">
        <v>4495</v>
      </c>
      <c r="M638" t="s">
        <v>4496</v>
      </c>
      <c r="N638" t="s">
        <v>229</v>
      </c>
      <c r="Q638" s="18" t="s">
        <v>1341</v>
      </c>
    </row>
    <row r="639" spans="1:17" x14ac:dyDescent="0.35">
      <c r="A639" t="s">
        <v>2403</v>
      </c>
      <c r="B639" s="3" t="s">
        <v>102</v>
      </c>
      <c r="C639" s="3" t="s">
        <v>9209</v>
      </c>
      <c r="D639" s="3"/>
      <c r="E639" s="3"/>
      <c r="F639" t="s">
        <v>4452</v>
      </c>
      <c r="H639" t="s">
        <v>4497</v>
      </c>
      <c r="J639" t="str">
        <f t="shared" si="9"/>
        <v>Form NCEN-G.1.b</v>
      </c>
      <c r="K639" t="s">
        <v>4498</v>
      </c>
      <c r="L639" t="s">
        <v>4499</v>
      </c>
      <c r="M639" t="s">
        <v>4500</v>
      </c>
      <c r="N639" t="s">
        <v>2759</v>
      </c>
      <c r="Q639" s="18" t="s">
        <v>9217</v>
      </c>
    </row>
    <row r="640" spans="1:17" x14ac:dyDescent="0.35">
      <c r="A640" t="s">
        <v>2403</v>
      </c>
      <c r="B640" s="3" t="s">
        <v>102</v>
      </c>
      <c r="C640" s="3" t="s">
        <v>9209</v>
      </c>
      <c r="D640" s="3"/>
      <c r="E640" s="3"/>
      <c r="F640" t="s">
        <v>4452</v>
      </c>
      <c r="H640" t="s">
        <v>4501</v>
      </c>
      <c r="J640" t="str">
        <f t="shared" si="9"/>
        <v>Form NCEN-G.1.b.i</v>
      </c>
      <c r="K640" t="s">
        <v>4502</v>
      </c>
      <c r="L640" t="s">
        <v>4503</v>
      </c>
      <c r="M640" t="s">
        <v>4504</v>
      </c>
      <c r="N640" t="s">
        <v>229</v>
      </c>
      <c r="Q640" s="18" t="s">
        <v>9217</v>
      </c>
    </row>
    <row r="641" spans="1:17" x14ac:dyDescent="0.35">
      <c r="A641" t="s">
        <v>2403</v>
      </c>
      <c r="B641" s="3" t="s">
        <v>102</v>
      </c>
      <c r="C641" s="3" t="s">
        <v>9209</v>
      </c>
      <c r="D641" s="3"/>
      <c r="E641" s="3"/>
      <c r="F641" t="s">
        <v>4452</v>
      </c>
      <c r="H641" t="s">
        <v>4505</v>
      </c>
      <c r="J641" t="str">
        <f t="shared" si="9"/>
        <v>Form NCEN-G.1.b.ii (instruction)</v>
      </c>
      <c r="K641" t="s">
        <v>4506</v>
      </c>
      <c r="L641" t="s">
        <v>4507</v>
      </c>
      <c r="M641" t="s">
        <v>4508</v>
      </c>
      <c r="N641" t="s">
        <v>229</v>
      </c>
      <c r="Q641" s="18" t="s">
        <v>9217</v>
      </c>
    </row>
    <row r="642" spans="1:17" x14ac:dyDescent="0.35">
      <c r="A642" t="s">
        <v>2403</v>
      </c>
      <c r="B642" s="3" t="s">
        <v>102</v>
      </c>
      <c r="C642" s="3" t="s">
        <v>9209</v>
      </c>
      <c r="D642" s="3"/>
      <c r="E642" s="3"/>
      <c r="F642" t="s">
        <v>4452</v>
      </c>
      <c r="H642" t="s">
        <v>4509</v>
      </c>
      <c r="J642" t="str">
        <f t="shared" si="9"/>
        <v>Form NCEN-G.1.b.ii</v>
      </c>
      <c r="K642" t="s">
        <v>4510</v>
      </c>
      <c r="L642" t="s">
        <v>4511</v>
      </c>
      <c r="M642" t="s">
        <v>4512</v>
      </c>
      <c r="N642" t="s">
        <v>229</v>
      </c>
      <c r="Q642" s="18" t="s">
        <v>9217</v>
      </c>
    </row>
    <row r="643" spans="1:17" x14ac:dyDescent="0.35">
      <c r="A643" t="s">
        <v>2403</v>
      </c>
      <c r="B643" s="3" t="s">
        <v>102</v>
      </c>
      <c r="C643" s="3" t="s">
        <v>9209</v>
      </c>
      <c r="D643" s="3"/>
      <c r="E643" s="3"/>
      <c r="F643" t="s">
        <v>4452</v>
      </c>
      <c r="H643" t="s">
        <v>4505</v>
      </c>
      <c r="J643" t="str">
        <f t="shared" ref="J643:J657" si="10">_xlfn.CONCAT(A643,"-",H643)</f>
        <v>Form NCEN-G.1.b.ii (instruction)</v>
      </c>
      <c r="K643" t="s">
        <v>4513</v>
      </c>
      <c r="L643" t="s">
        <v>4514</v>
      </c>
      <c r="M643" t="s">
        <v>4515</v>
      </c>
      <c r="N643" t="s">
        <v>229</v>
      </c>
      <c r="Q643" s="18" t="s">
        <v>9217</v>
      </c>
    </row>
    <row r="644" spans="1:17" x14ac:dyDescent="0.35">
      <c r="A644" t="s">
        <v>2403</v>
      </c>
      <c r="B644" s="3" t="s">
        <v>102</v>
      </c>
      <c r="C644" s="3" t="s">
        <v>9209</v>
      </c>
      <c r="D644" s="3"/>
      <c r="E644" s="3"/>
      <c r="F644" t="s">
        <v>4452</v>
      </c>
      <c r="H644" t="s">
        <v>4516</v>
      </c>
      <c r="J644" t="str">
        <f t="shared" si="10"/>
        <v>Form NCEN-G.1.b.iii</v>
      </c>
      <c r="K644" t="s">
        <v>4517</v>
      </c>
      <c r="L644" t="s">
        <v>4518</v>
      </c>
      <c r="M644" t="s">
        <v>4519</v>
      </c>
      <c r="N644" t="s">
        <v>229</v>
      </c>
      <c r="Q644" s="18" t="s">
        <v>9217</v>
      </c>
    </row>
    <row r="645" spans="1:17" x14ac:dyDescent="0.35">
      <c r="A645" t="s">
        <v>2403</v>
      </c>
      <c r="B645" s="3" t="s">
        <v>102</v>
      </c>
      <c r="C645" s="3" t="s">
        <v>9209</v>
      </c>
      <c r="D645" s="3"/>
      <c r="E645" s="3"/>
      <c r="F645" t="s">
        <v>4452</v>
      </c>
      <c r="H645" t="s">
        <v>4520</v>
      </c>
      <c r="J645" t="str">
        <f t="shared" si="10"/>
        <v>Form NCEN-G.1.b.iii (instruction)</v>
      </c>
      <c r="K645" t="s">
        <v>4521</v>
      </c>
      <c r="L645" t="s">
        <v>4522</v>
      </c>
      <c r="M645" t="s">
        <v>4523</v>
      </c>
      <c r="N645" t="s">
        <v>229</v>
      </c>
      <c r="Q645" s="18" t="s">
        <v>9217</v>
      </c>
    </row>
    <row r="646" spans="1:17" x14ac:dyDescent="0.35">
      <c r="A646" t="s">
        <v>2403</v>
      </c>
      <c r="B646" s="3" t="s">
        <v>102</v>
      </c>
      <c r="C646" s="3" t="s">
        <v>9209</v>
      </c>
      <c r="D646" s="3"/>
      <c r="E646" s="3"/>
      <c r="F646" t="s">
        <v>4452</v>
      </c>
      <c r="H646" t="s">
        <v>4524</v>
      </c>
      <c r="J646" t="str">
        <f t="shared" si="10"/>
        <v>Form NCEN-G.1.b.iv</v>
      </c>
      <c r="K646" t="s">
        <v>4525</v>
      </c>
      <c r="L646" t="s">
        <v>4526</v>
      </c>
      <c r="M646" t="s">
        <v>4527</v>
      </c>
      <c r="N646" t="s">
        <v>229</v>
      </c>
      <c r="Q646" s="18" t="s">
        <v>9217</v>
      </c>
    </row>
    <row r="647" spans="1:17" x14ac:dyDescent="0.35">
      <c r="A647" t="s">
        <v>2403</v>
      </c>
      <c r="B647" s="3" t="s">
        <v>102</v>
      </c>
      <c r="C647" s="3" t="s">
        <v>9209</v>
      </c>
      <c r="D647" s="3"/>
      <c r="E647" s="3"/>
      <c r="F647" t="s">
        <v>4452</v>
      </c>
      <c r="H647" t="s">
        <v>4528</v>
      </c>
      <c r="J647" t="str">
        <f t="shared" si="10"/>
        <v>Form NCEN-G.1.b.v</v>
      </c>
      <c r="K647" t="s">
        <v>4529</v>
      </c>
      <c r="L647" t="s">
        <v>1046</v>
      </c>
      <c r="M647" t="s">
        <v>4530</v>
      </c>
      <c r="N647" t="s">
        <v>2759</v>
      </c>
      <c r="Q647" s="18" t="s">
        <v>9217</v>
      </c>
    </row>
    <row r="648" spans="1:17" x14ac:dyDescent="0.35">
      <c r="A648" t="s">
        <v>2403</v>
      </c>
      <c r="B648" s="3" t="s">
        <v>102</v>
      </c>
      <c r="C648" s="3" t="s">
        <v>9209</v>
      </c>
      <c r="D648" s="3"/>
      <c r="E648" s="3"/>
      <c r="F648" t="s">
        <v>4452</v>
      </c>
      <c r="H648" t="s">
        <v>4531</v>
      </c>
      <c r="J648" t="str">
        <f t="shared" si="10"/>
        <v>Form NCEN-G.1.b.v (instruction)</v>
      </c>
      <c r="K648" t="s">
        <v>4532</v>
      </c>
      <c r="L648" t="s">
        <v>4533</v>
      </c>
      <c r="M648" t="s">
        <v>4534</v>
      </c>
      <c r="N648" t="s">
        <v>229</v>
      </c>
      <c r="Q648" s="18" t="s">
        <v>9217</v>
      </c>
    </row>
    <row r="649" spans="1:17" x14ac:dyDescent="0.35">
      <c r="A649" t="s">
        <v>2403</v>
      </c>
      <c r="B649" s="3" t="s">
        <v>102</v>
      </c>
      <c r="C649" s="3" t="s">
        <v>9209</v>
      </c>
      <c r="D649" s="3"/>
      <c r="E649" s="3"/>
      <c r="F649" t="s">
        <v>381</v>
      </c>
      <c r="H649" t="s">
        <v>4535</v>
      </c>
      <c r="J649" t="str">
        <f t="shared" si="10"/>
        <v>Form NCEN-1.A</v>
      </c>
      <c r="K649" s="29" t="e" cm="1">
        <f t="array" ref="K649">#REF!</f>
        <v>#REF!</v>
      </c>
      <c r="L649" t="s">
        <v>229</v>
      </c>
      <c r="M649" t="s">
        <v>4536</v>
      </c>
      <c r="N649" t="s">
        <v>4537</v>
      </c>
      <c r="Q649" s="18" t="s">
        <v>9217</v>
      </c>
    </row>
    <row r="650" spans="1:17" x14ac:dyDescent="0.35">
      <c r="A650" t="s">
        <v>2403</v>
      </c>
      <c r="B650" s="3" t="s">
        <v>102</v>
      </c>
      <c r="C650" s="3" t="s">
        <v>9209</v>
      </c>
      <c r="D650" s="3"/>
      <c r="E650" s="3"/>
      <c r="F650" t="s">
        <v>381</v>
      </c>
      <c r="H650" t="s">
        <v>4538</v>
      </c>
      <c r="J650" t="str">
        <f t="shared" si="10"/>
        <v>Form NCEN-1.B(1)</v>
      </c>
      <c r="K650" t="s">
        <v>4539</v>
      </c>
      <c r="L650" t="s">
        <v>229</v>
      </c>
      <c r="M650" t="s">
        <v>4540</v>
      </c>
      <c r="N650" t="s">
        <v>4541</v>
      </c>
      <c r="Q650" s="18" t="s">
        <v>9217</v>
      </c>
    </row>
    <row r="651" spans="1:17" x14ac:dyDescent="0.35">
      <c r="A651" t="s">
        <v>2403</v>
      </c>
      <c r="B651" s="3" t="s">
        <v>102</v>
      </c>
      <c r="C651" s="3" t="s">
        <v>9209</v>
      </c>
      <c r="D651" s="3"/>
      <c r="E651" s="3"/>
      <c r="F651" t="s">
        <v>381</v>
      </c>
      <c r="H651" t="s">
        <v>4542</v>
      </c>
      <c r="J651" t="str">
        <f t="shared" si="10"/>
        <v>Form NCEN-1.B(2)</v>
      </c>
      <c r="K651" t="s">
        <v>4543</v>
      </c>
      <c r="L651" t="s">
        <v>253</v>
      </c>
      <c r="M651" t="s">
        <v>4544</v>
      </c>
      <c r="N651" t="s">
        <v>4545</v>
      </c>
      <c r="Q651" s="18" t="s">
        <v>9217</v>
      </c>
    </row>
    <row r="652" spans="1:17" x14ac:dyDescent="0.35">
      <c r="A652" t="s">
        <v>2403</v>
      </c>
      <c r="B652" s="3" t="s">
        <v>102</v>
      </c>
      <c r="C652" s="3" t="s">
        <v>9209</v>
      </c>
      <c r="D652" s="3"/>
      <c r="E652" s="3"/>
      <c r="F652" t="s">
        <v>381</v>
      </c>
      <c r="H652" t="s">
        <v>4546</v>
      </c>
      <c r="J652" t="str">
        <f t="shared" si="10"/>
        <v>Form NCEN-1.C</v>
      </c>
      <c r="K652" t="s">
        <v>4547</v>
      </c>
      <c r="L652" t="s">
        <v>229</v>
      </c>
      <c r="M652" t="s">
        <v>4548</v>
      </c>
      <c r="N652" t="s">
        <v>4549</v>
      </c>
      <c r="Q652" s="18" t="s">
        <v>9217</v>
      </c>
    </row>
    <row r="653" spans="1:17" x14ac:dyDescent="0.35">
      <c r="A653" t="s">
        <v>2403</v>
      </c>
      <c r="B653" s="3" t="s">
        <v>102</v>
      </c>
      <c r="C653" s="3" t="s">
        <v>9209</v>
      </c>
      <c r="D653" s="3"/>
      <c r="E653" s="3"/>
      <c r="F653" t="s">
        <v>381</v>
      </c>
      <c r="H653" t="s">
        <v>4550</v>
      </c>
      <c r="J653" t="str">
        <f t="shared" si="10"/>
        <v>Form NCEN-1.D(1)</v>
      </c>
      <c r="K653" t="s">
        <v>4551</v>
      </c>
      <c r="L653" t="s">
        <v>229</v>
      </c>
      <c r="M653" t="s">
        <v>4552</v>
      </c>
      <c r="N653" t="s">
        <v>4553</v>
      </c>
      <c r="Q653" s="18" t="s">
        <v>9217</v>
      </c>
    </row>
    <row r="654" spans="1:17" x14ac:dyDescent="0.35">
      <c r="A654" t="s">
        <v>2403</v>
      </c>
      <c r="B654" s="3" t="s">
        <v>102</v>
      </c>
      <c r="C654" s="3" t="s">
        <v>9209</v>
      </c>
      <c r="D654" s="3"/>
      <c r="E654" s="3"/>
      <c r="F654" t="s">
        <v>381</v>
      </c>
      <c r="H654" t="s">
        <v>4554</v>
      </c>
      <c r="J654" t="str">
        <f t="shared" si="10"/>
        <v>Form NCEN-1.D(2)</v>
      </c>
      <c r="K654" t="s">
        <v>4555</v>
      </c>
      <c r="L654" t="s">
        <v>229</v>
      </c>
      <c r="M654" t="s">
        <v>4556</v>
      </c>
      <c r="N654" t="s">
        <v>4557</v>
      </c>
      <c r="Q654" s="18" t="s">
        <v>9217</v>
      </c>
    </row>
    <row r="655" spans="1:17" x14ac:dyDescent="0.35">
      <c r="A655" t="s">
        <v>2403</v>
      </c>
      <c r="B655" s="3" t="s">
        <v>102</v>
      </c>
      <c r="C655" s="3" t="s">
        <v>9209</v>
      </c>
      <c r="D655" s="3"/>
      <c r="E655" s="3"/>
      <c r="F655" t="s">
        <v>381</v>
      </c>
      <c r="H655" t="s">
        <v>4558</v>
      </c>
      <c r="J655" t="str">
        <f t="shared" si="10"/>
        <v>Form NCEN-1.D(3)</v>
      </c>
      <c r="K655" t="s">
        <v>4559</v>
      </c>
      <c r="L655" t="s">
        <v>229</v>
      </c>
      <c r="M655" t="s">
        <v>4560</v>
      </c>
      <c r="N655" t="s">
        <v>4561</v>
      </c>
      <c r="Q655" s="18" t="s">
        <v>9217</v>
      </c>
    </row>
    <row r="656" spans="1:17" x14ac:dyDescent="0.35">
      <c r="A656" t="s">
        <v>2403</v>
      </c>
      <c r="B656" s="3" t="s">
        <v>102</v>
      </c>
      <c r="C656" s="3" t="s">
        <v>9209</v>
      </c>
      <c r="D656" s="3"/>
      <c r="E656" s="3"/>
      <c r="F656" t="s">
        <v>381</v>
      </c>
      <c r="H656" t="s">
        <v>4562</v>
      </c>
      <c r="J656" t="str">
        <f t="shared" si="10"/>
        <v>Form NCEN-1.E(1)</v>
      </c>
      <c r="K656" t="s">
        <v>4563</v>
      </c>
      <c r="L656" t="s">
        <v>229</v>
      </c>
      <c r="M656" t="s">
        <v>4564</v>
      </c>
      <c r="N656" t="s">
        <v>4565</v>
      </c>
      <c r="Q656" s="18" t="s">
        <v>9217</v>
      </c>
    </row>
    <row r="657" spans="1:17" x14ac:dyDescent="0.35">
      <c r="A657" t="s">
        <v>2403</v>
      </c>
      <c r="B657" s="3" t="s">
        <v>102</v>
      </c>
      <c r="C657" s="3" t="s">
        <v>9209</v>
      </c>
      <c r="D657" s="3"/>
      <c r="E657" s="3"/>
      <c r="F657" t="s">
        <v>381</v>
      </c>
      <c r="H657" t="s">
        <v>4566</v>
      </c>
      <c r="J657" t="str">
        <f t="shared" si="10"/>
        <v>Form NCEN-1.E(2)</v>
      </c>
      <c r="K657" t="s">
        <v>4567</v>
      </c>
      <c r="L657" t="s">
        <v>229</v>
      </c>
      <c r="M657" t="s">
        <v>4568</v>
      </c>
      <c r="N657" t="s">
        <v>4569</v>
      </c>
      <c r="Q657" s="18" t="s">
        <v>9217</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0253-E588-4A37-9642-1A1BEAE971A9}">
  <dimension ref="A1:C3686"/>
  <sheetViews>
    <sheetView workbookViewId="0">
      <selection activeCell="A32" sqref="A32"/>
    </sheetView>
  </sheetViews>
  <sheetFormatPr defaultRowHeight="14.5" x14ac:dyDescent="0.35"/>
  <cols>
    <col min="1" max="1" width="60.81640625" bestFit="1" customWidth="1"/>
    <col min="2" max="2" width="150.54296875" bestFit="1" customWidth="1"/>
    <col min="3" max="3" width="20" customWidth="1"/>
  </cols>
  <sheetData>
    <row r="1" spans="1:3" ht="18.5" x14ac:dyDescent="0.45">
      <c r="A1" s="35" t="s">
        <v>18</v>
      </c>
      <c r="B1" s="35" t="s">
        <v>154</v>
      </c>
      <c r="C1" s="35" t="s">
        <v>137</v>
      </c>
    </row>
    <row r="2" spans="1:3" x14ac:dyDescent="0.35">
      <c r="A2" s="1" t="s">
        <v>222</v>
      </c>
      <c r="B2" s="1" t="s">
        <v>222</v>
      </c>
      <c r="C2" s="1" t="s">
        <v>222</v>
      </c>
    </row>
    <row r="3" spans="1:3" x14ac:dyDescent="0.35">
      <c r="A3" t="s">
        <v>8610</v>
      </c>
      <c r="B3" t="s">
        <v>1305</v>
      </c>
      <c r="C3" t="s">
        <v>229</v>
      </c>
    </row>
    <row r="4" spans="1:3" x14ac:dyDescent="0.35">
      <c r="A4" t="s">
        <v>8614</v>
      </c>
      <c r="B4" t="s">
        <v>1308</v>
      </c>
      <c r="C4" t="s">
        <v>229</v>
      </c>
    </row>
    <row r="5" spans="1:3" x14ac:dyDescent="0.35">
      <c r="A5" t="s">
        <v>8617</v>
      </c>
      <c r="B5" t="s">
        <v>1311</v>
      </c>
      <c r="C5" t="s">
        <v>229</v>
      </c>
    </row>
    <row r="6" spans="1:3" x14ac:dyDescent="0.35">
      <c r="A6" t="s">
        <v>8621</v>
      </c>
      <c r="B6" t="s">
        <v>1315</v>
      </c>
      <c r="C6" t="s">
        <v>229</v>
      </c>
    </row>
    <row r="7" spans="1:3" x14ac:dyDescent="0.35">
      <c r="A7" t="s">
        <v>8624</v>
      </c>
      <c r="B7" t="s">
        <v>1318</v>
      </c>
      <c r="C7" t="s">
        <v>229</v>
      </c>
    </row>
    <row r="8" spans="1:3" x14ac:dyDescent="0.35">
      <c r="A8" t="s">
        <v>8627</v>
      </c>
      <c r="B8" t="s">
        <v>1322</v>
      </c>
      <c r="C8" t="s">
        <v>229</v>
      </c>
    </row>
    <row r="9" spans="1:3" x14ac:dyDescent="0.35">
      <c r="A9" t="s">
        <v>8631</v>
      </c>
      <c r="B9" t="s">
        <v>1325</v>
      </c>
      <c r="C9" t="s">
        <v>229</v>
      </c>
    </row>
    <row r="10" spans="1:3" x14ac:dyDescent="0.35">
      <c r="A10" t="s">
        <v>8635</v>
      </c>
      <c r="B10" t="s">
        <v>1328</v>
      </c>
      <c r="C10" t="s">
        <v>229</v>
      </c>
    </row>
    <row r="11" spans="1:3" x14ac:dyDescent="0.35">
      <c r="A11" t="s">
        <v>8639</v>
      </c>
      <c r="B11" t="s">
        <v>1333</v>
      </c>
      <c r="C11" t="s">
        <v>229</v>
      </c>
    </row>
    <row r="12" spans="1:3" x14ac:dyDescent="0.35">
      <c r="A12" t="s">
        <v>8642</v>
      </c>
      <c r="B12" t="s">
        <v>1337</v>
      </c>
      <c r="C12" t="s">
        <v>229</v>
      </c>
    </row>
    <row r="13" spans="1:3" x14ac:dyDescent="0.35">
      <c r="A13" t="s">
        <v>8645</v>
      </c>
      <c r="B13" t="s">
        <v>1340</v>
      </c>
      <c r="C13" t="s">
        <v>229</v>
      </c>
    </row>
    <row r="14" spans="1:3" x14ac:dyDescent="0.35">
      <c r="A14" t="s">
        <v>8648</v>
      </c>
      <c r="B14" t="s">
        <v>1344</v>
      </c>
      <c r="C14" t="s">
        <v>229</v>
      </c>
    </row>
    <row r="15" spans="1:3" x14ac:dyDescent="0.35">
      <c r="A15" t="s">
        <v>8610</v>
      </c>
      <c r="B15" t="s">
        <v>1347</v>
      </c>
      <c r="C15" t="s">
        <v>2374</v>
      </c>
    </row>
    <row r="16" spans="1:3" x14ac:dyDescent="0.35">
      <c r="A16" t="s">
        <v>8614</v>
      </c>
      <c r="B16" t="s">
        <v>1350</v>
      </c>
      <c r="C16" t="s">
        <v>2374</v>
      </c>
    </row>
    <row r="17" spans="1:3" x14ac:dyDescent="0.35">
      <c r="A17" t="s">
        <v>8617</v>
      </c>
      <c r="B17" t="s">
        <v>1353</v>
      </c>
      <c r="C17" t="s">
        <v>2374</v>
      </c>
    </row>
    <row r="18" spans="1:3" x14ac:dyDescent="0.35">
      <c r="A18" t="s">
        <v>8621</v>
      </c>
      <c r="B18" t="s">
        <v>1356</v>
      </c>
      <c r="C18" t="s">
        <v>229</v>
      </c>
    </row>
    <row r="19" spans="1:3" x14ac:dyDescent="0.35">
      <c r="A19" t="s">
        <v>8624</v>
      </c>
      <c r="B19" t="s">
        <v>1359</v>
      </c>
      <c r="C19" t="s">
        <v>2374</v>
      </c>
    </row>
    <row r="20" spans="1:3" x14ac:dyDescent="0.35">
      <c r="A20" t="s">
        <v>8627</v>
      </c>
      <c r="B20" t="s">
        <v>1362</v>
      </c>
      <c r="C20" t="s">
        <v>241</v>
      </c>
    </row>
    <row r="21" spans="1:3" x14ac:dyDescent="0.35">
      <c r="A21" t="s">
        <v>8631</v>
      </c>
      <c r="B21" t="s">
        <v>1365</v>
      </c>
      <c r="C21" t="s">
        <v>229</v>
      </c>
    </row>
    <row r="22" spans="1:3" x14ac:dyDescent="0.35">
      <c r="A22" t="s">
        <v>8635</v>
      </c>
      <c r="B22" t="s">
        <v>1368</v>
      </c>
      <c r="C22" t="s">
        <v>229</v>
      </c>
    </row>
    <row r="23" spans="1:3" x14ac:dyDescent="0.35">
      <c r="A23" t="s">
        <v>8639</v>
      </c>
      <c r="B23" t="s">
        <v>1372</v>
      </c>
      <c r="C23" t="s">
        <v>248</v>
      </c>
    </row>
    <row r="24" spans="1:3" x14ac:dyDescent="0.35">
      <c r="A24" t="s">
        <v>8642</v>
      </c>
      <c r="B24" t="s">
        <v>1377</v>
      </c>
      <c r="C24" t="s">
        <v>2374</v>
      </c>
    </row>
    <row r="25" spans="1:3" x14ac:dyDescent="0.35">
      <c r="A25" t="s">
        <v>8645</v>
      </c>
      <c r="B25" t="s">
        <v>1382</v>
      </c>
      <c r="C25" t="s">
        <v>2374</v>
      </c>
    </row>
    <row r="26" spans="1:3" x14ac:dyDescent="0.35">
      <c r="A26" t="s">
        <v>8648</v>
      </c>
      <c r="B26" t="s">
        <v>1387</v>
      </c>
      <c r="C26" t="s">
        <v>2494</v>
      </c>
    </row>
    <row r="27" spans="1:3" x14ac:dyDescent="0.35">
      <c r="A27" t="s">
        <v>8610</v>
      </c>
      <c r="B27" t="s">
        <v>1391</v>
      </c>
      <c r="C27" t="s">
        <v>2374</v>
      </c>
    </row>
    <row r="28" spans="1:3" x14ac:dyDescent="0.35">
      <c r="A28" t="s">
        <v>8614</v>
      </c>
      <c r="B28" t="s">
        <v>1395</v>
      </c>
      <c r="C28" t="s">
        <v>2374</v>
      </c>
    </row>
    <row r="29" spans="1:3" x14ac:dyDescent="0.35">
      <c r="A29" t="s">
        <v>8617</v>
      </c>
      <c r="B29" t="s">
        <v>1387</v>
      </c>
      <c r="C29" t="s">
        <v>2374</v>
      </c>
    </row>
    <row r="30" spans="1:3" x14ac:dyDescent="0.35">
      <c r="A30" t="s">
        <v>8621</v>
      </c>
      <c r="B30" t="s">
        <v>1391</v>
      </c>
      <c r="C30" t="s">
        <v>2374</v>
      </c>
    </row>
    <row r="31" spans="1:3" x14ac:dyDescent="0.35">
      <c r="A31" t="s">
        <v>8624</v>
      </c>
      <c r="B31" t="s">
        <v>1395</v>
      </c>
      <c r="C31" t="s">
        <v>2374</v>
      </c>
    </row>
    <row r="32" spans="1:3" x14ac:dyDescent="0.35">
      <c r="A32" t="s">
        <v>8627</v>
      </c>
      <c r="B32" t="s">
        <v>1387</v>
      </c>
      <c r="C32" t="s">
        <v>229</v>
      </c>
    </row>
    <row r="33" spans="1:3" x14ac:dyDescent="0.35">
      <c r="A33" t="s">
        <v>8631</v>
      </c>
      <c r="B33" t="s">
        <v>1391</v>
      </c>
      <c r="C33" t="s">
        <v>229</v>
      </c>
    </row>
    <row r="34" spans="1:3" x14ac:dyDescent="0.35">
      <c r="A34" t="s">
        <v>8635</v>
      </c>
      <c r="B34" t="s">
        <v>1395</v>
      </c>
      <c r="C34" t="s">
        <v>2374</v>
      </c>
    </row>
    <row r="35" spans="1:3" x14ac:dyDescent="0.35">
      <c r="A35" t="s">
        <v>8639</v>
      </c>
      <c r="B35" t="s">
        <v>1387</v>
      </c>
      <c r="C35" t="s">
        <v>229</v>
      </c>
    </row>
    <row r="36" spans="1:3" x14ac:dyDescent="0.35">
      <c r="A36" t="s">
        <v>8642</v>
      </c>
      <c r="B36" t="s">
        <v>1391</v>
      </c>
      <c r="C36" t="s">
        <v>229</v>
      </c>
    </row>
    <row r="37" spans="1:3" x14ac:dyDescent="0.35">
      <c r="A37" t="s">
        <v>8645</v>
      </c>
      <c r="B37" t="s">
        <v>1395</v>
      </c>
      <c r="C37" t="s">
        <v>229</v>
      </c>
    </row>
    <row r="38" spans="1:3" x14ac:dyDescent="0.35">
      <c r="A38" t="s">
        <v>8648</v>
      </c>
      <c r="B38" t="s">
        <v>1387</v>
      </c>
      <c r="C38" t="s">
        <v>229</v>
      </c>
    </row>
    <row r="39" spans="1:3" x14ac:dyDescent="0.35">
      <c r="A39" t="s">
        <v>8610</v>
      </c>
      <c r="B39" t="s">
        <v>1391</v>
      </c>
      <c r="C39" t="s">
        <v>229</v>
      </c>
    </row>
    <row r="40" spans="1:3" x14ac:dyDescent="0.35">
      <c r="A40" t="s">
        <v>8614</v>
      </c>
      <c r="B40" t="s">
        <v>1395</v>
      </c>
      <c r="C40" t="s">
        <v>229</v>
      </c>
    </row>
    <row r="41" spans="1:3" x14ac:dyDescent="0.35">
      <c r="A41" t="s">
        <v>8617</v>
      </c>
      <c r="B41" t="s">
        <v>1387</v>
      </c>
      <c r="C41" t="s">
        <v>229</v>
      </c>
    </row>
    <row r="42" spans="1:3" x14ac:dyDescent="0.35">
      <c r="A42" t="s">
        <v>8621</v>
      </c>
      <c r="B42" t="s">
        <v>1391</v>
      </c>
      <c r="C42" t="s">
        <v>229</v>
      </c>
    </row>
    <row r="43" spans="1:3" x14ac:dyDescent="0.35">
      <c r="A43" t="s">
        <v>8624</v>
      </c>
      <c r="B43" t="s">
        <v>1395</v>
      </c>
      <c r="C43" t="s">
        <v>229</v>
      </c>
    </row>
    <row r="44" spans="1:3" x14ac:dyDescent="0.35">
      <c r="A44" t="s">
        <v>8627</v>
      </c>
      <c r="B44" t="s">
        <v>1387</v>
      </c>
      <c r="C44" t="s">
        <v>2374</v>
      </c>
    </row>
    <row r="45" spans="1:3" x14ac:dyDescent="0.35">
      <c r="A45" t="s">
        <v>8631</v>
      </c>
      <c r="B45" t="s">
        <v>1391</v>
      </c>
      <c r="C45" t="s">
        <v>229</v>
      </c>
    </row>
    <row r="46" spans="1:3" x14ac:dyDescent="0.35">
      <c r="A46" t="s">
        <v>8635</v>
      </c>
      <c r="B46" t="s">
        <v>1395</v>
      </c>
      <c r="C46" t="s">
        <v>241</v>
      </c>
    </row>
    <row r="47" spans="1:3" x14ac:dyDescent="0.35">
      <c r="A47" t="s">
        <v>8639</v>
      </c>
      <c r="B47" t="s">
        <v>1411</v>
      </c>
      <c r="C47" t="s">
        <v>2374</v>
      </c>
    </row>
    <row r="48" spans="1:3" x14ac:dyDescent="0.35">
      <c r="A48" t="s">
        <v>8642</v>
      </c>
      <c r="B48" t="s">
        <v>1415</v>
      </c>
      <c r="C48" t="s">
        <v>229</v>
      </c>
    </row>
    <row r="49" spans="1:3" x14ac:dyDescent="0.35">
      <c r="A49" t="s">
        <v>8645</v>
      </c>
      <c r="B49" t="s">
        <v>1419</v>
      </c>
      <c r="C49" t="s">
        <v>229</v>
      </c>
    </row>
    <row r="50" spans="1:3" x14ac:dyDescent="0.35">
      <c r="A50" t="s">
        <v>8648</v>
      </c>
      <c r="B50" t="s">
        <v>1423</v>
      </c>
      <c r="C50" t="s">
        <v>2374</v>
      </c>
    </row>
    <row r="51" spans="1:3" x14ac:dyDescent="0.35">
      <c r="A51" t="s">
        <v>8610</v>
      </c>
      <c r="B51" t="s">
        <v>1428</v>
      </c>
      <c r="C51" t="s">
        <v>229</v>
      </c>
    </row>
    <row r="52" spans="1:3" x14ac:dyDescent="0.35">
      <c r="A52" t="s">
        <v>8614</v>
      </c>
      <c r="B52" t="s">
        <v>1432</v>
      </c>
      <c r="C52" t="s">
        <v>229</v>
      </c>
    </row>
    <row r="53" spans="1:3" x14ac:dyDescent="0.35">
      <c r="A53" t="s">
        <v>8617</v>
      </c>
      <c r="B53" t="s">
        <v>1437</v>
      </c>
      <c r="C53" t="s">
        <v>2374</v>
      </c>
    </row>
    <row r="54" spans="1:3" x14ac:dyDescent="0.35">
      <c r="A54" t="s">
        <v>8621</v>
      </c>
      <c r="B54" t="s">
        <v>1441</v>
      </c>
      <c r="C54" t="s">
        <v>229</v>
      </c>
    </row>
    <row r="55" spans="1:3" x14ac:dyDescent="0.35">
      <c r="A55" t="s">
        <v>8624</v>
      </c>
      <c r="B55" t="s">
        <v>1446</v>
      </c>
      <c r="C55" t="s">
        <v>229</v>
      </c>
    </row>
    <row r="56" spans="1:3" x14ac:dyDescent="0.35">
      <c r="A56" t="s">
        <v>8627</v>
      </c>
      <c r="B56" t="s">
        <v>1450</v>
      </c>
      <c r="C56" t="s">
        <v>2374</v>
      </c>
    </row>
    <row r="57" spans="1:3" x14ac:dyDescent="0.35">
      <c r="A57" t="s">
        <v>8631</v>
      </c>
      <c r="B57" t="s">
        <v>1454</v>
      </c>
      <c r="C57" t="s">
        <v>263</v>
      </c>
    </row>
    <row r="58" spans="1:3" x14ac:dyDescent="0.35">
      <c r="A58" t="s">
        <v>8635</v>
      </c>
      <c r="B58" t="s">
        <v>1446</v>
      </c>
      <c r="C58" t="s">
        <v>2374</v>
      </c>
    </row>
    <row r="59" spans="1:3" x14ac:dyDescent="0.35">
      <c r="A59" t="s">
        <v>8639</v>
      </c>
      <c r="B59" t="s">
        <v>1450</v>
      </c>
      <c r="C59" t="s">
        <v>2374</v>
      </c>
    </row>
    <row r="60" spans="1:3" x14ac:dyDescent="0.35">
      <c r="A60" t="s">
        <v>8642</v>
      </c>
      <c r="B60" t="s">
        <v>1454</v>
      </c>
      <c r="C60" t="s">
        <v>2374</v>
      </c>
    </row>
    <row r="61" spans="1:3" x14ac:dyDescent="0.35">
      <c r="A61" t="s">
        <v>8645</v>
      </c>
      <c r="B61" t="s">
        <v>1446</v>
      </c>
      <c r="C61" t="s">
        <v>229</v>
      </c>
    </row>
    <row r="62" spans="1:3" x14ac:dyDescent="0.35">
      <c r="A62" t="s">
        <v>8648</v>
      </c>
      <c r="B62" t="s">
        <v>1450</v>
      </c>
      <c r="C62" t="s">
        <v>229</v>
      </c>
    </row>
    <row r="63" spans="1:3" x14ac:dyDescent="0.35">
      <c r="A63" t="s">
        <v>8610</v>
      </c>
      <c r="B63" t="s">
        <v>1454</v>
      </c>
      <c r="C63" t="s">
        <v>2374</v>
      </c>
    </row>
    <row r="64" spans="1:3" x14ac:dyDescent="0.35">
      <c r="A64" t="s">
        <v>8614</v>
      </c>
      <c r="B64" t="s">
        <v>1458</v>
      </c>
      <c r="C64" t="s">
        <v>229</v>
      </c>
    </row>
    <row r="65" spans="1:3" x14ac:dyDescent="0.35">
      <c r="A65" t="s">
        <v>8617</v>
      </c>
      <c r="B65" t="s">
        <v>1462</v>
      </c>
      <c r="C65" t="s">
        <v>229</v>
      </c>
    </row>
    <row r="66" spans="1:3" x14ac:dyDescent="0.35">
      <c r="A66" t="s">
        <v>8621</v>
      </c>
      <c r="B66" t="s">
        <v>1466</v>
      </c>
      <c r="C66" t="s">
        <v>229</v>
      </c>
    </row>
    <row r="67" spans="1:3" x14ac:dyDescent="0.35">
      <c r="A67" t="s">
        <v>8624</v>
      </c>
      <c r="B67" t="s">
        <v>1470</v>
      </c>
      <c r="C67" t="s">
        <v>229</v>
      </c>
    </row>
    <row r="68" spans="1:3" x14ac:dyDescent="0.35">
      <c r="A68" t="s">
        <v>8627</v>
      </c>
      <c r="B68" t="s">
        <v>1474</v>
      </c>
      <c r="C68" t="s">
        <v>229</v>
      </c>
    </row>
    <row r="69" spans="1:3" x14ac:dyDescent="0.35">
      <c r="A69" t="s">
        <v>8631</v>
      </c>
      <c r="B69" t="s">
        <v>1478</v>
      </c>
      <c r="C69" t="s">
        <v>229</v>
      </c>
    </row>
    <row r="70" spans="1:3" x14ac:dyDescent="0.35">
      <c r="A70" t="s">
        <v>8635</v>
      </c>
      <c r="B70" t="s">
        <v>1482</v>
      </c>
      <c r="C70" t="s">
        <v>229</v>
      </c>
    </row>
    <row r="71" spans="1:3" x14ac:dyDescent="0.35">
      <c r="A71" t="s">
        <v>8639</v>
      </c>
      <c r="B71" t="s">
        <v>1486</v>
      </c>
      <c r="C71" t="s">
        <v>2374</v>
      </c>
    </row>
    <row r="72" spans="1:3" x14ac:dyDescent="0.35">
      <c r="A72" t="s">
        <v>8642</v>
      </c>
      <c r="B72" t="s">
        <v>1490</v>
      </c>
      <c r="C72" t="s">
        <v>2374</v>
      </c>
    </row>
    <row r="73" spans="1:3" x14ac:dyDescent="0.35">
      <c r="A73" t="s">
        <v>8645</v>
      </c>
      <c r="B73" t="s">
        <v>1494</v>
      </c>
      <c r="C73" t="s">
        <v>229</v>
      </c>
    </row>
    <row r="74" spans="1:3" x14ac:dyDescent="0.35">
      <c r="A74" t="s">
        <v>8648</v>
      </c>
      <c r="B74" t="s">
        <v>1498</v>
      </c>
      <c r="C74" t="s">
        <v>229</v>
      </c>
    </row>
    <row r="75" spans="1:3" x14ac:dyDescent="0.35">
      <c r="A75" t="s">
        <v>8610</v>
      </c>
      <c r="B75" t="s">
        <v>1504</v>
      </c>
      <c r="C75" t="s">
        <v>229</v>
      </c>
    </row>
    <row r="76" spans="1:3" x14ac:dyDescent="0.35">
      <c r="A76" t="s">
        <v>8614</v>
      </c>
      <c r="B76" t="s">
        <v>1509</v>
      </c>
      <c r="C76" t="s">
        <v>229</v>
      </c>
    </row>
    <row r="77" spans="1:3" x14ac:dyDescent="0.35">
      <c r="A77" t="s">
        <v>8617</v>
      </c>
      <c r="B77" t="s">
        <v>1513</v>
      </c>
      <c r="C77" t="s">
        <v>229</v>
      </c>
    </row>
    <row r="78" spans="1:3" x14ac:dyDescent="0.35">
      <c r="A78" t="s">
        <v>8621</v>
      </c>
      <c r="B78" t="s">
        <v>1517</v>
      </c>
      <c r="C78" t="s">
        <v>2374</v>
      </c>
    </row>
    <row r="79" spans="1:3" x14ac:dyDescent="0.35">
      <c r="A79" t="s">
        <v>8624</v>
      </c>
      <c r="B79" t="s">
        <v>1521</v>
      </c>
      <c r="C79" t="s">
        <v>2374</v>
      </c>
    </row>
    <row r="80" spans="1:3" x14ac:dyDescent="0.35">
      <c r="A80" t="s">
        <v>8627</v>
      </c>
      <c r="B80" t="s">
        <v>1524</v>
      </c>
      <c r="C80" t="s">
        <v>2374</v>
      </c>
    </row>
    <row r="81" spans="1:3" x14ac:dyDescent="0.35">
      <c r="A81" t="s">
        <v>8631</v>
      </c>
      <c r="B81" t="s">
        <v>1528</v>
      </c>
      <c r="C81" t="s">
        <v>2374</v>
      </c>
    </row>
    <row r="82" spans="1:3" x14ac:dyDescent="0.35">
      <c r="A82" t="s">
        <v>8635</v>
      </c>
      <c r="B82" t="s">
        <v>1532</v>
      </c>
      <c r="C82" t="s">
        <v>2374</v>
      </c>
    </row>
    <row r="83" spans="1:3" x14ac:dyDescent="0.35">
      <c r="A83" t="s">
        <v>8639</v>
      </c>
      <c r="B83" t="s">
        <v>1536</v>
      </c>
      <c r="C83" t="s">
        <v>229</v>
      </c>
    </row>
    <row r="84" spans="1:3" x14ac:dyDescent="0.35">
      <c r="A84" t="s">
        <v>8642</v>
      </c>
      <c r="B84" t="s">
        <v>1540</v>
      </c>
      <c r="C84" t="s">
        <v>229</v>
      </c>
    </row>
    <row r="85" spans="1:3" x14ac:dyDescent="0.35">
      <c r="A85" t="s">
        <v>8645</v>
      </c>
      <c r="B85" t="s">
        <v>1545</v>
      </c>
      <c r="C85" t="s">
        <v>2374</v>
      </c>
    </row>
    <row r="86" spans="1:3" x14ac:dyDescent="0.35">
      <c r="A86" t="s">
        <v>8648</v>
      </c>
      <c r="B86" t="s">
        <v>1548</v>
      </c>
      <c r="C86" t="s">
        <v>2374</v>
      </c>
    </row>
    <row r="87" spans="1:3" x14ac:dyDescent="0.35">
      <c r="A87" t="s">
        <v>8610</v>
      </c>
      <c r="B87" t="s">
        <v>1552</v>
      </c>
      <c r="C87" t="s">
        <v>248</v>
      </c>
    </row>
    <row r="88" spans="1:3" x14ac:dyDescent="0.35">
      <c r="A88" t="s">
        <v>8614</v>
      </c>
      <c r="B88" t="s">
        <v>1555</v>
      </c>
      <c r="C88" t="s">
        <v>229</v>
      </c>
    </row>
    <row r="89" spans="1:3" x14ac:dyDescent="0.35">
      <c r="A89" t="s">
        <v>8617</v>
      </c>
      <c r="B89" t="s">
        <v>1558</v>
      </c>
      <c r="C89" t="s">
        <v>229</v>
      </c>
    </row>
    <row r="90" spans="1:3" x14ac:dyDescent="0.35">
      <c r="A90" t="s">
        <v>8621</v>
      </c>
      <c r="B90" t="s">
        <v>1562</v>
      </c>
      <c r="C90" t="s">
        <v>229</v>
      </c>
    </row>
    <row r="91" spans="1:3" x14ac:dyDescent="0.35">
      <c r="A91" t="s">
        <v>8624</v>
      </c>
      <c r="B91" t="s">
        <v>1568</v>
      </c>
      <c r="C91" t="s">
        <v>229</v>
      </c>
    </row>
    <row r="92" spans="1:3" x14ac:dyDescent="0.35">
      <c r="A92" t="s">
        <v>8627</v>
      </c>
      <c r="B92" t="s">
        <v>1572</v>
      </c>
      <c r="C92" t="s">
        <v>229</v>
      </c>
    </row>
    <row r="93" spans="1:3" x14ac:dyDescent="0.35">
      <c r="A93" t="s">
        <v>8631</v>
      </c>
      <c r="B93" t="s">
        <v>1577</v>
      </c>
      <c r="C93" t="s">
        <v>229</v>
      </c>
    </row>
    <row r="94" spans="1:3" x14ac:dyDescent="0.35">
      <c r="A94" t="s">
        <v>8635</v>
      </c>
      <c r="B94" t="s">
        <v>1581</v>
      </c>
      <c r="C94" t="s">
        <v>2374</v>
      </c>
    </row>
    <row r="95" spans="1:3" x14ac:dyDescent="0.35">
      <c r="A95" t="s">
        <v>8639</v>
      </c>
      <c r="B95" t="s">
        <v>1585</v>
      </c>
      <c r="C95" t="s">
        <v>2374</v>
      </c>
    </row>
    <row r="96" spans="1:3" x14ac:dyDescent="0.35">
      <c r="A96" t="s">
        <v>8642</v>
      </c>
      <c r="B96" t="s">
        <v>1589</v>
      </c>
      <c r="C96" t="s">
        <v>2374</v>
      </c>
    </row>
    <row r="97" spans="1:3" x14ac:dyDescent="0.35">
      <c r="A97" t="s">
        <v>8645</v>
      </c>
      <c r="B97" t="s">
        <v>1594</v>
      </c>
      <c r="C97" t="s">
        <v>2759</v>
      </c>
    </row>
    <row r="98" spans="1:3" x14ac:dyDescent="0.35">
      <c r="A98" t="s">
        <v>8648</v>
      </c>
      <c r="B98" t="s">
        <v>1598</v>
      </c>
      <c r="C98" t="s">
        <v>229</v>
      </c>
    </row>
    <row r="99" spans="1:3" x14ac:dyDescent="0.35">
      <c r="A99" t="s">
        <v>8610</v>
      </c>
      <c r="B99" t="s">
        <v>1602</v>
      </c>
      <c r="C99" t="s">
        <v>229</v>
      </c>
    </row>
    <row r="100" spans="1:3" x14ac:dyDescent="0.35">
      <c r="A100" t="s">
        <v>8614</v>
      </c>
      <c r="B100" t="s">
        <v>1606</v>
      </c>
      <c r="C100" t="s">
        <v>229</v>
      </c>
    </row>
    <row r="101" spans="1:3" x14ac:dyDescent="0.35">
      <c r="A101" t="s">
        <v>8617</v>
      </c>
      <c r="B101" t="s">
        <v>1609</v>
      </c>
      <c r="C101" t="s">
        <v>2374</v>
      </c>
    </row>
    <row r="102" spans="1:3" x14ac:dyDescent="0.35">
      <c r="A102" t="s">
        <v>8621</v>
      </c>
      <c r="B102" t="s">
        <v>1612</v>
      </c>
      <c r="C102" t="s">
        <v>2759</v>
      </c>
    </row>
    <row r="103" spans="1:3" x14ac:dyDescent="0.35">
      <c r="A103" t="s">
        <v>8624</v>
      </c>
      <c r="B103" t="s">
        <v>1615</v>
      </c>
      <c r="C103" t="s">
        <v>229</v>
      </c>
    </row>
    <row r="104" spans="1:3" x14ac:dyDescent="0.35">
      <c r="A104" t="s">
        <v>8627</v>
      </c>
      <c r="B104" t="s">
        <v>1618</v>
      </c>
      <c r="C104" t="s">
        <v>229</v>
      </c>
    </row>
    <row r="105" spans="1:3" x14ac:dyDescent="0.35">
      <c r="A105" t="s">
        <v>8631</v>
      </c>
      <c r="B105" t="s">
        <v>1621</v>
      </c>
      <c r="C105" t="s">
        <v>229</v>
      </c>
    </row>
    <row r="106" spans="1:3" x14ac:dyDescent="0.35">
      <c r="A106" t="s">
        <v>8635</v>
      </c>
      <c r="B106" t="s">
        <v>1624</v>
      </c>
      <c r="C106" t="s">
        <v>229</v>
      </c>
    </row>
    <row r="107" spans="1:3" x14ac:dyDescent="0.35">
      <c r="A107" t="s">
        <v>8639</v>
      </c>
      <c r="B107" t="s">
        <v>1627</v>
      </c>
      <c r="C107" t="s">
        <v>229</v>
      </c>
    </row>
    <row r="108" spans="1:3" x14ac:dyDescent="0.35">
      <c r="A108" t="s">
        <v>8642</v>
      </c>
      <c r="B108" t="s">
        <v>1631</v>
      </c>
      <c r="C108" t="s">
        <v>229</v>
      </c>
    </row>
    <row r="109" spans="1:3" x14ac:dyDescent="0.35">
      <c r="A109" t="s">
        <v>8645</v>
      </c>
      <c r="B109" t="s">
        <v>1634</v>
      </c>
      <c r="C109" t="s">
        <v>2374</v>
      </c>
    </row>
    <row r="110" spans="1:3" x14ac:dyDescent="0.35">
      <c r="A110" t="s">
        <v>8648</v>
      </c>
      <c r="B110" t="s">
        <v>1637</v>
      </c>
      <c r="C110" t="s">
        <v>241</v>
      </c>
    </row>
    <row r="111" spans="1:3" x14ac:dyDescent="0.35">
      <c r="A111" t="s">
        <v>8610</v>
      </c>
      <c r="B111" t="s">
        <v>1640</v>
      </c>
      <c r="C111" t="s">
        <v>241</v>
      </c>
    </row>
    <row r="112" spans="1:3" x14ac:dyDescent="0.35">
      <c r="A112" t="s">
        <v>8614</v>
      </c>
      <c r="B112" t="s">
        <v>1643</v>
      </c>
      <c r="C112" t="s">
        <v>241</v>
      </c>
    </row>
    <row r="113" spans="1:3" x14ac:dyDescent="0.35">
      <c r="A113" t="s">
        <v>8617</v>
      </c>
      <c r="B113" t="s">
        <v>1646</v>
      </c>
      <c r="C113" t="s">
        <v>229</v>
      </c>
    </row>
    <row r="114" spans="1:3" x14ac:dyDescent="0.35">
      <c r="A114" t="s">
        <v>8621</v>
      </c>
      <c r="B114" t="s">
        <v>1649</v>
      </c>
      <c r="C114" t="s">
        <v>229</v>
      </c>
    </row>
    <row r="115" spans="1:3" x14ac:dyDescent="0.35">
      <c r="A115" t="s">
        <v>8624</v>
      </c>
      <c r="B115" t="s">
        <v>1652</v>
      </c>
      <c r="C115" t="s">
        <v>229</v>
      </c>
    </row>
    <row r="116" spans="1:3" x14ac:dyDescent="0.35">
      <c r="A116" t="s">
        <v>8627</v>
      </c>
      <c r="B116" t="s">
        <v>1655</v>
      </c>
      <c r="C116" t="s">
        <v>2374</v>
      </c>
    </row>
    <row r="117" spans="1:3" x14ac:dyDescent="0.35">
      <c r="A117" t="s">
        <v>8631</v>
      </c>
      <c r="B117" t="s">
        <v>1658</v>
      </c>
      <c r="C117" t="s">
        <v>2374</v>
      </c>
    </row>
    <row r="118" spans="1:3" x14ac:dyDescent="0.35">
      <c r="A118" t="s">
        <v>8635</v>
      </c>
      <c r="B118" t="s">
        <v>1662</v>
      </c>
      <c r="C118" t="s">
        <v>2374</v>
      </c>
    </row>
    <row r="119" spans="1:3" x14ac:dyDescent="0.35">
      <c r="A119" t="s">
        <v>8639</v>
      </c>
      <c r="B119" t="s">
        <v>1665</v>
      </c>
      <c r="C119" t="s">
        <v>2374</v>
      </c>
    </row>
    <row r="120" spans="1:3" x14ac:dyDescent="0.35">
      <c r="A120" t="s">
        <v>8642</v>
      </c>
      <c r="B120" t="s">
        <v>1668</v>
      </c>
      <c r="C120" t="s">
        <v>2374</v>
      </c>
    </row>
    <row r="121" spans="1:3" x14ac:dyDescent="0.35">
      <c r="A121" t="s">
        <v>8645</v>
      </c>
      <c r="B121" t="s">
        <v>1671</v>
      </c>
      <c r="C121" t="s">
        <v>2374</v>
      </c>
    </row>
    <row r="122" spans="1:3" x14ac:dyDescent="0.35">
      <c r="A122" t="s">
        <v>8648</v>
      </c>
      <c r="B122" t="s">
        <v>1674</v>
      </c>
      <c r="C122" t="s">
        <v>263</v>
      </c>
    </row>
    <row r="123" spans="1:3" x14ac:dyDescent="0.35">
      <c r="A123" t="s">
        <v>8610</v>
      </c>
      <c r="B123" t="s">
        <v>1677</v>
      </c>
      <c r="C123" t="s">
        <v>263</v>
      </c>
    </row>
    <row r="124" spans="1:3" x14ac:dyDescent="0.35">
      <c r="A124" t="s">
        <v>8614</v>
      </c>
      <c r="B124" t="s">
        <v>1680</v>
      </c>
      <c r="C124" t="s">
        <v>1198</v>
      </c>
    </row>
    <row r="125" spans="1:3" x14ac:dyDescent="0.35">
      <c r="A125" t="s">
        <v>8617</v>
      </c>
      <c r="B125" t="s">
        <v>1683</v>
      </c>
      <c r="C125" t="s">
        <v>1198</v>
      </c>
    </row>
    <row r="126" spans="1:3" x14ac:dyDescent="0.35">
      <c r="A126" t="s">
        <v>8621</v>
      </c>
      <c r="B126" t="s">
        <v>1686</v>
      </c>
      <c r="C126" t="s">
        <v>2374</v>
      </c>
    </row>
    <row r="127" spans="1:3" x14ac:dyDescent="0.35">
      <c r="A127" t="s">
        <v>8624</v>
      </c>
      <c r="B127" t="s">
        <v>1689</v>
      </c>
      <c r="C127" t="s">
        <v>2374</v>
      </c>
    </row>
    <row r="128" spans="1:3" x14ac:dyDescent="0.35">
      <c r="A128" t="s">
        <v>8627</v>
      </c>
      <c r="B128" t="s">
        <v>1692</v>
      </c>
      <c r="C128" t="s">
        <v>2374</v>
      </c>
    </row>
    <row r="129" spans="1:3" x14ac:dyDescent="0.35">
      <c r="A129" t="s">
        <v>8631</v>
      </c>
      <c r="B129" t="s">
        <v>1695</v>
      </c>
      <c r="C129" t="s">
        <v>2374</v>
      </c>
    </row>
    <row r="130" spans="1:3" x14ac:dyDescent="0.35">
      <c r="A130" t="s">
        <v>8635</v>
      </c>
      <c r="B130" t="s">
        <v>1698</v>
      </c>
      <c r="C130" t="s">
        <v>229</v>
      </c>
    </row>
    <row r="131" spans="1:3" x14ac:dyDescent="0.35">
      <c r="A131" t="s">
        <v>8639</v>
      </c>
      <c r="B131" t="s">
        <v>1701</v>
      </c>
      <c r="C131" t="s">
        <v>229</v>
      </c>
    </row>
    <row r="132" spans="1:3" x14ac:dyDescent="0.35">
      <c r="A132" t="s">
        <v>8642</v>
      </c>
      <c r="B132" t="s">
        <v>1703</v>
      </c>
      <c r="C132" t="s">
        <v>229</v>
      </c>
    </row>
    <row r="133" spans="1:3" x14ac:dyDescent="0.35">
      <c r="A133" t="s">
        <v>8645</v>
      </c>
      <c r="B133" t="s">
        <v>1706</v>
      </c>
      <c r="C133" t="s">
        <v>229</v>
      </c>
    </row>
    <row r="134" spans="1:3" x14ac:dyDescent="0.35">
      <c r="A134" t="s">
        <v>8648</v>
      </c>
      <c r="B134" t="s">
        <v>1709</v>
      </c>
      <c r="C134" t="s">
        <v>229</v>
      </c>
    </row>
    <row r="135" spans="1:3" x14ac:dyDescent="0.35">
      <c r="A135" t="s">
        <v>8610</v>
      </c>
      <c r="B135" t="s">
        <v>1712</v>
      </c>
      <c r="C135" t="s">
        <v>229</v>
      </c>
    </row>
    <row r="136" spans="1:3" x14ac:dyDescent="0.35">
      <c r="A136" t="s">
        <v>8614</v>
      </c>
      <c r="B136" t="s">
        <v>1714</v>
      </c>
      <c r="C136" t="s">
        <v>229</v>
      </c>
    </row>
    <row r="137" spans="1:3" x14ac:dyDescent="0.35">
      <c r="A137" t="s">
        <v>8617</v>
      </c>
      <c r="B137" t="s">
        <v>1717</v>
      </c>
      <c r="C137" t="s">
        <v>229</v>
      </c>
    </row>
    <row r="138" spans="1:3" x14ac:dyDescent="0.35">
      <c r="A138" t="s">
        <v>8621</v>
      </c>
      <c r="B138" t="s">
        <v>1720</v>
      </c>
      <c r="C138" t="s">
        <v>229</v>
      </c>
    </row>
    <row r="139" spans="1:3" x14ac:dyDescent="0.35">
      <c r="A139" t="s">
        <v>8624</v>
      </c>
      <c r="B139" t="s">
        <v>1723</v>
      </c>
      <c r="C139" t="s">
        <v>229</v>
      </c>
    </row>
    <row r="140" spans="1:3" x14ac:dyDescent="0.35">
      <c r="A140" t="s">
        <v>8627</v>
      </c>
      <c r="B140" t="s">
        <v>1726</v>
      </c>
      <c r="C140" t="s">
        <v>2374</v>
      </c>
    </row>
    <row r="141" spans="1:3" x14ac:dyDescent="0.35">
      <c r="A141" t="s">
        <v>8631</v>
      </c>
      <c r="B141" t="s">
        <v>1728</v>
      </c>
      <c r="C141" t="s">
        <v>2374</v>
      </c>
    </row>
    <row r="142" spans="1:3" x14ac:dyDescent="0.35">
      <c r="A142" t="s">
        <v>8635</v>
      </c>
      <c r="B142" t="s">
        <v>1732</v>
      </c>
      <c r="C142" t="s">
        <v>2374</v>
      </c>
    </row>
    <row r="143" spans="1:3" x14ac:dyDescent="0.35">
      <c r="A143" t="s">
        <v>8639</v>
      </c>
      <c r="B143" t="s">
        <v>1735</v>
      </c>
      <c r="C143" t="s">
        <v>2374</v>
      </c>
    </row>
    <row r="144" spans="1:3" x14ac:dyDescent="0.35">
      <c r="A144" t="s">
        <v>8642</v>
      </c>
      <c r="B144" t="s">
        <v>1738</v>
      </c>
      <c r="C144" t="s">
        <v>2374</v>
      </c>
    </row>
    <row r="145" spans="1:3" x14ac:dyDescent="0.35">
      <c r="A145" t="s">
        <v>8645</v>
      </c>
      <c r="B145" t="s">
        <v>1741</v>
      </c>
      <c r="C145" t="s">
        <v>229</v>
      </c>
    </row>
    <row r="146" spans="1:3" x14ac:dyDescent="0.35">
      <c r="A146" t="s">
        <v>8648</v>
      </c>
      <c r="B146" t="s">
        <v>1744</v>
      </c>
      <c r="C146" t="s">
        <v>229</v>
      </c>
    </row>
    <row r="147" spans="1:3" x14ac:dyDescent="0.35">
      <c r="A147" t="s">
        <v>8610</v>
      </c>
      <c r="B147" t="s">
        <v>1747</v>
      </c>
      <c r="C147" t="s">
        <v>2374</v>
      </c>
    </row>
    <row r="148" spans="1:3" x14ac:dyDescent="0.35">
      <c r="A148" t="s">
        <v>8614</v>
      </c>
      <c r="B148" t="s">
        <v>1751</v>
      </c>
      <c r="C148" t="s">
        <v>2374</v>
      </c>
    </row>
    <row r="149" spans="1:3" x14ac:dyDescent="0.35">
      <c r="A149" t="s">
        <v>8617</v>
      </c>
      <c r="B149" t="s">
        <v>1755</v>
      </c>
      <c r="C149" t="s">
        <v>2374</v>
      </c>
    </row>
    <row r="150" spans="1:3" x14ac:dyDescent="0.35">
      <c r="A150" t="s">
        <v>8621</v>
      </c>
      <c r="B150" t="s">
        <v>1759</v>
      </c>
      <c r="C150" t="s">
        <v>2374</v>
      </c>
    </row>
    <row r="151" spans="1:3" x14ac:dyDescent="0.35">
      <c r="A151" t="s">
        <v>8624</v>
      </c>
      <c r="B151" t="s">
        <v>1762</v>
      </c>
      <c r="C151" t="s">
        <v>229</v>
      </c>
    </row>
    <row r="152" spans="1:3" x14ac:dyDescent="0.35">
      <c r="A152" t="s">
        <v>8627</v>
      </c>
      <c r="B152" t="s">
        <v>1766</v>
      </c>
      <c r="C152" t="s">
        <v>229</v>
      </c>
    </row>
    <row r="153" spans="1:3" x14ac:dyDescent="0.35">
      <c r="A153" t="s">
        <v>8631</v>
      </c>
      <c r="B153" t="s">
        <v>1769</v>
      </c>
      <c r="C153" t="s">
        <v>2374</v>
      </c>
    </row>
    <row r="154" spans="1:3" x14ac:dyDescent="0.35">
      <c r="A154" t="s">
        <v>8635</v>
      </c>
      <c r="B154" t="s">
        <v>1773</v>
      </c>
      <c r="C154" t="s">
        <v>2374</v>
      </c>
    </row>
    <row r="155" spans="1:3" x14ac:dyDescent="0.35">
      <c r="A155" t="s">
        <v>8639</v>
      </c>
      <c r="B155" t="s">
        <v>1776</v>
      </c>
      <c r="C155" t="s">
        <v>229</v>
      </c>
    </row>
    <row r="156" spans="1:3" x14ac:dyDescent="0.35">
      <c r="A156" t="s">
        <v>8642</v>
      </c>
      <c r="B156" t="s">
        <v>1779</v>
      </c>
      <c r="C156" t="s">
        <v>229</v>
      </c>
    </row>
    <row r="157" spans="1:3" x14ac:dyDescent="0.35">
      <c r="A157" t="s">
        <v>8645</v>
      </c>
      <c r="B157" t="s">
        <v>1524</v>
      </c>
      <c r="C157" t="s">
        <v>2374</v>
      </c>
    </row>
    <row r="158" spans="1:3" x14ac:dyDescent="0.35">
      <c r="A158" t="s">
        <v>8648</v>
      </c>
      <c r="B158" t="s">
        <v>1528</v>
      </c>
      <c r="C158" t="s">
        <v>229</v>
      </c>
    </row>
    <row r="159" spans="1:3" x14ac:dyDescent="0.35">
      <c r="A159" t="s">
        <v>8610</v>
      </c>
      <c r="B159" t="s">
        <v>1532</v>
      </c>
      <c r="C159" t="s">
        <v>229</v>
      </c>
    </row>
    <row r="160" spans="1:3" x14ac:dyDescent="0.35">
      <c r="A160" t="s">
        <v>8614</v>
      </c>
      <c r="B160" t="s">
        <v>1536</v>
      </c>
      <c r="C160" t="s">
        <v>2374</v>
      </c>
    </row>
    <row r="161" spans="1:3" x14ac:dyDescent="0.35">
      <c r="A161" t="s">
        <v>8617</v>
      </c>
      <c r="B161" t="s">
        <v>1540</v>
      </c>
      <c r="C161" t="s">
        <v>2374</v>
      </c>
    </row>
    <row r="162" spans="1:3" x14ac:dyDescent="0.35">
      <c r="A162" t="s">
        <v>8621</v>
      </c>
      <c r="B162" t="s">
        <v>1545</v>
      </c>
      <c r="C162" t="s">
        <v>3017</v>
      </c>
    </row>
    <row r="163" spans="1:3" x14ac:dyDescent="0.35">
      <c r="A163" t="s">
        <v>8624</v>
      </c>
      <c r="B163" t="s">
        <v>1548</v>
      </c>
      <c r="C163" t="s">
        <v>3022</v>
      </c>
    </row>
    <row r="164" spans="1:3" x14ac:dyDescent="0.35">
      <c r="A164" t="s">
        <v>8627</v>
      </c>
      <c r="B164" t="s">
        <v>1552</v>
      </c>
      <c r="C164" t="s">
        <v>3022</v>
      </c>
    </row>
    <row r="165" spans="1:3" x14ac:dyDescent="0.35">
      <c r="A165" t="s">
        <v>8631</v>
      </c>
      <c r="B165" t="s">
        <v>1555</v>
      </c>
      <c r="C165" t="s">
        <v>3022</v>
      </c>
    </row>
    <row r="166" spans="1:3" x14ac:dyDescent="0.35">
      <c r="A166" t="s">
        <v>8635</v>
      </c>
      <c r="B166" t="s">
        <v>1558</v>
      </c>
      <c r="C166" t="s">
        <v>3022</v>
      </c>
    </row>
    <row r="167" spans="1:3" x14ac:dyDescent="0.35">
      <c r="A167" t="s">
        <v>8639</v>
      </c>
      <c r="B167" t="s">
        <v>1562</v>
      </c>
      <c r="C167" t="s">
        <v>3022</v>
      </c>
    </row>
    <row r="168" spans="1:3" x14ac:dyDescent="0.35">
      <c r="A168" t="s">
        <v>8642</v>
      </c>
      <c r="B168" t="s">
        <v>1568</v>
      </c>
      <c r="C168" t="s">
        <v>229</v>
      </c>
    </row>
    <row r="169" spans="1:3" x14ac:dyDescent="0.35">
      <c r="A169" t="s">
        <v>8645</v>
      </c>
      <c r="B169" t="s">
        <v>1572</v>
      </c>
      <c r="C169" t="s">
        <v>263</v>
      </c>
    </row>
    <row r="170" spans="1:3" x14ac:dyDescent="0.35">
      <c r="A170" t="s">
        <v>8648</v>
      </c>
      <c r="B170" t="s">
        <v>1577</v>
      </c>
      <c r="C170" t="s">
        <v>263</v>
      </c>
    </row>
    <row r="171" spans="1:3" x14ac:dyDescent="0.35">
      <c r="A171" t="s">
        <v>8610</v>
      </c>
      <c r="B171" t="s">
        <v>1581</v>
      </c>
      <c r="C171" t="s">
        <v>3017</v>
      </c>
    </row>
    <row r="172" spans="1:3" x14ac:dyDescent="0.35">
      <c r="A172" t="s">
        <v>8614</v>
      </c>
      <c r="B172" t="s">
        <v>1585</v>
      </c>
      <c r="C172" t="s">
        <v>3022</v>
      </c>
    </row>
    <row r="173" spans="1:3" x14ac:dyDescent="0.35">
      <c r="A173" t="s">
        <v>8617</v>
      </c>
      <c r="B173" t="s">
        <v>1589</v>
      </c>
      <c r="C173" t="s">
        <v>3022</v>
      </c>
    </row>
    <row r="174" spans="1:3" x14ac:dyDescent="0.35">
      <c r="A174" t="s">
        <v>8621</v>
      </c>
      <c r="B174" t="s">
        <v>1594</v>
      </c>
      <c r="C174" t="s">
        <v>3022</v>
      </c>
    </row>
    <row r="175" spans="1:3" x14ac:dyDescent="0.35">
      <c r="A175" t="s">
        <v>8624</v>
      </c>
      <c r="B175" t="s">
        <v>1598</v>
      </c>
      <c r="C175" t="s">
        <v>3022</v>
      </c>
    </row>
    <row r="176" spans="1:3" x14ac:dyDescent="0.35">
      <c r="A176" t="s">
        <v>8627</v>
      </c>
      <c r="B176" t="s">
        <v>1602</v>
      </c>
      <c r="C176" t="s">
        <v>3022</v>
      </c>
    </row>
    <row r="177" spans="1:3" x14ac:dyDescent="0.35">
      <c r="A177" t="s">
        <v>8631</v>
      </c>
      <c r="B177" t="s">
        <v>1606</v>
      </c>
      <c r="C177" t="s">
        <v>3022</v>
      </c>
    </row>
    <row r="178" spans="1:3" x14ac:dyDescent="0.35">
      <c r="A178" t="s">
        <v>8635</v>
      </c>
      <c r="B178" t="s">
        <v>1609</v>
      </c>
      <c r="C178" t="s">
        <v>3022</v>
      </c>
    </row>
    <row r="179" spans="1:3" x14ac:dyDescent="0.35">
      <c r="A179" t="s">
        <v>8639</v>
      </c>
      <c r="B179" t="s">
        <v>1612</v>
      </c>
      <c r="C179" t="s">
        <v>3022</v>
      </c>
    </row>
    <row r="180" spans="1:3" x14ac:dyDescent="0.35">
      <c r="A180" t="s">
        <v>8642</v>
      </c>
      <c r="B180" t="s">
        <v>1615</v>
      </c>
      <c r="C180" t="s">
        <v>3022</v>
      </c>
    </row>
    <row r="181" spans="1:3" x14ac:dyDescent="0.35">
      <c r="A181" t="s">
        <v>8645</v>
      </c>
      <c r="B181" t="s">
        <v>1618</v>
      </c>
      <c r="C181" t="s">
        <v>3022</v>
      </c>
    </row>
    <row r="182" spans="1:3" x14ac:dyDescent="0.35">
      <c r="A182" t="s">
        <v>8648</v>
      </c>
      <c r="B182" t="s">
        <v>1621</v>
      </c>
      <c r="C182" t="s">
        <v>3022</v>
      </c>
    </row>
    <row r="183" spans="1:3" x14ac:dyDescent="0.35">
      <c r="A183" t="s">
        <v>8610</v>
      </c>
      <c r="B183" t="s">
        <v>1624</v>
      </c>
      <c r="C183" t="s">
        <v>3022</v>
      </c>
    </row>
    <row r="184" spans="1:3" x14ac:dyDescent="0.35">
      <c r="A184" t="s">
        <v>8614</v>
      </c>
      <c r="B184" t="s">
        <v>1627</v>
      </c>
      <c r="C184" t="s">
        <v>3022</v>
      </c>
    </row>
    <row r="185" spans="1:3" x14ac:dyDescent="0.35">
      <c r="A185" t="s">
        <v>8617</v>
      </c>
      <c r="B185" t="s">
        <v>1631</v>
      </c>
      <c r="C185" t="s">
        <v>3022</v>
      </c>
    </row>
    <row r="186" spans="1:3" x14ac:dyDescent="0.35">
      <c r="A186" t="s">
        <v>8621</v>
      </c>
      <c r="B186" t="s">
        <v>1634</v>
      </c>
      <c r="C186" t="s">
        <v>2374</v>
      </c>
    </row>
    <row r="187" spans="1:3" x14ac:dyDescent="0.35">
      <c r="A187" t="s">
        <v>8624</v>
      </c>
      <c r="B187" t="s">
        <v>1637</v>
      </c>
      <c r="C187" t="s">
        <v>2374</v>
      </c>
    </row>
    <row r="188" spans="1:3" x14ac:dyDescent="0.35">
      <c r="A188" t="s">
        <v>8627</v>
      </c>
      <c r="B188" t="s">
        <v>1640</v>
      </c>
      <c r="C188" t="s">
        <v>2374</v>
      </c>
    </row>
    <row r="189" spans="1:3" x14ac:dyDescent="0.35">
      <c r="A189" t="s">
        <v>8631</v>
      </c>
      <c r="B189" t="s">
        <v>1643</v>
      </c>
      <c r="C189" t="s">
        <v>2374</v>
      </c>
    </row>
    <row r="190" spans="1:3" x14ac:dyDescent="0.35">
      <c r="A190" t="s">
        <v>8635</v>
      </c>
      <c r="B190" t="s">
        <v>1646</v>
      </c>
      <c r="C190" t="s">
        <v>2374</v>
      </c>
    </row>
    <row r="191" spans="1:3" x14ac:dyDescent="0.35">
      <c r="A191" t="s">
        <v>8639</v>
      </c>
      <c r="B191" t="s">
        <v>1649</v>
      </c>
      <c r="C191" t="s">
        <v>2374</v>
      </c>
    </row>
    <row r="192" spans="1:3" x14ac:dyDescent="0.35">
      <c r="A192" t="s">
        <v>8642</v>
      </c>
      <c r="B192" t="s">
        <v>1652</v>
      </c>
      <c r="C192" t="s">
        <v>2759</v>
      </c>
    </row>
    <row r="193" spans="1:3" x14ac:dyDescent="0.35">
      <c r="A193" t="s">
        <v>8645</v>
      </c>
      <c r="B193" t="s">
        <v>1655</v>
      </c>
      <c r="C193" t="s">
        <v>2374</v>
      </c>
    </row>
    <row r="194" spans="1:3" x14ac:dyDescent="0.35">
      <c r="A194" t="s">
        <v>8648</v>
      </c>
      <c r="B194" t="s">
        <v>1658</v>
      </c>
      <c r="C194" t="s">
        <v>2374</v>
      </c>
    </row>
    <row r="195" spans="1:3" x14ac:dyDescent="0.35">
      <c r="A195" t="s">
        <v>8610</v>
      </c>
      <c r="B195" t="s">
        <v>1662</v>
      </c>
      <c r="C195" t="s">
        <v>2374</v>
      </c>
    </row>
    <row r="196" spans="1:3" x14ac:dyDescent="0.35">
      <c r="A196" t="s">
        <v>8614</v>
      </c>
      <c r="B196" t="s">
        <v>1665</v>
      </c>
      <c r="C196" t="s">
        <v>2374</v>
      </c>
    </row>
    <row r="197" spans="1:3" x14ac:dyDescent="0.35">
      <c r="A197" t="s">
        <v>8617</v>
      </c>
      <c r="B197" t="s">
        <v>1668</v>
      </c>
      <c r="C197" t="s">
        <v>2759</v>
      </c>
    </row>
    <row r="198" spans="1:3" x14ac:dyDescent="0.35">
      <c r="A198" t="s">
        <v>8621</v>
      </c>
      <c r="B198" t="s">
        <v>1671</v>
      </c>
      <c r="C198" t="s">
        <v>229</v>
      </c>
    </row>
    <row r="199" spans="1:3" x14ac:dyDescent="0.35">
      <c r="A199" t="s">
        <v>8624</v>
      </c>
      <c r="B199" t="s">
        <v>1674</v>
      </c>
      <c r="C199" t="s">
        <v>229</v>
      </c>
    </row>
    <row r="200" spans="1:3" x14ac:dyDescent="0.35">
      <c r="A200" t="s">
        <v>8627</v>
      </c>
      <c r="B200" t="s">
        <v>1677</v>
      </c>
      <c r="C200" t="s">
        <v>229</v>
      </c>
    </row>
    <row r="201" spans="1:3" x14ac:dyDescent="0.35">
      <c r="A201" t="s">
        <v>8631</v>
      </c>
      <c r="B201" t="s">
        <v>1680</v>
      </c>
      <c r="C201" t="s">
        <v>229</v>
      </c>
    </row>
    <row r="202" spans="1:3" x14ac:dyDescent="0.35">
      <c r="A202" t="s">
        <v>8635</v>
      </c>
      <c r="B202" t="s">
        <v>1683</v>
      </c>
      <c r="C202" t="s">
        <v>229</v>
      </c>
    </row>
    <row r="203" spans="1:3" x14ac:dyDescent="0.35">
      <c r="A203" t="s">
        <v>8639</v>
      </c>
      <c r="B203" t="s">
        <v>1686</v>
      </c>
      <c r="C203" t="s">
        <v>229</v>
      </c>
    </row>
    <row r="204" spans="1:3" x14ac:dyDescent="0.35">
      <c r="A204" t="s">
        <v>8642</v>
      </c>
      <c r="B204" t="s">
        <v>1689</v>
      </c>
      <c r="C204" t="s">
        <v>2374</v>
      </c>
    </row>
    <row r="205" spans="1:3" x14ac:dyDescent="0.35">
      <c r="A205" t="s">
        <v>8645</v>
      </c>
      <c r="B205" t="s">
        <v>1692</v>
      </c>
      <c r="C205" t="s">
        <v>248</v>
      </c>
    </row>
    <row r="206" spans="1:3" x14ac:dyDescent="0.35">
      <c r="A206" t="s">
        <v>8648</v>
      </c>
      <c r="B206" t="s">
        <v>1695</v>
      </c>
      <c r="C206" t="s">
        <v>229</v>
      </c>
    </row>
    <row r="207" spans="1:3" x14ac:dyDescent="0.35">
      <c r="A207" t="s">
        <v>8610</v>
      </c>
      <c r="B207" t="s">
        <v>1698</v>
      </c>
      <c r="C207" t="s">
        <v>229</v>
      </c>
    </row>
    <row r="208" spans="1:3" x14ac:dyDescent="0.35">
      <c r="A208" t="s">
        <v>8614</v>
      </c>
      <c r="B208" t="s">
        <v>1701</v>
      </c>
      <c r="C208" t="s">
        <v>229</v>
      </c>
    </row>
    <row r="209" spans="1:3" x14ac:dyDescent="0.35">
      <c r="A209" t="s">
        <v>8617</v>
      </c>
      <c r="B209" t="s">
        <v>1703</v>
      </c>
      <c r="C209" t="s">
        <v>229</v>
      </c>
    </row>
    <row r="210" spans="1:3" x14ac:dyDescent="0.35">
      <c r="A210" t="s">
        <v>8621</v>
      </c>
      <c r="B210" t="s">
        <v>1706</v>
      </c>
      <c r="C210" t="s">
        <v>229</v>
      </c>
    </row>
    <row r="211" spans="1:3" x14ac:dyDescent="0.35">
      <c r="A211" t="s">
        <v>8624</v>
      </c>
      <c r="B211" t="s">
        <v>1709</v>
      </c>
      <c r="C211" t="s">
        <v>229</v>
      </c>
    </row>
    <row r="212" spans="1:3" x14ac:dyDescent="0.35">
      <c r="A212" t="s">
        <v>8627</v>
      </c>
      <c r="B212" t="s">
        <v>1712</v>
      </c>
      <c r="C212" t="s">
        <v>248</v>
      </c>
    </row>
    <row r="213" spans="1:3" x14ac:dyDescent="0.35">
      <c r="A213" t="s">
        <v>8631</v>
      </c>
      <c r="B213" t="s">
        <v>1714</v>
      </c>
      <c r="C213" t="s">
        <v>229</v>
      </c>
    </row>
    <row r="214" spans="1:3" x14ac:dyDescent="0.35">
      <c r="A214" t="s">
        <v>8635</v>
      </c>
      <c r="B214" t="s">
        <v>1717</v>
      </c>
      <c r="C214" t="s">
        <v>229</v>
      </c>
    </row>
    <row r="215" spans="1:3" x14ac:dyDescent="0.35">
      <c r="A215" t="s">
        <v>8639</v>
      </c>
      <c r="B215" t="s">
        <v>1720</v>
      </c>
      <c r="C215" t="s">
        <v>229</v>
      </c>
    </row>
    <row r="216" spans="1:3" x14ac:dyDescent="0.35">
      <c r="A216" t="s">
        <v>8642</v>
      </c>
      <c r="B216" t="s">
        <v>1723</v>
      </c>
      <c r="C216" t="s">
        <v>229</v>
      </c>
    </row>
    <row r="217" spans="1:3" x14ac:dyDescent="0.35">
      <c r="A217" t="s">
        <v>8645</v>
      </c>
      <c r="B217" t="s">
        <v>1726</v>
      </c>
      <c r="C217" t="s">
        <v>229</v>
      </c>
    </row>
    <row r="218" spans="1:3" x14ac:dyDescent="0.35">
      <c r="A218" t="s">
        <v>8648</v>
      </c>
      <c r="B218" t="s">
        <v>1728</v>
      </c>
      <c r="C218" t="s">
        <v>229</v>
      </c>
    </row>
    <row r="219" spans="1:3" x14ac:dyDescent="0.35">
      <c r="A219" t="s">
        <v>8610</v>
      </c>
      <c r="B219" t="s">
        <v>1732</v>
      </c>
      <c r="C219" t="s">
        <v>2374</v>
      </c>
    </row>
    <row r="220" spans="1:3" x14ac:dyDescent="0.35">
      <c r="A220" t="s">
        <v>8614</v>
      </c>
      <c r="B220" t="s">
        <v>1735</v>
      </c>
      <c r="C220" t="s">
        <v>2374</v>
      </c>
    </row>
    <row r="221" spans="1:3" x14ac:dyDescent="0.35">
      <c r="A221" t="s">
        <v>8617</v>
      </c>
      <c r="B221" t="s">
        <v>1738</v>
      </c>
      <c r="C221" t="s">
        <v>248</v>
      </c>
    </row>
    <row r="222" spans="1:3" x14ac:dyDescent="0.35">
      <c r="A222" t="s">
        <v>8621</v>
      </c>
      <c r="B222" t="s">
        <v>1741</v>
      </c>
      <c r="C222" t="s">
        <v>229</v>
      </c>
    </row>
    <row r="223" spans="1:3" x14ac:dyDescent="0.35">
      <c r="A223" t="s">
        <v>8624</v>
      </c>
      <c r="B223" t="s">
        <v>1744</v>
      </c>
      <c r="C223" t="s">
        <v>229</v>
      </c>
    </row>
    <row r="224" spans="1:3" x14ac:dyDescent="0.35">
      <c r="A224" t="s">
        <v>8627</v>
      </c>
      <c r="B224" t="s">
        <v>1747</v>
      </c>
      <c r="C224" t="s">
        <v>229</v>
      </c>
    </row>
    <row r="225" spans="1:3" x14ac:dyDescent="0.35">
      <c r="A225" t="s">
        <v>8631</v>
      </c>
      <c r="B225" t="s">
        <v>1524</v>
      </c>
      <c r="C225" t="s">
        <v>229</v>
      </c>
    </row>
    <row r="226" spans="1:3" x14ac:dyDescent="0.35">
      <c r="A226" t="s">
        <v>8635</v>
      </c>
      <c r="B226" t="s">
        <v>1528</v>
      </c>
      <c r="C226" t="s">
        <v>229</v>
      </c>
    </row>
    <row r="227" spans="1:3" x14ac:dyDescent="0.35">
      <c r="A227" t="s">
        <v>8639</v>
      </c>
      <c r="B227" t="s">
        <v>1532</v>
      </c>
      <c r="C227" t="s">
        <v>229</v>
      </c>
    </row>
    <row r="228" spans="1:3" x14ac:dyDescent="0.35">
      <c r="A228" t="s">
        <v>8642</v>
      </c>
      <c r="B228" t="s">
        <v>1536</v>
      </c>
      <c r="C228" t="s">
        <v>248</v>
      </c>
    </row>
    <row r="229" spans="1:3" x14ac:dyDescent="0.35">
      <c r="A229" t="s">
        <v>8645</v>
      </c>
      <c r="B229" t="s">
        <v>1540</v>
      </c>
      <c r="C229" t="s">
        <v>2759</v>
      </c>
    </row>
    <row r="230" spans="1:3" x14ac:dyDescent="0.35">
      <c r="A230" t="s">
        <v>8648</v>
      </c>
      <c r="B230" t="s">
        <v>1545</v>
      </c>
      <c r="C230" t="s">
        <v>229</v>
      </c>
    </row>
    <row r="231" spans="1:3" x14ac:dyDescent="0.35">
      <c r="A231" t="s">
        <v>8610</v>
      </c>
      <c r="B231" t="s">
        <v>1548</v>
      </c>
      <c r="C231" t="s">
        <v>229</v>
      </c>
    </row>
    <row r="232" spans="1:3" x14ac:dyDescent="0.35">
      <c r="A232" t="s">
        <v>8614</v>
      </c>
      <c r="B232" t="s">
        <v>1552</v>
      </c>
      <c r="C232" t="s">
        <v>229</v>
      </c>
    </row>
    <row r="233" spans="1:3" x14ac:dyDescent="0.35">
      <c r="A233" t="s">
        <v>8617</v>
      </c>
      <c r="B233" t="s">
        <v>1555</v>
      </c>
      <c r="C233" t="s">
        <v>229</v>
      </c>
    </row>
    <row r="234" spans="1:3" x14ac:dyDescent="0.35">
      <c r="A234" t="s">
        <v>8621</v>
      </c>
      <c r="B234" t="s">
        <v>1558</v>
      </c>
      <c r="C234" t="s">
        <v>229</v>
      </c>
    </row>
    <row r="235" spans="1:3" x14ac:dyDescent="0.35">
      <c r="A235" t="s">
        <v>8624</v>
      </c>
      <c r="B235" t="s">
        <v>1562</v>
      </c>
      <c r="C235" t="s">
        <v>2374</v>
      </c>
    </row>
    <row r="236" spans="1:3" x14ac:dyDescent="0.35">
      <c r="A236" t="s">
        <v>8627</v>
      </c>
      <c r="B236" t="s">
        <v>1568</v>
      </c>
      <c r="C236" t="s">
        <v>2374</v>
      </c>
    </row>
    <row r="237" spans="1:3" x14ac:dyDescent="0.35">
      <c r="A237" t="s">
        <v>8631</v>
      </c>
      <c r="B237" t="s">
        <v>1572</v>
      </c>
      <c r="C237" t="s">
        <v>2374</v>
      </c>
    </row>
    <row r="238" spans="1:3" x14ac:dyDescent="0.35">
      <c r="A238" t="s">
        <v>8635</v>
      </c>
      <c r="B238" t="s">
        <v>1577</v>
      </c>
      <c r="C238" t="s">
        <v>229</v>
      </c>
    </row>
    <row r="239" spans="1:3" x14ac:dyDescent="0.35">
      <c r="A239" t="s">
        <v>8639</v>
      </c>
      <c r="B239" t="s">
        <v>1581</v>
      </c>
      <c r="C239" t="s">
        <v>229</v>
      </c>
    </row>
    <row r="240" spans="1:3" x14ac:dyDescent="0.35">
      <c r="A240" t="s">
        <v>8642</v>
      </c>
      <c r="B240" t="s">
        <v>1585</v>
      </c>
      <c r="C240" t="s">
        <v>229</v>
      </c>
    </row>
    <row r="241" spans="1:3" x14ac:dyDescent="0.35">
      <c r="A241" t="s">
        <v>8645</v>
      </c>
      <c r="B241" t="s">
        <v>1589</v>
      </c>
      <c r="C241" t="s">
        <v>229</v>
      </c>
    </row>
    <row r="242" spans="1:3" x14ac:dyDescent="0.35">
      <c r="A242" t="s">
        <v>8648</v>
      </c>
      <c r="B242" t="s">
        <v>1594</v>
      </c>
      <c r="C242" t="s">
        <v>2374</v>
      </c>
    </row>
    <row r="243" spans="1:3" x14ac:dyDescent="0.35">
      <c r="A243" t="s">
        <v>8610</v>
      </c>
      <c r="B243" t="s">
        <v>1598</v>
      </c>
      <c r="C243" t="s">
        <v>2374</v>
      </c>
    </row>
    <row r="244" spans="1:3" x14ac:dyDescent="0.35">
      <c r="A244" t="s">
        <v>8614</v>
      </c>
      <c r="B244" t="s">
        <v>1602</v>
      </c>
      <c r="C244" t="s">
        <v>2759</v>
      </c>
    </row>
    <row r="245" spans="1:3" x14ac:dyDescent="0.35">
      <c r="A245" t="s">
        <v>8617</v>
      </c>
      <c r="B245" t="s">
        <v>1606</v>
      </c>
      <c r="C245" t="s">
        <v>229</v>
      </c>
    </row>
    <row r="246" spans="1:3" x14ac:dyDescent="0.35">
      <c r="A246" t="s">
        <v>8621</v>
      </c>
      <c r="B246" t="s">
        <v>1609</v>
      </c>
      <c r="C246" t="s">
        <v>229</v>
      </c>
    </row>
    <row r="247" spans="1:3" x14ac:dyDescent="0.35">
      <c r="A247" t="s">
        <v>8624</v>
      </c>
      <c r="B247" t="s">
        <v>1612</v>
      </c>
      <c r="C247" t="s">
        <v>229</v>
      </c>
    </row>
    <row r="248" spans="1:3" x14ac:dyDescent="0.35">
      <c r="A248" t="s">
        <v>8627</v>
      </c>
      <c r="B248" t="s">
        <v>1615</v>
      </c>
      <c r="C248" t="s">
        <v>229</v>
      </c>
    </row>
    <row r="249" spans="1:3" x14ac:dyDescent="0.35">
      <c r="A249" t="s">
        <v>8631</v>
      </c>
      <c r="B249" t="s">
        <v>1618</v>
      </c>
      <c r="C249" t="s">
        <v>2374</v>
      </c>
    </row>
    <row r="250" spans="1:3" x14ac:dyDescent="0.35">
      <c r="A250" t="s">
        <v>8635</v>
      </c>
      <c r="B250" t="s">
        <v>1621</v>
      </c>
      <c r="C250" t="s">
        <v>2374</v>
      </c>
    </row>
    <row r="251" spans="1:3" x14ac:dyDescent="0.35">
      <c r="A251" t="s">
        <v>8639</v>
      </c>
      <c r="B251" t="s">
        <v>1624</v>
      </c>
      <c r="C251" t="s">
        <v>3017</v>
      </c>
    </row>
    <row r="252" spans="1:3" x14ac:dyDescent="0.35">
      <c r="A252" t="s">
        <v>8642</v>
      </c>
      <c r="B252" t="s">
        <v>1627</v>
      </c>
      <c r="C252" t="s">
        <v>3022</v>
      </c>
    </row>
    <row r="253" spans="1:3" x14ac:dyDescent="0.35">
      <c r="A253" t="s">
        <v>8645</v>
      </c>
      <c r="B253" t="s">
        <v>1631</v>
      </c>
      <c r="C253" t="s">
        <v>3022</v>
      </c>
    </row>
    <row r="254" spans="1:3" x14ac:dyDescent="0.35">
      <c r="A254" t="s">
        <v>8648</v>
      </c>
      <c r="B254" t="s">
        <v>1634</v>
      </c>
      <c r="C254" t="s">
        <v>3022</v>
      </c>
    </row>
    <row r="255" spans="1:3" x14ac:dyDescent="0.35">
      <c r="A255" t="s">
        <v>8610</v>
      </c>
      <c r="B255" t="s">
        <v>1637</v>
      </c>
      <c r="C255" t="s">
        <v>3022</v>
      </c>
    </row>
    <row r="256" spans="1:3" x14ac:dyDescent="0.35">
      <c r="A256" t="s">
        <v>8614</v>
      </c>
      <c r="B256" t="s">
        <v>1640</v>
      </c>
      <c r="C256" t="s">
        <v>3022</v>
      </c>
    </row>
    <row r="257" spans="1:3" x14ac:dyDescent="0.35">
      <c r="A257" t="s">
        <v>8617</v>
      </c>
      <c r="B257" t="s">
        <v>1643</v>
      </c>
      <c r="C257" t="s">
        <v>3022</v>
      </c>
    </row>
    <row r="258" spans="1:3" x14ac:dyDescent="0.35">
      <c r="A258" t="s">
        <v>8621</v>
      </c>
      <c r="B258" t="s">
        <v>1646</v>
      </c>
      <c r="C258" t="s">
        <v>3022</v>
      </c>
    </row>
    <row r="259" spans="1:3" x14ac:dyDescent="0.35">
      <c r="A259" t="s">
        <v>8624</v>
      </c>
      <c r="B259" t="s">
        <v>1649</v>
      </c>
      <c r="C259" t="s">
        <v>3022</v>
      </c>
    </row>
    <row r="260" spans="1:3" x14ac:dyDescent="0.35">
      <c r="A260" t="s">
        <v>8627</v>
      </c>
      <c r="B260" t="s">
        <v>1652</v>
      </c>
      <c r="C260" t="s">
        <v>229</v>
      </c>
    </row>
    <row r="261" spans="1:3" x14ac:dyDescent="0.35">
      <c r="A261" t="s">
        <v>8631</v>
      </c>
      <c r="B261" t="s">
        <v>1655</v>
      </c>
      <c r="C261" t="s">
        <v>229</v>
      </c>
    </row>
    <row r="262" spans="1:3" x14ac:dyDescent="0.35">
      <c r="A262" t="s">
        <v>8635</v>
      </c>
      <c r="B262" t="s">
        <v>1658</v>
      </c>
      <c r="C262" t="s">
        <v>229</v>
      </c>
    </row>
    <row r="263" spans="1:3" x14ac:dyDescent="0.35">
      <c r="A263" t="s">
        <v>8639</v>
      </c>
      <c r="B263" t="s">
        <v>1662</v>
      </c>
      <c r="C263" t="s">
        <v>229</v>
      </c>
    </row>
    <row r="264" spans="1:3" x14ac:dyDescent="0.35">
      <c r="A264" t="s">
        <v>8642</v>
      </c>
      <c r="B264" t="s">
        <v>1665</v>
      </c>
      <c r="C264" t="s">
        <v>229</v>
      </c>
    </row>
    <row r="265" spans="1:3" x14ac:dyDescent="0.35">
      <c r="A265" t="s">
        <v>8645</v>
      </c>
      <c r="B265" t="s">
        <v>1668</v>
      </c>
      <c r="C265" t="s">
        <v>2374</v>
      </c>
    </row>
    <row r="266" spans="1:3" x14ac:dyDescent="0.35">
      <c r="A266" t="s">
        <v>8648</v>
      </c>
      <c r="B266" t="s">
        <v>1671</v>
      </c>
      <c r="C266" t="s">
        <v>2374</v>
      </c>
    </row>
    <row r="267" spans="1:3" x14ac:dyDescent="0.35">
      <c r="A267" t="s">
        <v>8610</v>
      </c>
      <c r="B267" t="s">
        <v>1674</v>
      </c>
      <c r="C267" t="s">
        <v>3017</v>
      </c>
    </row>
    <row r="268" spans="1:3" x14ac:dyDescent="0.35">
      <c r="A268" t="s">
        <v>8614</v>
      </c>
      <c r="B268" t="s">
        <v>1677</v>
      </c>
      <c r="C268" t="s">
        <v>3022</v>
      </c>
    </row>
    <row r="269" spans="1:3" x14ac:dyDescent="0.35">
      <c r="A269" t="s">
        <v>8617</v>
      </c>
      <c r="B269" t="s">
        <v>1680</v>
      </c>
      <c r="C269" t="s">
        <v>3022</v>
      </c>
    </row>
    <row r="270" spans="1:3" x14ac:dyDescent="0.35">
      <c r="A270" t="s">
        <v>8621</v>
      </c>
      <c r="B270" t="s">
        <v>1683</v>
      </c>
      <c r="C270" t="s">
        <v>3022</v>
      </c>
    </row>
    <row r="271" spans="1:3" x14ac:dyDescent="0.35">
      <c r="A271" t="s">
        <v>8624</v>
      </c>
      <c r="B271" t="s">
        <v>1686</v>
      </c>
      <c r="C271" t="s">
        <v>3022</v>
      </c>
    </row>
    <row r="272" spans="1:3" x14ac:dyDescent="0.35">
      <c r="A272" t="s">
        <v>8627</v>
      </c>
      <c r="B272" t="s">
        <v>1689</v>
      </c>
      <c r="C272" t="s">
        <v>3022</v>
      </c>
    </row>
    <row r="273" spans="1:3" x14ac:dyDescent="0.35">
      <c r="A273" t="s">
        <v>8631</v>
      </c>
      <c r="B273" t="s">
        <v>1692</v>
      </c>
      <c r="C273" t="s">
        <v>3022</v>
      </c>
    </row>
    <row r="274" spans="1:3" x14ac:dyDescent="0.35">
      <c r="A274" t="s">
        <v>8635</v>
      </c>
      <c r="B274" t="s">
        <v>1695</v>
      </c>
      <c r="C274" t="s">
        <v>3022</v>
      </c>
    </row>
    <row r="275" spans="1:3" x14ac:dyDescent="0.35">
      <c r="A275" t="s">
        <v>8639</v>
      </c>
      <c r="B275" t="s">
        <v>1698</v>
      </c>
      <c r="C275" t="s">
        <v>3022</v>
      </c>
    </row>
    <row r="276" spans="1:3" x14ac:dyDescent="0.35">
      <c r="A276" t="s">
        <v>8642</v>
      </c>
      <c r="B276" t="s">
        <v>1701</v>
      </c>
      <c r="C276" t="s">
        <v>229</v>
      </c>
    </row>
    <row r="277" spans="1:3" x14ac:dyDescent="0.35">
      <c r="A277" t="s">
        <v>8645</v>
      </c>
      <c r="B277" t="s">
        <v>1703</v>
      </c>
      <c r="C277" t="s">
        <v>229</v>
      </c>
    </row>
    <row r="278" spans="1:3" x14ac:dyDescent="0.35">
      <c r="A278" t="s">
        <v>8648</v>
      </c>
      <c r="B278" t="s">
        <v>1706</v>
      </c>
      <c r="C278" t="s">
        <v>229</v>
      </c>
    </row>
    <row r="279" spans="1:3" x14ac:dyDescent="0.35">
      <c r="A279" t="s">
        <v>8610</v>
      </c>
      <c r="B279" t="s">
        <v>1709</v>
      </c>
      <c r="C279" t="s">
        <v>229</v>
      </c>
    </row>
    <row r="280" spans="1:3" x14ac:dyDescent="0.35">
      <c r="A280" t="s">
        <v>8614</v>
      </c>
      <c r="B280" t="s">
        <v>1712</v>
      </c>
      <c r="C280" t="s">
        <v>229</v>
      </c>
    </row>
    <row r="281" spans="1:3" x14ac:dyDescent="0.35">
      <c r="A281" t="s">
        <v>8617</v>
      </c>
      <c r="B281" t="s">
        <v>1714</v>
      </c>
      <c r="C281" t="s">
        <v>2374</v>
      </c>
    </row>
    <row r="282" spans="1:3" x14ac:dyDescent="0.35">
      <c r="A282" t="s">
        <v>8621</v>
      </c>
      <c r="B282" t="s">
        <v>1717</v>
      </c>
      <c r="C282" t="s">
        <v>2374</v>
      </c>
    </row>
    <row r="283" spans="1:3" x14ac:dyDescent="0.35">
      <c r="A283" t="s">
        <v>8624</v>
      </c>
      <c r="B283" t="s">
        <v>1720</v>
      </c>
      <c r="C283" t="s">
        <v>3017</v>
      </c>
    </row>
    <row r="284" spans="1:3" x14ac:dyDescent="0.35">
      <c r="A284" t="s">
        <v>8627</v>
      </c>
      <c r="B284" t="s">
        <v>1723</v>
      </c>
      <c r="C284" t="s">
        <v>3022</v>
      </c>
    </row>
    <row r="285" spans="1:3" x14ac:dyDescent="0.35">
      <c r="A285" t="s">
        <v>8631</v>
      </c>
      <c r="B285" t="s">
        <v>1726</v>
      </c>
      <c r="C285" t="s">
        <v>3022</v>
      </c>
    </row>
    <row r="286" spans="1:3" x14ac:dyDescent="0.35">
      <c r="A286" t="s">
        <v>8635</v>
      </c>
      <c r="B286" t="s">
        <v>1728</v>
      </c>
      <c r="C286" t="s">
        <v>3022</v>
      </c>
    </row>
    <row r="287" spans="1:3" x14ac:dyDescent="0.35">
      <c r="A287" t="s">
        <v>8639</v>
      </c>
      <c r="B287" t="s">
        <v>1732</v>
      </c>
      <c r="C287" t="s">
        <v>3022</v>
      </c>
    </row>
    <row r="288" spans="1:3" x14ac:dyDescent="0.35">
      <c r="A288" t="s">
        <v>8642</v>
      </c>
      <c r="B288" t="s">
        <v>1735</v>
      </c>
      <c r="C288" t="s">
        <v>3022</v>
      </c>
    </row>
    <row r="289" spans="1:3" x14ac:dyDescent="0.35">
      <c r="A289" t="s">
        <v>8645</v>
      </c>
      <c r="B289" t="s">
        <v>1738</v>
      </c>
      <c r="C289" t="s">
        <v>3022</v>
      </c>
    </row>
    <row r="290" spans="1:3" x14ac:dyDescent="0.35">
      <c r="A290" t="s">
        <v>8648</v>
      </c>
      <c r="B290" t="s">
        <v>1741</v>
      </c>
      <c r="C290" t="s">
        <v>3022</v>
      </c>
    </row>
    <row r="291" spans="1:3" x14ac:dyDescent="0.35">
      <c r="A291" t="s">
        <v>8610</v>
      </c>
      <c r="B291" t="s">
        <v>1744</v>
      </c>
      <c r="C291" t="s">
        <v>3022</v>
      </c>
    </row>
    <row r="292" spans="1:3" x14ac:dyDescent="0.35">
      <c r="A292" t="s">
        <v>8614</v>
      </c>
      <c r="B292" t="s">
        <v>1747</v>
      </c>
    </row>
    <row r="293" spans="1:3" x14ac:dyDescent="0.35">
      <c r="A293" t="s">
        <v>8617</v>
      </c>
      <c r="B293" t="s">
        <v>1524</v>
      </c>
      <c r="C293" t="s">
        <v>229</v>
      </c>
    </row>
    <row r="294" spans="1:3" x14ac:dyDescent="0.35">
      <c r="A294" t="s">
        <v>8621</v>
      </c>
      <c r="B294" t="s">
        <v>1528</v>
      </c>
      <c r="C294" t="s">
        <v>229</v>
      </c>
    </row>
    <row r="295" spans="1:3" x14ac:dyDescent="0.35">
      <c r="A295" t="s">
        <v>8624</v>
      </c>
      <c r="B295" t="s">
        <v>1532</v>
      </c>
      <c r="C295" t="s">
        <v>229</v>
      </c>
    </row>
    <row r="296" spans="1:3" x14ac:dyDescent="0.35">
      <c r="A296" t="s">
        <v>8627</v>
      </c>
      <c r="B296" t="s">
        <v>1536</v>
      </c>
      <c r="C296" t="s">
        <v>229</v>
      </c>
    </row>
    <row r="297" spans="1:3" x14ac:dyDescent="0.35">
      <c r="A297" t="s">
        <v>8631</v>
      </c>
      <c r="B297" t="s">
        <v>1540</v>
      </c>
      <c r="C297" t="s">
        <v>2374</v>
      </c>
    </row>
    <row r="298" spans="1:3" x14ac:dyDescent="0.35">
      <c r="A298" t="s">
        <v>8635</v>
      </c>
      <c r="B298" t="s">
        <v>1545</v>
      </c>
      <c r="C298" t="s">
        <v>2374</v>
      </c>
    </row>
    <row r="299" spans="1:3" x14ac:dyDescent="0.35">
      <c r="A299" t="s">
        <v>8639</v>
      </c>
      <c r="B299" t="s">
        <v>1548</v>
      </c>
      <c r="C299" t="s">
        <v>3017</v>
      </c>
    </row>
    <row r="300" spans="1:3" x14ac:dyDescent="0.35">
      <c r="A300" t="s">
        <v>8642</v>
      </c>
      <c r="B300" t="s">
        <v>1552</v>
      </c>
      <c r="C300" t="s">
        <v>3022</v>
      </c>
    </row>
    <row r="301" spans="1:3" x14ac:dyDescent="0.35">
      <c r="A301" t="s">
        <v>8645</v>
      </c>
      <c r="B301" t="s">
        <v>1555</v>
      </c>
      <c r="C301" t="s">
        <v>3022</v>
      </c>
    </row>
    <row r="302" spans="1:3" x14ac:dyDescent="0.35">
      <c r="A302" t="s">
        <v>8648</v>
      </c>
      <c r="B302" t="s">
        <v>1558</v>
      </c>
      <c r="C302" t="s">
        <v>3022</v>
      </c>
    </row>
    <row r="303" spans="1:3" x14ac:dyDescent="0.35">
      <c r="A303" t="s">
        <v>8610</v>
      </c>
      <c r="B303" t="s">
        <v>1562</v>
      </c>
      <c r="C303" t="s">
        <v>3022</v>
      </c>
    </row>
    <row r="304" spans="1:3" x14ac:dyDescent="0.35">
      <c r="A304" t="s">
        <v>8614</v>
      </c>
      <c r="B304" t="s">
        <v>1568</v>
      </c>
      <c r="C304" t="s">
        <v>3022</v>
      </c>
    </row>
    <row r="305" spans="1:3" x14ac:dyDescent="0.35">
      <c r="A305" t="s">
        <v>8617</v>
      </c>
      <c r="B305" t="s">
        <v>1572</v>
      </c>
      <c r="C305" t="s">
        <v>3022</v>
      </c>
    </row>
    <row r="306" spans="1:3" x14ac:dyDescent="0.35">
      <c r="A306" t="s">
        <v>8621</v>
      </c>
      <c r="B306" t="s">
        <v>1577</v>
      </c>
      <c r="C306" t="s">
        <v>3022</v>
      </c>
    </row>
    <row r="307" spans="1:3" x14ac:dyDescent="0.35">
      <c r="A307" t="s">
        <v>8624</v>
      </c>
      <c r="B307" t="s">
        <v>1581</v>
      </c>
      <c r="C307" t="s">
        <v>3022</v>
      </c>
    </row>
    <row r="308" spans="1:3" x14ac:dyDescent="0.35">
      <c r="A308" t="s">
        <v>8627</v>
      </c>
      <c r="B308" t="s">
        <v>1585</v>
      </c>
      <c r="C308" t="s">
        <v>229</v>
      </c>
    </row>
    <row r="309" spans="1:3" x14ac:dyDescent="0.35">
      <c r="A309" t="s">
        <v>8631</v>
      </c>
      <c r="B309" t="s">
        <v>1589</v>
      </c>
      <c r="C309" t="s">
        <v>2374</v>
      </c>
    </row>
    <row r="310" spans="1:3" x14ac:dyDescent="0.35">
      <c r="A310" t="s">
        <v>8635</v>
      </c>
      <c r="B310" t="s">
        <v>1594</v>
      </c>
      <c r="C310" t="s">
        <v>2759</v>
      </c>
    </row>
    <row r="311" spans="1:3" x14ac:dyDescent="0.35">
      <c r="A311" t="s">
        <v>8639</v>
      </c>
      <c r="B311" t="s">
        <v>1598</v>
      </c>
      <c r="C311" t="s">
        <v>229</v>
      </c>
    </row>
    <row r="312" spans="1:3" x14ac:dyDescent="0.35">
      <c r="A312" t="s">
        <v>8642</v>
      </c>
      <c r="B312" t="s">
        <v>1602</v>
      </c>
      <c r="C312" t="s">
        <v>229</v>
      </c>
    </row>
    <row r="313" spans="1:3" x14ac:dyDescent="0.35">
      <c r="A313" t="s">
        <v>8645</v>
      </c>
      <c r="B313" t="s">
        <v>1606</v>
      </c>
      <c r="C313" t="s">
        <v>229</v>
      </c>
    </row>
    <row r="314" spans="1:3" x14ac:dyDescent="0.35">
      <c r="A314" t="s">
        <v>8648</v>
      </c>
      <c r="B314" t="s">
        <v>1609</v>
      </c>
      <c r="C314" t="s">
        <v>229</v>
      </c>
    </row>
    <row r="315" spans="1:3" x14ac:dyDescent="0.35">
      <c r="A315" t="s">
        <v>8610</v>
      </c>
      <c r="B315" t="s">
        <v>1612</v>
      </c>
      <c r="C315" t="s">
        <v>2374</v>
      </c>
    </row>
    <row r="316" spans="1:3" x14ac:dyDescent="0.35">
      <c r="A316" t="s">
        <v>8614</v>
      </c>
      <c r="B316" t="s">
        <v>1615</v>
      </c>
      <c r="C316" t="s">
        <v>2374</v>
      </c>
    </row>
    <row r="317" spans="1:3" x14ac:dyDescent="0.35">
      <c r="A317" t="s">
        <v>8617</v>
      </c>
      <c r="B317" t="s">
        <v>1618</v>
      </c>
      <c r="C317" t="s">
        <v>2374</v>
      </c>
    </row>
    <row r="318" spans="1:3" x14ac:dyDescent="0.35">
      <c r="A318" t="s">
        <v>8621</v>
      </c>
      <c r="B318" t="s">
        <v>1621</v>
      </c>
      <c r="C318" t="s">
        <v>2759</v>
      </c>
    </row>
    <row r="319" spans="1:3" x14ac:dyDescent="0.35">
      <c r="A319" t="s">
        <v>8624</v>
      </c>
      <c r="B319" t="s">
        <v>1624</v>
      </c>
      <c r="C319" t="s">
        <v>229</v>
      </c>
    </row>
    <row r="320" spans="1:3" x14ac:dyDescent="0.35">
      <c r="A320" t="s">
        <v>8627</v>
      </c>
      <c r="B320" t="s">
        <v>1627</v>
      </c>
      <c r="C320" t="s">
        <v>229</v>
      </c>
    </row>
    <row r="321" spans="1:3" x14ac:dyDescent="0.35">
      <c r="A321" t="s">
        <v>8631</v>
      </c>
      <c r="B321" t="s">
        <v>1631</v>
      </c>
      <c r="C321" t="s">
        <v>229</v>
      </c>
    </row>
    <row r="322" spans="1:3" x14ac:dyDescent="0.35">
      <c r="A322" t="s">
        <v>8635</v>
      </c>
      <c r="B322" t="s">
        <v>1634</v>
      </c>
      <c r="C322" t="s">
        <v>229</v>
      </c>
    </row>
    <row r="323" spans="1:3" x14ac:dyDescent="0.35">
      <c r="A323" t="s">
        <v>8639</v>
      </c>
      <c r="B323" t="s">
        <v>1637</v>
      </c>
      <c r="C323" t="s">
        <v>2374</v>
      </c>
    </row>
    <row r="324" spans="1:3" x14ac:dyDescent="0.35">
      <c r="A324" t="s">
        <v>8642</v>
      </c>
      <c r="B324" t="s">
        <v>1640</v>
      </c>
      <c r="C324" t="s">
        <v>2374</v>
      </c>
    </row>
    <row r="325" spans="1:3" x14ac:dyDescent="0.35">
      <c r="A325" t="s">
        <v>8645</v>
      </c>
      <c r="B325" t="s">
        <v>1643</v>
      </c>
      <c r="C325" t="s">
        <v>2374</v>
      </c>
    </row>
    <row r="326" spans="1:3" x14ac:dyDescent="0.35">
      <c r="A326" t="s">
        <v>8648</v>
      </c>
      <c r="B326" t="s">
        <v>1646</v>
      </c>
      <c r="C326" t="s">
        <v>2759</v>
      </c>
    </row>
    <row r="327" spans="1:3" x14ac:dyDescent="0.35">
      <c r="A327" t="s">
        <v>8610</v>
      </c>
      <c r="B327" t="s">
        <v>1649</v>
      </c>
      <c r="C327" t="s">
        <v>229</v>
      </c>
    </row>
    <row r="328" spans="1:3" x14ac:dyDescent="0.35">
      <c r="A328" t="s">
        <v>8614</v>
      </c>
      <c r="B328" t="s">
        <v>1652</v>
      </c>
      <c r="C328" t="s">
        <v>229</v>
      </c>
    </row>
    <row r="329" spans="1:3" x14ac:dyDescent="0.35">
      <c r="A329" t="s">
        <v>8617</v>
      </c>
      <c r="B329" t="s">
        <v>1655</v>
      </c>
      <c r="C329" t="s">
        <v>229</v>
      </c>
    </row>
    <row r="330" spans="1:3" x14ac:dyDescent="0.35">
      <c r="A330" t="s">
        <v>8621</v>
      </c>
      <c r="B330" t="s">
        <v>1658</v>
      </c>
      <c r="C330" t="s">
        <v>229</v>
      </c>
    </row>
    <row r="331" spans="1:3" x14ac:dyDescent="0.35">
      <c r="A331" t="s">
        <v>8624</v>
      </c>
      <c r="B331" t="s">
        <v>1662</v>
      </c>
      <c r="C331" t="s">
        <v>229</v>
      </c>
    </row>
    <row r="332" spans="1:3" x14ac:dyDescent="0.35">
      <c r="A332" t="s">
        <v>8627</v>
      </c>
      <c r="B332" t="s">
        <v>1665</v>
      </c>
      <c r="C332" t="s">
        <v>229</v>
      </c>
    </row>
    <row r="333" spans="1:3" x14ac:dyDescent="0.35">
      <c r="A333" t="s">
        <v>8631</v>
      </c>
      <c r="B333" t="s">
        <v>1668</v>
      </c>
      <c r="C333" t="s">
        <v>263</v>
      </c>
    </row>
    <row r="334" spans="1:3" x14ac:dyDescent="0.35">
      <c r="A334" t="s">
        <v>8635</v>
      </c>
      <c r="B334" t="s">
        <v>1671</v>
      </c>
      <c r="C334" t="s">
        <v>2759</v>
      </c>
    </row>
    <row r="335" spans="1:3" x14ac:dyDescent="0.35">
      <c r="A335" t="s">
        <v>8639</v>
      </c>
      <c r="B335" t="s">
        <v>1674</v>
      </c>
      <c r="C335" t="s">
        <v>2759</v>
      </c>
    </row>
    <row r="336" spans="1:3" x14ac:dyDescent="0.35">
      <c r="A336" t="s">
        <v>8642</v>
      </c>
      <c r="B336" t="s">
        <v>1677</v>
      </c>
      <c r="C336" t="s">
        <v>229</v>
      </c>
    </row>
    <row r="337" spans="1:3" x14ac:dyDescent="0.35">
      <c r="A337" t="s">
        <v>8645</v>
      </c>
      <c r="B337" t="s">
        <v>1680</v>
      </c>
      <c r="C337" t="s">
        <v>229</v>
      </c>
    </row>
    <row r="338" spans="1:3" x14ac:dyDescent="0.35">
      <c r="A338" t="s">
        <v>8648</v>
      </c>
      <c r="B338" t="s">
        <v>1683</v>
      </c>
      <c r="C338" t="s">
        <v>229</v>
      </c>
    </row>
    <row r="339" spans="1:3" x14ac:dyDescent="0.35">
      <c r="A339" t="s">
        <v>8610</v>
      </c>
      <c r="B339" t="s">
        <v>1686</v>
      </c>
      <c r="C339" t="s">
        <v>229</v>
      </c>
    </row>
    <row r="340" spans="1:3" x14ac:dyDescent="0.35">
      <c r="A340" t="s">
        <v>8614</v>
      </c>
      <c r="B340" t="s">
        <v>1689</v>
      </c>
      <c r="C340" t="s">
        <v>229</v>
      </c>
    </row>
    <row r="341" spans="1:3" x14ac:dyDescent="0.35">
      <c r="A341" t="s">
        <v>8617</v>
      </c>
      <c r="B341" t="s">
        <v>1692</v>
      </c>
      <c r="C341" t="s">
        <v>229</v>
      </c>
    </row>
    <row r="342" spans="1:3" x14ac:dyDescent="0.35">
      <c r="A342" t="s">
        <v>8621</v>
      </c>
      <c r="B342" t="s">
        <v>1695</v>
      </c>
      <c r="C342" t="s">
        <v>263</v>
      </c>
    </row>
    <row r="343" spans="1:3" x14ac:dyDescent="0.35">
      <c r="A343" t="s">
        <v>8624</v>
      </c>
      <c r="B343" t="s">
        <v>1698</v>
      </c>
      <c r="C343" t="s">
        <v>263</v>
      </c>
    </row>
    <row r="344" spans="1:3" x14ac:dyDescent="0.35">
      <c r="A344" t="s">
        <v>8627</v>
      </c>
      <c r="B344" t="s">
        <v>1701</v>
      </c>
      <c r="C344" t="s">
        <v>2759</v>
      </c>
    </row>
    <row r="345" spans="1:3" x14ac:dyDescent="0.35">
      <c r="A345" t="s">
        <v>8631</v>
      </c>
      <c r="B345" t="s">
        <v>1703</v>
      </c>
      <c r="C345" t="s">
        <v>2759</v>
      </c>
    </row>
    <row r="346" spans="1:3" x14ac:dyDescent="0.35">
      <c r="A346" t="s">
        <v>8635</v>
      </c>
      <c r="B346" t="s">
        <v>1706</v>
      </c>
      <c r="C346" t="s">
        <v>229</v>
      </c>
    </row>
    <row r="347" spans="1:3" x14ac:dyDescent="0.35">
      <c r="A347" t="s">
        <v>8639</v>
      </c>
      <c r="B347" t="s">
        <v>1709</v>
      </c>
      <c r="C347" t="s">
        <v>229</v>
      </c>
    </row>
    <row r="348" spans="1:3" x14ac:dyDescent="0.35">
      <c r="A348" t="s">
        <v>8642</v>
      </c>
      <c r="B348" t="s">
        <v>1712</v>
      </c>
      <c r="C348" t="s">
        <v>229</v>
      </c>
    </row>
    <row r="349" spans="1:3" x14ac:dyDescent="0.35">
      <c r="A349" t="s">
        <v>8645</v>
      </c>
      <c r="B349" t="s">
        <v>1714</v>
      </c>
      <c r="C349" t="s">
        <v>229</v>
      </c>
    </row>
    <row r="350" spans="1:3" x14ac:dyDescent="0.35">
      <c r="A350" t="s">
        <v>8648</v>
      </c>
      <c r="B350" t="s">
        <v>1717</v>
      </c>
      <c r="C350" t="s">
        <v>229</v>
      </c>
    </row>
    <row r="351" spans="1:3" x14ac:dyDescent="0.35">
      <c r="A351" t="s">
        <v>8610</v>
      </c>
      <c r="B351" t="s">
        <v>1720</v>
      </c>
      <c r="C351" t="s">
        <v>229</v>
      </c>
    </row>
    <row r="352" spans="1:3" x14ac:dyDescent="0.35">
      <c r="A352" t="s">
        <v>8614</v>
      </c>
      <c r="B352" t="s">
        <v>1723</v>
      </c>
      <c r="C352" t="s">
        <v>263</v>
      </c>
    </row>
    <row r="353" spans="1:3" x14ac:dyDescent="0.35">
      <c r="A353" t="s">
        <v>8617</v>
      </c>
      <c r="B353" t="s">
        <v>1726</v>
      </c>
      <c r="C353" t="s">
        <v>263</v>
      </c>
    </row>
    <row r="354" spans="1:3" x14ac:dyDescent="0.35">
      <c r="A354" t="s">
        <v>8621</v>
      </c>
      <c r="B354" t="s">
        <v>1728</v>
      </c>
      <c r="C354" t="s">
        <v>2374</v>
      </c>
    </row>
    <row r="355" spans="1:3" x14ac:dyDescent="0.35">
      <c r="A355" t="s">
        <v>8624</v>
      </c>
      <c r="B355" t="s">
        <v>1732</v>
      </c>
      <c r="C355" t="s">
        <v>2759</v>
      </c>
    </row>
    <row r="356" spans="1:3" x14ac:dyDescent="0.35">
      <c r="A356" t="s">
        <v>8627</v>
      </c>
      <c r="B356" t="s">
        <v>1735</v>
      </c>
      <c r="C356" t="s">
        <v>263</v>
      </c>
    </row>
    <row r="357" spans="1:3" x14ac:dyDescent="0.35">
      <c r="A357" t="s">
        <v>8631</v>
      </c>
      <c r="B357" t="s">
        <v>1738</v>
      </c>
      <c r="C357" t="s">
        <v>263</v>
      </c>
    </row>
    <row r="358" spans="1:3" x14ac:dyDescent="0.35">
      <c r="A358" t="s">
        <v>8635</v>
      </c>
      <c r="B358" t="s">
        <v>1741</v>
      </c>
      <c r="C358" t="s">
        <v>2759</v>
      </c>
    </row>
    <row r="359" spans="1:3" x14ac:dyDescent="0.35">
      <c r="A359" t="s">
        <v>8639</v>
      </c>
      <c r="B359" t="s">
        <v>1744</v>
      </c>
      <c r="C359" t="s">
        <v>2374</v>
      </c>
    </row>
    <row r="360" spans="1:3" x14ac:dyDescent="0.35">
      <c r="A360" t="s">
        <v>8642</v>
      </c>
      <c r="B360" t="s">
        <v>1747</v>
      </c>
      <c r="C360" t="s">
        <v>229</v>
      </c>
    </row>
    <row r="361" spans="1:3" x14ac:dyDescent="0.35">
      <c r="A361" t="s">
        <v>8645</v>
      </c>
      <c r="B361" t="s">
        <v>1524</v>
      </c>
      <c r="C361" t="s">
        <v>263</v>
      </c>
    </row>
    <row r="362" spans="1:3" x14ac:dyDescent="0.35">
      <c r="A362" t="s">
        <v>8648</v>
      </c>
      <c r="B362" t="s">
        <v>1528</v>
      </c>
      <c r="C362" t="s">
        <v>229</v>
      </c>
    </row>
    <row r="363" spans="1:3" x14ac:dyDescent="0.35">
      <c r="A363" t="s">
        <v>8610</v>
      </c>
      <c r="B363" t="s">
        <v>1532</v>
      </c>
      <c r="C363" t="s">
        <v>229</v>
      </c>
    </row>
    <row r="364" spans="1:3" x14ac:dyDescent="0.35">
      <c r="A364" t="s">
        <v>8614</v>
      </c>
      <c r="B364" t="s">
        <v>1536</v>
      </c>
      <c r="C364" t="s">
        <v>229</v>
      </c>
    </row>
    <row r="365" spans="1:3" x14ac:dyDescent="0.35">
      <c r="A365" t="s">
        <v>8617</v>
      </c>
      <c r="B365" t="s">
        <v>1540</v>
      </c>
      <c r="C365" t="s">
        <v>2374</v>
      </c>
    </row>
    <row r="366" spans="1:3" x14ac:dyDescent="0.35">
      <c r="A366" t="s">
        <v>8621</v>
      </c>
      <c r="B366" t="s">
        <v>1545</v>
      </c>
      <c r="C366" t="s">
        <v>263</v>
      </c>
    </row>
    <row r="367" spans="1:3" x14ac:dyDescent="0.35">
      <c r="A367" t="s">
        <v>8624</v>
      </c>
      <c r="B367" t="s">
        <v>1548</v>
      </c>
      <c r="C367" t="s">
        <v>241</v>
      </c>
    </row>
    <row r="368" spans="1:3" x14ac:dyDescent="0.35">
      <c r="A368" t="s">
        <v>8627</v>
      </c>
      <c r="B368" t="s">
        <v>1552</v>
      </c>
      <c r="C368" t="s">
        <v>2374</v>
      </c>
    </row>
    <row r="369" spans="1:3" x14ac:dyDescent="0.35">
      <c r="A369" t="s">
        <v>8631</v>
      </c>
      <c r="B369" t="s">
        <v>1555</v>
      </c>
      <c r="C369" t="s">
        <v>263</v>
      </c>
    </row>
    <row r="370" spans="1:3" x14ac:dyDescent="0.35">
      <c r="A370" t="s">
        <v>8635</v>
      </c>
      <c r="B370" t="s">
        <v>1558</v>
      </c>
      <c r="C370" t="s">
        <v>241</v>
      </c>
    </row>
    <row r="371" spans="1:3" x14ac:dyDescent="0.35">
      <c r="A371" t="s">
        <v>8639</v>
      </c>
      <c r="B371" t="s">
        <v>1562</v>
      </c>
      <c r="C371" t="s">
        <v>2374</v>
      </c>
    </row>
    <row r="372" spans="1:3" x14ac:dyDescent="0.35">
      <c r="A372" t="s">
        <v>8642</v>
      </c>
      <c r="B372" t="s">
        <v>1568</v>
      </c>
      <c r="C372" t="s">
        <v>263</v>
      </c>
    </row>
    <row r="373" spans="1:3" x14ac:dyDescent="0.35">
      <c r="A373" t="s">
        <v>8645</v>
      </c>
      <c r="B373" t="s">
        <v>1572</v>
      </c>
      <c r="C373" t="s">
        <v>241</v>
      </c>
    </row>
    <row r="374" spans="1:3" x14ac:dyDescent="0.35">
      <c r="A374" t="s">
        <v>8648</v>
      </c>
      <c r="B374" t="s">
        <v>1577</v>
      </c>
      <c r="C374" t="s">
        <v>2759</v>
      </c>
    </row>
    <row r="375" spans="1:3" x14ac:dyDescent="0.35">
      <c r="A375" t="s">
        <v>8610</v>
      </c>
      <c r="B375" t="s">
        <v>1581</v>
      </c>
      <c r="C375" t="s">
        <v>2374</v>
      </c>
    </row>
    <row r="376" spans="1:3" x14ac:dyDescent="0.35">
      <c r="A376" t="s">
        <v>8614</v>
      </c>
      <c r="B376" t="s">
        <v>1585</v>
      </c>
      <c r="C376" t="s">
        <v>241</v>
      </c>
    </row>
    <row r="377" spans="1:3" x14ac:dyDescent="0.35">
      <c r="A377" t="s">
        <v>8617</v>
      </c>
      <c r="B377" t="s">
        <v>1589</v>
      </c>
      <c r="C377" t="s">
        <v>2759</v>
      </c>
    </row>
    <row r="378" spans="1:3" x14ac:dyDescent="0.35">
      <c r="A378" t="s">
        <v>8621</v>
      </c>
      <c r="B378" t="s">
        <v>1594</v>
      </c>
      <c r="C378" t="s">
        <v>2374</v>
      </c>
    </row>
    <row r="379" spans="1:3" x14ac:dyDescent="0.35">
      <c r="A379" t="s">
        <v>8624</v>
      </c>
      <c r="B379" t="s">
        <v>1598</v>
      </c>
      <c r="C379" t="s">
        <v>229</v>
      </c>
    </row>
    <row r="380" spans="1:3" x14ac:dyDescent="0.35">
      <c r="A380" t="s">
        <v>8627</v>
      </c>
      <c r="B380" t="s">
        <v>1602</v>
      </c>
      <c r="C380" t="s">
        <v>229</v>
      </c>
    </row>
    <row r="381" spans="1:3" x14ac:dyDescent="0.35">
      <c r="A381" t="s">
        <v>8631</v>
      </c>
      <c r="B381" t="s">
        <v>1606</v>
      </c>
      <c r="C381" t="s">
        <v>229</v>
      </c>
    </row>
    <row r="382" spans="1:3" x14ac:dyDescent="0.35">
      <c r="A382" t="s">
        <v>8635</v>
      </c>
      <c r="B382" t="s">
        <v>1609</v>
      </c>
      <c r="C382" t="s">
        <v>2374</v>
      </c>
    </row>
    <row r="383" spans="1:3" x14ac:dyDescent="0.35">
      <c r="A383" t="s">
        <v>8639</v>
      </c>
      <c r="B383" t="s">
        <v>1612</v>
      </c>
      <c r="C383" t="s">
        <v>229</v>
      </c>
    </row>
    <row r="384" spans="1:3" x14ac:dyDescent="0.35">
      <c r="A384" t="s">
        <v>8642</v>
      </c>
      <c r="B384" t="s">
        <v>1615</v>
      </c>
      <c r="C384" t="s">
        <v>229</v>
      </c>
    </row>
    <row r="385" spans="1:3" x14ac:dyDescent="0.35">
      <c r="A385" t="s">
        <v>8645</v>
      </c>
      <c r="B385" t="s">
        <v>1618</v>
      </c>
      <c r="C385" t="s">
        <v>229</v>
      </c>
    </row>
    <row r="386" spans="1:3" x14ac:dyDescent="0.35">
      <c r="A386" t="s">
        <v>8648</v>
      </c>
      <c r="B386" t="s">
        <v>1621</v>
      </c>
      <c r="C386" t="s">
        <v>2374</v>
      </c>
    </row>
    <row r="387" spans="1:3" x14ac:dyDescent="0.35">
      <c r="A387" t="s">
        <v>8610</v>
      </c>
      <c r="B387" t="s">
        <v>1624</v>
      </c>
      <c r="C387" t="s">
        <v>229</v>
      </c>
    </row>
    <row r="388" spans="1:3" x14ac:dyDescent="0.35">
      <c r="A388" t="s">
        <v>8614</v>
      </c>
      <c r="B388" t="s">
        <v>1627</v>
      </c>
      <c r="C388" t="s">
        <v>229</v>
      </c>
    </row>
    <row r="389" spans="1:3" x14ac:dyDescent="0.35">
      <c r="A389" t="s">
        <v>8617</v>
      </c>
      <c r="B389" t="s">
        <v>1631</v>
      </c>
      <c r="C389" t="s">
        <v>229</v>
      </c>
    </row>
    <row r="390" spans="1:3" x14ac:dyDescent="0.35">
      <c r="A390" t="s">
        <v>8621</v>
      </c>
      <c r="B390" t="s">
        <v>1634</v>
      </c>
      <c r="C390" t="s">
        <v>2374</v>
      </c>
    </row>
    <row r="391" spans="1:3" x14ac:dyDescent="0.35">
      <c r="A391" t="s">
        <v>8624</v>
      </c>
      <c r="B391" t="s">
        <v>1637</v>
      </c>
      <c r="C391" t="s">
        <v>229</v>
      </c>
    </row>
    <row r="392" spans="1:3" x14ac:dyDescent="0.35">
      <c r="A392" t="s">
        <v>8627</v>
      </c>
      <c r="B392" t="s">
        <v>1640</v>
      </c>
      <c r="C392" t="s">
        <v>229</v>
      </c>
    </row>
    <row r="393" spans="1:3" x14ac:dyDescent="0.35">
      <c r="A393" t="s">
        <v>8631</v>
      </c>
      <c r="B393" t="s">
        <v>1643</v>
      </c>
      <c r="C393" t="s">
        <v>229</v>
      </c>
    </row>
    <row r="394" spans="1:3" x14ac:dyDescent="0.35">
      <c r="A394" t="s">
        <v>8635</v>
      </c>
      <c r="B394" t="s">
        <v>1646</v>
      </c>
      <c r="C394" t="s">
        <v>2374</v>
      </c>
    </row>
    <row r="395" spans="1:3" x14ac:dyDescent="0.35">
      <c r="A395" t="s">
        <v>8639</v>
      </c>
      <c r="B395" t="s">
        <v>1649</v>
      </c>
      <c r="C395" t="s">
        <v>229</v>
      </c>
    </row>
    <row r="396" spans="1:3" x14ac:dyDescent="0.35">
      <c r="A396" t="s">
        <v>8642</v>
      </c>
      <c r="B396" t="s">
        <v>1652</v>
      </c>
      <c r="C396" t="s">
        <v>229</v>
      </c>
    </row>
    <row r="397" spans="1:3" x14ac:dyDescent="0.35">
      <c r="A397" t="s">
        <v>8645</v>
      </c>
      <c r="B397" t="s">
        <v>1655</v>
      </c>
      <c r="C397" t="s">
        <v>229</v>
      </c>
    </row>
    <row r="398" spans="1:3" x14ac:dyDescent="0.35">
      <c r="A398" t="s">
        <v>8648</v>
      </c>
      <c r="B398" t="s">
        <v>1658</v>
      </c>
      <c r="C398" t="s">
        <v>229</v>
      </c>
    </row>
    <row r="399" spans="1:3" x14ac:dyDescent="0.35">
      <c r="A399" t="s">
        <v>8610</v>
      </c>
      <c r="B399" t="s">
        <v>1662</v>
      </c>
      <c r="C399" t="s">
        <v>229</v>
      </c>
    </row>
    <row r="400" spans="1:3" x14ac:dyDescent="0.35">
      <c r="A400" t="s">
        <v>8614</v>
      </c>
      <c r="B400" t="s">
        <v>1665</v>
      </c>
      <c r="C400" t="s">
        <v>229</v>
      </c>
    </row>
    <row r="401" spans="1:3" x14ac:dyDescent="0.35">
      <c r="A401" t="s">
        <v>8617</v>
      </c>
      <c r="B401" t="s">
        <v>1668</v>
      </c>
      <c r="C401" t="s">
        <v>229</v>
      </c>
    </row>
    <row r="402" spans="1:3" x14ac:dyDescent="0.35">
      <c r="A402" t="s">
        <v>8621</v>
      </c>
      <c r="B402" t="s">
        <v>1671</v>
      </c>
      <c r="C402" t="s">
        <v>2759</v>
      </c>
    </row>
    <row r="403" spans="1:3" x14ac:dyDescent="0.35">
      <c r="A403" t="s">
        <v>8624</v>
      </c>
      <c r="B403" t="s">
        <v>1674</v>
      </c>
      <c r="C403" t="s">
        <v>2374</v>
      </c>
    </row>
    <row r="404" spans="1:3" x14ac:dyDescent="0.35">
      <c r="A404" t="s">
        <v>8627</v>
      </c>
      <c r="B404" t="s">
        <v>1677</v>
      </c>
      <c r="C404" t="s">
        <v>3017</v>
      </c>
    </row>
    <row r="405" spans="1:3" x14ac:dyDescent="0.35">
      <c r="A405" t="s">
        <v>8631</v>
      </c>
      <c r="B405" t="s">
        <v>1680</v>
      </c>
      <c r="C405" t="s">
        <v>3022</v>
      </c>
    </row>
    <row r="406" spans="1:3" x14ac:dyDescent="0.35">
      <c r="A406" t="s">
        <v>8635</v>
      </c>
      <c r="B406" t="s">
        <v>1683</v>
      </c>
      <c r="C406" t="s">
        <v>3022</v>
      </c>
    </row>
    <row r="407" spans="1:3" x14ac:dyDescent="0.35">
      <c r="A407" t="s">
        <v>8639</v>
      </c>
      <c r="B407" t="s">
        <v>1686</v>
      </c>
      <c r="C407" t="s">
        <v>3022</v>
      </c>
    </row>
    <row r="408" spans="1:3" x14ac:dyDescent="0.35">
      <c r="A408" t="s">
        <v>8642</v>
      </c>
      <c r="B408" t="s">
        <v>1689</v>
      </c>
      <c r="C408" t="s">
        <v>3022</v>
      </c>
    </row>
    <row r="409" spans="1:3" x14ac:dyDescent="0.35">
      <c r="A409" t="s">
        <v>8645</v>
      </c>
      <c r="B409" t="s">
        <v>1692</v>
      </c>
      <c r="C409" t="s">
        <v>3022</v>
      </c>
    </row>
    <row r="410" spans="1:3" x14ac:dyDescent="0.35">
      <c r="A410" t="s">
        <v>8648</v>
      </c>
      <c r="B410" t="s">
        <v>1695</v>
      </c>
      <c r="C410" t="s">
        <v>229</v>
      </c>
    </row>
    <row r="411" spans="1:3" x14ac:dyDescent="0.35">
      <c r="A411" t="s">
        <v>8610</v>
      </c>
      <c r="B411" t="s">
        <v>1698</v>
      </c>
      <c r="C411" t="s">
        <v>1198</v>
      </c>
    </row>
    <row r="412" spans="1:3" x14ac:dyDescent="0.35">
      <c r="A412" t="s">
        <v>8614</v>
      </c>
      <c r="B412" t="s">
        <v>1701</v>
      </c>
      <c r="C412" t="s">
        <v>2759</v>
      </c>
    </row>
    <row r="413" spans="1:3" x14ac:dyDescent="0.35">
      <c r="A413" t="s">
        <v>8617</v>
      </c>
      <c r="B413" t="s">
        <v>1703</v>
      </c>
      <c r="C413" t="s">
        <v>2374</v>
      </c>
    </row>
    <row r="414" spans="1:3" x14ac:dyDescent="0.35">
      <c r="A414" t="s">
        <v>8621</v>
      </c>
      <c r="B414" t="s">
        <v>1706</v>
      </c>
      <c r="C414" t="s">
        <v>3017</v>
      </c>
    </row>
    <row r="415" spans="1:3" x14ac:dyDescent="0.35">
      <c r="A415" t="s">
        <v>8624</v>
      </c>
      <c r="B415" t="s">
        <v>1709</v>
      </c>
      <c r="C415" t="s">
        <v>3022</v>
      </c>
    </row>
    <row r="416" spans="1:3" x14ac:dyDescent="0.35">
      <c r="A416" t="s">
        <v>8627</v>
      </c>
      <c r="B416" t="s">
        <v>1712</v>
      </c>
      <c r="C416" t="s">
        <v>3022</v>
      </c>
    </row>
    <row r="417" spans="1:3" x14ac:dyDescent="0.35">
      <c r="A417" t="s">
        <v>8631</v>
      </c>
      <c r="B417" t="s">
        <v>1714</v>
      </c>
      <c r="C417" t="s">
        <v>3022</v>
      </c>
    </row>
    <row r="418" spans="1:3" x14ac:dyDescent="0.35">
      <c r="A418" t="s">
        <v>8635</v>
      </c>
      <c r="B418" t="s">
        <v>1717</v>
      </c>
      <c r="C418" t="s">
        <v>3022</v>
      </c>
    </row>
    <row r="419" spans="1:3" x14ac:dyDescent="0.35">
      <c r="A419" t="s">
        <v>8639</v>
      </c>
      <c r="B419" t="s">
        <v>1720</v>
      </c>
      <c r="C419" t="s">
        <v>3022</v>
      </c>
    </row>
    <row r="420" spans="1:3" x14ac:dyDescent="0.35">
      <c r="A420" t="s">
        <v>8642</v>
      </c>
      <c r="B420" t="s">
        <v>1723</v>
      </c>
      <c r="C420" t="s">
        <v>229</v>
      </c>
    </row>
    <row r="421" spans="1:3" x14ac:dyDescent="0.35">
      <c r="A421" t="s">
        <v>8645</v>
      </c>
      <c r="B421" t="s">
        <v>1726</v>
      </c>
      <c r="C421" t="s">
        <v>2759</v>
      </c>
    </row>
    <row r="422" spans="1:3" x14ac:dyDescent="0.35">
      <c r="A422" t="s">
        <v>8648</v>
      </c>
      <c r="B422" t="s">
        <v>1728</v>
      </c>
      <c r="C422" t="s">
        <v>2374</v>
      </c>
    </row>
    <row r="423" spans="1:3" x14ac:dyDescent="0.35">
      <c r="A423" t="s">
        <v>8610</v>
      </c>
      <c r="B423" t="s">
        <v>1732</v>
      </c>
      <c r="C423" t="s">
        <v>3017</v>
      </c>
    </row>
    <row r="424" spans="1:3" x14ac:dyDescent="0.35">
      <c r="A424" t="s">
        <v>8614</v>
      </c>
      <c r="B424" t="s">
        <v>1735</v>
      </c>
      <c r="C424" t="s">
        <v>3022</v>
      </c>
    </row>
    <row r="425" spans="1:3" x14ac:dyDescent="0.35">
      <c r="A425" t="s">
        <v>8617</v>
      </c>
      <c r="B425" t="s">
        <v>1738</v>
      </c>
      <c r="C425" t="s">
        <v>3022</v>
      </c>
    </row>
    <row r="426" spans="1:3" x14ac:dyDescent="0.35">
      <c r="A426" t="s">
        <v>8621</v>
      </c>
      <c r="B426" t="s">
        <v>1741</v>
      </c>
      <c r="C426" t="s">
        <v>3022</v>
      </c>
    </row>
    <row r="427" spans="1:3" x14ac:dyDescent="0.35">
      <c r="A427" t="s">
        <v>8624</v>
      </c>
      <c r="B427" t="s">
        <v>1744</v>
      </c>
      <c r="C427" t="s">
        <v>3022</v>
      </c>
    </row>
    <row r="428" spans="1:3" x14ac:dyDescent="0.35">
      <c r="A428" t="s">
        <v>8627</v>
      </c>
      <c r="B428" t="s">
        <v>1747</v>
      </c>
      <c r="C428" t="s">
        <v>3022</v>
      </c>
    </row>
    <row r="429" spans="1:3" x14ac:dyDescent="0.35">
      <c r="A429" t="s">
        <v>8631</v>
      </c>
      <c r="B429" t="s">
        <v>1524</v>
      </c>
      <c r="C429" t="s">
        <v>229</v>
      </c>
    </row>
    <row r="430" spans="1:3" x14ac:dyDescent="0.35">
      <c r="A430" t="s">
        <v>8635</v>
      </c>
      <c r="B430" t="s">
        <v>1528</v>
      </c>
      <c r="C430" t="s">
        <v>2759</v>
      </c>
    </row>
    <row r="431" spans="1:3" x14ac:dyDescent="0.35">
      <c r="A431" t="s">
        <v>8639</v>
      </c>
      <c r="B431" t="s">
        <v>1532</v>
      </c>
      <c r="C431" t="s">
        <v>2374</v>
      </c>
    </row>
    <row r="432" spans="1:3" x14ac:dyDescent="0.35">
      <c r="A432" t="s">
        <v>8642</v>
      </c>
      <c r="B432" t="s">
        <v>1536</v>
      </c>
      <c r="C432" t="s">
        <v>229</v>
      </c>
    </row>
    <row r="433" spans="1:3" x14ac:dyDescent="0.35">
      <c r="A433" t="s">
        <v>8645</v>
      </c>
      <c r="B433" t="s">
        <v>1540</v>
      </c>
      <c r="C433" t="s">
        <v>248</v>
      </c>
    </row>
    <row r="434" spans="1:3" x14ac:dyDescent="0.35">
      <c r="A434" t="s">
        <v>8648</v>
      </c>
      <c r="B434" t="s">
        <v>1545</v>
      </c>
      <c r="C434" t="s">
        <v>263</v>
      </c>
    </row>
    <row r="435" spans="1:3" x14ac:dyDescent="0.35">
      <c r="A435" t="s">
        <v>8610</v>
      </c>
      <c r="B435" t="s">
        <v>1548</v>
      </c>
      <c r="C435" t="s">
        <v>263</v>
      </c>
    </row>
    <row r="436" spans="1:3" x14ac:dyDescent="0.35">
      <c r="A436" t="s">
        <v>8614</v>
      </c>
      <c r="B436" t="s">
        <v>1552</v>
      </c>
      <c r="C436" t="s">
        <v>2759</v>
      </c>
    </row>
    <row r="437" spans="1:3" x14ac:dyDescent="0.35">
      <c r="A437" t="s">
        <v>8617</v>
      </c>
      <c r="B437" t="s">
        <v>1555</v>
      </c>
      <c r="C437" t="s">
        <v>2374</v>
      </c>
    </row>
    <row r="438" spans="1:3" x14ac:dyDescent="0.35">
      <c r="A438" t="s">
        <v>8621</v>
      </c>
      <c r="B438" t="s">
        <v>1558</v>
      </c>
      <c r="C438" t="s">
        <v>229</v>
      </c>
    </row>
    <row r="439" spans="1:3" x14ac:dyDescent="0.35">
      <c r="A439" t="s">
        <v>8624</v>
      </c>
      <c r="B439" t="s">
        <v>1562</v>
      </c>
      <c r="C439" t="s">
        <v>263</v>
      </c>
    </row>
    <row r="440" spans="1:3" x14ac:dyDescent="0.35">
      <c r="A440" t="s">
        <v>8627</v>
      </c>
      <c r="B440" t="s">
        <v>1568</v>
      </c>
      <c r="C440" t="s">
        <v>2759</v>
      </c>
    </row>
    <row r="441" spans="1:3" x14ac:dyDescent="0.35">
      <c r="A441" t="s">
        <v>8631</v>
      </c>
      <c r="B441" t="s">
        <v>1572</v>
      </c>
      <c r="C441" t="s">
        <v>2374</v>
      </c>
    </row>
    <row r="442" spans="1:3" x14ac:dyDescent="0.35">
      <c r="A442" t="s">
        <v>8635</v>
      </c>
      <c r="B442" t="s">
        <v>1577</v>
      </c>
      <c r="C442" t="s">
        <v>1198</v>
      </c>
    </row>
    <row r="443" spans="1:3" x14ac:dyDescent="0.35">
      <c r="A443" t="s">
        <v>8639</v>
      </c>
      <c r="B443" t="s">
        <v>1581</v>
      </c>
      <c r="C443" t="s">
        <v>1198</v>
      </c>
    </row>
    <row r="444" spans="1:3" x14ac:dyDescent="0.35">
      <c r="A444" t="s">
        <v>8642</v>
      </c>
      <c r="B444" t="s">
        <v>1585</v>
      </c>
      <c r="C444" t="s">
        <v>263</v>
      </c>
    </row>
    <row r="445" spans="1:3" x14ac:dyDescent="0.35">
      <c r="A445" t="s">
        <v>8645</v>
      </c>
      <c r="B445" t="s">
        <v>1589</v>
      </c>
      <c r="C445" t="s">
        <v>263</v>
      </c>
    </row>
    <row r="446" spans="1:3" x14ac:dyDescent="0.35">
      <c r="A446" t="s">
        <v>8648</v>
      </c>
      <c r="B446" t="s">
        <v>1594</v>
      </c>
      <c r="C446" t="s">
        <v>2759</v>
      </c>
    </row>
    <row r="447" spans="1:3" x14ac:dyDescent="0.35">
      <c r="A447" t="s">
        <v>8610</v>
      </c>
      <c r="B447" t="s">
        <v>1598</v>
      </c>
      <c r="C447" t="s">
        <v>2759</v>
      </c>
    </row>
    <row r="448" spans="1:3" x14ac:dyDescent="0.35">
      <c r="A448" t="s">
        <v>8614</v>
      </c>
      <c r="B448" t="s">
        <v>1602</v>
      </c>
      <c r="C448" t="s">
        <v>229</v>
      </c>
    </row>
    <row r="449" spans="1:3" x14ac:dyDescent="0.35">
      <c r="A449" t="s">
        <v>8617</v>
      </c>
      <c r="B449" t="s">
        <v>1606</v>
      </c>
      <c r="C449" t="s">
        <v>229</v>
      </c>
    </row>
    <row r="450" spans="1:3" x14ac:dyDescent="0.35">
      <c r="A450" t="s">
        <v>8621</v>
      </c>
      <c r="B450" t="s">
        <v>1609</v>
      </c>
      <c r="C450" t="s">
        <v>229</v>
      </c>
    </row>
    <row r="451" spans="1:3" x14ac:dyDescent="0.35">
      <c r="A451" t="s">
        <v>8624</v>
      </c>
      <c r="B451" t="s">
        <v>1612</v>
      </c>
      <c r="C451" t="s">
        <v>229</v>
      </c>
    </row>
    <row r="452" spans="1:3" x14ac:dyDescent="0.35">
      <c r="A452" t="s">
        <v>8627</v>
      </c>
      <c r="B452" t="s">
        <v>1615</v>
      </c>
      <c r="C452" t="s">
        <v>229</v>
      </c>
    </row>
    <row r="453" spans="1:3" x14ac:dyDescent="0.35">
      <c r="A453" t="s">
        <v>8631</v>
      </c>
      <c r="B453" t="s">
        <v>1618</v>
      </c>
      <c r="C453" t="s">
        <v>229</v>
      </c>
    </row>
    <row r="454" spans="1:3" x14ac:dyDescent="0.35">
      <c r="A454" t="s">
        <v>8635</v>
      </c>
      <c r="B454" t="s">
        <v>1621</v>
      </c>
      <c r="C454" t="s">
        <v>2374</v>
      </c>
    </row>
    <row r="455" spans="1:3" x14ac:dyDescent="0.35">
      <c r="A455" t="s">
        <v>8639</v>
      </c>
      <c r="B455" t="s">
        <v>1624</v>
      </c>
      <c r="C455" t="s">
        <v>248</v>
      </c>
    </row>
    <row r="456" spans="1:3" x14ac:dyDescent="0.35">
      <c r="A456" t="s">
        <v>8642</v>
      </c>
      <c r="B456" t="s">
        <v>1627</v>
      </c>
      <c r="C456" t="s">
        <v>2759</v>
      </c>
    </row>
    <row r="457" spans="1:3" x14ac:dyDescent="0.35">
      <c r="A457" t="s">
        <v>8645</v>
      </c>
      <c r="B457" t="s">
        <v>1631</v>
      </c>
      <c r="C457" t="s">
        <v>229</v>
      </c>
    </row>
    <row r="458" spans="1:3" x14ac:dyDescent="0.35">
      <c r="A458" t="s">
        <v>8648</v>
      </c>
      <c r="B458" t="s">
        <v>1634</v>
      </c>
      <c r="C458" t="s">
        <v>229</v>
      </c>
    </row>
    <row r="459" spans="1:3" x14ac:dyDescent="0.35">
      <c r="A459" t="s">
        <v>8610</v>
      </c>
      <c r="B459" t="s">
        <v>1637</v>
      </c>
      <c r="C459" t="s">
        <v>229</v>
      </c>
    </row>
    <row r="460" spans="1:3" x14ac:dyDescent="0.35">
      <c r="A460" t="s">
        <v>8614</v>
      </c>
      <c r="B460" t="s">
        <v>1640</v>
      </c>
      <c r="C460" t="s">
        <v>229</v>
      </c>
    </row>
    <row r="461" spans="1:3" x14ac:dyDescent="0.35">
      <c r="A461" t="s">
        <v>8617</v>
      </c>
      <c r="B461" t="s">
        <v>1643</v>
      </c>
      <c r="C461" t="s">
        <v>229</v>
      </c>
    </row>
    <row r="462" spans="1:3" x14ac:dyDescent="0.35">
      <c r="A462" t="s">
        <v>8621</v>
      </c>
      <c r="B462" t="s">
        <v>1646</v>
      </c>
      <c r="C462" t="s">
        <v>229</v>
      </c>
    </row>
    <row r="463" spans="1:3" x14ac:dyDescent="0.35">
      <c r="A463" t="s">
        <v>8624</v>
      </c>
      <c r="B463" t="s">
        <v>1649</v>
      </c>
      <c r="C463" t="s">
        <v>248</v>
      </c>
    </row>
    <row r="464" spans="1:3" x14ac:dyDescent="0.35">
      <c r="A464" t="s">
        <v>8627</v>
      </c>
      <c r="B464" t="s">
        <v>1652</v>
      </c>
      <c r="C464" t="s">
        <v>2759</v>
      </c>
    </row>
    <row r="465" spans="1:3" x14ac:dyDescent="0.35">
      <c r="A465" t="s">
        <v>8631</v>
      </c>
      <c r="B465" t="s">
        <v>1655</v>
      </c>
      <c r="C465" t="s">
        <v>229</v>
      </c>
    </row>
    <row r="466" spans="1:3" x14ac:dyDescent="0.35">
      <c r="A466" t="s">
        <v>8635</v>
      </c>
      <c r="B466" t="s">
        <v>1658</v>
      </c>
      <c r="C466" t="s">
        <v>229</v>
      </c>
    </row>
    <row r="467" spans="1:3" x14ac:dyDescent="0.35">
      <c r="A467" t="s">
        <v>8639</v>
      </c>
      <c r="B467" t="s">
        <v>1662</v>
      </c>
      <c r="C467" t="s">
        <v>229</v>
      </c>
    </row>
    <row r="468" spans="1:3" x14ac:dyDescent="0.35">
      <c r="A468" t="s">
        <v>8642</v>
      </c>
      <c r="B468" t="s">
        <v>1665</v>
      </c>
      <c r="C468" t="s">
        <v>229</v>
      </c>
    </row>
    <row r="469" spans="1:3" x14ac:dyDescent="0.35">
      <c r="A469" t="s">
        <v>8645</v>
      </c>
      <c r="B469" t="s">
        <v>1668</v>
      </c>
      <c r="C469" t="s">
        <v>229</v>
      </c>
    </row>
    <row r="470" spans="1:3" x14ac:dyDescent="0.35">
      <c r="A470" t="s">
        <v>8648</v>
      </c>
      <c r="B470" t="s">
        <v>1671</v>
      </c>
      <c r="C470" t="s">
        <v>229</v>
      </c>
    </row>
    <row r="471" spans="1:3" x14ac:dyDescent="0.35">
      <c r="A471" t="s">
        <v>8610</v>
      </c>
      <c r="B471" t="s">
        <v>1674</v>
      </c>
      <c r="C471" t="s">
        <v>2374</v>
      </c>
    </row>
    <row r="472" spans="1:3" x14ac:dyDescent="0.35">
      <c r="A472" t="s">
        <v>8614</v>
      </c>
      <c r="B472" t="s">
        <v>1677</v>
      </c>
      <c r="C472" t="s">
        <v>2374</v>
      </c>
    </row>
    <row r="473" spans="1:3" x14ac:dyDescent="0.35">
      <c r="A473" t="s">
        <v>8617</v>
      </c>
      <c r="B473" t="s">
        <v>1680</v>
      </c>
      <c r="C473" t="s">
        <v>248</v>
      </c>
    </row>
    <row r="474" spans="1:3" x14ac:dyDescent="0.35">
      <c r="A474" t="s">
        <v>8621</v>
      </c>
      <c r="B474" t="s">
        <v>1683</v>
      </c>
      <c r="C474" t="s">
        <v>2759</v>
      </c>
    </row>
    <row r="475" spans="1:3" x14ac:dyDescent="0.35">
      <c r="A475" t="s">
        <v>8624</v>
      </c>
      <c r="B475" t="s">
        <v>1686</v>
      </c>
      <c r="C475" t="s">
        <v>229</v>
      </c>
    </row>
    <row r="476" spans="1:3" x14ac:dyDescent="0.35">
      <c r="A476" t="s">
        <v>8627</v>
      </c>
      <c r="B476" t="s">
        <v>1689</v>
      </c>
      <c r="C476" t="s">
        <v>229</v>
      </c>
    </row>
    <row r="477" spans="1:3" x14ac:dyDescent="0.35">
      <c r="A477" t="s">
        <v>8631</v>
      </c>
      <c r="B477" t="s">
        <v>1692</v>
      </c>
      <c r="C477" t="s">
        <v>229</v>
      </c>
    </row>
    <row r="478" spans="1:3" x14ac:dyDescent="0.35">
      <c r="A478" t="s">
        <v>8635</v>
      </c>
      <c r="B478" t="s">
        <v>1695</v>
      </c>
      <c r="C478" t="s">
        <v>229</v>
      </c>
    </row>
    <row r="479" spans="1:3" x14ac:dyDescent="0.35">
      <c r="A479" t="s">
        <v>8639</v>
      </c>
      <c r="B479" t="s">
        <v>1698</v>
      </c>
      <c r="C479" t="s">
        <v>229</v>
      </c>
    </row>
    <row r="480" spans="1:3" x14ac:dyDescent="0.35">
      <c r="A480" t="s">
        <v>8642</v>
      </c>
      <c r="B480" t="s">
        <v>1701</v>
      </c>
      <c r="C480" t="s">
        <v>229</v>
      </c>
    </row>
    <row r="481" spans="1:3" x14ac:dyDescent="0.35">
      <c r="A481" t="s">
        <v>8645</v>
      </c>
      <c r="B481" t="s">
        <v>1703</v>
      </c>
      <c r="C481" t="s">
        <v>248</v>
      </c>
    </row>
    <row r="482" spans="1:3" x14ac:dyDescent="0.35">
      <c r="A482" t="s">
        <v>8648</v>
      </c>
      <c r="B482" t="s">
        <v>1706</v>
      </c>
      <c r="C482" t="s">
        <v>2759</v>
      </c>
    </row>
    <row r="483" spans="1:3" x14ac:dyDescent="0.35">
      <c r="A483" t="s">
        <v>8610</v>
      </c>
      <c r="B483" t="s">
        <v>1709</v>
      </c>
      <c r="C483" t="s">
        <v>2759</v>
      </c>
    </row>
    <row r="484" spans="1:3" x14ac:dyDescent="0.35">
      <c r="A484" t="s">
        <v>8614</v>
      </c>
      <c r="B484" t="s">
        <v>1712</v>
      </c>
      <c r="C484" t="s">
        <v>229</v>
      </c>
    </row>
    <row r="485" spans="1:3" x14ac:dyDescent="0.35">
      <c r="A485" t="s">
        <v>8617</v>
      </c>
      <c r="B485" t="s">
        <v>1714</v>
      </c>
      <c r="C485" t="s">
        <v>229</v>
      </c>
    </row>
    <row r="486" spans="1:3" x14ac:dyDescent="0.35">
      <c r="A486" t="s">
        <v>8621</v>
      </c>
      <c r="B486" t="s">
        <v>1717</v>
      </c>
      <c r="C486" t="s">
        <v>229</v>
      </c>
    </row>
    <row r="487" spans="1:3" x14ac:dyDescent="0.35">
      <c r="A487" t="s">
        <v>8624</v>
      </c>
      <c r="B487" t="s">
        <v>1720</v>
      </c>
      <c r="C487" t="s">
        <v>229</v>
      </c>
    </row>
    <row r="488" spans="1:3" x14ac:dyDescent="0.35">
      <c r="A488" t="s">
        <v>8627</v>
      </c>
      <c r="B488" t="s">
        <v>1723</v>
      </c>
      <c r="C488" t="s">
        <v>229</v>
      </c>
    </row>
    <row r="489" spans="1:3" x14ac:dyDescent="0.35">
      <c r="A489" t="s">
        <v>8631</v>
      </c>
      <c r="B489" t="s">
        <v>1726</v>
      </c>
      <c r="C489" t="s">
        <v>2374</v>
      </c>
    </row>
    <row r="490" spans="1:3" x14ac:dyDescent="0.35">
      <c r="A490" t="s">
        <v>8635</v>
      </c>
      <c r="B490" t="s">
        <v>1728</v>
      </c>
      <c r="C490" t="s">
        <v>2374</v>
      </c>
    </row>
    <row r="491" spans="1:3" x14ac:dyDescent="0.35">
      <c r="A491" t="s">
        <v>8639</v>
      </c>
      <c r="B491" t="s">
        <v>1732</v>
      </c>
      <c r="C491" t="s">
        <v>2374</v>
      </c>
    </row>
    <row r="492" spans="1:3" x14ac:dyDescent="0.35">
      <c r="A492" t="s">
        <v>8642</v>
      </c>
      <c r="B492" t="s">
        <v>1735</v>
      </c>
      <c r="C492" t="s">
        <v>2759</v>
      </c>
    </row>
    <row r="493" spans="1:3" x14ac:dyDescent="0.35">
      <c r="A493" t="s">
        <v>8645</v>
      </c>
      <c r="B493" t="s">
        <v>1738</v>
      </c>
      <c r="C493" t="s">
        <v>2759</v>
      </c>
    </row>
    <row r="494" spans="1:3" x14ac:dyDescent="0.35">
      <c r="A494" t="s">
        <v>8648</v>
      </c>
      <c r="B494" t="s">
        <v>1741</v>
      </c>
      <c r="C494" t="s">
        <v>229</v>
      </c>
    </row>
    <row r="495" spans="1:3" x14ac:dyDescent="0.35">
      <c r="A495" t="s">
        <v>8610</v>
      </c>
      <c r="B495" t="s">
        <v>1744</v>
      </c>
      <c r="C495" t="s">
        <v>229</v>
      </c>
    </row>
    <row r="496" spans="1:3" x14ac:dyDescent="0.35">
      <c r="A496" t="s">
        <v>8614</v>
      </c>
      <c r="B496" t="s">
        <v>1747</v>
      </c>
      <c r="C496" t="s">
        <v>229</v>
      </c>
    </row>
    <row r="497" spans="1:3" x14ac:dyDescent="0.35">
      <c r="A497" t="s">
        <v>8617</v>
      </c>
      <c r="B497" t="s">
        <v>1524</v>
      </c>
      <c r="C497" t="s">
        <v>229</v>
      </c>
    </row>
    <row r="498" spans="1:3" x14ac:dyDescent="0.35">
      <c r="A498" t="s">
        <v>8621</v>
      </c>
      <c r="B498" t="s">
        <v>1528</v>
      </c>
      <c r="C498" t="s">
        <v>2374</v>
      </c>
    </row>
    <row r="499" spans="1:3" x14ac:dyDescent="0.35">
      <c r="A499" t="s">
        <v>8624</v>
      </c>
      <c r="B499" t="s">
        <v>1532</v>
      </c>
      <c r="C499" t="s">
        <v>2374</v>
      </c>
    </row>
    <row r="500" spans="1:3" x14ac:dyDescent="0.35">
      <c r="A500" t="s">
        <v>8627</v>
      </c>
      <c r="B500" t="s">
        <v>1536</v>
      </c>
      <c r="C500" t="s">
        <v>3017</v>
      </c>
    </row>
    <row r="501" spans="1:3" x14ac:dyDescent="0.35">
      <c r="A501" t="s">
        <v>8631</v>
      </c>
      <c r="B501" t="s">
        <v>1540</v>
      </c>
      <c r="C501" t="s">
        <v>3022</v>
      </c>
    </row>
    <row r="502" spans="1:3" x14ac:dyDescent="0.35">
      <c r="A502" t="s">
        <v>8635</v>
      </c>
      <c r="B502" t="s">
        <v>1545</v>
      </c>
      <c r="C502" t="s">
        <v>3022</v>
      </c>
    </row>
    <row r="503" spans="1:3" x14ac:dyDescent="0.35">
      <c r="A503" t="s">
        <v>8639</v>
      </c>
      <c r="B503" t="s">
        <v>1548</v>
      </c>
      <c r="C503" t="s">
        <v>3022</v>
      </c>
    </row>
    <row r="504" spans="1:3" x14ac:dyDescent="0.35">
      <c r="A504" t="s">
        <v>8642</v>
      </c>
      <c r="B504" t="s">
        <v>1552</v>
      </c>
      <c r="C504" t="s">
        <v>3022</v>
      </c>
    </row>
    <row r="505" spans="1:3" x14ac:dyDescent="0.35">
      <c r="A505" t="s">
        <v>8645</v>
      </c>
      <c r="B505" t="s">
        <v>1555</v>
      </c>
      <c r="C505" t="s">
        <v>3022</v>
      </c>
    </row>
    <row r="506" spans="1:3" x14ac:dyDescent="0.35">
      <c r="A506" t="s">
        <v>8648</v>
      </c>
      <c r="B506" t="s">
        <v>1558</v>
      </c>
      <c r="C506" t="s">
        <v>3022</v>
      </c>
    </row>
    <row r="507" spans="1:3" x14ac:dyDescent="0.35">
      <c r="A507" t="s">
        <v>8610</v>
      </c>
      <c r="B507" t="s">
        <v>1562</v>
      </c>
      <c r="C507" t="s">
        <v>3022</v>
      </c>
    </row>
    <row r="508" spans="1:3" x14ac:dyDescent="0.35">
      <c r="A508" t="s">
        <v>8614</v>
      </c>
      <c r="B508" t="s">
        <v>1568</v>
      </c>
      <c r="C508" t="s">
        <v>3022</v>
      </c>
    </row>
    <row r="509" spans="1:3" x14ac:dyDescent="0.35">
      <c r="A509" t="s">
        <v>8617</v>
      </c>
      <c r="B509" t="s">
        <v>1572</v>
      </c>
      <c r="C509" t="s">
        <v>229</v>
      </c>
    </row>
    <row r="510" spans="1:3" x14ac:dyDescent="0.35">
      <c r="A510" t="s">
        <v>8621</v>
      </c>
      <c r="B510" t="s">
        <v>1577</v>
      </c>
      <c r="C510" t="s">
        <v>2374</v>
      </c>
    </row>
    <row r="511" spans="1:3" x14ac:dyDescent="0.35">
      <c r="A511" t="s">
        <v>8624</v>
      </c>
      <c r="B511" t="s">
        <v>1581</v>
      </c>
      <c r="C511" t="s">
        <v>2759</v>
      </c>
    </row>
    <row r="512" spans="1:3" x14ac:dyDescent="0.35">
      <c r="A512" t="s">
        <v>8627</v>
      </c>
      <c r="B512" t="s">
        <v>1585</v>
      </c>
      <c r="C512" t="s">
        <v>229</v>
      </c>
    </row>
    <row r="513" spans="1:3" x14ac:dyDescent="0.35">
      <c r="A513" t="s">
        <v>8631</v>
      </c>
      <c r="B513" t="s">
        <v>1589</v>
      </c>
      <c r="C513" t="s">
        <v>229</v>
      </c>
    </row>
    <row r="514" spans="1:3" x14ac:dyDescent="0.35">
      <c r="A514" t="s">
        <v>8635</v>
      </c>
      <c r="B514" t="s">
        <v>1594</v>
      </c>
      <c r="C514" t="s">
        <v>2759</v>
      </c>
    </row>
    <row r="515" spans="1:3" x14ac:dyDescent="0.35">
      <c r="A515" t="s">
        <v>8639</v>
      </c>
      <c r="B515" t="s">
        <v>1598</v>
      </c>
      <c r="C515" t="s">
        <v>229</v>
      </c>
    </row>
    <row r="516" spans="1:3" x14ac:dyDescent="0.35">
      <c r="A516" t="s">
        <v>8642</v>
      </c>
      <c r="B516" t="s">
        <v>1602</v>
      </c>
      <c r="C516" t="s">
        <v>229</v>
      </c>
    </row>
    <row r="517" spans="1:3" x14ac:dyDescent="0.35">
      <c r="A517" t="s">
        <v>8645</v>
      </c>
      <c r="B517" t="s">
        <v>1606</v>
      </c>
      <c r="C517" t="s">
        <v>229</v>
      </c>
    </row>
    <row r="518" spans="1:3" x14ac:dyDescent="0.35">
      <c r="A518" t="s">
        <v>8648</v>
      </c>
      <c r="B518" t="s">
        <v>1609</v>
      </c>
      <c r="C518" t="s">
        <v>229</v>
      </c>
    </row>
    <row r="519" spans="1:3" x14ac:dyDescent="0.35">
      <c r="A519" t="s">
        <v>8610</v>
      </c>
      <c r="B519" t="s">
        <v>1612</v>
      </c>
      <c r="C519" t="s">
        <v>263</v>
      </c>
    </row>
    <row r="520" spans="1:3" x14ac:dyDescent="0.35">
      <c r="A520" t="s">
        <v>8614</v>
      </c>
      <c r="B520" t="s">
        <v>1615</v>
      </c>
      <c r="C520" t="s">
        <v>263</v>
      </c>
    </row>
    <row r="521" spans="1:3" x14ac:dyDescent="0.35">
      <c r="A521" t="s">
        <v>8617</v>
      </c>
      <c r="B521" t="s">
        <v>1618</v>
      </c>
      <c r="C521" t="s">
        <v>2374</v>
      </c>
    </row>
    <row r="522" spans="1:3" x14ac:dyDescent="0.35">
      <c r="A522" t="s">
        <v>8621</v>
      </c>
      <c r="B522" t="s">
        <v>1621</v>
      </c>
      <c r="C522" t="s">
        <v>2759</v>
      </c>
    </row>
    <row r="523" spans="1:3" x14ac:dyDescent="0.35">
      <c r="A523" t="s">
        <v>8624</v>
      </c>
      <c r="B523" t="s">
        <v>1624</v>
      </c>
      <c r="C523" t="s">
        <v>241</v>
      </c>
    </row>
    <row r="524" spans="1:3" x14ac:dyDescent="0.35">
      <c r="A524" t="s">
        <v>8627</v>
      </c>
      <c r="B524" t="s">
        <v>1627</v>
      </c>
      <c r="C524" t="s">
        <v>2759</v>
      </c>
    </row>
    <row r="525" spans="1:3" x14ac:dyDescent="0.35">
      <c r="A525" t="s">
        <v>8631</v>
      </c>
      <c r="B525" t="s">
        <v>1631</v>
      </c>
      <c r="C525" t="s">
        <v>1198</v>
      </c>
    </row>
    <row r="526" spans="1:3" x14ac:dyDescent="0.35">
      <c r="A526" t="s">
        <v>8635</v>
      </c>
      <c r="B526" t="s">
        <v>1634</v>
      </c>
      <c r="C526" t="s">
        <v>1198</v>
      </c>
    </row>
    <row r="527" spans="1:3" x14ac:dyDescent="0.35">
      <c r="A527" t="s">
        <v>8639</v>
      </c>
      <c r="B527" t="s">
        <v>1637</v>
      </c>
      <c r="C527" t="s">
        <v>1198</v>
      </c>
    </row>
    <row r="528" spans="1:3" x14ac:dyDescent="0.35">
      <c r="A528" t="s">
        <v>8642</v>
      </c>
      <c r="B528" t="s">
        <v>1640</v>
      </c>
      <c r="C528" t="s">
        <v>1198</v>
      </c>
    </row>
    <row r="529" spans="1:3" x14ac:dyDescent="0.35">
      <c r="A529" t="s">
        <v>8645</v>
      </c>
      <c r="B529" t="s">
        <v>1643</v>
      </c>
      <c r="C529" t="s">
        <v>2759</v>
      </c>
    </row>
    <row r="530" spans="1:3" x14ac:dyDescent="0.35">
      <c r="A530" t="s">
        <v>8648</v>
      </c>
      <c r="B530" t="s">
        <v>1646</v>
      </c>
      <c r="C530" t="s">
        <v>1198</v>
      </c>
    </row>
    <row r="531" spans="1:3" x14ac:dyDescent="0.35">
      <c r="A531" t="s">
        <v>8610</v>
      </c>
      <c r="B531" t="s">
        <v>1649</v>
      </c>
      <c r="C531" t="s">
        <v>1198</v>
      </c>
    </row>
    <row r="532" spans="1:3" x14ac:dyDescent="0.35">
      <c r="A532" t="s">
        <v>8614</v>
      </c>
      <c r="B532" t="s">
        <v>1652</v>
      </c>
      <c r="C532" t="s">
        <v>1198</v>
      </c>
    </row>
    <row r="533" spans="1:3" x14ac:dyDescent="0.35">
      <c r="A533" t="s">
        <v>8617</v>
      </c>
      <c r="B533" t="s">
        <v>1655</v>
      </c>
      <c r="C533" t="s">
        <v>1198</v>
      </c>
    </row>
    <row r="534" spans="1:3" x14ac:dyDescent="0.35">
      <c r="A534" t="s">
        <v>8621</v>
      </c>
      <c r="B534" t="s">
        <v>1658</v>
      </c>
      <c r="C534" t="s">
        <v>2759</v>
      </c>
    </row>
    <row r="535" spans="1:3" x14ac:dyDescent="0.35">
      <c r="A535" t="s">
        <v>8624</v>
      </c>
      <c r="B535" t="s">
        <v>1662</v>
      </c>
      <c r="C535" t="s">
        <v>263</v>
      </c>
    </row>
    <row r="536" spans="1:3" x14ac:dyDescent="0.35">
      <c r="A536" t="s">
        <v>8627</v>
      </c>
      <c r="B536" t="s">
        <v>1665</v>
      </c>
      <c r="C536" t="s">
        <v>263</v>
      </c>
    </row>
    <row r="537" spans="1:3" x14ac:dyDescent="0.35">
      <c r="A537" t="s">
        <v>8631</v>
      </c>
      <c r="B537" t="s">
        <v>1668</v>
      </c>
      <c r="C537" t="s">
        <v>1198</v>
      </c>
    </row>
    <row r="538" spans="1:3" x14ac:dyDescent="0.35">
      <c r="A538" t="s">
        <v>8635</v>
      </c>
      <c r="B538" t="s">
        <v>1671</v>
      </c>
      <c r="C538" t="s">
        <v>263</v>
      </c>
    </row>
    <row r="539" spans="1:3" x14ac:dyDescent="0.35">
      <c r="A539" t="s">
        <v>8639</v>
      </c>
      <c r="B539" t="s">
        <v>1674</v>
      </c>
      <c r="C539" t="s">
        <v>263</v>
      </c>
    </row>
    <row r="540" spans="1:3" x14ac:dyDescent="0.35">
      <c r="A540" t="s">
        <v>8642</v>
      </c>
      <c r="B540" t="s">
        <v>1677</v>
      </c>
      <c r="C540" t="s">
        <v>1198</v>
      </c>
    </row>
    <row r="541" spans="1:3" x14ac:dyDescent="0.35">
      <c r="A541" t="s">
        <v>8645</v>
      </c>
      <c r="B541" t="s">
        <v>1680</v>
      </c>
      <c r="C541" t="s">
        <v>2759</v>
      </c>
    </row>
    <row r="542" spans="1:3" x14ac:dyDescent="0.35">
      <c r="A542" t="s">
        <v>8648</v>
      </c>
      <c r="B542" t="s">
        <v>1683</v>
      </c>
      <c r="C542" t="s">
        <v>263</v>
      </c>
    </row>
    <row r="543" spans="1:3" x14ac:dyDescent="0.35">
      <c r="A543" t="s">
        <v>8610</v>
      </c>
      <c r="B543" t="s">
        <v>1686</v>
      </c>
      <c r="C543" t="s">
        <v>263</v>
      </c>
    </row>
    <row r="544" spans="1:3" x14ac:dyDescent="0.35">
      <c r="A544" t="s">
        <v>8614</v>
      </c>
      <c r="B544" t="s">
        <v>1689</v>
      </c>
      <c r="C544" t="s">
        <v>1198</v>
      </c>
    </row>
    <row r="545" spans="1:3" x14ac:dyDescent="0.35">
      <c r="A545" t="s">
        <v>8617</v>
      </c>
      <c r="B545" t="s">
        <v>1692</v>
      </c>
      <c r="C545" t="s">
        <v>263</v>
      </c>
    </row>
    <row r="546" spans="1:3" x14ac:dyDescent="0.35">
      <c r="A546" t="s">
        <v>8621</v>
      </c>
      <c r="B546" t="s">
        <v>1695</v>
      </c>
      <c r="C546" t="s">
        <v>263</v>
      </c>
    </row>
    <row r="547" spans="1:3" x14ac:dyDescent="0.35">
      <c r="A547" t="s">
        <v>8624</v>
      </c>
      <c r="B547" t="s">
        <v>1698</v>
      </c>
      <c r="C547" t="s">
        <v>1198</v>
      </c>
    </row>
    <row r="548" spans="1:3" x14ac:dyDescent="0.35">
      <c r="A548" t="s">
        <v>8627</v>
      </c>
      <c r="B548" t="s">
        <v>1701</v>
      </c>
      <c r="C548" t="s">
        <v>2759</v>
      </c>
    </row>
    <row r="549" spans="1:3" x14ac:dyDescent="0.35">
      <c r="A549" t="s">
        <v>8631</v>
      </c>
      <c r="B549" t="s">
        <v>1703</v>
      </c>
      <c r="C549" t="s">
        <v>2759</v>
      </c>
    </row>
    <row r="550" spans="1:3" x14ac:dyDescent="0.35">
      <c r="A550" t="s">
        <v>8635</v>
      </c>
      <c r="B550" t="s">
        <v>1706</v>
      </c>
      <c r="C550" t="s">
        <v>2374</v>
      </c>
    </row>
    <row r="551" spans="1:3" x14ac:dyDescent="0.35">
      <c r="A551" t="s">
        <v>8639</v>
      </c>
      <c r="B551" t="s">
        <v>1709</v>
      </c>
      <c r="C551" t="s">
        <v>2374</v>
      </c>
    </row>
    <row r="552" spans="1:3" x14ac:dyDescent="0.35">
      <c r="A552" t="s">
        <v>8642</v>
      </c>
      <c r="B552" t="s">
        <v>1712</v>
      </c>
      <c r="C552" t="s">
        <v>263</v>
      </c>
    </row>
    <row r="553" spans="1:3" x14ac:dyDescent="0.35">
      <c r="A553" t="s">
        <v>8645</v>
      </c>
      <c r="B553" t="s">
        <v>1714</v>
      </c>
      <c r="C553" t="s">
        <v>263</v>
      </c>
    </row>
    <row r="554" spans="1:3" x14ac:dyDescent="0.35">
      <c r="A554" t="s">
        <v>8648</v>
      </c>
      <c r="B554" t="s">
        <v>1717</v>
      </c>
      <c r="C554" t="s">
        <v>1198</v>
      </c>
    </row>
    <row r="555" spans="1:3" x14ac:dyDescent="0.35">
      <c r="A555" t="s">
        <v>8610</v>
      </c>
      <c r="B555" t="s">
        <v>1720</v>
      </c>
      <c r="C555" t="s">
        <v>1198</v>
      </c>
    </row>
    <row r="556" spans="1:3" x14ac:dyDescent="0.35">
      <c r="A556" t="s">
        <v>8614</v>
      </c>
      <c r="B556" t="s">
        <v>1723</v>
      </c>
      <c r="C556" t="s">
        <v>2374</v>
      </c>
    </row>
    <row r="557" spans="1:3" x14ac:dyDescent="0.35">
      <c r="A557" t="s">
        <v>8617</v>
      </c>
      <c r="B557" t="s">
        <v>1726</v>
      </c>
      <c r="C557" t="s">
        <v>2759</v>
      </c>
    </row>
    <row r="558" spans="1:3" x14ac:dyDescent="0.35">
      <c r="A558" t="s">
        <v>8621</v>
      </c>
      <c r="B558" t="s">
        <v>1728</v>
      </c>
      <c r="C558" t="s">
        <v>229</v>
      </c>
    </row>
    <row r="559" spans="1:3" x14ac:dyDescent="0.35">
      <c r="A559" t="s">
        <v>8624</v>
      </c>
      <c r="B559" t="s">
        <v>1732</v>
      </c>
      <c r="C559" t="s">
        <v>229</v>
      </c>
    </row>
    <row r="560" spans="1:3" x14ac:dyDescent="0.35">
      <c r="A560" t="s">
        <v>8627</v>
      </c>
      <c r="B560" t="s">
        <v>1735</v>
      </c>
      <c r="C560" t="s">
        <v>229</v>
      </c>
    </row>
    <row r="561" spans="1:3" x14ac:dyDescent="0.35">
      <c r="A561" t="s">
        <v>8631</v>
      </c>
      <c r="B561" t="s">
        <v>1738</v>
      </c>
      <c r="C561" t="s">
        <v>229</v>
      </c>
    </row>
    <row r="562" spans="1:3" x14ac:dyDescent="0.35">
      <c r="A562" t="s">
        <v>8635</v>
      </c>
      <c r="B562" t="s">
        <v>1741</v>
      </c>
      <c r="C562" t="s">
        <v>229</v>
      </c>
    </row>
    <row r="563" spans="1:3" x14ac:dyDescent="0.35">
      <c r="A563" t="s">
        <v>8639</v>
      </c>
      <c r="B563" t="s">
        <v>1744</v>
      </c>
      <c r="C563" t="s">
        <v>229</v>
      </c>
    </row>
    <row r="564" spans="1:3" x14ac:dyDescent="0.35">
      <c r="A564" t="s">
        <v>8642</v>
      </c>
      <c r="B564" t="s">
        <v>1747</v>
      </c>
      <c r="C564" t="s">
        <v>2759</v>
      </c>
    </row>
    <row r="565" spans="1:3" x14ac:dyDescent="0.35">
      <c r="A565" t="s">
        <v>8645</v>
      </c>
      <c r="B565" t="s">
        <v>1524</v>
      </c>
      <c r="C565" t="s">
        <v>2759</v>
      </c>
    </row>
    <row r="566" spans="1:3" x14ac:dyDescent="0.35">
      <c r="A566" t="s">
        <v>8648</v>
      </c>
      <c r="B566" t="s">
        <v>1528</v>
      </c>
      <c r="C566" t="s">
        <v>229</v>
      </c>
    </row>
    <row r="567" spans="1:3" x14ac:dyDescent="0.35">
      <c r="A567" t="s">
        <v>8610</v>
      </c>
      <c r="B567" t="s">
        <v>1532</v>
      </c>
      <c r="C567" t="s">
        <v>229</v>
      </c>
    </row>
    <row r="568" spans="1:3" x14ac:dyDescent="0.35">
      <c r="A568" t="s">
        <v>8614</v>
      </c>
      <c r="B568" t="s">
        <v>1536</v>
      </c>
      <c r="C568" t="s">
        <v>229</v>
      </c>
    </row>
    <row r="569" spans="1:3" x14ac:dyDescent="0.35">
      <c r="A569" t="s">
        <v>8617</v>
      </c>
      <c r="B569" t="s">
        <v>1540</v>
      </c>
      <c r="C569" t="s">
        <v>229</v>
      </c>
    </row>
    <row r="570" spans="1:3" x14ac:dyDescent="0.35">
      <c r="A570" t="s">
        <v>8621</v>
      </c>
      <c r="B570" t="s">
        <v>1545</v>
      </c>
      <c r="C570" t="s">
        <v>2374</v>
      </c>
    </row>
    <row r="571" spans="1:3" x14ac:dyDescent="0.35">
      <c r="A571" t="s">
        <v>8624</v>
      </c>
      <c r="B571" t="s">
        <v>1548</v>
      </c>
      <c r="C571" t="s">
        <v>2374</v>
      </c>
    </row>
    <row r="572" spans="1:3" x14ac:dyDescent="0.35">
      <c r="A572" t="s">
        <v>8627</v>
      </c>
      <c r="B572" t="s">
        <v>1552</v>
      </c>
      <c r="C572" t="s">
        <v>2374</v>
      </c>
    </row>
    <row r="573" spans="1:3" x14ac:dyDescent="0.35">
      <c r="A573" t="s">
        <v>8631</v>
      </c>
      <c r="B573" t="s">
        <v>1555</v>
      </c>
      <c r="C573" t="s">
        <v>2374</v>
      </c>
    </row>
    <row r="574" spans="1:3" x14ac:dyDescent="0.35">
      <c r="A574" t="s">
        <v>8635</v>
      </c>
      <c r="B574" t="s">
        <v>1558</v>
      </c>
      <c r="C574" t="s">
        <v>2759</v>
      </c>
    </row>
    <row r="575" spans="1:3" x14ac:dyDescent="0.35">
      <c r="A575" t="s">
        <v>8639</v>
      </c>
      <c r="B575" t="s">
        <v>1562</v>
      </c>
      <c r="C575" t="s">
        <v>229</v>
      </c>
    </row>
    <row r="576" spans="1:3" x14ac:dyDescent="0.35">
      <c r="A576" t="s">
        <v>8642</v>
      </c>
      <c r="B576" t="s">
        <v>1568</v>
      </c>
      <c r="C576" t="s">
        <v>229</v>
      </c>
    </row>
    <row r="577" spans="1:3" x14ac:dyDescent="0.35">
      <c r="A577" t="s">
        <v>8645</v>
      </c>
      <c r="B577" t="s">
        <v>1572</v>
      </c>
      <c r="C577" t="s">
        <v>229</v>
      </c>
    </row>
    <row r="578" spans="1:3" x14ac:dyDescent="0.35">
      <c r="A578" t="s">
        <v>8648</v>
      </c>
      <c r="B578" t="s">
        <v>1577</v>
      </c>
      <c r="C578" t="s">
        <v>229</v>
      </c>
    </row>
    <row r="579" spans="1:3" x14ac:dyDescent="0.35">
      <c r="A579" t="s">
        <v>8610</v>
      </c>
      <c r="B579" t="s">
        <v>1581</v>
      </c>
      <c r="C579" t="s">
        <v>229</v>
      </c>
    </row>
    <row r="580" spans="1:3" x14ac:dyDescent="0.35">
      <c r="A580" t="s">
        <v>8614</v>
      </c>
      <c r="B580" t="s">
        <v>1585</v>
      </c>
      <c r="C580" t="s">
        <v>2759</v>
      </c>
    </row>
    <row r="581" spans="1:3" x14ac:dyDescent="0.35">
      <c r="A581" t="s">
        <v>8617</v>
      </c>
      <c r="B581" t="s">
        <v>1589</v>
      </c>
      <c r="C581" t="s">
        <v>229</v>
      </c>
    </row>
    <row r="582" spans="1:3" x14ac:dyDescent="0.35">
      <c r="A582" t="s">
        <v>8621</v>
      </c>
      <c r="B582" t="s">
        <v>1594</v>
      </c>
      <c r="C582" t="s">
        <v>229</v>
      </c>
    </row>
    <row r="583" spans="1:3" x14ac:dyDescent="0.35">
      <c r="A583" t="s">
        <v>8624</v>
      </c>
      <c r="B583" t="s">
        <v>1598</v>
      </c>
      <c r="C583" t="s">
        <v>229</v>
      </c>
    </row>
    <row r="584" spans="1:3" x14ac:dyDescent="0.35">
      <c r="A584" t="s">
        <v>8627</v>
      </c>
      <c r="B584" t="s">
        <v>1602</v>
      </c>
      <c r="C584" t="s">
        <v>2759</v>
      </c>
    </row>
    <row r="585" spans="1:3" x14ac:dyDescent="0.35">
      <c r="A585" t="s">
        <v>8631</v>
      </c>
      <c r="B585" t="s">
        <v>1606</v>
      </c>
      <c r="C585" t="s">
        <v>241</v>
      </c>
    </row>
    <row r="586" spans="1:3" x14ac:dyDescent="0.35">
      <c r="A586" t="s">
        <v>8635</v>
      </c>
      <c r="B586" t="s">
        <v>1609</v>
      </c>
      <c r="C586" t="s">
        <v>229</v>
      </c>
    </row>
    <row r="587" spans="1:3" x14ac:dyDescent="0.35">
      <c r="A587" t="s">
        <v>8639</v>
      </c>
      <c r="B587" t="s">
        <v>1612</v>
      </c>
      <c r="C587" t="s">
        <v>2759</v>
      </c>
    </row>
    <row r="588" spans="1:3" x14ac:dyDescent="0.35">
      <c r="A588" t="s">
        <v>8642</v>
      </c>
      <c r="B588" t="s">
        <v>1615</v>
      </c>
      <c r="C588" t="s">
        <v>241</v>
      </c>
    </row>
    <row r="589" spans="1:3" x14ac:dyDescent="0.35">
      <c r="A589" t="s">
        <v>8645</v>
      </c>
      <c r="B589" t="s">
        <v>1618</v>
      </c>
      <c r="C589" t="s">
        <v>263</v>
      </c>
    </row>
    <row r="590" spans="1:3" x14ac:dyDescent="0.35">
      <c r="A590" t="s">
        <v>8648</v>
      </c>
      <c r="B590" t="s">
        <v>1621</v>
      </c>
      <c r="C590" t="s">
        <v>2759</v>
      </c>
    </row>
    <row r="591" spans="1:3" x14ac:dyDescent="0.35">
      <c r="A591" t="s">
        <v>8610</v>
      </c>
      <c r="B591" t="s">
        <v>1624</v>
      </c>
      <c r="C591" t="s">
        <v>241</v>
      </c>
    </row>
    <row r="592" spans="1:3" x14ac:dyDescent="0.35">
      <c r="A592" t="s">
        <v>8614</v>
      </c>
      <c r="B592" t="s">
        <v>1627</v>
      </c>
      <c r="C592" t="s">
        <v>2759</v>
      </c>
    </row>
    <row r="593" spans="1:3" x14ac:dyDescent="0.35">
      <c r="A593" t="s">
        <v>8617</v>
      </c>
      <c r="B593" t="s">
        <v>1631</v>
      </c>
      <c r="C593" t="s">
        <v>241</v>
      </c>
    </row>
    <row r="594" spans="1:3" x14ac:dyDescent="0.35">
      <c r="A594" t="s">
        <v>8621</v>
      </c>
      <c r="B594" t="s">
        <v>1634</v>
      </c>
      <c r="C594" t="s">
        <v>263</v>
      </c>
    </row>
    <row r="595" spans="1:3" x14ac:dyDescent="0.35">
      <c r="A595" t="s">
        <v>8624</v>
      </c>
      <c r="B595" t="s">
        <v>1637</v>
      </c>
      <c r="C595" t="s">
        <v>2759</v>
      </c>
    </row>
    <row r="596" spans="1:3" x14ac:dyDescent="0.35">
      <c r="A596" t="s">
        <v>8627</v>
      </c>
      <c r="B596" t="s">
        <v>1640</v>
      </c>
      <c r="C596" t="s">
        <v>263</v>
      </c>
    </row>
    <row r="597" spans="1:3" x14ac:dyDescent="0.35">
      <c r="A597" t="s">
        <v>8631</v>
      </c>
      <c r="B597" t="s">
        <v>1643</v>
      </c>
      <c r="C597" t="s">
        <v>2759</v>
      </c>
    </row>
    <row r="598" spans="1:3" x14ac:dyDescent="0.35">
      <c r="A598" t="s">
        <v>8635</v>
      </c>
      <c r="B598" t="s">
        <v>1646</v>
      </c>
      <c r="C598" t="s">
        <v>263</v>
      </c>
    </row>
    <row r="599" spans="1:3" x14ac:dyDescent="0.35">
      <c r="A599" t="s">
        <v>8639</v>
      </c>
      <c r="B599" t="s">
        <v>1649</v>
      </c>
      <c r="C599" t="s">
        <v>229</v>
      </c>
    </row>
    <row r="600" spans="1:3" x14ac:dyDescent="0.35">
      <c r="A600" t="s">
        <v>8642</v>
      </c>
      <c r="B600" t="s">
        <v>1652</v>
      </c>
      <c r="C600" t="s">
        <v>2759</v>
      </c>
    </row>
    <row r="601" spans="1:3" x14ac:dyDescent="0.35">
      <c r="A601" t="s">
        <v>8645</v>
      </c>
      <c r="B601" t="s">
        <v>1655</v>
      </c>
      <c r="C601" t="s">
        <v>241</v>
      </c>
    </row>
    <row r="602" spans="1:3" x14ac:dyDescent="0.35">
      <c r="A602" t="s">
        <v>8648</v>
      </c>
      <c r="B602" t="s">
        <v>1658</v>
      </c>
      <c r="C602" t="s">
        <v>2759</v>
      </c>
    </row>
    <row r="603" spans="1:3" x14ac:dyDescent="0.35">
      <c r="A603" t="s">
        <v>8610</v>
      </c>
      <c r="B603" t="s">
        <v>1662</v>
      </c>
      <c r="C603" t="s">
        <v>229</v>
      </c>
    </row>
    <row r="604" spans="1:3" x14ac:dyDescent="0.35">
      <c r="A604" t="s">
        <v>8614</v>
      </c>
      <c r="B604" t="s">
        <v>1665</v>
      </c>
      <c r="C604" t="s">
        <v>229</v>
      </c>
    </row>
    <row r="605" spans="1:3" x14ac:dyDescent="0.35">
      <c r="A605" t="s">
        <v>8617</v>
      </c>
      <c r="B605" t="s">
        <v>1668</v>
      </c>
      <c r="C605" t="s">
        <v>263</v>
      </c>
    </row>
    <row r="606" spans="1:3" x14ac:dyDescent="0.35">
      <c r="A606" t="s">
        <v>8621</v>
      </c>
      <c r="B606" t="s">
        <v>1671</v>
      </c>
      <c r="C606" t="s">
        <v>241</v>
      </c>
    </row>
    <row r="607" spans="1:3" x14ac:dyDescent="0.35">
      <c r="A607" t="s">
        <v>8624</v>
      </c>
      <c r="B607" t="s">
        <v>1674</v>
      </c>
      <c r="C607" t="s">
        <v>263</v>
      </c>
    </row>
    <row r="608" spans="1:3" x14ac:dyDescent="0.35">
      <c r="A608" t="s">
        <v>8627</v>
      </c>
      <c r="B608" t="s">
        <v>1677</v>
      </c>
      <c r="C608" t="s">
        <v>263</v>
      </c>
    </row>
    <row r="609" spans="1:3" x14ac:dyDescent="0.35">
      <c r="A609" t="s">
        <v>8631</v>
      </c>
      <c r="B609" t="s">
        <v>1680</v>
      </c>
      <c r="C609" t="s">
        <v>241</v>
      </c>
    </row>
    <row r="610" spans="1:3" x14ac:dyDescent="0.35">
      <c r="A610" t="s">
        <v>8635</v>
      </c>
      <c r="B610" t="s">
        <v>1683</v>
      </c>
      <c r="C610" t="s">
        <v>263</v>
      </c>
    </row>
    <row r="611" spans="1:3" x14ac:dyDescent="0.35">
      <c r="A611" t="s">
        <v>8639</v>
      </c>
      <c r="B611" t="s">
        <v>1686</v>
      </c>
      <c r="C611" t="s">
        <v>263</v>
      </c>
    </row>
    <row r="612" spans="1:3" x14ac:dyDescent="0.35">
      <c r="A612" t="s">
        <v>8642</v>
      </c>
      <c r="B612" t="s">
        <v>1689</v>
      </c>
      <c r="C612" t="s">
        <v>241</v>
      </c>
    </row>
    <row r="613" spans="1:3" x14ac:dyDescent="0.35">
      <c r="A613" t="s">
        <v>8645</v>
      </c>
      <c r="B613" t="s">
        <v>1692</v>
      </c>
      <c r="C613" t="s">
        <v>2374</v>
      </c>
    </row>
    <row r="614" spans="1:3" x14ac:dyDescent="0.35">
      <c r="A614" t="s">
        <v>8648</v>
      </c>
      <c r="B614" t="s">
        <v>1695</v>
      </c>
      <c r="C614" t="s">
        <v>2374</v>
      </c>
    </row>
    <row r="615" spans="1:3" x14ac:dyDescent="0.35">
      <c r="A615" t="s">
        <v>8610</v>
      </c>
      <c r="B615" t="s">
        <v>1698</v>
      </c>
      <c r="C615" t="s">
        <v>2759</v>
      </c>
    </row>
    <row r="616" spans="1:3" x14ac:dyDescent="0.35">
      <c r="A616" t="s">
        <v>8614</v>
      </c>
      <c r="B616" t="s">
        <v>1701</v>
      </c>
      <c r="C616" t="s">
        <v>2759</v>
      </c>
    </row>
    <row r="617" spans="1:3" x14ac:dyDescent="0.35">
      <c r="A617" t="s">
        <v>8617</v>
      </c>
      <c r="B617" t="s">
        <v>1703</v>
      </c>
      <c r="C617" t="s">
        <v>229</v>
      </c>
    </row>
    <row r="618" spans="1:3" x14ac:dyDescent="0.35">
      <c r="A618" t="s">
        <v>8621</v>
      </c>
      <c r="B618" t="s">
        <v>1706</v>
      </c>
      <c r="C618" t="s">
        <v>229</v>
      </c>
    </row>
    <row r="619" spans="1:3" x14ac:dyDescent="0.35">
      <c r="A619" t="s">
        <v>8624</v>
      </c>
      <c r="B619" t="s">
        <v>1709</v>
      </c>
      <c r="C619" t="s">
        <v>229</v>
      </c>
    </row>
    <row r="620" spans="1:3" x14ac:dyDescent="0.35">
      <c r="A620" t="s">
        <v>8627</v>
      </c>
      <c r="B620" t="s">
        <v>1712</v>
      </c>
      <c r="C620" t="s">
        <v>241</v>
      </c>
    </row>
    <row r="621" spans="1:3" x14ac:dyDescent="0.35">
      <c r="A621" t="s">
        <v>8631</v>
      </c>
      <c r="B621" t="s">
        <v>1714</v>
      </c>
      <c r="C621" t="s">
        <v>248</v>
      </c>
    </row>
    <row r="622" spans="1:3" x14ac:dyDescent="0.35">
      <c r="A622" t="s">
        <v>8635</v>
      </c>
      <c r="B622" t="s">
        <v>1717</v>
      </c>
      <c r="C622" t="s">
        <v>229</v>
      </c>
    </row>
    <row r="623" spans="1:3" x14ac:dyDescent="0.35">
      <c r="A623" t="s">
        <v>8639</v>
      </c>
      <c r="B623" t="s">
        <v>1720</v>
      </c>
      <c r="C623" t="s">
        <v>2759</v>
      </c>
    </row>
    <row r="624" spans="1:3" x14ac:dyDescent="0.35">
      <c r="A624" t="s">
        <v>8642</v>
      </c>
      <c r="B624" t="s">
        <v>1723</v>
      </c>
      <c r="C624" t="s">
        <v>229</v>
      </c>
    </row>
    <row r="625" spans="1:3" x14ac:dyDescent="0.35">
      <c r="A625" t="s">
        <v>8645</v>
      </c>
      <c r="B625" t="s">
        <v>1726</v>
      </c>
      <c r="C625" t="s">
        <v>229</v>
      </c>
    </row>
    <row r="626" spans="1:3" x14ac:dyDescent="0.35">
      <c r="A626" t="s">
        <v>8648</v>
      </c>
      <c r="B626" t="s">
        <v>1728</v>
      </c>
      <c r="C626" t="s">
        <v>241</v>
      </c>
    </row>
    <row r="627" spans="1:3" x14ac:dyDescent="0.35">
      <c r="A627" t="s">
        <v>8610</v>
      </c>
      <c r="B627" t="s">
        <v>1732</v>
      </c>
      <c r="C627" t="s">
        <v>2374</v>
      </c>
    </row>
    <row r="628" spans="1:3" x14ac:dyDescent="0.35">
      <c r="A628" t="s">
        <v>8614</v>
      </c>
      <c r="B628" t="s">
        <v>1735</v>
      </c>
      <c r="C628" t="s">
        <v>2374</v>
      </c>
    </row>
    <row r="629" spans="1:3" x14ac:dyDescent="0.35">
      <c r="A629" t="s">
        <v>8617</v>
      </c>
      <c r="B629" t="s">
        <v>1738</v>
      </c>
      <c r="C629" t="s">
        <v>2759</v>
      </c>
    </row>
    <row r="630" spans="1:3" x14ac:dyDescent="0.35">
      <c r="A630" t="s">
        <v>8621</v>
      </c>
      <c r="B630" t="s">
        <v>1741</v>
      </c>
      <c r="C630" t="s">
        <v>229</v>
      </c>
    </row>
    <row r="631" spans="1:3" x14ac:dyDescent="0.35">
      <c r="A631" t="s">
        <v>8624</v>
      </c>
      <c r="B631" t="s">
        <v>1744</v>
      </c>
      <c r="C631" t="s">
        <v>229</v>
      </c>
    </row>
    <row r="632" spans="1:3" x14ac:dyDescent="0.35">
      <c r="A632" t="s">
        <v>8627</v>
      </c>
      <c r="B632" t="s">
        <v>1747</v>
      </c>
      <c r="C632" t="s">
        <v>2759</v>
      </c>
    </row>
    <row r="633" spans="1:3" x14ac:dyDescent="0.35">
      <c r="A633" t="s">
        <v>8631</v>
      </c>
      <c r="B633" t="s">
        <v>1524</v>
      </c>
      <c r="C633" t="s">
        <v>2759</v>
      </c>
    </row>
    <row r="634" spans="1:3" x14ac:dyDescent="0.35">
      <c r="A634" t="s">
        <v>8635</v>
      </c>
      <c r="B634" t="s">
        <v>1528</v>
      </c>
      <c r="C634" t="s">
        <v>229</v>
      </c>
    </row>
    <row r="635" spans="1:3" x14ac:dyDescent="0.35">
      <c r="A635" t="s">
        <v>8639</v>
      </c>
      <c r="B635" t="s">
        <v>1532</v>
      </c>
      <c r="C635" t="s">
        <v>229</v>
      </c>
    </row>
    <row r="636" spans="1:3" x14ac:dyDescent="0.35">
      <c r="A636" t="s">
        <v>8642</v>
      </c>
      <c r="B636" t="s">
        <v>1536</v>
      </c>
      <c r="C636" t="s">
        <v>2759</v>
      </c>
    </row>
    <row r="637" spans="1:3" x14ac:dyDescent="0.35">
      <c r="A637" t="s">
        <v>8645</v>
      </c>
      <c r="B637" t="s">
        <v>1540</v>
      </c>
      <c r="C637" t="s">
        <v>229</v>
      </c>
    </row>
    <row r="638" spans="1:3" x14ac:dyDescent="0.35">
      <c r="A638" t="s">
        <v>8648</v>
      </c>
      <c r="B638" t="s">
        <v>1545</v>
      </c>
      <c r="C638" t="s">
        <v>229</v>
      </c>
    </row>
    <row r="639" spans="1:3" x14ac:dyDescent="0.35">
      <c r="A639" t="s">
        <v>8610</v>
      </c>
      <c r="B639" t="s">
        <v>1548</v>
      </c>
      <c r="C639" t="s">
        <v>229</v>
      </c>
    </row>
    <row r="640" spans="1:3" x14ac:dyDescent="0.35">
      <c r="A640" t="s">
        <v>8614</v>
      </c>
      <c r="B640" t="s">
        <v>1552</v>
      </c>
      <c r="C640" t="s">
        <v>2759</v>
      </c>
    </row>
    <row r="641" spans="1:3" x14ac:dyDescent="0.35">
      <c r="A641" t="s">
        <v>8617</v>
      </c>
      <c r="B641" t="s">
        <v>1555</v>
      </c>
      <c r="C641" t="s">
        <v>229</v>
      </c>
    </row>
    <row r="642" spans="1:3" x14ac:dyDescent="0.35">
      <c r="A642" t="s">
        <v>8621</v>
      </c>
      <c r="B642" t="s">
        <v>1558</v>
      </c>
      <c r="C642" t="s">
        <v>229</v>
      </c>
    </row>
    <row r="643" spans="1:3" x14ac:dyDescent="0.35">
      <c r="A643" t="s">
        <v>8624</v>
      </c>
      <c r="B643" t="s">
        <v>1562</v>
      </c>
      <c r="C643" t="s">
        <v>229</v>
      </c>
    </row>
    <row r="644" spans="1:3" x14ac:dyDescent="0.35">
      <c r="A644" t="s">
        <v>8627</v>
      </c>
      <c r="B644" t="s">
        <v>1568</v>
      </c>
      <c r="C644" t="s">
        <v>229</v>
      </c>
    </row>
    <row r="645" spans="1:3" x14ac:dyDescent="0.35">
      <c r="A645" t="s">
        <v>8631</v>
      </c>
      <c r="B645" t="s">
        <v>1572</v>
      </c>
      <c r="C645" t="s">
        <v>229</v>
      </c>
    </row>
    <row r="646" spans="1:3" x14ac:dyDescent="0.35">
      <c r="A646" t="s">
        <v>8635</v>
      </c>
      <c r="B646" t="s">
        <v>1577</v>
      </c>
      <c r="C646" t="s">
        <v>229</v>
      </c>
    </row>
    <row r="647" spans="1:3" x14ac:dyDescent="0.35">
      <c r="A647" t="s">
        <v>8639</v>
      </c>
      <c r="B647" t="s">
        <v>1581</v>
      </c>
      <c r="C647" t="s">
        <v>229</v>
      </c>
    </row>
    <row r="648" spans="1:3" x14ac:dyDescent="0.35">
      <c r="A648" t="s">
        <v>8642</v>
      </c>
      <c r="B648" t="s">
        <v>1585</v>
      </c>
      <c r="C648" t="s">
        <v>2759</v>
      </c>
    </row>
    <row r="649" spans="1:3" x14ac:dyDescent="0.35">
      <c r="A649" t="s">
        <v>8645</v>
      </c>
      <c r="B649" t="s">
        <v>1589</v>
      </c>
      <c r="C649" t="s">
        <v>229</v>
      </c>
    </row>
    <row r="650" spans="1:3" x14ac:dyDescent="0.35">
      <c r="A650" t="s">
        <v>8648</v>
      </c>
      <c r="B650" t="s">
        <v>1594</v>
      </c>
      <c r="C650" t="s">
        <v>4537</v>
      </c>
    </row>
    <row r="651" spans="1:3" x14ac:dyDescent="0.35">
      <c r="A651" t="s">
        <v>8610</v>
      </c>
      <c r="B651" t="s">
        <v>1598</v>
      </c>
      <c r="C651" t="s">
        <v>4541</v>
      </c>
    </row>
    <row r="652" spans="1:3" x14ac:dyDescent="0.35">
      <c r="A652" t="s">
        <v>8614</v>
      </c>
      <c r="B652" t="s">
        <v>1602</v>
      </c>
      <c r="C652" t="s">
        <v>4545</v>
      </c>
    </row>
    <row r="653" spans="1:3" x14ac:dyDescent="0.35">
      <c r="A653" t="s">
        <v>8617</v>
      </c>
      <c r="B653" t="s">
        <v>1606</v>
      </c>
      <c r="C653" t="s">
        <v>4549</v>
      </c>
    </row>
    <row r="654" spans="1:3" x14ac:dyDescent="0.35">
      <c r="A654" t="s">
        <v>8621</v>
      </c>
      <c r="B654" t="s">
        <v>1609</v>
      </c>
      <c r="C654" t="s">
        <v>4553</v>
      </c>
    </row>
    <row r="655" spans="1:3" x14ac:dyDescent="0.35">
      <c r="A655" t="s">
        <v>8624</v>
      </c>
      <c r="B655" t="s">
        <v>1612</v>
      </c>
      <c r="C655" t="s">
        <v>4557</v>
      </c>
    </row>
    <row r="656" spans="1:3" x14ac:dyDescent="0.35">
      <c r="A656" t="s">
        <v>8627</v>
      </c>
      <c r="B656" t="s">
        <v>1615</v>
      </c>
      <c r="C656" t="s">
        <v>4561</v>
      </c>
    </row>
    <row r="657" spans="1:3" x14ac:dyDescent="0.35">
      <c r="A657" t="s">
        <v>8631</v>
      </c>
      <c r="B657" t="s">
        <v>1618</v>
      </c>
      <c r="C657" t="s">
        <v>4565</v>
      </c>
    </row>
    <row r="658" spans="1:3" x14ac:dyDescent="0.35">
      <c r="A658" t="s">
        <v>8635</v>
      </c>
      <c r="B658" t="s">
        <v>1621</v>
      </c>
      <c r="C658" t="s">
        <v>4569</v>
      </c>
    </row>
    <row r="659" spans="1:3" x14ac:dyDescent="0.35">
      <c r="A659" t="s">
        <v>8639</v>
      </c>
      <c r="B659" t="s">
        <v>1624</v>
      </c>
    </row>
    <row r="660" spans="1:3" x14ac:dyDescent="0.35">
      <c r="A660" t="s">
        <v>8642</v>
      </c>
      <c r="B660" t="s">
        <v>1627</v>
      </c>
    </row>
    <row r="661" spans="1:3" x14ac:dyDescent="0.35">
      <c r="A661" t="s">
        <v>8645</v>
      </c>
      <c r="B661" t="s">
        <v>1631</v>
      </c>
    </row>
    <row r="662" spans="1:3" x14ac:dyDescent="0.35">
      <c r="A662" t="s">
        <v>8648</v>
      </c>
      <c r="B662" t="s">
        <v>1634</v>
      </c>
    </row>
    <row r="663" spans="1:3" x14ac:dyDescent="0.35">
      <c r="A663" t="s">
        <v>8610</v>
      </c>
      <c r="B663" t="s">
        <v>1637</v>
      </c>
    </row>
    <row r="664" spans="1:3" x14ac:dyDescent="0.35">
      <c r="A664" t="s">
        <v>8614</v>
      </c>
      <c r="B664" t="s">
        <v>1640</v>
      </c>
    </row>
    <row r="665" spans="1:3" x14ac:dyDescent="0.35">
      <c r="A665" t="s">
        <v>8617</v>
      </c>
      <c r="B665" t="s">
        <v>1643</v>
      </c>
    </row>
    <row r="666" spans="1:3" x14ac:dyDescent="0.35">
      <c r="A666" t="s">
        <v>8621</v>
      </c>
      <c r="B666" t="s">
        <v>1646</v>
      </c>
    </row>
    <row r="667" spans="1:3" x14ac:dyDescent="0.35">
      <c r="A667" t="s">
        <v>8624</v>
      </c>
      <c r="B667" t="s">
        <v>1649</v>
      </c>
    </row>
    <row r="668" spans="1:3" x14ac:dyDescent="0.35">
      <c r="A668" t="s">
        <v>8627</v>
      </c>
      <c r="B668" t="s">
        <v>1652</v>
      </c>
    </row>
    <row r="669" spans="1:3" x14ac:dyDescent="0.35">
      <c r="A669" t="s">
        <v>8631</v>
      </c>
      <c r="B669" t="s">
        <v>1655</v>
      </c>
    </row>
    <row r="670" spans="1:3" x14ac:dyDescent="0.35">
      <c r="A670" t="s">
        <v>8635</v>
      </c>
      <c r="B670" t="s">
        <v>1658</v>
      </c>
    </row>
    <row r="671" spans="1:3" x14ac:dyDescent="0.35">
      <c r="A671" t="s">
        <v>8639</v>
      </c>
      <c r="B671" t="s">
        <v>1662</v>
      </c>
    </row>
    <row r="672" spans="1:3" x14ac:dyDescent="0.35">
      <c r="A672" t="s">
        <v>8642</v>
      </c>
      <c r="B672" t="s">
        <v>1665</v>
      </c>
    </row>
    <row r="673" spans="1:2" x14ac:dyDescent="0.35">
      <c r="A673" t="s">
        <v>8645</v>
      </c>
      <c r="B673" t="s">
        <v>1668</v>
      </c>
    </row>
    <row r="674" spans="1:2" x14ac:dyDescent="0.35">
      <c r="A674" t="s">
        <v>8648</v>
      </c>
      <c r="B674" t="s">
        <v>1671</v>
      </c>
    </row>
    <row r="675" spans="1:2" x14ac:dyDescent="0.35">
      <c r="A675" t="s">
        <v>8610</v>
      </c>
      <c r="B675" t="s">
        <v>1674</v>
      </c>
    </row>
    <row r="676" spans="1:2" x14ac:dyDescent="0.35">
      <c r="A676" t="s">
        <v>8614</v>
      </c>
      <c r="B676" t="s">
        <v>1677</v>
      </c>
    </row>
    <row r="677" spans="1:2" x14ac:dyDescent="0.35">
      <c r="A677" t="s">
        <v>8617</v>
      </c>
      <c r="B677" t="s">
        <v>1680</v>
      </c>
    </row>
    <row r="678" spans="1:2" x14ac:dyDescent="0.35">
      <c r="A678" t="s">
        <v>8621</v>
      </c>
      <c r="B678" t="s">
        <v>1683</v>
      </c>
    </row>
    <row r="679" spans="1:2" x14ac:dyDescent="0.35">
      <c r="A679" t="s">
        <v>8624</v>
      </c>
      <c r="B679" t="s">
        <v>1686</v>
      </c>
    </row>
    <row r="680" spans="1:2" x14ac:dyDescent="0.35">
      <c r="A680" t="s">
        <v>8627</v>
      </c>
      <c r="B680" t="s">
        <v>1689</v>
      </c>
    </row>
    <row r="681" spans="1:2" x14ac:dyDescent="0.35">
      <c r="A681" t="s">
        <v>8631</v>
      </c>
      <c r="B681" t="s">
        <v>1692</v>
      </c>
    </row>
    <row r="682" spans="1:2" x14ac:dyDescent="0.35">
      <c r="A682" t="s">
        <v>8635</v>
      </c>
      <c r="B682" t="s">
        <v>1695</v>
      </c>
    </row>
    <row r="683" spans="1:2" x14ac:dyDescent="0.35">
      <c r="A683" t="s">
        <v>8639</v>
      </c>
      <c r="B683" t="s">
        <v>1698</v>
      </c>
    </row>
    <row r="684" spans="1:2" x14ac:dyDescent="0.35">
      <c r="A684" t="s">
        <v>8642</v>
      </c>
      <c r="B684" t="s">
        <v>1701</v>
      </c>
    </row>
    <row r="685" spans="1:2" x14ac:dyDescent="0.35">
      <c r="A685" t="s">
        <v>8645</v>
      </c>
      <c r="B685" t="s">
        <v>1703</v>
      </c>
    </row>
    <row r="686" spans="1:2" x14ac:dyDescent="0.35">
      <c r="A686" t="s">
        <v>8648</v>
      </c>
      <c r="B686" t="s">
        <v>1706</v>
      </c>
    </row>
    <row r="687" spans="1:2" x14ac:dyDescent="0.35">
      <c r="A687" t="s">
        <v>8610</v>
      </c>
      <c r="B687" t="s">
        <v>1709</v>
      </c>
    </row>
    <row r="688" spans="1:2" x14ac:dyDescent="0.35">
      <c r="A688" t="s">
        <v>8614</v>
      </c>
      <c r="B688" t="s">
        <v>1712</v>
      </c>
    </row>
    <row r="689" spans="1:2" x14ac:dyDescent="0.35">
      <c r="A689" t="s">
        <v>8617</v>
      </c>
      <c r="B689" t="s">
        <v>1714</v>
      </c>
    </row>
    <row r="690" spans="1:2" x14ac:dyDescent="0.35">
      <c r="A690" t="s">
        <v>8621</v>
      </c>
      <c r="B690" t="s">
        <v>1717</v>
      </c>
    </row>
    <row r="691" spans="1:2" x14ac:dyDescent="0.35">
      <c r="A691" t="s">
        <v>8624</v>
      </c>
      <c r="B691" t="s">
        <v>1720</v>
      </c>
    </row>
    <row r="692" spans="1:2" x14ac:dyDescent="0.35">
      <c r="A692" t="s">
        <v>8627</v>
      </c>
      <c r="B692" t="s">
        <v>1723</v>
      </c>
    </row>
    <row r="693" spans="1:2" x14ac:dyDescent="0.35">
      <c r="A693" t="s">
        <v>8631</v>
      </c>
      <c r="B693" t="s">
        <v>1726</v>
      </c>
    </row>
    <row r="694" spans="1:2" x14ac:dyDescent="0.35">
      <c r="A694" t="s">
        <v>8635</v>
      </c>
      <c r="B694" t="s">
        <v>1728</v>
      </c>
    </row>
    <row r="695" spans="1:2" x14ac:dyDescent="0.35">
      <c r="A695" t="s">
        <v>8639</v>
      </c>
      <c r="B695" t="s">
        <v>1732</v>
      </c>
    </row>
    <row r="696" spans="1:2" x14ac:dyDescent="0.35">
      <c r="A696" t="s">
        <v>8642</v>
      </c>
      <c r="B696" t="s">
        <v>1735</v>
      </c>
    </row>
    <row r="697" spans="1:2" x14ac:dyDescent="0.35">
      <c r="A697" t="s">
        <v>8645</v>
      </c>
      <c r="B697" t="s">
        <v>1738</v>
      </c>
    </row>
    <row r="698" spans="1:2" x14ac:dyDescent="0.35">
      <c r="A698" t="s">
        <v>8648</v>
      </c>
      <c r="B698" t="s">
        <v>1741</v>
      </c>
    </row>
    <row r="699" spans="1:2" x14ac:dyDescent="0.35">
      <c r="A699" t="s">
        <v>8610</v>
      </c>
      <c r="B699" t="s">
        <v>1744</v>
      </c>
    </row>
    <row r="700" spans="1:2" x14ac:dyDescent="0.35">
      <c r="A700" t="s">
        <v>8614</v>
      </c>
      <c r="B700" t="s">
        <v>1747</v>
      </c>
    </row>
    <row r="701" spans="1:2" x14ac:dyDescent="0.35">
      <c r="A701" t="s">
        <v>8617</v>
      </c>
      <c r="B701" t="s">
        <v>1524</v>
      </c>
    </row>
    <row r="702" spans="1:2" x14ac:dyDescent="0.35">
      <c r="A702" t="s">
        <v>8621</v>
      </c>
      <c r="B702" t="s">
        <v>1528</v>
      </c>
    </row>
    <row r="703" spans="1:2" x14ac:dyDescent="0.35">
      <c r="A703" t="s">
        <v>8624</v>
      </c>
      <c r="B703" t="s">
        <v>1532</v>
      </c>
    </row>
    <row r="704" spans="1:2" x14ac:dyDescent="0.35">
      <c r="A704" t="s">
        <v>8627</v>
      </c>
      <c r="B704" t="s">
        <v>1536</v>
      </c>
    </row>
    <row r="705" spans="1:2" x14ac:dyDescent="0.35">
      <c r="A705" t="s">
        <v>8631</v>
      </c>
      <c r="B705" t="s">
        <v>1540</v>
      </c>
    </row>
    <row r="706" spans="1:2" x14ac:dyDescent="0.35">
      <c r="A706" t="s">
        <v>8635</v>
      </c>
      <c r="B706" t="s">
        <v>1545</v>
      </c>
    </row>
    <row r="707" spans="1:2" x14ac:dyDescent="0.35">
      <c r="A707" t="s">
        <v>8639</v>
      </c>
      <c r="B707" t="s">
        <v>1548</v>
      </c>
    </row>
    <row r="708" spans="1:2" x14ac:dyDescent="0.35">
      <c r="A708" t="s">
        <v>8642</v>
      </c>
      <c r="B708" t="s">
        <v>1552</v>
      </c>
    </row>
    <row r="709" spans="1:2" x14ac:dyDescent="0.35">
      <c r="A709" t="s">
        <v>8645</v>
      </c>
      <c r="B709" t="s">
        <v>1555</v>
      </c>
    </row>
    <row r="710" spans="1:2" x14ac:dyDescent="0.35">
      <c r="A710" t="s">
        <v>8648</v>
      </c>
      <c r="B710" t="s">
        <v>1558</v>
      </c>
    </row>
    <row r="711" spans="1:2" x14ac:dyDescent="0.35">
      <c r="A711" t="s">
        <v>8610</v>
      </c>
      <c r="B711" t="s">
        <v>1562</v>
      </c>
    </row>
    <row r="712" spans="1:2" x14ac:dyDescent="0.35">
      <c r="A712" t="s">
        <v>8614</v>
      </c>
      <c r="B712" t="s">
        <v>1568</v>
      </c>
    </row>
    <row r="713" spans="1:2" x14ac:dyDescent="0.35">
      <c r="A713" t="s">
        <v>8617</v>
      </c>
      <c r="B713" t="s">
        <v>1572</v>
      </c>
    </row>
    <row r="714" spans="1:2" x14ac:dyDescent="0.35">
      <c r="A714" t="s">
        <v>8621</v>
      </c>
      <c r="B714" t="s">
        <v>1577</v>
      </c>
    </row>
    <row r="715" spans="1:2" x14ac:dyDescent="0.35">
      <c r="A715" t="s">
        <v>8624</v>
      </c>
      <c r="B715" t="s">
        <v>1581</v>
      </c>
    </row>
    <row r="716" spans="1:2" x14ac:dyDescent="0.35">
      <c r="A716" t="s">
        <v>8627</v>
      </c>
      <c r="B716" t="s">
        <v>1585</v>
      </c>
    </row>
    <row r="717" spans="1:2" x14ac:dyDescent="0.35">
      <c r="A717" t="s">
        <v>8631</v>
      </c>
      <c r="B717" t="s">
        <v>1589</v>
      </c>
    </row>
    <row r="718" spans="1:2" x14ac:dyDescent="0.35">
      <c r="A718" t="s">
        <v>8635</v>
      </c>
      <c r="B718" t="s">
        <v>1594</v>
      </c>
    </row>
    <row r="719" spans="1:2" x14ac:dyDescent="0.35">
      <c r="A719" t="s">
        <v>8639</v>
      </c>
      <c r="B719" t="s">
        <v>1598</v>
      </c>
    </row>
    <row r="720" spans="1:2" x14ac:dyDescent="0.35">
      <c r="A720" t="s">
        <v>8642</v>
      </c>
      <c r="B720" t="s">
        <v>1602</v>
      </c>
    </row>
    <row r="721" spans="1:2" x14ac:dyDescent="0.35">
      <c r="A721" t="s">
        <v>8645</v>
      </c>
      <c r="B721" t="s">
        <v>1606</v>
      </c>
    </row>
    <row r="722" spans="1:2" x14ac:dyDescent="0.35">
      <c r="A722" t="s">
        <v>8648</v>
      </c>
      <c r="B722" t="s">
        <v>1609</v>
      </c>
    </row>
    <row r="723" spans="1:2" x14ac:dyDescent="0.35">
      <c r="A723" t="s">
        <v>8610</v>
      </c>
      <c r="B723" t="s">
        <v>1612</v>
      </c>
    </row>
    <row r="724" spans="1:2" x14ac:dyDescent="0.35">
      <c r="A724" t="s">
        <v>8614</v>
      </c>
      <c r="B724" t="s">
        <v>1615</v>
      </c>
    </row>
    <row r="725" spans="1:2" x14ac:dyDescent="0.35">
      <c r="A725" t="s">
        <v>8617</v>
      </c>
      <c r="B725" t="s">
        <v>1618</v>
      </c>
    </row>
    <row r="726" spans="1:2" x14ac:dyDescent="0.35">
      <c r="A726" t="s">
        <v>8621</v>
      </c>
      <c r="B726" t="s">
        <v>1621</v>
      </c>
    </row>
    <row r="727" spans="1:2" x14ac:dyDescent="0.35">
      <c r="A727" t="s">
        <v>8624</v>
      </c>
      <c r="B727" t="s">
        <v>1624</v>
      </c>
    </row>
    <row r="728" spans="1:2" x14ac:dyDescent="0.35">
      <c r="A728" t="s">
        <v>8627</v>
      </c>
      <c r="B728" t="s">
        <v>1627</v>
      </c>
    </row>
    <row r="729" spans="1:2" x14ac:dyDescent="0.35">
      <c r="A729" t="s">
        <v>8631</v>
      </c>
      <c r="B729" t="s">
        <v>1631</v>
      </c>
    </row>
    <row r="730" spans="1:2" x14ac:dyDescent="0.35">
      <c r="A730" t="s">
        <v>8635</v>
      </c>
      <c r="B730" t="s">
        <v>1634</v>
      </c>
    </row>
    <row r="731" spans="1:2" x14ac:dyDescent="0.35">
      <c r="A731" t="s">
        <v>8639</v>
      </c>
      <c r="B731" t="s">
        <v>1637</v>
      </c>
    </row>
    <row r="732" spans="1:2" x14ac:dyDescent="0.35">
      <c r="A732" t="s">
        <v>8642</v>
      </c>
      <c r="B732" t="s">
        <v>1640</v>
      </c>
    </row>
    <row r="733" spans="1:2" x14ac:dyDescent="0.35">
      <c r="A733" t="s">
        <v>8645</v>
      </c>
      <c r="B733" t="s">
        <v>1643</v>
      </c>
    </row>
    <row r="734" spans="1:2" x14ac:dyDescent="0.35">
      <c r="A734" t="s">
        <v>8648</v>
      </c>
      <c r="B734" t="s">
        <v>1646</v>
      </c>
    </row>
    <row r="735" spans="1:2" x14ac:dyDescent="0.35">
      <c r="A735" t="s">
        <v>8610</v>
      </c>
      <c r="B735" t="s">
        <v>1649</v>
      </c>
    </row>
    <row r="736" spans="1:2" x14ac:dyDescent="0.35">
      <c r="A736" t="s">
        <v>8614</v>
      </c>
      <c r="B736" t="s">
        <v>1652</v>
      </c>
    </row>
    <row r="737" spans="1:2" x14ac:dyDescent="0.35">
      <c r="A737" t="s">
        <v>8617</v>
      </c>
      <c r="B737" t="s">
        <v>1655</v>
      </c>
    </row>
    <row r="738" spans="1:2" x14ac:dyDescent="0.35">
      <c r="A738" t="s">
        <v>8621</v>
      </c>
      <c r="B738" t="s">
        <v>1658</v>
      </c>
    </row>
    <row r="739" spans="1:2" x14ac:dyDescent="0.35">
      <c r="A739" t="s">
        <v>8624</v>
      </c>
      <c r="B739" t="s">
        <v>1662</v>
      </c>
    </row>
    <row r="740" spans="1:2" x14ac:dyDescent="0.35">
      <c r="A740" t="s">
        <v>8627</v>
      </c>
      <c r="B740" t="s">
        <v>1665</v>
      </c>
    </row>
    <row r="741" spans="1:2" x14ac:dyDescent="0.35">
      <c r="A741" t="s">
        <v>8631</v>
      </c>
      <c r="B741" t="s">
        <v>1668</v>
      </c>
    </row>
    <row r="742" spans="1:2" x14ac:dyDescent="0.35">
      <c r="A742" t="s">
        <v>8635</v>
      </c>
      <c r="B742" t="s">
        <v>1671</v>
      </c>
    </row>
    <row r="743" spans="1:2" x14ac:dyDescent="0.35">
      <c r="A743" t="s">
        <v>8639</v>
      </c>
      <c r="B743" t="s">
        <v>1674</v>
      </c>
    </row>
    <row r="744" spans="1:2" x14ac:dyDescent="0.35">
      <c r="A744" t="s">
        <v>8642</v>
      </c>
      <c r="B744" t="s">
        <v>1677</v>
      </c>
    </row>
    <row r="745" spans="1:2" x14ac:dyDescent="0.35">
      <c r="A745" t="s">
        <v>8645</v>
      </c>
      <c r="B745" t="s">
        <v>1680</v>
      </c>
    </row>
    <row r="746" spans="1:2" x14ac:dyDescent="0.35">
      <c r="A746" t="s">
        <v>8648</v>
      </c>
      <c r="B746" t="s">
        <v>1683</v>
      </c>
    </row>
    <row r="747" spans="1:2" x14ac:dyDescent="0.35">
      <c r="A747" t="s">
        <v>8610</v>
      </c>
      <c r="B747" t="s">
        <v>1686</v>
      </c>
    </row>
    <row r="748" spans="1:2" x14ac:dyDescent="0.35">
      <c r="A748" t="s">
        <v>8614</v>
      </c>
      <c r="B748" t="s">
        <v>1689</v>
      </c>
    </row>
    <row r="749" spans="1:2" x14ac:dyDescent="0.35">
      <c r="A749" t="s">
        <v>8617</v>
      </c>
      <c r="B749" t="s">
        <v>1692</v>
      </c>
    </row>
    <row r="750" spans="1:2" x14ac:dyDescent="0.35">
      <c r="A750" t="s">
        <v>8621</v>
      </c>
      <c r="B750" t="s">
        <v>1695</v>
      </c>
    </row>
    <row r="751" spans="1:2" x14ac:dyDescent="0.35">
      <c r="A751" t="s">
        <v>8624</v>
      </c>
      <c r="B751" t="s">
        <v>1698</v>
      </c>
    </row>
    <row r="752" spans="1:2" x14ac:dyDescent="0.35">
      <c r="A752" t="s">
        <v>8627</v>
      </c>
      <c r="B752" t="s">
        <v>1701</v>
      </c>
    </row>
    <row r="753" spans="1:2" x14ac:dyDescent="0.35">
      <c r="A753" t="s">
        <v>8631</v>
      </c>
      <c r="B753" t="s">
        <v>1703</v>
      </c>
    </row>
    <row r="754" spans="1:2" x14ac:dyDescent="0.35">
      <c r="A754" t="s">
        <v>8635</v>
      </c>
      <c r="B754" t="s">
        <v>1706</v>
      </c>
    </row>
    <row r="755" spans="1:2" x14ac:dyDescent="0.35">
      <c r="A755" t="s">
        <v>8639</v>
      </c>
      <c r="B755" t="s">
        <v>1709</v>
      </c>
    </row>
    <row r="756" spans="1:2" x14ac:dyDescent="0.35">
      <c r="A756" t="s">
        <v>8642</v>
      </c>
      <c r="B756" t="s">
        <v>1712</v>
      </c>
    </row>
    <row r="757" spans="1:2" x14ac:dyDescent="0.35">
      <c r="A757" t="s">
        <v>8645</v>
      </c>
      <c r="B757" t="s">
        <v>1714</v>
      </c>
    </row>
    <row r="758" spans="1:2" x14ac:dyDescent="0.35">
      <c r="A758" t="s">
        <v>8648</v>
      </c>
      <c r="B758" t="s">
        <v>1717</v>
      </c>
    </row>
    <row r="759" spans="1:2" x14ac:dyDescent="0.35">
      <c r="A759" t="s">
        <v>8610</v>
      </c>
      <c r="B759" t="s">
        <v>1720</v>
      </c>
    </row>
    <row r="760" spans="1:2" x14ac:dyDescent="0.35">
      <c r="A760" t="s">
        <v>8614</v>
      </c>
      <c r="B760" t="s">
        <v>1723</v>
      </c>
    </row>
    <row r="761" spans="1:2" x14ac:dyDescent="0.35">
      <c r="A761" t="s">
        <v>8617</v>
      </c>
      <c r="B761" t="s">
        <v>1726</v>
      </c>
    </row>
    <row r="762" spans="1:2" x14ac:dyDescent="0.35">
      <c r="A762" t="s">
        <v>8621</v>
      </c>
      <c r="B762" t="s">
        <v>1728</v>
      </c>
    </row>
    <row r="763" spans="1:2" x14ac:dyDescent="0.35">
      <c r="A763" t="s">
        <v>8624</v>
      </c>
      <c r="B763" t="s">
        <v>1732</v>
      </c>
    </row>
    <row r="764" spans="1:2" x14ac:dyDescent="0.35">
      <c r="A764" t="s">
        <v>8627</v>
      </c>
      <c r="B764" t="s">
        <v>1735</v>
      </c>
    </row>
    <row r="765" spans="1:2" x14ac:dyDescent="0.35">
      <c r="A765" t="s">
        <v>8631</v>
      </c>
      <c r="B765" t="s">
        <v>1738</v>
      </c>
    </row>
    <row r="766" spans="1:2" x14ac:dyDescent="0.35">
      <c r="A766" t="s">
        <v>8635</v>
      </c>
      <c r="B766" t="s">
        <v>1741</v>
      </c>
    </row>
    <row r="767" spans="1:2" x14ac:dyDescent="0.35">
      <c r="A767" t="s">
        <v>8639</v>
      </c>
      <c r="B767" t="s">
        <v>1744</v>
      </c>
    </row>
    <row r="768" spans="1:2" x14ac:dyDescent="0.35">
      <c r="A768" t="s">
        <v>8642</v>
      </c>
      <c r="B768" t="s">
        <v>1747</v>
      </c>
    </row>
    <row r="769" spans="1:2" x14ac:dyDescent="0.35">
      <c r="A769" t="s">
        <v>8645</v>
      </c>
      <c r="B769" t="s">
        <v>1524</v>
      </c>
    </row>
    <row r="770" spans="1:2" x14ac:dyDescent="0.35">
      <c r="A770" t="s">
        <v>8648</v>
      </c>
      <c r="B770" t="s">
        <v>1528</v>
      </c>
    </row>
    <row r="771" spans="1:2" x14ac:dyDescent="0.35">
      <c r="A771" t="s">
        <v>8610</v>
      </c>
      <c r="B771" t="s">
        <v>1532</v>
      </c>
    </row>
    <row r="772" spans="1:2" x14ac:dyDescent="0.35">
      <c r="A772" t="s">
        <v>8614</v>
      </c>
      <c r="B772" t="s">
        <v>1536</v>
      </c>
    </row>
    <row r="773" spans="1:2" x14ac:dyDescent="0.35">
      <c r="A773" t="s">
        <v>8617</v>
      </c>
      <c r="B773" t="s">
        <v>1540</v>
      </c>
    </row>
    <row r="774" spans="1:2" x14ac:dyDescent="0.35">
      <c r="A774" t="s">
        <v>8621</v>
      </c>
      <c r="B774" t="s">
        <v>1545</v>
      </c>
    </row>
    <row r="775" spans="1:2" x14ac:dyDescent="0.35">
      <c r="A775" t="s">
        <v>8624</v>
      </c>
      <c r="B775" t="s">
        <v>1548</v>
      </c>
    </row>
    <row r="776" spans="1:2" x14ac:dyDescent="0.35">
      <c r="A776" t="s">
        <v>8627</v>
      </c>
      <c r="B776" t="s">
        <v>1552</v>
      </c>
    </row>
    <row r="777" spans="1:2" x14ac:dyDescent="0.35">
      <c r="A777" t="s">
        <v>8631</v>
      </c>
      <c r="B777" t="s">
        <v>1555</v>
      </c>
    </row>
    <row r="778" spans="1:2" x14ac:dyDescent="0.35">
      <c r="A778" t="s">
        <v>8635</v>
      </c>
      <c r="B778" t="s">
        <v>1558</v>
      </c>
    </row>
    <row r="779" spans="1:2" x14ac:dyDescent="0.35">
      <c r="A779" t="s">
        <v>8639</v>
      </c>
      <c r="B779" t="s">
        <v>1562</v>
      </c>
    </row>
    <row r="780" spans="1:2" x14ac:dyDescent="0.35">
      <c r="A780" t="s">
        <v>8642</v>
      </c>
      <c r="B780" t="s">
        <v>1568</v>
      </c>
    </row>
    <row r="781" spans="1:2" x14ac:dyDescent="0.35">
      <c r="A781" t="s">
        <v>8645</v>
      </c>
      <c r="B781" t="s">
        <v>1572</v>
      </c>
    </row>
    <row r="782" spans="1:2" x14ac:dyDescent="0.35">
      <c r="A782" t="s">
        <v>8648</v>
      </c>
      <c r="B782" t="s">
        <v>1577</v>
      </c>
    </row>
    <row r="783" spans="1:2" x14ac:dyDescent="0.35">
      <c r="A783" t="s">
        <v>8610</v>
      </c>
      <c r="B783" t="s">
        <v>1581</v>
      </c>
    </row>
    <row r="784" spans="1:2" x14ac:dyDescent="0.35">
      <c r="A784" t="s">
        <v>8614</v>
      </c>
      <c r="B784" t="s">
        <v>1585</v>
      </c>
    </row>
    <row r="785" spans="1:2" x14ac:dyDescent="0.35">
      <c r="A785" t="s">
        <v>8617</v>
      </c>
      <c r="B785" t="s">
        <v>1589</v>
      </c>
    </row>
    <row r="786" spans="1:2" x14ac:dyDescent="0.35">
      <c r="A786" t="s">
        <v>8621</v>
      </c>
      <c r="B786" t="s">
        <v>1594</v>
      </c>
    </row>
    <row r="787" spans="1:2" x14ac:dyDescent="0.35">
      <c r="A787" t="s">
        <v>8624</v>
      </c>
      <c r="B787" t="s">
        <v>1598</v>
      </c>
    </row>
    <row r="788" spans="1:2" x14ac:dyDescent="0.35">
      <c r="A788" t="s">
        <v>8627</v>
      </c>
      <c r="B788" t="s">
        <v>1602</v>
      </c>
    </row>
    <row r="789" spans="1:2" x14ac:dyDescent="0.35">
      <c r="A789" t="s">
        <v>8631</v>
      </c>
      <c r="B789" t="s">
        <v>1606</v>
      </c>
    </row>
    <row r="790" spans="1:2" x14ac:dyDescent="0.35">
      <c r="A790" t="s">
        <v>8635</v>
      </c>
      <c r="B790" t="s">
        <v>1609</v>
      </c>
    </row>
    <row r="791" spans="1:2" x14ac:dyDescent="0.35">
      <c r="A791" t="s">
        <v>8639</v>
      </c>
      <c r="B791" t="s">
        <v>1612</v>
      </c>
    </row>
    <row r="792" spans="1:2" x14ac:dyDescent="0.35">
      <c r="A792" t="s">
        <v>8642</v>
      </c>
      <c r="B792" t="s">
        <v>1615</v>
      </c>
    </row>
    <row r="793" spans="1:2" x14ac:dyDescent="0.35">
      <c r="A793" t="s">
        <v>8645</v>
      </c>
      <c r="B793" t="s">
        <v>1618</v>
      </c>
    </row>
    <row r="794" spans="1:2" x14ac:dyDescent="0.35">
      <c r="A794" t="s">
        <v>8648</v>
      </c>
      <c r="B794" t="s">
        <v>1621</v>
      </c>
    </row>
    <row r="795" spans="1:2" x14ac:dyDescent="0.35">
      <c r="A795" t="s">
        <v>8610</v>
      </c>
      <c r="B795" t="s">
        <v>1624</v>
      </c>
    </row>
    <row r="796" spans="1:2" x14ac:dyDescent="0.35">
      <c r="A796" t="s">
        <v>8614</v>
      </c>
      <c r="B796" t="s">
        <v>1627</v>
      </c>
    </row>
    <row r="797" spans="1:2" x14ac:dyDescent="0.35">
      <c r="A797" t="s">
        <v>8617</v>
      </c>
      <c r="B797" t="s">
        <v>1631</v>
      </c>
    </row>
    <row r="798" spans="1:2" x14ac:dyDescent="0.35">
      <c r="A798" t="s">
        <v>8621</v>
      </c>
      <c r="B798" t="s">
        <v>1634</v>
      </c>
    </row>
    <row r="799" spans="1:2" x14ac:dyDescent="0.35">
      <c r="A799" t="s">
        <v>8624</v>
      </c>
      <c r="B799" t="s">
        <v>1637</v>
      </c>
    </row>
    <row r="800" spans="1:2" x14ac:dyDescent="0.35">
      <c r="A800" t="s">
        <v>8627</v>
      </c>
      <c r="B800" t="s">
        <v>1640</v>
      </c>
    </row>
    <row r="801" spans="1:2" x14ac:dyDescent="0.35">
      <c r="A801" t="s">
        <v>8631</v>
      </c>
      <c r="B801" t="s">
        <v>1643</v>
      </c>
    </row>
    <row r="802" spans="1:2" x14ac:dyDescent="0.35">
      <c r="A802" t="s">
        <v>8635</v>
      </c>
      <c r="B802" t="s">
        <v>1646</v>
      </c>
    </row>
    <row r="803" spans="1:2" x14ac:dyDescent="0.35">
      <c r="A803" t="s">
        <v>8639</v>
      </c>
      <c r="B803" t="s">
        <v>1649</v>
      </c>
    </row>
    <row r="804" spans="1:2" x14ac:dyDescent="0.35">
      <c r="A804" t="s">
        <v>8642</v>
      </c>
      <c r="B804" t="s">
        <v>1652</v>
      </c>
    </row>
    <row r="805" spans="1:2" x14ac:dyDescent="0.35">
      <c r="A805" t="s">
        <v>8645</v>
      </c>
      <c r="B805" t="s">
        <v>1655</v>
      </c>
    </row>
    <row r="806" spans="1:2" x14ac:dyDescent="0.35">
      <c r="A806" t="s">
        <v>8648</v>
      </c>
      <c r="B806" t="s">
        <v>1658</v>
      </c>
    </row>
    <row r="807" spans="1:2" x14ac:dyDescent="0.35">
      <c r="A807" t="s">
        <v>8610</v>
      </c>
      <c r="B807" t="s">
        <v>1662</v>
      </c>
    </row>
    <row r="808" spans="1:2" x14ac:dyDescent="0.35">
      <c r="A808" t="s">
        <v>8614</v>
      </c>
      <c r="B808" t="s">
        <v>1665</v>
      </c>
    </row>
    <row r="809" spans="1:2" x14ac:dyDescent="0.35">
      <c r="A809" t="s">
        <v>8617</v>
      </c>
      <c r="B809" t="s">
        <v>1668</v>
      </c>
    </row>
    <row r="810" spans="1:2" x14ac:dyDescent="0.35">
      <c r="A810" t="s">
        <v>8621</v>
      </c>
      <c r="B810" t="s">
        <v>1671</v>
      </c>
    </row>
    <row r="811" spans="1:2" x14ac:dyDescent="0.35">
      <c r="A811" t="s">
        <v>8624</v>
      </c>
      <c r="B811" t="s">
        <v>1674</v>
      </c>
    </row>
    <row r="812" spans="1:2" x14ac:dyDescent="0.35">
      <c r="A812" t="s">
        <v>8627</v>
      </c>
      <c r="B812" t="s">
        <v>1677</v>
      </c>
    </row>
    <row r="813" spans="1:2" x14ac:dyDescent="0.35">
      <c r="A813" t="s">
        <v>8631</v>
      </c>
      <c r="B813" t="s">
        <v>1680</v>
      </c>
    </row>
    <row r="814" spans="1:2" x14ac:dyDescent="0.35">
      <c r="A814" t="s">
        <v>8635</v>
      </c>
      <c r="B814" t="s">
        <v>1683</v>
      </c>
    </row>
    <row r="815" spans="1:2" x14ac:dyDescent="0.35">
      <c r="A815" t="s">
        <v>8639</v>
      </c>
      <c r="B815" t="s">
        <v>1686</v>
      </c>
    </row>
    <row r="816" spans="1:2" x14ac:dyDescent="0.35">
      <c r="A816" t="s">
        <v>8642</v>
      </c>
      <c r="B816" t="s">
        <v>1689</v>
      </c>
    </row>
    <row r="817" spans="1:2" x14ac:dyDescent="0.35">
      <c r="A817" t="s">
        <v>8645</v>
      </c>
      <c r="B817" t="s">
        <v>1692</v>
      </c>
    </row>
    <row r="818" spans="1:2" x14ac:dyDescent="0.35">
      <c r="A818" t="s">
        <v>8648</v>
      </c>
      <c r="B818" t="s">
        <v>1695</v>
      </c>
    </row>
    <row r="819" spans="1:2" x14ac:dyDescent="0.35">
      <c r="A819" t="s">
        <v>8610</v>
      </c>
      <c r="B819" t="s">
        <v>1698</v>
      </c>
    </row>
    <row r="820" spans="1:2" x14ac:dyDescent="0.35">
      <c r="A820" t="s">
        <v>8614</v>
      </c>
      <c r="B820" t="s">
        <v>1701</v>
      </c>
    </row>
    <row r="821" spans="1:2" x14ac:dyDescent="0.35">
      <c r="A821" t="s">
        <v>8617</v>
      </c>
      <c r="B821" t="s">
        <v>1703</v>
      </c>
    </row>
    <row r="822" spans="1:2" x14ac:dyDescent="0.35">
      <c r="A822" t="s">
        <v>8621</v>
      </c>
      <c r="B822" t="s">
        <v>1706</v>
      </c>
    </row>
    <row r="823" spans="1:2" x14ac:dyDescent="0.35">
      <c r="A823" t="s">
        <v>8624</v>
      </c>
      <c r="B823" t="s">
        <v>1709</v>
      </c>
    </row>
    <row r="824" spans="1:2" x14ac:dyDescent="0.35">
      <c r="A824" t="s">
        <v>8627</v>
      </c>
      <c r="B824" t="s">
        <v>1712</v>
      </c>
    </row>
    <row r="825" spans="1:2" x14ac:dyDescent="0.35">
      <c r="A825" t="s">
        <v>8631</v>
      </c>
      <c r="B825" t="s">
        <v>1714</v>
      </c>
    </row>
    <row r="826" spans="1:2" x14ac:dyDescent="0.35">
      <c r="A826" t="s">
        <v>8635</v>
      </c>
      <c r="B826" t="s">
        <v>1717</v>
      </c>
    </row>
    <row r="827" spans="1:2" x14ac:dyDescent="0.35">
      <c r="A827" t="s">
        <v>8639</v>
      </c>
      <c r="B827" t="s">
        <v>1720</v>
      </c>
    </row>
    <row r="828" spans="1:2" x14ac:dyDescent="0.35">
      <c r="A828" t="s">
        <v>8642</v>
      </c>
      <c r="B828" t="s">
        <v>1723</v>
      </c>
    </row>
    <row r="829" spans="1:2" x14ac:dyDescent="0.35">
      <c r="A829" t="s">
        <v>8645</v>
      </c>
      <c r="B829" t="s">
        <v>1726</v>
      </c>
    </row>
    <row r="830" spans="1:2" x14ac:dyDescent="0.35">
      <c r="A830" t="s">
        <v>8648</v>
      </c>
      <c r="B830" t="s">
        <v>1728</v>
      </c>
    </row>
    <row r="831" spans="1:2" x14ac:dyDescent="0.35">
      <c r="A831" t="s">
        <v>8610</v>
      </c>
      <c r="B831" t="s">
        <v>1732</v>
      </c>
    </row>
    <row r="832" spans="1:2" x14ac:dyDescent="0.35">
      <c r="A832" t="s">
        <v>8614</v>
      </c>
      <c r="B832" t="s">
        <v>1735</v>
      </c>
    </row>
    <row r="833" spans="1:2" x14ac:dyDescent="0.35">
      <c r="A833" t="s">
        <v>8617</v>
      </c>
      <c r="B833" t="s">
        <v>1738</v>
      </c>
    </row>
    <row r="834" spans="1:2" x14ac:dyDescent="0.35">
      <c r="A834" t="s">
        <v>8621</v>
      </c>
      <c r="B834" t="s">
        <v>1741</v>
      </c>
    </row>
    <row r="835" spans="1:2" x14ac:dyDescent="0.35">
      <c r="A835" t="s">
        <v>8624</v>
      </c>
      <c r="B835" t="s">
        <v>1744</v>
      </c>
    </row>
    <row r="836" spans="1:2" x14ac:dyDescent="0.35">
      <c r="A836" t="s">
        <v>8627</v>
      </c>
      <c r="B836" t="s">
        <v>1747</v>
      </c>
    </row>
    <row r="837" spans="1:2" x14ac:dyDescent="0.35">
      <c r="A837" t="s">
        <v>8631</v>
      </c>
      <c r="B837" t="s">
        <v>1524</v>
      </c>
    </row>
    <row r="838" spans="1:2" x14ac:dyDescent="0.35">
      <c r="A838" t="s">
        <v>8635</v>
      </c>
      <c r="B838" t="s">
        <v>1528</v>
      </c>
    </row>
    <row r="839" spans="1:2" x14ac:dyDescent="0.35">
      <c r="A839" t="s">
        <v>8639</v>
      </c>
      <c r="B839" t="s">
        <v>1532</v>
      </c>
    </row>
    <row r="840" spans="1:2" x14ac:dyDescent="0.35">
      <c r="A840" t="s">
        <v>8642</v>
      </c>
      <c r="B840" t="s">
        <v>1536</v>
      </c>
    </row>
    <row r="841" spans="1:2" x14ac:dyDescent="0.35">
      <c r="A841" t="s">
        <v>8645</v>
      </c>
      <c r="B841" t="s">
        <v>1540</v>
      </c>
    </row>
    <row r="842" spans="1:2" x14ac:dyDescent="0.35">
      <c r="A842" t="s">
        <v>8648</v>
      </c>
      <c r="B842" t="s">
        <v>1545</v>
      </c>
    </row>
    <row r="843" spans="1:2" x14ac:dyDescent="0.35">
      <c r="A843" t="s">
        <v>8610</v>
      </c>
      <c r="B843" t="s">
        <v>1548</v>
      </c>
    </row>
    <row r="844" spans="1:2" x14ac:dyDescent="0.35">
      <c r="A844" t="s">
        <v>8614</v>
      </c>
      <c r="B844" t="s">
        <v>1552</v>
      </c>
    </row>
    <row r="845" spans="1:2" x14ac:dyDescent="0.35">
      <c r="A845" t="s">
        <v>8617</v>
      </c>
      <c r="B845" t="s">
        <v>1555</v>
      </c>
    </row>
    <row r="846" spans="1:2" x14ac:dyDescent="0.35">
      <c r="A846" t="s">
        <v>8621</v>
      </c>
      <c r="B846" t="s">
        <v>1558</v>
      </c>
    </row>
    <row r="847" spans="1:2" x14ac:dyDescent="0.35">
      <c r="A847" t="s">
        <v>8624</v>
      </c>
      <c r="B847" t="s">
        <v>1562</v>
      </c>
    </row>
    <row r="848" spans="1:2" x14ac:dyDescent="0.35">
      <c r="A848" t="s">
        <v>8627</v>
      </c>
      <c r="B848" t="s">
        <v>1568</v>
      </c>
    </row>
    <row r="849" spans="1:2" x14ac:dyDescent="0.35">
      <c r="A849" t="s">
        <v>8631</v>
      </c>
      <c r="B849" t="s">
        <v>1572</v>
      </c>
    </row>
    <row r="850" spans="1:2" x14ac:dyDescent="0.35">
      <c r="A850" t="s">
        <v>8635</v>
      </c>
      <c r="B850" t="s">
        <v>1577</v>
      </c>
    </row>
    <row r="851" spans="1:2" x14ac:dyDescent="0.35">
      <c r="A851" t="s">
        <v>8639</v>
      </c>
      <c r="B851" t="s">
        <v>1581</v>
      </c>
    </row>
    <row r="852" spans="1:2" x14ac:dyDescent="0.35">
      <c r="A852" t="s">
        <v>8642</v>
      </c>
      <c r="B852" t="s">
        <v>1585</v>
      </c>
    </row>
    <row r="853" spans="1:2" x14ac:dyDescent="0.35">
      <c r="A853" t="s">
        <v>8645</v>
      </c>
      <c r="B853" t="s">
        <v>1589</v>
      </c>
    </row>
    <row r="854" spans="1:2" x14ac:dyDescent="0.35">
      <c r="A854" t="s">
        <v>8648</v>
      </c>
      <c r="B854" t="s">
        <v>1594</v>
      </c>
    </row>
    <row r="855" spans="1:2" x14ac:dyDescent="0.35">
      <c r="A855" t="s">
        <v>8610</v>
      </c>
      <c r="B855" t="s">
        <v>1598</v>
      </c>
    </row>
    <row r="856" spans="1:2" x14ac:dyDescent="0.35">
      <c r="A856" t="s">
        <v>8614</v>
      </c>
      <c r="B856" t="s">
        <v>1602</v>
      </c>
    </row>
    <row r="857" spans="1:2" x14ac:dyDescent="0.35">
      <c r="A857" t="s">
        <v>8617</v>
      </c>
      <c r="B857" t="s">
        <v>1606</v>
      </c>
    </row>
    <row r="858" spans="1:2" x14ac:dyDescent="0.35">
      <c r="A858" t="s">
        <v>8621</v>
      </c>
      <c r="B858" t="s">
        <v>1609</v>
      </c>
    </row>
    <row r="859" spans="1:2" x14ac:dyDescent="0.35">
      <c r="A859" t="s">
        <v>8624</v>
      </c>
      <c r="B859" t="s">
        <v>1612</v>
      </c>
    </row>
    <row r="860" spans="1:2" x14ac:dyDescent="0.35">
      <c r="A860" t="s">
        <v>8627</v>
      </c>
      <c r="B860" t="s">
        <v>1615</v>
      </c>
    </row>
    <row r="861" spans="1:2" x14ac:dyDescent="0.35">
      <c r="A861" t="s">
        <v>8631</v>
      </c>
      <c r="B861" t="s">
        <v>1618</v>
      </c>
    </row>
    <row r="862" spans="1:2" x14ac:dyDescent="0.35">
      <c r="A862" t="s">
        <v>8635</v>
      </c>
      <c r="B862" t="s">
        <v>1621</v>
      </c>
    </row>
    <row r="863" spans="1:2" x14ac:dyDescent="0.35">
      <c r="A863" t="s">
        <v>8639</v>
      </c>
      <c r="B863" t="s">
        <v>1624</v>
      </c>
    </row>
    <row r="864" spans="1:2" x14ac:dyDescent="0.35">
      <c r="A864" t="s">
        <v>8642</v>
      </c>
      <c r="B864" t="s">
        <v>1627</v>
      </c>
    </row>
    <row r="865" spans="1:2" x14ac:dyDescent="0.35">
      <c r="A865" t="s">
        <v>8645</v>
      </c>
      <c r="B865" t="s">
        <v>1631</v>
      </c>
    </row>
    <row r="866" spans="1:2" x14ac:dyDescent="0.35">
      <c r="A866" t="s">
        <v>8648</v>
      </c>
      <c r="B866" t="s">
        <v>1634</v>
      </c>
    </row>
    <row r="867" spans="1:2" x14ac:dyDescent="0.35">
      <c r="A867" t="s">
        <v>8610</v>
      </c>
      <c r="B867" t="s">
        <v>1637</v>
      </c>
    </row>
    <row r="868" spans="1:2" x14ac:dyDescent="0.35">
      <c r="A868" t="s">
        <v>8614</v>
      </c>
      <c r="B868" t="s">
        <v>1640</v>
      </c>
    </row>
    <row r="869" spans="1:2" x14ac:dyDescent="0.35">
      <c r="A869" t="s">
        <v>8617</v>
      </c>
      <c r="B869" t="s">
        <v>1643</v>
      </c>
    </row>
    <row r="870" spans="1:2" x14ac:dyDescent="0.35">
      <c r="A870" t="s">
        <v>8621</v>
      </c>
      <c r="B870" t="s">
        <v>1646</v>
      </c>
    </row>
    <row r="871" spans="1:2" x14ac:dyDescent="0.35">
      <c r="A871" t="s">
        <v>8624</v>
      </c>
      <c r="B871" t="s">
        <v>1649</v>
      </c>
    </row>
    <row r="872" spans="1:2" x14ac:dyDescent="0.35">
      <c r="A872" t="s">
        <v>8627</v>
      </c>
      <c r="B872" t="s">
        <v>1652</v>
      </c>
    </row>
    <row r="873" spans="1:2" x14ac:dyDescent="0.35">
      <c r="A873" t="s">
        <v>8631</v>
      </c>
      <c r="B873" t="s">
        <v>1655</v>
      </c>
    </row>
    <row r="874" spans="1:2" x14ac:dyDescent="0.35">
      <c r="A874" t="s">
        <v>8635</v>
      </c>
      <c r="B874" t="s">
        <v>1658</v>
      </c>
    </row>
    <row r="875" spans="1:2" x14ac:dyDescent="0.35">
      <c r="A875" t="s">
        <v>8639</v>
      </c>
      <c r="B875" t="s">
        <v>1662</v>
      </c>
    </row>
    <row r="876" spans="1:2" x14ac:dyDescent="0.35">
      <c r="A876" t="s">
        <v>8642</v>
      </c>
      <c r="B876" t="s">
        <v>1665</v>
      </c>
    </row>
    <row r="877" spans="1:2" x14ac:dyDescent="0.35">
      <c r="A877" t="s">
        <v>8645</v>
      </c>
      <c r="B877" t="s">
        <v>1668</v>
      </c>
    </row>
    <row r="878" spans="1:2" x14ac:dyDescent="0.35">
      <c r="A878" t="s">
        <v>8648</v>
      </c>
      <c r="B878" t="s">
        <v>1671</v>
      </c>
    </row>
    <row r="879" spans="1:2" x14ac:dyDescent="0.35">
      <c r="A879" t="s">
        <v>8610</v>
      </c>
      <c r="B879" t="s">
        <v>1674</v>
      </c>
    </row>
    <row r="880" spans="1:2" x14ac:dyDescent="0.35">
      <c r="A880" t="s">
        <v>8614</v>
      </c>
      <c r="B880" t="s">
        <v>1677</v>
      </c>
    </row>
    <row r="881" spans="1:2" x14ac:dyDescent="0.35">
      <c r="A881" t="s">
        <v>8617</v>
      </c>
      <c r="B881" t="s">
        <v>1680</v>
      </c>
    </row>
    <row r="882" spans="1:2" x14ac:dyDescent="0.35">
      <c r="A882" t="s">
        <v>8621</v>
      </c>
      <c r="B882" t="s">
        <v>1683</v>
      </c>
    </row>
    <row r="883" spans="1:2" x14ac:dyDescent="0.35">
      <c r="A883" t="s">
        <v>8624</v>
      </c>
      <c r="B883" t="s">
        <v>1686</v>
      </c>
    </row>
    <row r="884" spans="1:2" x14ac:dyDescent="0.35">
      <c r="A884" t="s">
        <v>8627</v>
      </c>
      <c r="B884" t="s">
        <v>1689</v>
      </c>
    </row>
    <row r="885" spans="1:2" x14ac:dyDescent="0.35">
      <c r="A885" t="s">
        <v>8631</v>
      </c>
      <c r="B885" t="s">
        <v>1692</v>
      </c>
    </row>
    <row r="886" spans="1:2" x14ac:dyDescent="0.35">
      <c r="A886" t="s">
        <v>8635</v>
      </c>
      <c r="B886" t="s">
        <v>1695</v>
      </c>
    </row>
    <row r="887" spans="1:2" x14ac:dyDescent="0.35">
      <c r="A887" t="s">
        <v>8639</v>
      </c>
      <c r="B887" t="s">
        <v>1698</v>
      </c>
    </row>
    <row r="888" spans="1:2" x14ac:dyDescent="0.35">
      <c r="A888" t="s">
        <v>8642</v>
      </c>
      <c r="B888" t="s">
        <v>1701</v>
      </c>
    </row>
    <row r="889" spans="1:2" x14ac:dyDescent="0.35">
      <c r="A889" t="s">
        <v>8645</v>
      </c>
      <c r="B889" t="s">
        <v>1703</v>
      </c>
    </row>
    <row r="890" spans="1:2" x14ac:dyDescent="0.35">
      <c r="A890" t="s">
        <v>8648</v>
      </c>
      <c r="B890" t="s">
        <v>1706</v>
      </c>
    </row>
    <row r="891" spans="1:2" x14ac:dyDescent="0.35">
      <c r="A891" t="s">
        <v>8610</v>
      </c>
      <c r="B891" t="s">
        <v>1709</v>
      </c>
    </row>
    <row r="892" spans="1:2" x14ac:dyDescent="0.35">
      <c r="A892" t="s">
        <v>8614</v>
      </c>
      <c r="B892" t="s">
        <v>1712</v>
      </c>
    </row>
    <row r="893" spans="1:2" x14ac:dyDescent="0.35">
      <c r="A893" t="s">
        <v>8617</v>
      </c>
      <c r="B893" t="s">
        <v>1714</v>
      </c>
    </row>
    <row r="894" spans="1:2" x14ac:dyDescent="0.35">
      <c r="A894" t="s">
        <v>8621</v>
      </c>
      <c r="B894" t="s">
        <v>1717</v>
      </c>
    </row>
    <row r="895" spans="1:2" x14ac:dyDescent="0.35">
      <c r="A895" t="s">
        <v>8624</v>
      </c>
      <c r="B895" t="s">
        <v>1720</v>
      </c>
    </row>
    <row r="896" spans="1:2" x14ac:dyDescent="0.35">
      <c r="A896" t="s">
        <v>8627</v>
      </c>
      <c r="B896" t="s">
        <v>1723</v>
      </c>
    </row>
    <row r="897" spans="1:2" x14ac:dyDescent="0.35">
      <c r="A897" t="s">
        <v>8631</v>
      </c>
      <c r="B897" t="s">
        <v>1726</v>
      </c>
    </row>
    <row r="898" spans="1:2" x14ac:dyDescent="0.35">
      <c r="A898" t="s">
        <v>8635</v>
      </c>
      <c r="B898" t="s">
        <v>1728</v>
      </c>
    </row>
    <row r="899" spans="1:2" x14ac:dyDescent="0.35">
      <c r="A899" t="s">
        <v>8639</v>
      </c>
      <c r="B899" t="s">
        <v>1732</v>
      </c>
    </row>
    <row r="900" spans="1:2" x14ac:dyDescent="0.35">
      <c r="A900" t="s">
        <v>8642</v>
      </c>
      <c r="B900" t="s">
        <v>1735</v>
      </c>
    </row>
    <row r="901" spans="1:2" x14ac:dyDescent="0.35">
      <c r="A901" t="s">
        <v>8645</v>
      </c>
      <c r="B901" t="s">
        <v>1738</v>
      </c>
    </row>
    <row r="902" spans="1:2" x14ac:dyDescent="0.35">
      <c r="A902" t="s">
        <v>8648</v>
      </c>
      <c r="B902" t="s">
        <v>1741</v>
      </c>
    </row>
    <row r="903" spans="1:2" x14ac:dyDescent="0.35">
      <c r="A903" t="s">
        <v>8610</v>
      </c>
      <c r="B903" t="s">
        <v>1744</v>
      </c>
    </row>
    <row r="904" spans="1:2" x14ac:dyDescent="0.35">
      <c r="A904" t="s">
        <v>8614</v>
      </c>
      <c r="B904" t="s">
        <v>1747</v>
      </c>
    </row>
    <row r="905" spans="1:2" x14ac:dyDescent="0.35">
      <c r="A905" t="s">
        <v>8617</v>
      </c>
      <c r="B905" t="s">
        <v>1524</v>
      </c>
    </row>
    <row r="906" spans="1:2" x14ac:dyDescent="0.35">
      <c r="A906" t="s">
        <v>8621</v>
      </c>
      <c r="B906" t="s">
        <v>1528</v>
      </c>
    </row>
    <row r="907" spans="1:2" x14ac:dyDescent="0.35">
      <c r="A907" t="s">
        <v>8624</v>
      </c>
      <c r="B907" t="s">
        <v>1532</v>
      </c>
    </row>
    <row r="908" spans="1:2" x14ac:dyDescent="0.35">
      <c r="A908" t="s">
        <v>8627</v>
      </c>
      <c r="B908" t="s">
        <v>1536</v>
      </c>
    </row>
    <row r="909" spans="1:2" x14ac:dyDescent="0.35">
      <c r="A909" t="s">
        <v>8631</v>
      </c>
      <c r="B909" t="s">
        <v>1540</v>
      </c>
    </row>
    <row r="910" spans="1:2" x14ac:dyDescent="0.35">
      <c r="A910" t="s">
        <v>8635</v>
      </c>
      <c r="B910" t="s">
        <v>1545</v>
      </c>
    </row>
    <row r="911" spans="1:2" x14ac:dyDescent="0.35">
      <c r="A911" t="s">
        <v>8639</v>
      </c>
      <c r="B911" t="s">
        <v>1548</v>
      </c>
    </row>
    <row r="912" spans="1:2" x14ac:dyDescent="0.35">
      <c r="A912" t="s">
        <v>8642</v>
      </c>
      <c r="B912" t="s">
        <v>1552</v>
      </c>
    </row>
    <row r="913" spans="1:2" x14ac:dyDescent="0.35">
      <c r="A913" t="s">
        <v>8645</v>
      </c>
      <c r="B913" t="s">
        <v>1555</v>
      </c>
    </row>
    <row r="914" spans="1:2" x14ac:dyDescent="0.35">
      <c r="A914" t="s">
        <v>8648</v>
      </c>
      <c r="B914" t="s">
        <v>1558</v>
      </c>
    </row>
    <row r="915" spans="1:2" x14ac:dyDescent="0.35">
      <c r="A915" t="s">
        <v>8610</v>
      </c>
      <c r="B915" t="s">
        <v>1562</v>
      </c>
    </row>
    <row r="916" spans="1:2" x14ac:dyDescent="0.35">
      <c r="A916" t="s">
        <v>8614</v>
      </c>
      <c r="B916" t="s">
        <v>1568</v>
      </c>
    </row>
    <row r="917" spans="1:2" x14ac:dyDescent="0.35">
      <c r="A917" t="s">
        <v>8617</v>
      </c>
      <c r="B917" t="s">
        <v>1572</v>
      </c>
    </row>
    <row r="918" spans="1:2" x14ac:dyDescent="0.35">
      <c r="A918" t="s">
        <v>8621</v>
      </c>
      <c r="B918" t="s">
        <v>1577</v>
      </c>
    </row>
    <row r="919" spans="1:2" x14ac:dyDescent="0.35">
      <c r="A919" t="s">
        <v>8624</v>
      </c>
      <c r="B919" t="s">
        <v>1581</v>
      </c>
    </row>
    <row r="920" spans="1:2" x14ac:dyDescent="0.35">
      <c r="A920" t="s">
        <v>8627</v>
      </c>
      <c r="B920" t="s">
        <v>1585</v>
      </c>
    </row>
    <row r="921" spans="1:2" x14ac:dyDescent="0.35">
      <c r="A921" t="s">
        <v>8631</v>
      </c>
      <c r="B921" t="s">
        <v>1589</v>
      </c>
    </row>
    <row r="922" spans="1:2" x14ac:dyDescent="0.35">
      <c r="A922" t="s">
        <v>8635</v>
      </c>
      <c r="B922" t="s">
        <v>1594</v>
      </c>
    </row>
    <row r="923" spans="1:2" x14ac:dyDescent="0.35">
      <c r="A923" t="s">
        <v>8639</v>
      </c>
      <c r="B923" t="s">
        <v>1598</v>
      </c>
    </row>
    <row r="924" spans="1:2" x14ac:dyDescent="0.35">
      <c r="A924" t="s">
        <v>8642</v>
      </c>
      <c r="B924" t="s">
        <v>1602</v>
      </c>
    </row>
    <row r="925" spans="1:2" x14ac:dyDescent="0.35">
      <c r="A925" t="s">
        <v>8645</v>
      </c>
      <c r="B925" t="s">
        <v>1606</v>
      </c>
    </row>
    <row r="926" spans="1:2" x14ac:dyDescent="0.35">
      <c r="A926" t="s">
        <v>8648</v>
      </c>
      <c r="B926" t="s">
        <v>1609</v>
      </c>
    </row>
    <row r="927" spans="1:2" x14ac:dyDescent="0.35">
      <c r="A927" t="s">
        <v>8610</v>
      </c>
      <c r="B927" t="s">
        <v>1612</v>
      </c>
    </row>
    <row r="928" spans="1:2" x14ac:dyDescent="0.35">
      <c r="A928" t="s">
        <v>8614</v>
      </c>
      <c r="B928" t="s">
        <v>1615</v>
      </c>
    </row>
    <row r="929" spans="1:2" x14ac:dyDescent="0.35">
      <c r="A929" t="s">
        <v>8617</v>
      </c>
      <c r="B929" t="s">
        <v>1618</v>
      </c>
    </row>
    <row r="930" spans="1:2" x14ac:dyDescent="0.35">
      <c r="A930" t="s">
        <v>8621</v>
      </c>
      <c r="B930" t="s">
        <v>1621</v>
      </c>
    </row>
    <row r="931" spans="1:2" x14ac:dyDescent="0.35">
      <c r="A931" t="s">
        <v>8624</v>
      </c>
      <c r="B931" t="s">
        <v>1624</v>
      </c>
    </row>
    <row r="932" spans="1:2" x14ac:dyDescent="0.35">
      <c r="A932" t="s">
        <v>8627</v>
      </c>
      <c r="B932" t="s">
        <v>1627</v>
      </c>
    </row>
    <row r="933" spans="1:2" x14ac:dyDescent="0.35">
      <c r="A933" t="s">
        <v>8631</v>
      </c>
      <c r="B933" t="s">
        <v>1631</v>
      </c>
    </row>
    <row r="934" spans="1:2" x14ac:dyDescent="0.35">
      <c r="A934" t="s">
        <v>8635</v>
      </c>
      <c r="B934" t="s">
        <v>1634</v>
      </c>
    </row>
    <row r="935" spans="1:2" x14ac:dyDescent="0.35">
      <c r="A935" t="s">
        <v>8639</v>
      </c>
      <c r="B935" t="s">
        <v>1637</v>
      </c>
    </row>
    <row r="936" spans="1:2" x14ac:dyDescent="0.35">
      <c r="A936" t="s">
        <v>8642</v>
      </c>
      <c r="B936" t="s">
        <v>1640</v>
      </c>
    </row>
    <row r="937" spans="1:2" x14ac:dyDescent="0.35">
      <c r="A937" t="s">
        <v>8645</v>
      </c>
      <c r="B937" t="s">
        <v>1643</v>
      </c>
    </row>
    <row r="938" spans="1:2" x14ac:dyDescent="0.35">
      <c r="A938" t="s">
        <v>8648</v>
      </c>
      <c r="B938" t="s">
        <v>1646</v>
      </c>
    </row>
    <row r="939" spans="1:2" x14ac:dyDescent="0.35">
      <c r="A939" t="s">
        <v>8610</v>
      </c>
      <c r="B939" t="s">
        <v>1649</v>
      </c>
    </row>
    <row r="940" spans="1:2" x14ac:dyDescent="0.35">
      <c r="A940" t="s">
        <v>8614</v>
      </c>
      <c r="B940" t="s">
        <v>1652</v>
      </c>
    </row>
    <row r="941" spans="1:2" x14ac:dyDescent="0.35">
      <c r="A941" t="s">
        <v>8617</v>
      </c>
      <c r="B941" t="s">
        <v>1655</v>
      </c>
    </row>
    <row r="942" spans="1:2" x14ac:dyDescent="0.35">
      <c r="A942" t="s">
        <v>8621</v>
      </c>
      <c r="B942" t="s">
        <v>1658</v>
      </c>
    </row>
    <row r="943" spans="1:2" x14ac:dyDescent="0.35">
      <c r="A943" t="s">
        <v>8624</v>
      </c>
      <c r="B943" t="s">
        <v>1662</v>
      </c>
    </row>
    <row r="944" spans="1:2" x14ac:dyDescent="0.35">
      <c r="A944" t="s">
        <v>8627</v>
      </c>
      <c r="B944" t="s">
        <v>1665</v>
      </c>
    </row>
    <row r="945" spans="1:2" x14ac:dyDescent="0.35">
      <c r="A945" t="s">
        <v>8631</v>
      </c>
      <c r="B945" t="s">
        <v>1668</v>
      </c>
    </row>
    <row r="946" spans="1:2" x14ac:dyDescent="0.35">
      <c r="A946" t="s">
        <v>8635</v>
      </c>
      <c r="B946" t="s">
        <v>1671</v>
      </c>
    </row>
    <row r="947" spans="1:2" x14ac:dyDescent="0.35">
      <c r="A947" t="s">
        <v>8639</v>
      </c>
      <c r="B947" t="s">
        <v>1674</v>
      </c>
    </row>
    <row r="948" spans="1:2" x14ac:dyDescent="0.35">
      <c r="A948" t="s">
        <v>8642</v>
      </c>
      <c r="B948" t="s">
        <v>1677</v>
      </c>
    </row>
    <row r="949" spans="1:2" x14ac:dyDescent="0.35">
      <c r="A949" t="s">
        <v>8645</v>
      </c>
      <c r="B949" t="s">
        <v>1680</v>
      </c>
    </row>
    <row r="950" spans="1:2" x14ac:dyDescent="0.35">
      <c r="A950" t="s">
        <v>8648</v>
      </c>
      <c r="B950" t="s">
        <v>1683</v>
      </c>
    </row>
    <row r="951" spans="1:2" x14ac:dyDescent="0.35">
      <c r="A951" t="s">
        <v>8610</v>
      </c>
      <c r="B951" t="s">
        <v>1686</v>
      </c>
    </row>
    <row r="952" spans="1:2" x14ac:dyDescent="0.35">
      <c r="A952" t="s">
        <v>8614</v>
      </c>
      <c r="B952" t="s">
        <v>1689</v>
      </c>
    </row>
    <row r="953" spans="1:2" x14ac:dyDescent="0.35">
      <c r="A953" t="s">
        <v>8617</v>
      </c>
      <c r="B953" t="s">
        <v>1692</v>
      </c>
    </row>
    <row r="954" spans="1:2" x14ac:dyDescent="0.35">
      <c r="A954" t="s">
        <v>8621</v>
      </c>
      <c r="B954" t="s">
        <v>1695</v>
      </c>
    </row>
    <row r="955" spans="1:2" x14ac:dyDescent="0.35">
      <c r="A955" t="s">
        <v>8624</v>
      </c>
      <c r="B955" t="s">
        <v>1698</v>
      </c>
    </row>
    <row r="956" spans="1:2" x14ac:dyDescent="0.35">
      <c r="A956" t="s">
        <v>8627</v>
      </c>
      <c r="B956" t="s">
        <v>1701</v>
      </c>
    </row>
    <row r="957" spans="1:2" x14ac:dyDescent="0.35">
      <c r="A957" t="s">
        <v>8631</v>
      </c>
      <c r="B957" t="s">
        <v>1703</v>
      </c>
    </row>
    <row r="958" spans="1:2" x14ac:dyDescent="0.35">
      <c r="A958" t="s">
        <v>8635</v>
      </c>
      <c r="B958" t="s">
        <v>1706</v>
      </c>
    </row>
    <row r="959" spans="1:2" x14ac:dyDescent="0.35">
      <c r="A959" t="s">
        <v>8639</v>
      </c>
      <c r="B959" t="s">
        <v>1709</v>
      </c>
    </row>
    <row r="960" spans="1:2" x14ac:dyDescent="0.35">
      <c r="A960" t="s">
        <v>8642</v>
      </c>
      <c r="B960" t="s">
        <v>1712</v>
      </c>
    </row>
    <row r="961" spans="1:2" x14ac:dyDescent="0.35">
      <c r="A961" t="s">
        <v>8645</v>
      </c>
      <c r="B961" t="s">
        <v>1714</v>
      </c>
    </row>
    <row r="962" spans="1:2" x14ac:dyDescent="0.35">
      <c r="A962" t="s">
        <v>8648</v>
      </c>
      <c r="B962" t="s">
        <v>1717</v>
      </c>
    </row>
    <row r="963" spans="1:2" x14ac:dyDescent="0.35">
      <c r="A963" t="s">
        <v>8610</v>
      </c>
      <c r="B963" t="s">
        <v>1720</v>
      </c>
    </row>
    <row r="964" spans="1:2" x14ac:dyDescent="0.35">
      <c r="A964" t="s">
        <v>8614</v>
      </c>
      <c r="B964" t="s">
        <v>1723</v>
      </c>
    </row>
    <row r="965" spans="1:2" x14ac:dyDescent="0.35">
      <c r="A965" t="s">
        <v>8617</v>
      </c>
      <c r="B965" t="s">
        <v>1726</v>
      </c>
    </row>
    <row r="966" spans="1:2" x14ac:dyDescent="0.35">
      <c r="A966" t="s">
        <v>8621</v>
      </c>
      <c r="B966" t="s">
        <v>1728</v>
      </c>
    </row>
    <row r="967" spans="1:2" x14ac:dyDescent="0.35">
      <c r="A967" t="s">
        <v>8624</v>
      </c>
      <c r="B967" t="s">
        <v>1732</v>
      </c>
    </row>
    <row r="968" spans="1:2" x14ac:dyDescent="0.35">
      <c r="A968" t="s">
        <v>8627</v>
      </c>
      <c r="B968" t="s">
        <v>1735</v>
      </c>
    </row>
    <row r="969" spans="1:2" x14ac:dyDescent="0.35">
      <c r="A969" t="s">
        <v>8631</v>
      </c>
      <c r="B969" t="s">
        <v>1738</v>
      </c>
    </row>
    <row r="970" spans="1:2" x14ac:dyDescent="0.35">
      <c r="A970" t="s">
        <v>8635</v>
      </c>
      <c r="B970" t="s">
        <v>1741</v>
      </c>
    </row>
    <row r="971" spans="1:2" x14ac:dyDescent="0.35">
      <c r="A971" t="s">
        <v>8639</v>
      </c>
      <c r="B971" t="s">
        <v>1744</v>
      </c>
    </row>
    <row r="972" spans="1:2" x14ac:dyDescent="0.35">
      <c r="A972" t="s">
        <v>8642</v>
      </c>
      <c r="B972" t="s">
        <v>1747</v>
      </c>
    </row>
    <row r="973" spans="1:2" x14ac:dyDescent="0.35">
      <c r="A973" t="s">
        <v>8645</v>
      </c>
      <c r="B973" t="s">
        <v>1524</v>
      </c>
    </row>
    <row r="974" spans="1:2" x14ac:dyDescent="0.35">
      <c r="A974" t="s">
        <v>8648</v>
      </c>
      <c r="B974" t="s">
        <v>1528</v>
      </c>
    </row>
    <row r="975" spans="1:2" x14ac:dyDescent="0.35">
      <c r="A975" t="s">
        <v>8610</v>
      </c>
      <c r="B975" t="s">
        <v>1532</v>
      </c>
    </row>
    <row r="976" spans="1:2" x14ac:dyDescent="0.35">
      <c r="A976" t="s">
        <v>8614</v>
      </c>
      <c r="B976" t="s">
        <v>1536</v>
      </c>
    </row>
    <row r="977" spans="1:2" x14ac:dyDescent="0.35">
      <c r="A977" t="s">
        <v>8617</v>
      </c>
      <c r="B977" t="s">
        <v>1540</v>
      </c>
    </row>
    <row r="978" spans="1:2" x14ac:dyDescent="0.35">
      <c r="A978" t="s">
        <v>8621</v>
      </c>
      <c r="B978" t="s">
        <v>1545</v>
      </c>
    </row>
    <row r="979" spans="1:2" x14ac:dyDescent="0.35">
      <c r="A979" t="s">
        <v>8624</v>
      </c>
      <c r="B979" t="s">
        <v>1548</v>
      </c>
    </row>
    <row r="980" spans="1:2" x14ac:dyDescent="0.35">
      <c r="A980" t="s">
        <v>8627</v>
      </c>
      <c r="B980" t="s">
        <v>1552</v>
      </c>
    </row>
    <row r="981" spans="1:2" x14ac:dyDescent="0.35">
      <c r="A981" t="s">
        <v>8631</v>
      </c>
      <c r="B981" t="s">
        <v>1555</v>
      </c>
    </row>
    <row r="982" spans="1:2" x14ac:dyDescent="0.35">
      <c r="A982" t="s">
        <v>8635</v>
      </c>
      <c r="B982" t="s">
        <v>1558</v>
      </c>
    </row>
    <row r="983" spans="1:2" x14ac:dyDescent="0.35">
      <c r="A983" t="s">
        <v>8639</v>
      </c>
      <c r="B983" t="s">
        <v>1562</v>
      </c>
    </row>
    <row r="984" spans="1:2" x14ac:dyDescent="0.35">
      <c r="A984" t="s">
        <v>8642</v>
      </c>
      <c r="B984" t="s">
        <v>1568</v>
      </c>
    </row>
    <row r="985" spans="1:2" x14ac:dyDescent="0.35">
      <c r="A985" t="s">
        <v>8645</v>
      </c>
      <c r="B985" t="s">
        <v>1572</v>
      </c>
    </row>
    <row r="986" spans="1:2" x14ac:dyDescent="0.35">
      <c r="A986" t="s">
        <v>8648</v>
      </c>
      <c r="B986" t="s">
        <v>1577</v>
      </c>
    </row>
    <row r="987" spans="1:2" x14ac:dyDescent="0.35">
      <c r="A987" t="s">
        <v>8610</v>
      </c>
      <c r="B987" t="s">
        <v>1581</v>
      </c>
    </row>
    <row r="988" spans="1:2" x14ac:dyDescent="0.35">
      <c r="A988" t="s">
        <v>8614</v>
      </c>
      <c r="B988" t="s">
        <v>1585</v>
      </c>
    </row>
    <row r="989" spans="1:2" x14ac:dyDescent="0.35">
      <c r="A989" t="s">
        <v>8617</v>
      </c>
      <c r="B989" t="s">
        <v>1589</v>
      </c>
    </row>
    <row r="990" spans="1:2" x14ac:dyDescent="0.35">
      <c r="A990" t="s">
        <v>8621</v>
      </c>
      <c r="B990" t="s">
        <v>1594</v>
      </c>
    </row>
    <row r="991" spans="1:2" x14ac:dyDescent="0.35">
      <c r="A991" t="s">
        <v>8624</v>
      </c>
      <c r="B991" t="s">
        <v>1598</v>
      </c>
    </row>
    <row r="992" spans="1:2" x14ac:dyDescent="0.35">
      <c r="A992" t="s">
        <v>8627</v>
      </c>
      <c r="B992" t="s">
        <v>1602</v>
      </c>
    </row>
    <row r="993" spans="1:2" x14ac:dyDescent="0.35">
      <c r="A993" t="s">
        <v>8631</v>
      </c>
      <c r="B993" t="s">
        <v>1606</v>
      </c>
    </row>
    <row r="994" spans="1:2" x14ac:dyDescent="0.35">
      <c r="A994" t="s">
        <v>8635</v>
      </c>
      <c r="B994" t="s">
        <v>1609</v>
      </c>
    </row>
    <row r="995" spans="1:2" x14ac:dyDescent="0.35">
      <c r="A995" t="s">
        <v>8639</v>
      </c>
      <c r="B995" t="s">
        <v>1612</v>
      </c>
    </row>
    <row r="996" spans="1:2" x14ac:dyDescent="0.35">
      <c r="A996" t="s">
        <v>8642</v>
      </c>
      <c r="B996" t="s">
        <v>1615</v>
      </c>
    </row>
    <row r="997" spans="1:2" x14ac:dyDescent="0.35">
      <c r="A997" t="s">
        <v>8645</v>
      </c>
      <c r="B997" t="s">
        <v>1618</v>
      </c>
    </row>
    <row r="998" spans="1:2" x14ac:dyDescent="0.35">
      <c r="A998" t="s">
        <v>8648</v>
      </c>
      <c r="B998" t="s">
        <v>1621</v>
      </c>
    </row>
    <row r="999" spans="1:2" x14ac:dyDescent="0.35">
      <c r="A999" t="s">
        <v>8610</v>
      </c>
      <c r="B999" t="s">
        <v>1624</v>
      </c>
    </row>
    <row r="1000" spans="1:2" x14ac:dyDescent="0.35">
      <c r="A1000" t="s">
        <v>8614</v>
      </c>
      <c r="B1000" t="s">
        <v>1627</v>
      </c>
    </row>
    <row r="1001" spans="1:2" x14ac:dyDescent="0.35">
      <c r="A1001" t="s">
        <v>8617</v>
      </c>
      <c r="B1001" t="s">
        <v>1631</v>
      </c>
    </row>
    <row r="1002" spans="1:2" x14ac:dyDescent="0.35">
      <c r="A1002" t="s">
        <v>8621</v>
      </c>
      <c r="B1002" t="s">
        <v>1634</v>
      </c>
    </row>
    <row r="1003" spans="1:2" x14ac:dyDescent="0.35">
      <c r="A1003" t="s">
        <v>8624</v>
      </c>
      <c r="B1003" t="s">
        <v>1637</v>
      </c>
    </row>
    <row r="1004" spans="1:2" x14ac:dyDescent="0.35">
      <c r="A1004" t="s">
        <v>8627</v>
      </c>
      <c r="B1004" t="s">
        <v>1640</v>
      </c>
    </row>
    <row r="1005" spans="1:2" x14ac:dyDescent="0.35">
      <c r="A1005" t="s">
        <v>8631</v>
      </c>
      <c r="B1005" t="s">
        <v>1643</v>
      </c>
    </row>
    <row r="1006" spans="1:2" x14ac:dyDescent="0.35">
      <c r="A1006" t="s">
        <v>8635</v>
      </c>
      <c r="B1006" t="s">
        <v>1646</v>
      </c>
    </row>
    <row r="1007" spans="1:2" x14ac:dyDescent="0.35">
      <c r="A1007" t="s">
        <v>8639</v>
      </c>
      <c r="B1007" t="s">
        <v>1649</v>
      </c>
    </row>
    <row r="1008" spans="1:2" x14ac:dyDescent="0.35">
      <c r="A1008" t="s">
        <v>8642</v>
      </c>
      <c r="B1008" t="s">
        <v>1652</v>
      </c>
    </row>
    <row r="1009" spans="1:2" x14ac:dyDescent="0.35">
      <c r="A1009" t="s">
        <v>8645</v>
      </c>
      <c r="B1009" t="s">
        <v>1655</v>
      </c>
    </row>
    <row r="1010" spans="1:2" x14ac:dyDescent="0.35">
      <c r="A1010" t="s">
        <v>8648</v>
      </c>
      <c r="B1010" t="s">
        <v>1658</v>
      </c>
    </row>
    <row r="1011" spans="1:2" x14ac:dyDescent="0.35">
      <c r="A1011" t="s">
        <v>8610</v>
      </c>
      <c r="B1011" t="s">
        <v>1662</v>
      </c>
    </row>
    <row r="1012" spans="1:2" x14ac:dyDescent="0.35">
      <c r="A1012" t="s">
        <v>8614</v>
      </c>
      <c r="B1012" t="s">
        <v>1665</v>
      </c>
    </row>
    <row r="1013" spans="1:2" x14ac:dyDescent="0.35">
      <c r="A1013" t="s">
        <v>8617</v>
      </c>
      <c r="B1013" t="s">
        <v>1668</v>
      </c>
    </row>
    <row r="1014" spans="1:2" x14ac:dyDescent="0.35">
      <c r="A1014" t="s">
        <v>8621</v>
      </c>
      <c r="B1014" t="s">
        <v>1671</v>
      </c>
    </row>
    <row r="1015" spans="1:2" x14ac:dyDescent="0.35">
      <c r="A1015" t="s">
        <v>8624</v>
      </c>
      <c r="B1015" t="s">
        <v>1674</v>
      </c>
    </row>
    <row r="1016" spans="1:2" x14ac:dyDescent="0.35">
      <c r="A1016" t="s">
        <v>8627</v>
      </c>
      <c r="B1016" t="s">
        <v>1677</v>
      </c>
    </row>
    <row r="1017" spans="1:2" x14ac:dyDescent="0.35">
      <c r="A1017" t="s">
        <v>8631</v>
      </c>
      <c r="B1017" t="s">
        <v>1680</v>
      </c>
    </row>
    <row r="1018" spans="1:2" x14ac:dyDescent="0.35">
      <c r="A1018" t="s">
        <v>8635</v>
      </c>
      <c r="B1018" t="s">
        <v>1683</v>
      </c>
    </row>
    <row r="1019" spans="1:2" x14ac:dyDescent="0.35">
      <c r="A1019" t="s">
        <v>8639</v>
      </c>
      <c r="B1019" t="s">
        <v>1686</v>
      </c>
    </row>
    <row r="1020" spans="1:2" x14ac:dyDescent="0.35">
      <c r="A1020" t="s">
        <v>8642</v>
      </c>
      <c r="B1020" t="s">
        <v>1689</v>
      </c>
    </row>
    <row r="1021" spans="1:2" x14ac:dyDescent="0.35">
      <c r="A1021" t="s">
        <v>8645</v>
      </c>
      <c r="B1021" t="s">
        <v>1692</v>
      </c>
    </row>
    <row r="1022" spans="1:2" x14ac:dyDescent="0.35">
      <c r="A1022" t="s">
        <v>8648</v>
      </c>
      <c r="B1022" t="s">
        <v>1695</v>
      </c>
    </row>
    <row r="1023" spans="1:2" x14ac:dyDescent="0.35">
      <c r="A1023" t="s">
        <v>8610</v>
      </c>
      <c r="B1023" t="s">
        <v>1698</v>
      </c>
    </row>
    <row r="1024" spans="1:2" x14ac:dyDescent="0.35">
      <c r="A1024" t="s">
        <v>8614</v>
      </c>
      <c r="B1024" t="s">
        <v>1701</v>
      </c>
    </row>
    <row r="1025" spans="1:2" x14ac:dyDescent="0.35">
      <c r="A1025" t="s">
        <v>8617</v>
      </c>
      <c r="B1025" t="s">
        <v>1703</v>
      </c>
    </row>
    <row r="1026" spans="1:2" x14ac:dyDescent="0.35">
      <c r="A1026" t="s">
        <v>8621</v>
      </c>
      <c r="B1026" t="s">
        <v>1706</v>
      </c>
    </row>
    <row r="1027" spans="1:2" x14ac:dyDescent="0.35">
      <c r="A1027" t="s">
        <v>8624</v>
      </c>
      <c r="B1027" t="s">
        <v>1709</v>
      </c>
    </row>
    <row r="1028" spans="1:2" x14ac:dyDescent="0.35">
      <c r="A1028" t="s">
        <v>8627</v>
      </c>
      <c r="B1028" t="s">
        <v>1712</v>
      </c>
    </row>
    <row r="1029" spans="1:2" x14ac:dyDescent="0.35">
      <c r="A1029" t="s">
        <v>8631</v>
      </c>
      <c r="B1029" t="s">
        <v>1714</v>
      </c>
    </row>
    <row r="1030" spans="1:2" x14ac:dyDescent="0.35">
      <c r="A1030" t="s">
        <v>8635</v>
      </c>
      <c r="B1030" t="s">
        <v>1717</v>
      </c>
    </row>
    <row r="1031" spans="1:2" x14ac:dyDescent="0.35">
      <c r="A1031" t="s">
        <v>8639</v>
      </c>
      <c r="B1031" t="s">
        <v>1720</v>
      </c>
    </row>
    <row r="1032" spans="1:2" x14ac:dyDescent="0.35">
      <c r="A1032" t="s">
        <v>8642</v>
      </c>
      <c r="B1032" t="s">
        <v>1723</v>
      </c>
    </row>
    <row r="1033" spans="1:2" x14ac:dyDescent="0.35">
      <c r="A1033" t="s">
        <v>8645</v>
      </c>
      <c r="B1033" t="s">
        <v>1726</v>
      </c>
    </row>
    <row r="1034" spans="1:2" x14ac:dyDescent="0.35">
      <c r="A1034" t="s">
        <v>8648</v>
      </c>
      <c r="B1034" t="s">
        <v>1728</v>
      </c>
    </row>
    <row r="1035" spans="1:2" x14ac:dyDescent="0.35">
      <c r="A1035" t="s">
        <v>8610</v>
      </c>
      <c r="B1035" t="s">
        <v>1732</v>
      </c>
    </row>
    <row r="1036" spans="1:2" x14ac:dyDescent="0.35">
      <c r="A1036" t="s">
        <v>8614</v>
      </c>
      <c r="B1036" t="s">
        <v>1735</v>
      </c>
    </row>
    <row r="1037" spans="1:2" x14ac:dyDescent="0.35">
      <c r="A1037" t="s">
        <v>8617</v>
      </c>
      <c r="B1037" t="s">
        <v>1738</v>
      </c>
    </row>
    <row r="1038" spans="1:2" x14ac:dyDescent="0.35">
      <c r="A1038" t="s">
        <v>8621</v>
      </c>
      <c r="B1038" t="s">
        <v>1741</v>
      </c>
    </row>
    <row r="1039" spans="1:2" x14ac:dyDescent="0.35">
      <c r="A1039" t="s">
        <v>8624</v>
      </c>
      <c r="B1039" t="s">
        <v>1744</v>
      </c>
    </row>
    <row r="1040" spans="1:2" x14ac:dyDescent="0.35">
      <c r="A1040" t="s">
        <v>8627</v>
      </c>
      <c r="B1040" t="s">
        <v>1747</v>
      </c>
    </row>
    <row r="1041" spans="1:1" x14ac:dyDescent="0.35">
      <c r="A1041" t="s">
        <v>8631</v>
      </c>
    </row>
    <row r="1042" spans="1:1" x14ac:dyDescent="0.35">
      <c r="A1042" t="s">
        <v>8635</v>
      </c>
    </row>
    <row r="1043" spans="1:1" x14ac:dyDescent="0.35">
      <c r="A1043" t="s">
        <v>8639</v>
      </c>
    </row>
    <row r="1044" spans="1:1" x14ac:dyDescent="0.35">
      <c r="A1044" t="s">
        <v>8642</v>
      </c>
    </row>
    <row r="1045" spans="1:1" x14ac:dyDescent="0.35">
      <c r="A1045" t="s">
        <v>8645</v>
      </c>
    </row>
    <row r="1046" spans="1:1" x14ac:dyDescent="0.35">
      <c r="A1046" t="s">
        <v>8648</v>
      </c>
    </row>
    <row r="1047" spans="1:1" x14ac:dyDescent="0.35">
      <c r="A1047" t="s">
        <v>8610</v>
      </c>
    </row>
    <row r="1048" spans="1:1" x14ac:dyDescent="0.35">
      <c r="A1048" t="s">
        <v>8614</v>
      </c>
    </row>
    <row r="1049" spans="1:1" x14ac:dyDescent="0.35">
      <c r="A1049" t="s">
        <v>8617</v>
      </c>
    </row>
    <row r="1050" spans="1:1" x14ac:dyDescent="0.35">
      <c r="A1050" t="s">
        <v>8621</v>
      </c>
    </row>
    <row r="1051" spans="1:1" x14ac:dyDescent="0.35">
      <c r="A1051" t="s">
        <v>8624</v>
      </c>
    </row>
    <row r="1052" spans="1:1" x14ac:dyDescent="0.35">
      <c r="A1052" t="s">
        <v>8627</v>
      </c>
    </row>
    <row r="1053" spans="1:1" x14ac:dyDescent="0.35">
      <c r="A1053" t="s">
        <v>8631</v>
      </c>
    </row>
    <row r="1054" spans="1:1" x14ac:dyDescent="0.35">
      <c r="A1054" t="s">
        <v>8635</v>
      </c>
    </row>
    <row r="1055" spans="1:1" x14ac:dyDescent="0.35">
      <c r="A1055" t="s">
        <v>8639</v>
      </c>
    </row>
    <row r="1056" spans="1:1" x14ac:dyDescent="0.35">
      <c r="A1056" t="s">
        <v>8642</v>
      </c>
    </row>
    <row r="1057" spans="1:1" x14ac:dyDescent="0.35">
      <c r="A1057" t="s">
        <v>8645</v>
      </c>
    </row>
    <row r="1058" spans="1:1" x14ac:dyDescent="0.35">
      <c r="A1058" t="s">
        <v>8648</v>
      </c>
    </row>
    <row r="1059" spans="1:1" x14ac:dyDescent="0.35">
      <c r="A1059" t="s">
        <v>8610</v>
      </c>
    </row>
    <row r="1060" spans="1:1" x14ac:dyDescent="0.35">
      <c r="A1060" t="s">
        <v>8614</v>
      </c>
    </row>
    <row r="1061" spans="1:1" x14ac:dyDescent="0.35">
      <c r="A1061" t="s">
        <v>8617</v>
      </c>
    </row>
    <row r="1062" spans="1:1" x14ac:dyDescent="0.35">
      <c r="A1062" t="s">
        <v>8621</v>
      </c>
    </row>
    <row r="1063" spans="1:1" x14ac:dyDescent="0.35">
      <c r="A1063" t="s">
        <v>8624</v>
      </c>
    </row>
    <row r="1064" spans="1:1" x14ac:dyDescent="0.35">
      <c r="A1064" t="s">
        <v>8627</v>
      </c>
    </row>
    <row r="1065" spans="1:1" x14ac:dyDescent="0.35">
      <c r="A1065" t="s">
        <v>8631</v>
      </c>
    </row>
    <row r="1066" spans="1:1" x14ac:dyDescent="0.35">
      <c r="A1066" t="s">
        <v>8635</v>
      </c>
    </row>
    <row r="1067" spans="1:1" x14ac:dyDescent="0.35">
      <c r="A1067" t="s">
        <v>8639</v>
      </c>
    </row>
    <row r="1068" spans="1:1" x14ac:dyDescent="0.35">
      <c r="A1068" t="s">
        <v>8642</v>
      </c>
    </row>
    <row r="1069" spans="1:1" x14ac:dyDescent="0.35">
      <c r="A1069" t="s">
        <v>8645</v>
      </c>
    </row>
    <row r="1070" spans="1:1" x14ac:dyDescent="0.35">
      <c r="A1070" t="s">
        <v>8648</v>
      </c>
    </row>
    <row r="1071" spans="1:1" x14ac:dyDescent="0.35">
      <c r="A1071" t="s">
        <v>8610</v>
      </c>
    </row>
    <row r="1072" spans="1:1" x14ac:dyDescent="0.35">
      <c r="A1072" t="s">
        <v>8614</v>
      </c>
    </row>
    <row r="1073" spans="1:1" x14ac:dyDescent="0.35">
      <c r="A1073" t="s">
        <v>8617</v>
      </c>
    </row>
    <row r="1074" spans="1:1" x14ac:dyDescent="0.35">
      <c r="A1074" t="s">
        <v>8621</v>
      </c>
    </row>
    <row r="1075" spans="1:1" x14ac:dyDescent="0.35">
      <c r="A1075" t="s">
        <v>8624</v>
      </c>
    </row>
    <row r="1076" spans="1:1" x14ac:dyDescent="0.35">
      <c r="A1076" t="s">
        <v>8627</v>
      </c>
    </row>
    <row r="1077" spans="1:1" x14ac:dyDescent="0.35">
      <c r="A1077" t="s">
        <v>8631</v>
      </c>
    </row>
    <row r="1078" spans="1:1" x14ac:dyDescent="0.35">
      <c r="A1078" t="s">
        <v>8635</v>
      </c>
    </row>
    <row r="1079" spans="1:1" x14ac:dyDescent="0.35">
      <c r="A1079" t="s">
        <v>8639</v>
      </c>
    </row>
    <row r="1080" spans="1:1" x14ac:dyDescent="0.35">
      <c r="A1080" t="s">
        <v>8642</v>
      </c>
    </row>
    <row r="1081" spans="1:1" x14ac:dyDescent="0.35">
      <c r="A1081" t="s">
        <v>8645</v>
      </c>
    </row>
    <row r="1082" spans="1:1" x14ac:dyDescent="0.35">
      <c r="A1082" t="s">
        <v>8648</v>
      </c>
    </row>
    <row r="1083" spans="1:1" x14ac:dyDescent="0.35">
      <c r="A1083" t="s">
        <v>8610</v>
      </c>
    </row>
    <row r="1084" spans="1:1" x14ac:dyDescent="0.35">
      <c r="A1084" t="s">
        <v>8614</v>
      </c>
    </row>
    <row r="1085" spans="1:1" x14ac:dyDescent="0.35">
      <c r="A1085" t="s">
        <v>8617</v>
      </c>
    </row>
    <row r="1086" spans="1:1" x14ac:dyDescent="0.35">
      <c r="A1086" t="s">
        <v>8621</v>
      </c>
    </row>
    <row r="1087" spans="1:1" x14ac:dyDescent="0.35">
      <c r="A1087" t="s">
        <v>8624</v>
      </c>
    </row>
    <row r="1088" spans="1:1" x14ac:dyDescent="0.35">
      <c r="A1088" t="s">
        <v>8627</v>
      </c>
    </row>
    <row r="1089" spans="1:1" x14ac:dyDescent="0.35">
      <c r="A1089" t="s">
        <v>8631</v>
      </c>
    </row>
    <row r="1090" spans="1:1" x14ac:dyDescent="0.35">
      <c r="A1090" t="s">
        <v>8635</v>
      </c>
    </row>
    <row r="1091" spans="1:1" x14ac:dyDescent="0.35">
      <c r="A1091" t="s">
        <v>8639</v>
      </c>
    </row>
    <row r="1092" spans="1:1" x14ac:dyDescent="0.35">
      <c r="A1092" t="s">
        <v>8642</v>
      </c>
    </row>
    <row r="1093" spans="1:1" x14ac:dyDescent="0.35">
      <c r="A1093" t="s">
        <v>8645</v>
      </c>
    </row>
    <row r="1094" spans="1:1" x14ac:dyDescent="0.35">
      <c r="A1094" t="s">
        <v>8648</v>
      </c>
    </row>
    <row r="1095" spans="1:1" x14ac:dyDescent="0.35">
      <c r="A1095" t="s">
        <v>8610</v>
      </c>
    </row>
    <row r="1096" spans="1:1" x14ac:dyDescent="0.35">
      <c r="A1096" t="s">
        <v>8614</v>
      </c>
    </row>
    <row r="1097" spans="1:1" x14ac:dyDescent="0.35">
      <c r="A1097" t="s">
        <v>8617</v>
      </c>
    </row>
    <row r="1098" spans="1:1" x14ac:dyDescent="0.35">
      <c r="A1098" t="s">
        <v>8621</v>
      </c>
    </row>
    <row r="1099" spans="1:1" x14ac:dyDescent="0.35">
      <c r="A1099" t="s">
        <v>8624</v>
      </c>
    </row>
    <row r="1100" spans="1:1" x14ac:dyDescent="0.35">
      <c r="A1100" t="s">
        <v>8627</v>
      </c>
    </row>
    <row r="1101" spans="1:1" x14ac:dyDescent="0.35">
      <c r="A1101" t="s">
        <v>8631</v>
      </c>
    </row>
    <row r="1102" spans="1:1" x14ac:dyDescent="0.35">
      <c r="A1102" t="s">
        <v>8635</v>
      </c>
    </row>
    <row r="1103" spans="1:1" x14ac:dyDescent="0.35">
      <c r="A1103" t="s">
        <v>8639</v>
      </c>
    </row>
    <row r="1104" spans="1:1" x14ac:dyDescent="0.35">
      <c r="A1104" t="s">
        <v>8642</v>
      </c>
    </row>
    <row r="1105" spans="1:1" x14ac:dyDescent="0.35">
      <c r="A1105" t="s">
        <v>8645</v>
      </c>
    </row>
    <row r="1106" spans="1:1" x14ac:dyDescent="0.35">
      <c r="A1106" t="s">
        <v>8648</v>
      </c>
    </row>
    <row r="1107" spans="1:1" x14ac:dyDescent="0.35">
      <c r="A1107" t="s">
        <v>8610</v>
      </c>
    </row>
    <row r="1108" spans="1:1" x14ac:dyDescent="0.35">
      <c r="A1108" t="s">
        <v>8614</v>
      </c>
    </row>
    <row r="1109" spans="1:1" x14ac:dyDescent="0.35">
      <c r="A1109" t="s">
        <v>8617</v>
      </c>
    </row>
    <row r="1110" spans="1:1" x14ac:dyDescent="0.35">
      <c r="A1110" t="s">
        <v>8621</v>
      </c>
    </row>
    <row r="1111" spans="1:1" x14ac:dyDescent="0.35">
      <c r="A1111" t="s">
        <v>8624</v>
      </c>
    </row>
    <row r="1112" spans="1:1" x14ac:dyDescent="0.35">
      <c r="A1112" t="s">
        <v>8627</v>
      </c>
    </row>
    <row r="1113" spans="1:1" x14ac:dyDescent="0.35">
      <c r="A1113" t="s">
        <v>8631</v>
      </c>
    </row>
    <row r="1114" spans="1:1" x14ac:dyDescent="0.35">
      <c r="A1114" t="s">
        <v>8635</v>
      </c>
    </row>
    <row r="1115" spans="1:1" x14ac:dyDescent="0.35">
      <c r="A1115" t="s">
        <v>8639</v>
      </c>
    </row>
    <row r="1116" spans="1:1" x14ac:dyDescent="0.35">
      <c r="A1116" t="s">
        <v>8642</v>
      </c>
    </row>
    <row r="1117" spans="1:1" x14ac:dyDescent="0.35">
      <c r="A1117" t="s">
        <v>8645</v>
      </c>
    </row>
    <row r="1118" spans="1:1" x14ac:dyDescent="0.35">
      <c r="A1118" t="s">
        <v>8648</v>
      </c>
    </row>
    <row r="1119" spans="1:1" x14ac:dyDescent="0.35">
      <c r="A1119" t="s">
        <v>8610</v>
      </c>
    </row>
    <row r="1120" spans="1:1" x14ac:dyDescent="0.35">
      <c r="A1120" t="s">
        <v>8614</v>
      </c>
    </row>
    <row r="1121" spans="1:1" x14ac:dyDescent="0.35">
      <c r="A1121" t="s">
        <v>8617</v>
      </c>
    </row>
    <row r="1122" spans="1:1" x14ac:dyDescent="0.35">
      <c r="A1122" t="s">
        <v>8621</v>
      </c>
    </row>
    <row r="1123" spans="1:1" x14ac:dyDescent="0.35">
      <c r="A1123" t="s">
        <v>8624</v>
      </c>
    </row>
    <row r="1124" spans="1:1" x14ac:dyDescent="0.35">
      <c r="A1124" t="s">
        <v>8627</v>
      </c>
    </row>
    <row r="1125" spans="1:1" x14ac:dyDescent="0.35">
      <c r="A1125" t="s">
        <v>8631</v>
      </c>
    </row>
    <row r="1126" spans="1:1" x14ac:dyDescent="0.35">
      <c r="A1126" t="s">
        <v>8635</v>
      </c>
    </row>
    <row r="1127" spans="1:1" x14ac:dyDescent="0.35">
      <c r="A1127" t="s">
        <v>8639</v>
      </c>
    </row>
    <row r="1128" spans="1:1" x14ac:dyDescent="0.35">
      <c r="A1128" t="s">
        <v>8642</v>
      </c>
    </row>
    <row r="1129" spans="1:1" x14ac:dyDescent="0.35">
      <c r="A1129" t="s">
        <v>8645</v>
      </c>
    </row>
    <row r="1130" spans="1:1" x14ac:dyDescent="0.35">
      <c r="A1130" t="s">
        <v>8648</v>
      </c>
    </row>
    <row r="1131" spans="1:1" x14ac:dyDescent="0.35">
      <c r="A1131" t="s">
        <v>8610</v>
      </c>
    </row>
    <row r="1132" spans="1:1" x14ac:dyDescent="0.35">
      <c r="A1132" t="s">
        <v>8614</v>
      </c>
    </row>
    <row r="1133" spans="1:1" x14ac:dyDescent="0.35">
      <c r="A1133" t="s">
        <v>8617</v>
      </c>
    </row>
    <row r="1134" spans="1:1" x14ac:dyDescent="0.35">
      <c r="A1134" t="s">
        <v>8621</v>
      </c>
    </row>
    <row r="1135" spans="1:1" x14ac:dyDescent="0.35">
      <c r="A1135" t="s">
        <v>8624</v>
      </c>
    </row>
    <row r="1136" spans="1:1" x14ac:dyDescent="0.35">
      <c r="A1136" t="s">
        <v>8627</v>
      </c>
    </row>
    <row r="1137" spans="1:1" x14ac:dyDescent="0.35">
      <c r="A1137" t="s">
        <v>8631</v>
      </c>
    </row>
    <row r="1138" spans="1:1" x14ac:dyDescent="0.35">
      <c r="A1138" t="s">
        <v>8635</v>
      </c>
    </row>
    <row r="1139" spans="1:1" x14ac:dyDescent="0.35">
      <c r="A1139" t="s">
        <v>8639</v>
      </c>
    </row>
    <row r="1140" spans="1:1" x14ac:dyDescent="0.35">
      <c r="A1140" t="s">
        <v>8642</v>
      </c>
    </row>
    <row r="1141" spans="1:1" x14ac:dyDescent="0.35">
      <c r="A1141" t="s">
        <v>8645</v>
      </c>
    </row>
    <row r="1142" spans="1:1" x14ac:dyDescent="0.35">
      <c r="A1142" t="s">
        <v>8648</v>
      </c>
    </row>
    <row r="1143" spans="1:1" x14ac:dyDescent="0.35">
      <c r="A1143" t="s">
        <v>8610</v>
      </c>
    </row>
    <row r="1144" spans="1:1" x14ac:dyDescent="0.35">
      <c r="A1144" t="s">
        <v>8614</v>
      </c>
    </row>
    <row r="1145" spans="1:1" x14ac:dyDescent="0.35">
      <c r="A1145" t="s">
        <v>8617</v>
      </c>
    </row>
    <row r="1146" spans="1:1" x14ac:dyDescent="0.35">
      <c r="A1146" t="s">
        <v>8621</v>
      </c>
    </row>
    <row r="1147" spans="1:1" x14ac:dyDescent="0.35">
      <c r="A1147" t="s">
        <v>8624</v>
      </c>
    </row>
    <row r="1148" spans="1:1" x14ac:dyDescent="0.35">
      <c r="A1148" t="s">
        <v>8627</v>
      </c>
    </row>
    <row r="1149" spans="1:1" x14ac:dyDescent="0.35">
      <c r="A1149" t="s">
        <v>8631</v>
      </c>
    </row>
    <row r="1150" spans="1:1" x14ac:dyDescent="0.35">
      <c r="A1150" t="s">
        <v>8635</v>
      </c>
    </row>
    <row r="1151" spans="1:1" x14ac:dyDescent="0.35">
      <c r="A1151" t="s">
        <v>8639</v>
      </c>
    </row>
    <row r="1152" spans="1:1" x14ac:dyDescent="0.35">
      <c r="A1152" t="s">
        <v>8642</v>
      </c>
    </row>
    <row r="1153" spans="1:1" x14ac:dyDescent="0.35">
      <c r="A1153" t="s">
        <v>8645</v>
      </c>
    </row>
    <row r="1154" spans="1:1" x14ac:dyDescent="0.35">
      <c r="A1154" t="s">
        <v>8648</v>
      </c>
    </row>
    <row r="1155" spans="1:1" x14ac:dyDescent="0.35">
      <c r="A1155" t="s">
        <v>8610</v>
      </c>
    </row>
    <row r="1156" spans="1:1" x14ac:dyDescent="0.35">
      <c r="A1156" t="s">
        <v>8614</v>
      </c>
    </row>
    <row r="1157" spans="1:1" x14ac:dyDescent="0.35">
      <c r="A1157" t="s">
        <v>8617</v>
      </c>
    </row>
    <row r="1158" spans="1:1" x14ac:dyDescent="0.35">
      <c r="A1158" t="s">
        <v>8621</v>
      </c>
    </row>
    <row r="1159" spans="1:1" x14ac:dyDescent="0.35">
      <c r="A1159" t="s">
        <v>8624</v>
      </c>
    </row>
    <row r="1160" spans="1:1" x14ac:dyDescent="0.35">
      <c r="A1160" t="s">
        <v>8627</v>
      </c>
    </row>
    <row r="1161" spans="1:1" x14ac:dyDescent="0.35">
      <c r="A1161" t="s">
        <v>8631</v>
      </c>
    </row>
    <row r="1162" spans="1:1" x14ac:dyDescent="0.35">
      <c r="A1162" t="s">
        <v>8635</v>
      </c>
    </row>
    <row r="1163" spans="1:1" x14ac:dyDescent="0.35">
      <c r="A1163" t="s">
        <v>8639</v>
      </c>
    </row>
    <row r="1164" spans="1:1" x14ac:dyDescent="0.35">
      <c r="A1164" t="s">
        <v>8642</v>
      </c>
    </row>
    <row r="1165" spans="1:1" x14ac:dyDescent="0.35">
      <c r="A1165" t="s">
        <v>8645</v>
      </c>
    </row>
    <row r="1166" spans="1:1" x14ac:dyDescent="0.35">
      <c r="A1166" t="s">
        <v>8648</v>
      </c>
    </row>
    <row r="1167" spans="1:1" x14ac:dyDescent="0.35">
      <c r="A1167" t="s">
        <v>8610</v>
      </c>
    </row>
    <row r="1168" spans="1:1" x14ac:dyDescent="0.35">
      <c r="A1168" t="s">
        <v>8614</v>
      </c>
    </row>
    <row r="1169" spans="1:1" x14ac:dyDescent="0.35">
      <c r="A1169" t="s">
        <v>8617</v>
      </c>
    </row>
    <row r="1170" spans="1:1" x14ac:dyDescent="0.35">
      <c r="A1170" t="s">
        <v>8621</v>
      </c>
    </row>
    <row r="1171" spans="1:1" x14ac:dyDescent="0.35">
      <c r="A1171" t="s">
        <v>8624</v>
      </c>
    </row>
    <row r="1172" spans="1:1" x14ac:dyDescent="0.35">
      <c r="A1172" t="s">
        <v>8627</v>
      </c>
    </row>
    <row r="1173" spans="1:1" x14ac:dyDescent="0.35">
      <c r="A1173" t="s">
        <v>8631</v>
      </c>
    </row>
    <row r="1174" spans="1:1" x14ac:dyDescent="0.35">
      <c r="A1174" t="s">
        <v>8635</v>
      </c>
    </row>
    <row r="1175" spans="1:1" x14ac:dyDescent="0.35">
      <c r="A1175" t="s">
        <v>8639</v>
      </c>
    </row>
    <row r="1176" spans="1:1" x14ac:dyDescent="0.35">
      <c r="A1176" t="s">
        <v>8642</v>
      </c>
    </row>
    <row r="1177" spans="1:1" x14ac:dyDescent="0.35">
      <c r="A1177" t="s">
        <v>8645</v>
      </c>
    </row>
    <row r="1178" spans="1:1" x14ac:dyDescent="0.35">
      <c r="A1178" t="s">
        <v>8648</v>
      </c>
    </row>
    <row r="1179" spans="1:1" x14ac:dyDescent="0.35">
      <c r="A1179" t="s">
        <v>8610</v>
      </c>
    </row>
    <row r="1180" spans="1:1" x14ac:dyDescent="0.35">
      <c r="A1180" t="s">
        <v>8614</v>
      </c>
    </row>
    <row r="1181" spans="1:1" x14ac:dyDescent="0.35">
      <c r="A1181" t="s">
        <v>8617</v>
      </c>
    </row>
    <row r="1182" spans="1:1" x14ac:dyDescent="0.35">
      <c r="A1182" t="s">
        <v>8621</v>
      </c>
    </row>
    <row r="1183" spans="1:1" x14ac:dyDescent="0.35">
      <c r="A1183" t="s">
        <v>8624</v>
      </c>
    </row>
    <row r="1184" spans="1:1" x14ac:dyDescent="0.35">
      <c r="A1184" t="s">
        <v>8627</v>
      </c>
    </row>
    <row r="1185" spans="1:1" x14ac:dyDescent="0.35">
      <c r="A1185" t="s">
        <v>8631</v>
      </c>
    </row>
    <row r="1186" spans="1:1" x14ac:dyDescent="0.35">
      <c r="A1186" t="s">
        <v>8635</v>
      </c>
    </row>
    <row r="1187" spans="1:1" x14ac:dyDescent="0.35">
      <c r="A1187" t="s">
        <v>8639</v>
      </c>
    </row>
    <row r="1188" spans="1:1" x14ac:dyDescent="0.35">
      <c r="A1188" t="s">
        <v>8642</v>
      </c>
    </row>
    <row r="1189" spans="1:1" x14ac:dyDescent="0.35">
      <c r="A1189" t="s">
        <v>8645</v>
      </c>
    </row>
    <row r="1190" spans="1:1" x14ac:dyDescent="0.35">
      <c r="A1190" t="s">
        <v>8648</v>
      </c>
    </row>
    <row r="1191" spans="1:1" x14ac:dyDescent="0.35">
      <c r="A1191" t="s">
        <v>8610</v>
      </c>
    </row>
    <row r="1192" spans="1:1" x14ac:dyDescent="0.35">
      <c r="A1192" t="s">
        <v>8614</v>
      </c>
    </row>
    <row r="1193" spans="1:1" x14ac:dyDescent="0.35">
      <c r="A1193" t="s">
        <v>8617</v>
      </c>
    </row>
    <row r="1194" spans="1:1" x14ac:dyDescent="0.35">
      <c r="A1194" t="s">
        <v>8621</v>
      </c>
    </row>
    <row r="1195" spans="1:1" x14ac:dyDescent="0.35">
      <c r="A1195" t="s">
        <v>8624</v>
      </c>
    </row>
    <row r="1196" spans="1:1" x14ac:dyDescent="0.35">
      <c r="A1196" t="s">
        <v>8627</v>
      </c>
    </row>
    <row r="1197" spans="1:1" x14ac:dyDescent="0.35">
      <c r="A1197" t="s">
        <v>8631</v>
      </c>
    </row>
    <row r="1198" spans="1:1" x14ac:dyDescent="0.35">
      <c r="A1198" t="s">
        <v>8635</v>
      </c>
    </row>
    <row r="1199" spans="1:1" x14ac:dyDescent="0.35">
      <c r="A1199" t="s">
        <v>8639</v>
      </c>
    </row>
    <row r="1200" spans="1:1" x14ac:dyDescent="0.35">
      <c r="A1200" t="s">
        <v>8642</v>
      </c>
    </row>
    <row r="1201" spans="1:1" x14ac:dyDescent="0.35">
      <c r="A1201" t="s">
        <v>8645</v>
      </c>
    </row>
    <row r="1202" spans="1:1" x14ac:dyDescent="0.35">
      <c r="A1202" t="s">
        <v>8648</v>
      </c>
    </row>
    <row r="1203" spans="1:1" x14ac:dyDescent="0.35">
      <c r="A1203" t="s">
        <v>8610</v>
      </c>
    </row>
    <row r="1204" spans="1:1" x14ac:dyDescent="0.35">
      <c r="A1204" t="s">
        <v>8614</v>
      </c>
    </row>
    <row r="1205" spans="1:1" x14ac:dyDescent="0.35">
      <c r="A1205" t="s">
        <v>8617</v>
      </c>
    </row>
    <row r="1206" spans="1:1" x14ac:dyDescent="0.35">
      <c r="A1206" t="s">
        <v>8621</v>
      </c>
    </row>
    <row r="1207" spans="1:1" x14ac:dyDescent="0.35">
      <c r="A1207" t="s">
        <v>8624</v>
      </c>
    </row>
    <row r="1208" spans="1:1" x14ac:dyDescent="0.35">
      <c r="A1208" t="s">
        <v>8627</v>
      </c>
    </row>
    <row r="1209" spans="1:1" x14ac:dyDescent="0.35">
      <c r="A1209" t="s">
        <v>8631</v>
      </c>
    </row>
    <row r="1210" spans="1:1" x14ac:dyDescent="0.35">
      <c r="A1210" t="s">
        <v>8635</v>
      </c>
    </row>
    <row r="1211" spans="1:1" x14ac:dyDescent="0.35">
      <c r="A1211" t="s">
        <v>8639</v>
      </c>
    </row>
    <row r="1212" spans="1:1" x14ac:dyDescent="0.35">
      <c r="A1212" t="s">
        <v>8642</v>
      </c>
    </row>
    <row r="1213" spans="1:1" x14ac:dyDescent="0.35">
      <c r="A1213" t="s">
        <v>8645</v>
      </c>
    </row>
    <row r="1214" spans="1:1" x14ac:dyDescent="0.35">
      <c r="A1214" t="s">
        <v>8648</v>
      </c>
    </row>
    <row r="1215" spans="1:1" x14ac:dyDescent="0.35">
      <c r="A1215" t="s">
        <v>8610</v>
      </c>
    </row>
    <row r="1216" spans="1:1" x14ac:dyDescent="0.35">
      <c r="A1216" t="s">
        <v>8614</v>
      </c>
    </row>
    <row r="1217" spans="1:1" x14ac:dyDescent="0.35">
      <c r="A1217" t="s">
        <v>8617</v>
      </c>
    </row>
    <row r="1218" spans="1:1" x14ac:dyDescent="0.35">
      <c r="A1218" t="s">
        <v>8621</v>
      </c>
    </row>
    <row r="1219" spans="1:1" x14ac:dyDescent="0.35">
      <c r="A1219" t="s">
        <v>8624</v>
      </c>
    </row>
    <row r="1220" spans="1:1" x14ac:dyDescent="0.35">
      <c r="A1220" t="s">
        <v>8627</v>
      </c>
    </row>
    <row r="1221" spans="1:1" x14ac:dyDescent="0.35">
      <c r="A1221" t="s">
        <v>8631</v>
      </c>
    </row>
    <row r="1222" spans="1:1" x14ac:dyDescent="0.35">
      <c r="A1222" t="s">
        <v>8635</v>
      </c>
    </row>
    <row r="1223" spans="1:1" x14ac:dyDescent="0.35">
      <c r="A1223" t="s">
        <v>8639</v>
      </c>
    </row>
    <row r="1224" spans="1:1" x14ac:dyDescent="0.35">
      <c r="A1224" t="s">
        <v>8642</v>
      </c>
    </row>
    <row r="1225" spans="1:1" x14ac:dyDescent="0.35">
      <c r="A1225" t="s">
        <v>8645</v>
      </c>
    </row>
    <row r="1226" spans="1:1" x14ac:dyDescent="0.35">
      <c r="A1226" t="s">
        <v>8648</v>
      </c>
    </row>
    <row r="1227" spans="1:1" x14ac:dyDescent="0.35">
      <c r="A1227" t="s">
        <v>8610</v>
      </c>
    </row>
    <row r="1228" spans="1:1" x14ac:dyDescent="0.35">
      <c r="A1228" t="s">
        <v>8614</v>
      </c>
    </row>
    <row r="1229" spans="1:1" x14ac:dyDescent="0.35">
      <c r="A1229" t="s">
        <v>8617</v>
      </c>
    </row>
    <row r="1230" spans="1:1" x14ac:dyDescent="0.35">
      <c r="A1230" t="s">
        <v>8621</v>
      </c>
    </row>
    <row r="1231" spans="1:1" x14ac:dyDescent="0.35">
      <c r="A1231" t="s">
        <v>8624</v>
      </c>
    </row>
    <row r="1232" spans="1:1" x14ac:dyDescent="0.35">
      <c r="A1232" t="s">
        <v>8627</v>
      </c>
    </row>
    <row r="1233" spans="1:1" x14ac:dyDescent="0.35">
      <c r="A1233" t="s">
        <v>8631</v>
      </c>
    </row>
    <row r="1234" spans="1:1" x14ac:dyDescent="0.35">
      <c r="A1234" t="s">
        <v>8635</v>
      </c>
    </row>
    <row r="1235" spans="1:1" x14ac:dyDescent="0.35">
      <c r="A1235" t="s">
        <v>8639</v>
      </c>
    </row>
    <row r="1236" spans="1:1" x14ac:dyDescent="0.35">
      <c r="A1236" t="s">
        <v>8642</v>
      </c>
    </row>
    <row r="1237" spans="1:1" x14ac:dyDescent="0.35">
      <c r="A1237" t="s">
        <v>8645</v>
      </c>
    </row>
    <row r="1238" spans="1:1" x14ac:dyDescent="0.35">
      <c r="A1238" t="s">
        <v>8648</v>
      </c>
    </row>
    <row r="1239" spans="1:1" x14ac:dyDescent="0.35">
      <c r="A1239" t="s">
        <v>8610</v>
      </c>
    </row>
    <row r="1240" spans="1:1" x14ac:dyDescent="0.35">
      <c r="A1240" t="s">
        <v>8614</v>
      </c>
    </row>
    <row r="1241" spans="1:1" x14ac:dyDescent="0.35">
      <c r="A1241" t="s">
        <v>8617</v>
      </c>
    </row>
    <row r="1242" spans="1:1" x14ac:dyDescent="0.35">
      <c r="A1242" t="s">
        <v>8621</v>
      </c>
    </row>
    <row r="1243" spans="1:1" x14ac:dyDescent="0.35">
      <c r="A1243" t="s">
        <v>8624</v>
      </c>
    </row>
    <row r="1244" spans="1:1" x14ac:dyDescent="0.35">
      <c r="A1244" t="s">
        <v>8627</v>
      </c>
    </row>
    <row r="1245" spans="1:1" x14ac:dyDescent="0.35">
      <c r="A1245" t="s">
        <v>8631</v>
      </c>
    </row>
    <row r="1246" spans="1:1" x14ac:dyDescent="0.35">
      <c r="A1246" t="s">
        <v>8635</v>
      </c>
    </row>
    <row r="1247" spans="1:1" x14ac:dyDescent="0.35">
      <c r="A1247" t="s">
        <v>8639</v>
      </c>
    </row>
    <row r="1248" spans="1:1" x14ac:dyDescent="0.35">
      <c r="A1248" t="s">
        <v>8642</v>
      </c>
    </row>
    <row r="1249" spans="1:1" x14ac:dyDescent="0.35">
      <c r="A1249" t="s">
        <v>8645</v>
      </c>
    </row>
    <row r="1250" spans="1:1" x14ac:dyDescent="0.35">
      <c r="A1250" t="s">
        <v>8648</v>
      </c>
    </row>
    <row r="1251" spans="1:1" x14ac:dyDescent="0.35">
      <c r="A1251" t="s">
        <v>8610</v>
      </c>
    </row>
    <row r="1252" spans="1:1" x14ac:dyDescent="0.35">
      <c r="A1252" t="s">
        <v>8614</v>
      </c>
    </row>
    <row r="1253" spans="1:1" x14ac:dyDescent="0.35">
      <c r="A1253" t="s">
        <v>8617</v>
      </c>
    </row>
    <row r="1254" spans="1:1" x14ac:dyDescent="0.35">
      <c r="A1254" t="s">
        <v>8621</v>
      </c>
    </row>
    <row r="1255" spans="1:1" x14ac:dyDescent="0.35">
      <c r="A1255" t="s">
        <v>8624</v>
      </c>
    </row>
    <row r="1256" spans="1:1" x14ac:dyDescent="0.35">
      <c r="A1256" t="s">
        <v>8627</v>
      </c>
    </row>
    <row r="1257" spans="1:1" x14ac:dyDescent="0.35">
      <c r="A1257" t="s">
        <v>8631</v>
      </c>
    </row>
    <row r="1258" spans="1:1" x14ac:dyDescent="0.35">
      <c r="A1258" t="s">
        <v>8635</v>
      </c>
    </row>
    <row r="1259" spans="1:1" x14ac:dyDescent="0.35">
      <c r="A1259" t="s">
        <v>8639</v>
      </c>
    </row>
    <row r="1260" spans="1:1" x14ac:dyDescent="0.35">
      <c r="A1260" t="s">
        <v>8642</v>
      </c>
    </row>
    <row r="1261" spans="1:1" x14ac:dyDescent="0.35">
      <c r="A1261" t="s">
        <v>8645</v>
      </c>
    </row>
    <row r="1262" spans="1:1" x14ac:dyDescent="0.35">
      <c r="A1262" t="s">
        <v>8648</v>
      </c>
    </row>
    <row r="1263" spans="1:1" x14ac:dyDescent="0.35">
      <c r="A1263" t="s">
        <v>8610</v>
      </c>
    </row>
    <row r="1264" spans="1:1" x14ac:dyDescent="0.35">
      <c r="A1264" t="s">
        <v>8614</v>
      </c>
    </row>
    <row r="1265" spans="1:1" x14ac:dyDescent="0.35">
      <c r="A1265" t="s">
        <v>8617</v>
      </c>
    </row>
    <row r="1266" spans="1:1" x14ac:dyDescent="0.35">
      <c r="A1266" t="s">
        <v>8621</v>
      </c>
    </row>
    <row r="1267" spans="1:1" x14ac:dyDescent="0.35">
      <c r="A1267" t="s">
        <v>8624</v>
      </c>
    </row>
    <row r="1268" spans="1:1" x14ac:dyDescent="0.35">
      <c r="A1268" t="s">
        <v>8627</v>
      </c>
    </row>
    <row r="1269" spans="1:1" x14ac:dyDescent="0.35">
      <c r="A1269" t="s">
        <v>8631</v>
      </c>
    </row>
    <row r="1270" spans="1:1" x14ac:dyDescent="0.35">
      <c r="A1270" t="s">
        <v>8635</v>
      </c>
    </row>
    <row r="1271" spans="1:1" x14ac:dyDescent="0.35">
      <c r="A1271" t="s">
        <v>8639</v>
      </c>
    </row>
    <row r="1272" spans="1:1" x14ac:dyDescent="0.35">
      <c r="A1272" t="s">
        <v>8642</v>
      </c>
    </row>
    <row r="1273" spans="1:1" x14ac:dyDescent="0.35">
      <c r="A1273" t="s">
        <v>8645</v>
      </c>
    </row>
    <row r="1274" spans="1:1" x14ac:dyDescent="0.35">
      <c r="A1274" t="s">
        <v>8648</v>
      </c>
    </row>
    <row r="1275" spans="1:1" x14ac:dyDescent="0.35">
      <c r="A1275" t="s">
        <v>8610</v>
      </c>
    </row>
    <row r="1276" spans="1:1" x14ac:dyDescent="0.35">
      <c r="A1276" t="s">
        <v>8614</v>
      </c>
    </row>
    <row r="1277" spans="1:1" x14ac:dyDescent="0.35">
      <c r="A1277" t="s">
        <v>8617</v>
      </c>
    </row>
    <row r="1278" spans="1:1" x14ac:dyDescent="0.35">
      <c r="A1278" t="s">
        <v>8621</v>
      </c>
    </row>
    <row r="1279" spans="1:1" x14ac:dyDescent="0.35">
      <c r="A1279" t="s">
        <v>8624</v>
      </c>
    </row>
    <row r="1280" spans="1:1" x14ac:dyDescent="0.35">
      <c r="A1280" t="s">
        <v>8627</v>
      </c>
    </row>
    <row r="1281" spans="1:1" x14ac:dyDescent="0.35">
      <c r="A1281" t="s">
        <v>8631</v>
      </c>
    </row>
    <row r="1282" spans="1:1" x14ac:dyDescent="0.35">
      <c r="A1282" t="s">
        <v>8635</v>
      </c>
    </row>
    <row r="1283" spans="1:1" x14ac:dyDescent="0.35">
      <c r="A1283" t="s">
        <v>8639</v>
      </c>
    </row>
    <row r="1284" spans="1:1" x14ac:dyDescent="0.35">
      <c r="A1284" t="s">
        <v>8642</v>
      </c>
    </row>
    <row r="1285" spans="1:1" x14ac:dyDescent="0.35">
      <c r="A1285" t="s">
        <v>8645</v>
      </c>
    </row>
    <row r="1286" spans="1:1" x14ac:dyDescent="0.35">
      <c r="A1286" t="s">
        <v>8648</v>
      </c>
    </row>
    <row r="1287" spans="1:1" x14ac:dyDescent="0.35">
      <c r="A1287" t="s">
        <v>8610</v>
      </c>
    </row>
    <row r="1288" spans="1:1" x14ac:dyDescent="0.35">
      <c r="A1288" t="s">
        <v>8614</v>
      </c>
    </row>
    <row r="1289" spans="1:1" x14ac:dyDescent="0.35">
      <c r="A1289" t="s">
        <v>8617</v>
      </c>
    </row>
    <row r="1290" spans="1:1" x14ac:dyDescent="0.35">
      <c r="A1290" t="s">
        <v>8621</v>
      </c>
    </row>
    <row r="1291" spans="1:1" x14ac:dyDescent="0.35">
      <c r="A1291" t="s">
        <v>8624</v>
      </c>
    </row>
    <row r="1292" spans="1:1" x14ac:dyDescent="0.35">
      <c r="A1292" t="s">
        <v>8627</v>
      </c>
    </row>
    <row r="1293" spans="1:1" x14ac:dyDescent="0.35">
      <c r="A1293" t="s">
        <v>8631</v>
      </c>
    </row>
    <row r="1294" spans="1:1" x14ac:dyDescent="0.35">
      <c r="A1294" t="s">
        <v>8635</v>
      </c>
    </row>
    <row r="1295" spans="1:1" x14ac:dyDescent="0.35">
      <c r="A1295" t="s">
        <v>8639</v>
      </c>
    </row>
    <row r="1296" spans="1:1" x14ac:dyDescent="0.35">
      <c r="A1296" t="s">
        <v>8642</v>
      </c>
    </row>
    <row r="1297" spans="1:1" x14ac:dyDescent="0.35">
      <c r="A1297" t="s">
        <v>8645</v>
      </c>
    </row>
    <row r="1298" spans="1:1" x14ac:dyDescent="0.35">
      <c r="A1298" t="s">
        <v>8648</v>
      </c>
    </row>
    <row r="1299" spans="1:1" x14ac:dyDescent="0.35">
      <c r="A1299" t="s">
        <v>8610</v>
      </c>
    </row>
    <row r="1300" spans="1:1" x14ac:dyDescent="0.35">
      <c r="A1300" t="s">
        <v>8614</v>
      </c>
    </row>
    <row r="1301" spans="1:1" x14ac:dyDescent="0.35">
      <c r="A1301" t="s">
        <v>8617</v>
      </c>
    </row>
    <row r="1302" spans="1:1" x14ac:dyDescent="0.35">
      <c r="A1302" t="s">
        <v>8621</v>
      </c>
    </row>
    <row r="1303" spans="1:1" x14ac:dyDescent="0.35">
      <c r="A1303" t="s">
        <v>8624</v>
      </c>
    </row>
    <row r="1304" spans="1:1" x14ac:dyDescent="0.35">
      <c r="A1304" t="s">
        <v>8627</v>
      </c>
    </row>
    <row r="1305" spans="1:1" x14ac:dyDescent="0.35">
      <c r="A1305" t="s">
        <v>8631</v>
      </c>
    </row>
    <row r="1306" spans="1:1" x14ac:dyDescent="0.35">
      <c r="A1306" t="s">
        <v>8635</v>
      </c>
    </row>
    <row r="1307" spans="1:1" x14ac:dyDescent="0.35">
      <c r="A1307" t="s">
        <v>8639</v>
      </c>
    </row>
    <row r="1308" spans="1:1" x14ac:dyDescent="0.35">
      <c r="A1308" t="s">
        <v>8642</v>
      </c>
    </row>
    <row r="1309" spans="1:1" x14ac:dyDescent="0.35">
      <c r="A1309" t="s">
        <v>8645</v>
      </c>
    </row>
    <row r="1310" spans="1:1" x14ac:dyDescent="0.35">
      <c r="A1310" t="s">
        <v>8648</v>
      </c>
    </row>
    <row r="1311" spans="1:1" x14ac:dyDescent="0.35">
      <c r="A1311" t="s">
        <v>8610</v>
      </c>
    </row>
    <row r="1312" spans="1:1" x14ac:dyDescent="0.35">
      <c r="A1312" t="s">
        <v>8614</v>
      </c>
    </row>
    <row r="1313" spans="1:1" x14ac:dyDescent="0.35">
      <c r="A1313" t="s">
        <v>8617</v>
      </c>
    </row>
    <row r="1314" spans="1:1" x14ac:dyDescent="0.35">
      <c r="A1314" t="s">
        <v>8621</v>
      </c>
    </row>
    <row r="1315" spans="1:1" x14ac:dyDescent="0.35">
      <c r="A1315" t="s">
        <v>8624</v>
      </c>
    </row>
    <row r="1316" spans="1:1" x14ac:dyDescent="0.35">
      <c r="A1316" t="s">
        <v>8627</v>
      </c>
    </row>
    <row r="1317" spans="1:1" x14ac:dyDescent="0.35">
      <c r="A1317" t="s">
        <v>8631</v>
      </c>
    </row>
    <row r="1318" spans="1:1" x14ac:dyDescent="0.35">
      <c r="A1318" t="s">
        <v>8635</v>
      </c>
    </row>
    <row r="1319" spans="1:1" x14ac:dyDescent="0.35">
      <c r="A1319" t="s">
        <v>8639</v>
      </c>
    </row>
    <row r="1320" spans="1:1" x14ac:dyDescent="0.35">
      <c r="A1320" t="s">
        <v>8642</v>
      </c>
    </row>
    <row r="1321" spans="1:1" x14ac:dyDescent="0.35">
      <c r="A1321" t="s">
        <v>8645</v>
      </c>
    </row>
    <row r="1322" spans="1:1" x14ac:dyDescent="0.35">
      <c r="A1322" t="s">
        <v>8648</v>
      </c>
    </row>
    <row r="1323" spans="1:1" x14ac:dyDescent="0.35">
      <c r="A1323" t="s">
        <v>8610</v>
      </c>
    </row>
    <row r="1324" spans="1:1" x14ac:dyDescent="0.35">
      <c r="A1324" t="s">
        <v>8614</v>
      </c>
    </row>
    <row r="1325" spans="1:1" x14ac:dyDescent="0.35">
      <c r="A1325" t="s">
        <v>8617</v>
      </c>
    </row>
    <row r="1326" spans="1:1" x14ac:dyDescent="0.35">
      <c r="A1326" t="s">
        <v>8621</v>
      </c>
    </row>
    <row r="1327" spans="1:1" x14ac:dyDescent="0.35">
      <c r="A1327" t="s">
        <v>8624</v>
      </c>
    </row>
    <row r="1328" spans="1:1" x14ac:dyDescent="0.35">
      <c r="A1328" t="s">
        <v>8627</v>
      </c>
    </row>
    <row r="1329" spans="1:1" x14ac:dyDescent="0.35">
      <c r="A1329" t="s">
        <v>8631</v>
      </c>
    </row>
    <row r="1330" spans="1:1" x14ac:dyDescent="0.35">
      <c r="A1330" t="s">
        <v>8635</v>
      </c>
    </row>
    <row r="1331" spans="1:1" x14ac:dyDescent="0.35">
      <c r="A1331" t="s">
        <v>8639</v>
      </c>
    </row>
    <row r="1332" spans="1:1" x14ac:dyDescent="0.35">
      <c r="A1332" t="s">
        <v>8642</v>
      </c>
    </row>
    <row r="1333" spans="1:1" x14ac:dyDescent="0.35">
      <c r="A1333" t="s">
        <v>8645</v>
      </c>
    </row>
    <row r="1334" spans="1:1" x14ac:dyDescent="0.35">
      <c r="A1334" t="s">
        <v>8648</v>
      </c>
    </row>
    <row r="1335" spans="1:1" x14ac:dyDescent="0.35">
      <c r="A1335" t="s">
        <v>8610</v>
      </c>
    </row>
    <row r="1336" spans="1:1" x14ac:dyDescent="0.35">
      <c r="A1336" t="s">
        <v>8614</v>
      </c>
    </row>
    <row r="1337" spans="1:1" x14ac:dyDescent="0.35">
      <c r="A1337" t="s">
        <v>8617</v>
      </c>
    </row>
    <row r="1338" spans="1:1" x14ac:dyDescent="0.35">
      <c r="A1338" t="s">
        <v>8621</v>
      </c>
    </row>
    <row r="1339" spans="1:1" x14ac:dyDescent="0.35">
      <c r="A1339" t="s">
        <v>8624</v>
      </c>
    </row>
    <row r="1340" spans="1:1" x14ac:dyDescent="0.35">
      <c r="A1340" t="s">
        <v>8627</v>
      </c>
    </row>
    <row r="1341" spans="1:1" x14ac:dyDescent="0.35">
      <c r="A1341" t="s">
        <v>8631</v>
      </c>
    </row>
    <row r="1342" spans="1:1" x14ac:dyDescent="0.35">
      <c r="A1342" t="s">
        <v>8635</v>
      </c>
    </row>
    <row r="1343" spans="1:1" x14ac:dyDescent="0.35">
      <c r="A1343" t="s">
        <v>8639</v>
      </c>
    </row>
    <row r="1344" spans="1:1" x14ac:dyDescent="0.35">
      <c r="A1344" t="s">
        <v>8642</v>
      </c>
    </row>
    <row r="1345" spans="1:1" x14ac:dyDescent="0.35">
      <c r="A1345" t="s">
        <v>8645</v>
      </c>
    </row>
    <row r="1346" spans="1:1" x14ac:dyDescent="0.35">
      <c r="A1346" t="s">
        <v>8648</v>
      </c>
    </row>
    <row r="1347" spans="1:1" x14ac:dyDescent="0.35">
      <c r="A1347" t="s">
        <v>8610</v>
      </c>
    </row>
    <row r="1348" spans="1:1" x14ac:dyDescent="0.35">
      <c r="A1348" t="s">
        <v>8614</v>
      </c>
    </row>
    <row r="1349" spans="1:1" x14ac:dyDescent="0.35">
      <c r="A1349" t="s">
        <v>8617</v>
      </c>
    </row>
    <row r="1350" spans="1:1" x14ac:dyDescent="0.35">
      <c r="A1350" t="s">
        <v>8621</v>
      </c>
    </row>
    <row r="1351" spans="1:1" x14ac:dyDescent="0.35">
      <c r="A1351" t="s">
        <v>8624</v>
      </c>
    </row>
    <row r="1352" spans="1:1" x14ac:dyDescent="0.35">
      <c r="A1352" t="s">
        <v>8627</v>
      </c>
    </row>
    <row r="1353" spans="1:1" x14ac:dyDescent="0.35">
      <c r="A1353" t="s">
        <v>8631</v>
      </c>
    </row>
    <row r="1354" spans="1:1" x14ac:dyDescent="0.35">
      <c r="A1354" t="s">
        <v>8635</v>
      </c>
    </row>
    <row r="1355" spans="1:1" x14ac:dyDescent="0.35">
      <c r="A1355" t="s">
        <v>8639</v>
      </c>
    </row>
    <row r="1356" spans="1:1" x14ac:dyDescent="0.35">
      <c r="A1356" t="s">
        <v>8642</v>
      </c>
    </row>
    <row r="1357" spans="1:1" x14ac:dyDescent="0.35">
      <c r="A1357" t="s">
        <v>8645</v>
      </c>
    </row>
    <row r="1358" spans="1:1" x14ac:dyDescent="0.35">
      <c r="A1358" t="s">
        <v>8648</v>
      </c>
    </row>
    <row r="1359" spans="1:1" x14ac:dyDescent="0.35">
      <c r="A1359" t="s">
        <v>8610</v>
      </c>
    </row>
    <row r="1360" spans="1:1" x14ac:dyDescent="0.35">
      <c r="A1360" t="s">
        <v>8614</v>
      </c>
    </row>
    <row r="1361" spans="1:1" x14ac:dyDescent="0.35">
      <c r="A1361" t="s">
        <v>8617</v>
      </c>
    </row>
    <row r="1362" spans="1:1" x14ac:dyDescent="0.35">
      <c r="A1362" t="s">
        <v>8621</v>
      </c>
    </row>
    <row r="1363" spans="1:1" x14ac:dyDescent="0.35">
      <c r="A1363" t="s">
        <v>8624</v>
      </c>
    </row>
    <row r="1364" spans="1:1" x14ac:dyDescent="0.35">
      <c r="A1364" t="s">
        <v>8627</v>
      </c>
    </row>
    <row r="1365" spans="1:1" x14ac:dyDescent="0.35">
      <c r="A1365" t="s">
        <v>8631</v>
      </c>
    </row>
    <row r="1366" spans="1:1" x14ac:dyDescent="0.35">
      <c r="A1366" t="s">
        <v>8635</v>
      </c>
    </row>
    <row r="1367" spans="1:1" x14ac:dyDescent="0.35">
      <c r="A1367" t="s">
        <v>8639</v>
      </c>
    </row>
    <row r="1368" spans="1:1" x14ac:dyDescent="0.35">
      <c r="A1368" t="s">
        <v>8642</v>
      </c>
    </row>
    <row r="1369" spans="1:1" x14ac:dyDescent="0.35">
      <c r="A1369" t="s">
        <v>8645</v>
      </c>
    </row>
    <row r="1370" spans="1:1" x14ac:dyDescent="0.35">
      <c r="A1370" t="s">
        <v>8648</v>
      </c>
    </row>
    <row r="1371" spans="1:1" x14ac:dyDescent="0.35">
      <c r="A1371" t="s">
        <v>8610</v>
      </c>
    </row>
    <row r="1372" spans="1:1" x14ac:dyDescent="0.35">
      <c r="A1372" t="s">
        <v>8614</v>
      </c>
    </row>
    <row r="1373" spans="1:1" x14ac:dyDescent="0.35">
      <c r="A1373" t="s">
        <v>8617</v>
      </c>
    </row>
    <row r="1374" spans="1:1" x14ac:dyDescent="0.35">
      <c r="A1374" t="s">
        <v>8621</v>
      </c>
    </row>
    <row r="1375" spans="1:1" x14ac:dyDescent="0.35">
      <c r="A1375" t="s">
        <v>8624</v>
      </c>
    </row>
    <row r="1376" spans="1:1" x14ac:dyDescent="0.35">
      <c r="A1376" t="s">
        <v>8627</v>
      </c>
    </row>
    <row r="1377" spans="1:1" x14ac:dyDescent="0.35">
      <c r="A1377" t="s">
        <v>8631</v>
      </c>
    </row>
    <row r="1378" spans="1:1" x14ac:dyDescent="0.35">
      <c r="A1378" t="s">
        <v>8635</v>
      </c>
    </row>
    <row r="1379" spans="1:1" x14ac:dyDescent="0.35">
      <c r="A1379" t="s">
        <v>8639</v>
      </c>
    </row>
    <row r="1380" spans="1:1" x14ac:dyDescent="0.35">
      <c r="A1380" t="s">
        <v>8642</v>
      </c>
    </row>
    <row r="1381" spans="1:1" x14ac:dyDescent="0.35">
      <c r="A1381" t="s">
        <v>8645</v>
      </c>
    </row>
    <row r="1382" spans="1:1" x14ac:dyDescent="0.35">
      <c r="A1382" t="s">
        <v>8648</v>
      </c>
    </row>
    <row r="1383" spans="1:1" x14ac:dyDescent="0.35">
      <c r="A1383" t="s">
        <v>8610</v>
      </c>
    </row>
    <row r="1384" spans="1:1" x14ac:dyDescent="0.35">
      <c r="A1384" t="s">
        <v>8614</v>
      </c>
    </row>
    <row r="1385" spans="1:1" x14ac:dyDescent="0.35">
      <c r="A1385" t="s">
        <v>8617</v>
      </c>
    </row>
    <row r="1386" spans="1:1" x14ac:dyDescent="0.35">
      <c r="A1386" t="s">
        <v>8621</v>
      </c>
    </row>
    <row r="1387" spans="1:1" x14ac:dyDescent="0.35">
      <c r="A1387" t="s">
        <v>8624</v>
      </c>
    </row>
    <row r="1388" spans="1:1" x14ac:dyDescent="0.35">
      <c r="A1388" t="s">
        <v>8627</v>
      </c>
    </row>
    <row r="1389" spans="1:1" x14ac:dyDescent="0.35">
      <c r="A1389" t="s">
        <v>8631</v>
      </c>
    </row>
    <row r="1390" spans="1:1" x14ac:dyDescent="0.35">
      <c r="A1390" t="s">
        <v>8635</v>
      </c>
    </row>
    <row r="1391" spans="1:1" x14ac:dyDescent="0.35">
      <c r="A1391" t="s">
        <v>8639</v>
      </c>
    </row>
    <row r="1392" spans="1:1" x14ac:dyDescent="0.35">
      <c r="A1392" t="s">
        <v>8642</v>
      </c>
    </row>
    <row r="1393" spans="1:1" x14ac:dyDescent="0.35">
      <c r="A1393" t="s">
        <v>8645</v>
      </c>
    </row>
    <row r="1394" spans="1:1" x14ac:dyDescent="0.35">
      <c r="A1394" t="s">
        <v>8648</v>
      </c>
    </row>
    <row r="1395" spans="1:1" x14ac:dyDescent="0.35">
      <c r="A1395" t="s">
        <v>8610</v>
      </c>
    </row>
    <row r="1396" spans="1:1" x14ac:dyDescent="0.35">
      <c r="A1396" t="s">
        <v>8614</v>
      </c>
    </row>
    <row r="1397" spans="1:1" x14ac:dyDescent="0.35">
      <c r="A1397" t="s">
        <v>8617</v>
      </c>
    </row>
    <row r="1398" spans="1:1" x14ac:dyDescent="0.35">
      <c r="A1398" t="s">
        <v>8621</v>
      </c>
    </row>
    <row r="1399" spans="1:1" x14ac:dyDescent="0.35">
      <c r="A1399" t="s">
        <v>8624</v>
      </c>
    </row>
    <row r="1400" spans="1:1" x14ac:dyDescent="0.35">
      <c r="A1400" t="s">
        <v>8627</v>
      </c>
    </row>
    <row r="1401" spans="1:1" x14ac:dyDescent="0.35">
      <c r="A1401" t="s">
        <v>8631</v>
      </c>
    </row>
    <row r="1402" spans="1:1" x14ac:dyDescent="0.35">
      <c r="A1402" t="s">
        <v>8635</v>
      </c>
    </row>
    <row r="1403" spans="1:1" x14ac:dyDescent="0.35">
      <c r="A1403" t="s">
        <v>8639</v>
      </c>
    </row>
    <row r="1404" spans="1:1" x14ac:dyDescent="0.35">
      <c r="A1404" t="s">
        <v>8642</v>
      </c>
    </row>
    <row r="1405" spans="1:1" x14ac:dyDescent="0.35">
      <c r="A1405" t="s">
        <v>8645</v>
      </c>
    </row>
    <row r="1406" spans="1:1" x14ac:dyDescent="0.35">
      <c r="A1406" t="s">
        <v>8648</v>
      </c>
    </row>
    <row r="1407" spans="1:1" x14ac:dyDescent="0.35">
      <c r="A1407" t="s">
        <v>8610</v>
      </c>
    </row>
    <row r="1408" spans="1:1" x14ac:dyDescent="0.35">
      <c r="A1408" t="s">
        <v>8614</v>
      </c>
    </row>
    <row r="1409" spans="1:1" x14ac:dyDescent="0.35">
      <c r="A1409" t="s">
        <v>8617</v>
      </c>
    </row>
    <row r="1410" spans="1:1" x14ac:dyDescent="0.35">
      <c r="A1410" t="s">
        <v>8621</v>
      </c>
    </row>
    <row r="1411" spans="1:1" x14ac:dyDescent="0.35">
      <c r="A1411" t="s">
        <v>8624</v>
      </c>
    </row>
    <row r="1412" spans="1:1" x14ac:dyDescent="0.35">
      <c r="A1412" t="s">
        <v>8627</v>
      </c>
    </row>
    <row r="1413" spans="1:1" x14ac:dyDescent="0.35">
      <c r="A1413" t="s">
        <v>8631</v>
      </c>
    </row>
    <row r="1414" spans="1:1" x14ac:dyDescent="0.35">
      <c r="A1414" t="s">
        <v>8635</v>
      </c>
    </row>
    <row r="1415" spans="1:1" x14ac:dyDescent="0.35">
      <c r="A1415" t="s">
        <v>8639</v>
      </c>
    </row>
    <row r="1416" spans="1:1" x14ac:dyDescent="0.35">
      <c r="A1416" t="s">
        <v>8642</v>
      </c>
    </row>
    <row r="1417" spans="1:1" x14ac:dyDescent="0.35">
      <c r="A1417" t="s">
        <v>8645</v>
      </c>
    </row>
    <row r="1418" spans="1:1" x14ac:dyDescent="0.35">
      <c r="A1418" t="s">
        <v>8648</v>
      </c>
    </row>
    <row r="1419" spans="1:1" x14ac:dyDescent="0.35">
      <c r="A1419" t="s">
        <v>8610</v>
      </c>
    </row>
    <row r="1420" spans="1:1" x14ac:dyDescent="0.35">
      <c r="A1420" t="s">
        <v>8614</v>
      </c>
    </row>
    <row r="1421" spans="1:1" x14ac:dyDescent="0.35">
      <c r="A1421" t="s">
        <v>8617</v>
      </c>
    </row>
    <row r="1422" spans="1:1" x14ac:dyDescent="0.35">
      <c r="A1422" t="s">
        <v>8621</v>
      </c>
    </row>
    <row r="1423" spans="1:1" x14ac:dyDescent="0.35">
      <c r="A1423" t="s">
        <v>8624</v>
      </c>
    </row>
    <row r="1424" spans="1:1" x14ac:dyDescent="0.35">
      <c r="A1424" t="s">
        <v>8627</v>
      </c>
    </row>
    <row r="1425" spans="1:1" x14ac:dyDescent="0.35">
      <c r="A1425" t="s">
        <v>8631</v>
      </c>
    </row>
    <row r="1426" spans="1:1" x14ac:dyDescent="0.35">
      <c r="A1426" t="s">
        <v>8635</v>
      </c>
    </row>
    <row r="1427" spans="1:1" x14ac:dyDescent="0.35">
      <c r="A1427" t="s">
        <v>8639</v>
      </c>
    </row>
    <row r="1428" spans="1:1" x14ac:dyDescent="0.35">
      <c r="A1428" t="s">
        <v>8642</v>
      </c>
    </row>
    <row r="1429" spans="1:1" x14ac:dyDescent="0.35">
      <c r="A1429" t="s">
        <v>8645</v>
      </c>
    </row>
    <row r="1430" spans="1:1" x14ac:dyDescent="0.35">
      <c r="A1430" t="s">
        <v>8648</v>
      </c>
    </row>
    <row r="1431" spans="1:1" x14ac:dyDescent="0.35">
      <c r="A1431" t="s">
        <v>8610</v>
      </c>
    </row>
    <row r="1432" spans="1:1" x14ac:dyDescent="0.35">
      <c r="A1432" t="s">
        <v>8614</v>
      </c>
    </row>
    <row r="1433" spans="1:1" x14ac:dyDescent="0.35">
      <c r="A1433" t="s">
        <v>8617</v>
      </c>
    </row>
    <row r="1434" spans="1:1" x14ac:dyDescent="0.35">
      <c r="A1434" t="s">
        <v>8621</v>
      </c>
    </row>
    <row r="1435" spans="1:1" x14ac:dyDescent="0.35">
      <c r="A1435" t="s">
        <v>8624</v>
      </c>
    </row>
    <row r="1436" spans="1:1" x14ac:dyDescent="0.35">
      <c r="A1436" t="s">
        <v>8627</v>
      </c>
    </row>
    <row r="1437" spans="1:1" x14ac:dyDescent="0.35">
      <c r="A1437" t="s">
        <v>8631</v>
      </c>
    </row>
    <row r="1438" spans="1:1" x14ac:dyDescent="0.35">
      <c r="A1438" t="s">
        <v>8635</v>
      </c>
    </row>
    <row r="1439" spans="1:1" x14ac:dyDescent="0.35">
      <c r="A1439" t="s">
        <v>8639</v>
      </c>
    </row>
    <row r="1440" spans="1:1" x14ac:dyDescent="0.35">
      <c r="A1440" t="s">
        <v>8642</v>
      </c>
    </row>
    <row r="1441" spans="1:1" x14ac:dyDescent="0.35">
      <c r="A1441" t="s">
        <v>8645</v>
      </c>
    </row>
    <row r="1442" spans="1:1" x14ac:dyDescent="0.35">
      <c r="A1442" t="s">
        <v>8648</v>
      </c>
    </row>
    <row r="1443" spans="1:1" x14ac:dyDescent="0.35">
      <c r="A1443" t="s">
        <v>8610</v>
      </c>
    </row>
    <row r="1444" spans="1:1" x14ac:dyDescent="0.35">
      <c r="A1444" t="s">
        <v>8614</v>
      </c>
    </row>
    <row r="1445" spans="1:1" x14ac:dyDescent="0.35">
      <c r="A1445" t="s">
        <v>8617</v>
      </c>
    </row>
    <row r="1446" spans="1:1" x14ac:dyDescent="0.35">
      <c r="A1446" t="s">
        <v>8621</v>
      </c>
    </row>
    <row r="1447" spans="1:1" x14ac:dyDescent="0.35">
      <c r="A1447" t="s">
        <v>8624</v>
      </c>
    </row>
    <row r="1448" spans="1:1" x14ac:dyDescent="0.35">
      <c r="A1448" t="s">
        <v>8627</v>
      </c>
    </row>
    <row r="1449" spans="1:1" x14ac:dyDescent="0.35">
      <c r="A1449" t="s">
        <v>8631</v>
      </c>
    </row>
    <row r="1450" spans="1:1" x14ac:dyDescent="0.35">
      <c r="A1450" t="s">
        <v>8635</v>
      </c>
    </row>
    <row r="1451" spans="1:1" x14ac:dyDescent="0.35">
      <c r="A1451" t="s">
        <v>8639</v>
      </c>
    </row>
    <row r="1452" spans="1:1" x14ac:dyDescent="0.35">
      <c r="A1452" t="s">
        <v>8642</v>
      </c>
    </row>
    <row r="1453" spans="1:1" x14ac:dyDescent="0.35">
      <c r="A1453" t="s">
        <v>8645</v>
      </c>
    </row>
    <row r="1454" spans="1:1" x14ac:dyDescent="0.35">
      <c r="A1454" t="s">
        <v>8648</v>
      </c>
    </row>
    <row r="1455" spans="1:1" x14ac:dyDescent="0.35">
      <c r="A1455" t="s">
        <v>8610</v>
      </c>
    </row>
    <row r="1456" spans="1:1" x14ac:dyDescent="0.35">
      <c r="A1456" t="s">
        <v>8614</v>
      </c>
    </row>
    <row r="1457" spans="1:1" x14ac:dyDescent="0.35">
      <c r="A1457" t="s">
        <v>8617</v>
      </c>
    </row>
    <row r="1458" spans="1:1" x14ac:dyDescent="0.35">
      <c r="A1458" t="s">
        <v>8621</v>
      </c>
    </row>
    <row r="1459" spans="1:1" x14ac:dyDescent="0.35">
      <c r="A1459" t="s">
        <v>8624</v>
      </c>
    </row>
    <row r="1460" spans="1:1" x14ac:dyDescent="0.35">
      <c r="A1460" t="s">
        <v>8627</v>
      </c>
    </row>
    <row r="1461" spans="1:1" x14ac:dyDescent="0.35">
      <c r="A1461" t="s">
        <v>8631</v>
      </c>
    </row>
    <row r="1462" spans="1:1" x14ac:dyDescent="0.35">
      <c r="A1462" t="s">
        <v>8635</v>
      </c>
    </row>
    <row r="1463" spans="1:1" x14ac:dyDescent="0.35">
      <c r="A1463" t="s">
        <v>8639</v>
      </c>
    </row>
    <row r="1464" spans="1:1" x14ac:dyDescent="0.35">
      <c r="A1464" t="s">
        <v>8642</v>
      </c>
    </row>
    <row r="1465" spans="1:1" x14ac:dyDescent="0.35">
      <c r="A1465" t="s">
        <v>8645</v>
      </c>
    </row>
    <row r="1466" spans="1:1" x14ac:dyDescent="0.35">
      <c r="A1466" t="s">
        <v>8648</v>
      </c>
    </row>
    <row r="1467" spans="1:1" x14ac:dyDescent="0.35">
      <c r="A1467" t="s">
        <v>8610</v>
      </c>
    </row>
    <row r="1468" spans="1:1" x14ac:dyDescent="0.35">
      <c r="A1468" t="s">
        <v>8614</v>
      </c>
    </row>
    <row r="1469" spans="1:1" x14ac:dyDescent="0.35">
      <c r="A1469" t="s">
        <v>8617</v>
      </c>
    </row>
    <row r="1470" spans="1:1" x14ac:dyDescent="0.35">
      <c r="A1470" t="s">
        <v>8621</v>
      </c>
    </row>
    <row r="1471" spans="1:1" x14ac:dyDescent="0.35">
      <c r="A1471" t="s">
        <v>8624</v>
      </c>
    </row>
    <row r="1472" spans="1:1" x14ac:dyDescent="0.35">
      <c r="A1472" t="s">
        <v>8627</v>
      </c>
    </row>
    <row r="1473" spans="1:1" x14ac:dyDescent="0.35">
      <c r="A1473" t="s">
        <v>8631</v>
      </c>
    </row>
    <row r="1474" spans="1:1" x14ac:dyDescent="0.35">
      <c r="A1474" t="s">
        <v>8635</v>
      </c>
    </row>
    <row r="1475" spans="1:1" x14ac:dyDescent="0.35">
      <c r="A1475" t="s">
        <v>8639</v>
      </c>
    </row>
    <row r="1476" spans="1:1" x14ac:dyDescent="0.35">
      <c r="A1476" t="s">
        <v>8642</v>
      </c>
    </row>
    <row r="1477" spans="1:1" x14ac:dyDescent="0.35">
      <c r="A1477" t="s">
        <v>8645</v>
      </c>
    </row>
    <row r="1478" spans="1:1" x14ac:dyDescent="0.35">
      <c r="A1478" t="s">
        <v>8648</v>
      </c>
    </row>
    <row r="1479" spans="1:1" x14ac:dyDescent="0.35">
      <c r="A1479" t="s">
        <v>8610</v>
      </c>
    </row>
    <row r="1480" spans="1:1" x14ac:dyDescent="0.35">
      <c r="A1480" t="s">
        <v>8614</v>
      </c>
    </row>
    <row r="1481" spans="1:1" x14ac:dyDescent="0.35">
      <c r="A1481" t="s">
        <v>8617</v>
      </c>
    </row>
    <row r="1482" spans="1:1" x14ac:dyDescent="0.35">
      <c r="A1482" t="s">
        <v>8621</v>
      </c>
    </row>
    <row r="1483" spans="1:1" x14ac:dyDescent="0.35">
      <c r="A1483" t="s">
        <v>8624</v>
      </c>
    </row>
    <row r="1484" spans="1:1" x14ac:dyDescent="0.35">
      <c r="A1484" t="s">
        <v>8627</v>
      </c>
    </row>
    <row r="1485" spans="1:1" x14ac:dyDescent="0.35">
      <c r="A1485" t="s">
        <v>8631</v>
      </c>
    </row>
    <row r="1486" spans="1:1" x14ac:dyDescent="0.35">
      <c r="A1486" t="s">
        <v>8635</v>
      </c>
    </row>
    <row r="1487" spans="1:1" x14ac:dyDescent="0.35">
      <c r="A1487" t="s">
        <v>8639</v>
      </c>
    </row>
    <row r="1488" spans="1:1" x14ac:dyDescent="0.35">
      <c r="A1488" t="s">
        <v>8642</v>
      </c>
    </row>
    <row r="1489" spans="1:1" x14ac:dyDescent="0.35">
      <c r="A1489" t="s">
        <v>8645</v>
      </c>
    </row>
    <row r="1490" spans="1:1" x14ac:dyDescent="0.35">
      <c r="A1490" t="s">
        <v>8648</v>
      </c>
    </row>
    <row r="1491" spans="1:1" x14ac:dyDescent="0.35">
      <c r="A1491" t="s">
        <v>8610</v>
      </c>
    </row>
    <row r="1492" spans="1:1" x14ac:dyDescent="0.35">
      <c r="A1492" t="s">
        <v>8614</v>
      </c>
    </row>
    <row r="1493" spans="1:1" x14ac:dyDescent="0.35">
      <c r="A1493" t="s">
        <v>8617</v>
      </c>
    </row>
    <row r="1494" spans="1:1" x14ac:dyDescent="0.35">
      <c r="A1494" t="s">
        <v>8621</v>
      </c>
    </row>
    <row r="1495" spans="1:1" x14ac:dyDescent="0.35">
      <c r="A1495" t="s">
        <v>8624</v>
      </c>
    </row>
    <row r="1496" spans="1:1" x14ac:dyDescent="0.35">
      <c r="A1496" t="s">
        <v>8627</v>
      </c>
    </row>
    <row r="1497" spans="1:1" x14ac:dyDescent="0.35">
      <c r="A1497" t="s">
        <v>8631</v>
      </c>
    </row>
    <row r="1498" spans="1:1" x14ac:dyDescent="0.35">
      <c r="A1498" t="s">
        <v>8635</v>
      </c>
    </row>
    <row r="1499" spans="1:1" x14ac:dyDescent="0.35">
      <c r="A1499" t="s">
        <v>8639</v>
      </c>
    </row>
    <row r="1500" spans="1:1" x14ac:dyDescent="0.35">
      <c r="A1500" t="s">
        <v>8642</v>
      </c>
    </row>
    <row r="1501" spans="1:1" x14ac:dyDescent="0.35">
      <c r="A1501" t="s">
        <v>8645</v>
      </c>
    </row>
    <row r="1502" spans="1:1" x14ac:dyDescent="0.35">
      <c r="A1502" t="s">
        <v>8648</v>
      </c>
    </row>
    <row r="1503" spans="1:1" x14ac:dyDescent="0.35">
      <c r="A1503" t="s">
        <v>8610</v>
      </c>
    </row>
    <row r="1504" spans="1:1" x14ac:dyDescent="0.35">
      <c r="A1504" t="s">
        <v>8614</v>
      </c>
    </row>
    <row r="1505" spans="1:1" x14ac:dyDescent="0.35">
      <c r="A1505" t="s">
        <v>8617</v>
      </c>
    </row>
    <row r="1506" spans="1:1" x14ac:dyDescent="0.35">
      <c r="A1506" t="s">
        <v>8621</v>
      </c>
    </row>
    <row r="1507" spans="1:1" x14ac:dyDescent="0.35">
      <c r="A1507" t="s">
        <v>8624</v>
      </c>
    </row>
    <row r="1508" spans="1:1" x14ac:dyDescent="0.35">
      <c r="A1508" t="s">
        <v>8627</v>
      </c>
    </row>
    <row r="1509" spans="1:1" x14ac:dyDescent="0.35">
      <c r="A1509" t="s">
        <v>8631</v>
      </c>
    </row>
    <row r="1510" spans="1:1" x14ac:dyDescent="0.35">
      <c r="A1510" t="s">
        <v>8635</v>
      </c>
    </row>
    <row r="1511" spans="1:1" x14ac:dyDescent="0.35">
      <c r="A1511" t="s">
        <v>8639</v>
      </c>
    </row>
    <row r="1512" spans="1:1" x14ac:dyDescent="0.35">
      <c r="A1512" t="s">
        <v>8642</v>
      </c>
    </row>
    <row r="1513" spans="1:1" x14ac:dyDescent="0.35">
      <c r="A1513" t="s">
        <v>8645</v>
      </c>
    </row>
    <row r="1514" spans="1:1" x14ac:dyDescent="0.35">
      <c r="A1514" t="s">
        <v>8648</v>
      </c>
    </row>
    <row r="1515" spans="1:1" x14ac:dyDescent="0.35">
      <c r="A1515" t="s">
        <v>8610</v>
      </c>
    </row>
    <row r="1516" spans="1:1" x14ac:dyDescent="0.35">
      <c r="A1516" t="s">
        <v>8614</v>
      </c>
    </row>
    <row r="1517" spans="1:1" x14ac:dyDescent="0.35">
      <c r="A1517" t="s">
        <v>8617</v>
      </c>
    </row>
    <row r="1518" spans="1:1" x14ac:dyDescent="0.35">
      <c r="A1518" t="s">
        <v>8621</v>
      </c>
    </row>
    <row r="1519" spans="1:1" x14ac:dyDescent="0.35">
      <c r="A1519" t="s">
        <v>8624</v>
      </c>
    </row>
    <row r="1520" spans="1:1" x14ac:dyDescent="0.35">
      <c r="A1520" t="s">
        <v>8627</v>
      </c>
    </row>
    <row r="1521" spans="1:1" x14ac:dyDescent="0.35">
      <c r="A1521" t="s">
        <v>8631</v>
      </c>
    </row>
    <row r="1522" spans="1:1" x14ac:dyDescent="0.35">
      <c r="A1522" t="s">
        <v>8635</v>
      </c>
    </row>
    <row r="1523" spans="1:1" x14ac:dyDescent="0.35">
      <c r="A1523" t="s">
        <v>8639</v>
      </c>
    </row>
    <row r="1524" spans="1:1" x14ac:dyDescent="0.35">
      <c r="A1524" t="s">
        <v>8642</v>
      </c>
    </row>
    <row r="1525" spans="1:1" x14ac:dyDescent="0.35">
      <c r="A1525" t="s">
        <v>8645</v>
      </c>
    </row>
    <row r="1526" spans="1:1" x14ac:dyDescent="0.35">
      <c r="A1526" t="s">
        <v>8648</v>
      </c>
    </row>
    <row r="1527" spans="1:1" x14ac:dyDescent="0.35">
      <c r="A1527" t="s">
        <v>8610</v>
      </c>
    </row>
    <row r="1528" spans="1:1" x14ac:dyDescent="0.35">
      <c r="A1528" t="s">
        <v>8614</v>
      </c>
    </row>
    <row r="1529" spans="1:1" x14ac:dyDescent="0.35">
      <c r="A1529" t="s">
        <v>8617</v>
      </c>
    </row>
    <row r="1530" spans="1:1" x14ac:dyDescent="0.35">
      <c r="A1530" t="s">
        <v>8621</v>
      </c>
    </row>
    <row r="1531" spans="1:1" x14ac:dyDescent="0.35">
      <c r="A1531" t="s">
        <v>8624</v>
      </c>
    </row>
    <row r="1532" spans="1:1" x14ac:dyDescent="0.35">
      <c r="A1532" t="s">
        <v>8627</v>
      </c>
    </row>
    <row r="1533" spans="1:1" x14ac:dyDescent="0.35">
      <c r="A1533" t="s">
        <v>8631</v>
      </c>
    </row>
    <row r="1534" spans="1:1" x14ac:dyDescent="0.35">
      <c r="A1534" t="s">
        <v>8635</v>
      </c>
    </row>
    <row r="1535" spans="1:1" x14ac:dyDescent="0.35">
      <c r="A1535" t="s">
        <v>8639</v>
      </c>
    </row>
    <row r="1536" spans="1:1" x14ac:dyDescent="0.35">
      <c r="A1536" t="s">
        <v>8642</v>
      </c>
    </row>
    <row r="1537" spans="1:1" x14ac:dyDescent="0.35">
      <c r="A1537" t="s">
        <v>8645</v>
      </c>
    </row>
    <row r="1538" spans="1:1" x14ac:dyDescent="0.35">
      <c r="A1538" t="s">
        <v>8648</v>
      </c>
    </row>
    <row r="1539" spans="1:1" x14ac:dyDescent="0.35">
      <c r="A1539" t="s">
        <v>8610</v>
      </c>
    </row>
    <row r="1540" spans="1:1" x14ac:dyDescent="0.35">
      <c r="A1540" t="s">
        <v>8614</v>
      </c>
    </row>
    <row r="1541" spans="1:1" x14ac:dyDescent="0.35">
      <c r="A1541" t="s">
        <v>8617</v>
      </c>
    </row>
    <row r="1542" spans="1:1" x14ac:dyDescent="0.35">
      <c r="A1542" t="s">
        <v>8621</v>
      </c>
    </row>
    <row r="1543" spans="1:1" x14ac:dyDescent="0.35">
      <c r="A1543" t="s">
        <v>8624</v>
      </c>
    </row>
    <row r="1544" spans="1:1" x14ac:dyDescent="0.35">
      <c r="A1544" t="s">
        <v>8627</v>
      </c>
    </row>
    <row r="1545" spans="1:1" x14ac:dyDescent="0.35">
      <c r="A1545" t="s">
        <v>8631</v>
      </c>
    </row>
    <row r="1546" spans="1:1" x14ac:dyDescent="0.35">
      <c r="A1546" t="s">
        <v>8635</v>
      </c>
    </row>
    <row r="1547" spans="1:1" x14ac:dyDescent="0.35">
      <c r="A1547" t="s">
        <v>8639</v>
      </c>
    </row>
    <row r="1548" spans="1:1" x14ac:dyDescent="0.35">
      <c r="A1548" t="s">
        <v>8642</v>
      </c>
    </row>
    <row r="1549" spans="1:1" x14ac:dyDescent="0.35">
      <c r="A1549" t="s">
        <v>8645</v>
      </c>
    </row>
    <row r="1550" spans="1:1" x14ac:dyDescent="0.35">
      <c r="A1550" t="s">
        <v>8648</v>
      </c>
    </row>
    <row r="1551" spans="1:1" x14ac:dyDescent="0.35">
      <c r="A1551" t="s">
        <v>8610</v>
      </c>
    </row>
    <row r="1552" spans="1:1" x14ac:dyDescent="0.35">
      <c r="A1552" t="s">
        <v>8614</v>
      </c>
    </row>
    <row r="1553" spans="1:1" x14ac:dyDescent="0.35">
      <c r="A1553" t="s">
        <v>8617</v>
      </c>
    </row>
    <row r="1554" spans="1:1" x14ac:dyDescent="0.35">
      <c r="A1554" t="s">
        <v>8621</v>
      </c>
    </row>
    <row r="1555" spans="1:1" x14ac:dyDescent="0.35">
      <c r="A1555" t="s">
        <v>8624</v>
      </c>
    </row>
    <row r="1556" spans="1:1" x14ac:dyDescent="0.35">
      <c r="A1556" t="s">
        <v>8627</v>
      </c>
    </row>
    <row r="1557" spans="1:1" x14ac:dyDescent="0.35">
      <c r="A1557" t="s">
        <v>8631</v>
      </c>
    </row>
    <row r="1558" spans="1:1" x14ac:dyDescent="0.35">
      <c r="A1558" t="s">
        <v>8635</v>
      </c>
    </row>
    <row r="1559" spans="1:1" x14ac:dyDescent="0.35">
      <c r="A1559" t="s">
        <v>8639</v>
      </c>
    </row>
    <row r="1560" spans="1:1" x14ac:dyDescent="0.35">
      <c r="A1560" t="s">
        <v>8642</v>
      </c>
    </row>
    <row r="1561" spans="1:1" x14ac:dyDescent="0.35">
      <c r="A1561" t="s">
        <v>8645</v>
      </c>
    </row>
    <row r="1562" spans="1:1" x14ac:dyDescent="0.35">
      <c r="A1562" t="s">
        <v>8648</v>
      </c>
    </row>
    <row r="1563" spans="1:1" x14ac:dyDescent="0.35">
      <c r="A1563" t="s">
        <v>8610</v>
      </c>
    </row>
    <row r="1564" spans="1:1" x14ac:dyDescent="0.35">
      <c r="A1564" t="s">
        <v>8614</v>
      </c>
    </row>
    <row r="1565" spans="1:1" x14ac:dyDescent="0.35">
      <c r="A1565" t="s">
        <v>8617</v>
      </c>
    </row>
    <row r="1566" spans="1:1" x14ac:dyDescent="0.35">
      <c r="A1566" t="s">
        <v>8621</v>
      </c>
    </row>
    <row r="1567" spans="1:1" x14ac:dyDescent="0.35">
      <c r="A1567" t="s">
        <v>8624</v>
      </c>
    </row>
    <row r="1568" spans="1:1" x14ac:dyDescent="0.35">
      <c r="A1568" t="s">
        <v>8627</v>
      </c>
    </row>
    <row r="1569" spans="1:1" x14ac:dyDescent="0.35">
      <c r="A1569" t="s">
        <v>8631</v>
      </c>
    </row>
    <row r="1570" spans="1:1" x14ac:dyDescent="0.35">
      <c r="A1570" t="s">
        <v>8635</v>
      </c>
    </row>
    <row r="1571" spans="1:1" x14ac:dyDescent="0.35">
      <c r="A1571" t="s">
        <v>8639</v>
      </c>
    </row>
    <row r="1572" spans="1:1" x14ac:dyDescent="0.35">
      <c r="A1572" t="s">
        <v>8642</v>
      </c>
    </row>
    <row r="1573" spans="1:1" x14ac:dyDescent="0.35">
      <c r="A1573" t="s">
        <v>8645</v>
      </c>
    </row>
    <row r="1574" spans="1:1" x14ac:dyDescent="0.35">
      <c r="A1574" t="s">
        <v>8648</v>
      </c>
    </row>
    <row r="1575" spans="1:1" x14ac:dyDescent="0.35">
      <c r="A1575" t="s">
        <v>8610</v>
      </c>
    </row>
    <row r="1576" spans="1:1" x14ac:dyDescent="0.35">
      <c r="A1576" t="s">
        <v>8614</v>
      </c>
    </row>
    <row r="1577" spans="1:1" x14ac:dyDescent="0.35">
      <c r="A1577" t="s">
        <v>8617</v>
      </c>
    </row>
    <row r="1578" spans="1:1" x14ac:dyDescent="0.35">
      <c r="A1578" t="s">
        <v>8621</v>
      </c>
    </row>
    <row r="1579" spans="1:1" x14ac:dyDescent="0.35">
      <c r="A1579" t="s">
        <v>8624</v>
      </c>
    </row>
    <row r="1580" spans="1:1" x14ac:dyDescent="0.35">
      <c r="A1580" t="s">
        <v>8627</v>
      </c>
    </row>
    <row r="1581" spans="1:1" x14ac:dyDescent="0.35">
      <c r="A1581" t="s">
        <v>8631</v>
      </c>
    </row>
    <row r="1582" spans="1:1" x14ac:dyDescent="0.35">
      <c r="A1582" t="s">
        <v>8635</v>
      </c>
    </row>
    <row r="1583" spans="1:1" x14ac:dyDescent="0.35">
      <c r="A1583" t="s">
        <v>8639</v>
      </c>
    </row>
    <row r="1584" spans="1:1" x14ac:dyDescent="0.35">
      <c r="A1584" t="s">
        <v>8642</v>
      </c>
    </row>
    <row r="1585" spans="1:1" x14ac:dyDescent="0.35">
      <c r="A1585" t="s">
        <v>8645</v>
      </c>
    </row>
    <row r="1586" spans="1:1" x14ac:dyDescent="0.35">
      <c r="A1586" t="s">
        <v>8648</v>
      </c>
    </row>
    <row r="1587" spans="1:1" x14ac:dyDescent="0.35">
      <c r="A1587" t="s">
        <v>8610</v>
      </c>
    </row>
    <row r="1588" spans="1:1" x14ac:dyDescent="0.35">
      <c r="A1588" t="s">
        <v>8614</v>
      </c>
    </row>
    <row r="1589" spans="1:1" x14ac:dyDescent="0.35">
      <c r="A1589" t="s">
        <v>8617</v>
      </c>
    </row>
    <row r="1590" spans="1:1" x14ac:dyDescent="0.35">
      <c r="A1590" t="s">
        <v>8621</v>
      </c>
    </row>
    <row r="1591" spans="1:1" x14ac:dyDescent="0.35">
      <c r="A1591" t="s">
        <v>8624</v>
      </c>
    </row>
    <row r="1592" spans="1:1" x14ac:dyDescent="0.35">
      <c r="A1592" t="s">
        <v>8627</v>
      </c>
    </row>
    <row r="1593" spans="1:1" x14ac:dyDescent="0.35">
      <c r="A1593" t="s">
        <v>8631</v>
      </c>
    </row>
    <row r="1594" spans="1:1" x14ac:dyDescent="0.35">
      <c r="A1594" t="s">
        <v>8635</v>
      </c>
    </row>
    <row r="1595" spans="1:1" x14ac:dyDescent="0.35">
      <c r="A1595" t="s">
        <v>8639</v>
      </c>
    </row>
    <row r="1596" spans="1:1" x14ac:dyDescent="0.35">
      <c r="A1596" t="s">
        <v>8642</v>
      </c>
    </row>
    <row r="1597" spans="1:1" x14ac:dyDescent="0.35">
      <c r="A1597" t="s">
        <v>8645</v>
      </c>
    </row>
    <row r="1598" spans="1:1" x14ac:dyDescent="0.35">
      <c r="A1598" t="s">
        <v>8648</v>
      </c>
    </row>
    <row r="1599" spans="1:1" x14ac:dyDescent="0.35">
      <c r="A1599" t="s">
        <v>8610</v>
      </c>
    </row>
    <row r="1600" spans="1:1" x14ac:dyDescent="0.35">
      <c r="A1600" t="s">
        <v>8614</v>
      </c>
    </row>
    <row r="1601" spans="1:1" x14ac:dyDescent="0.35">
      <c r="A1601" t="s">
        <v>8617</v>
      </c>
    </row>
    <row r="1602" spans="1:1" x14ac:dyDescent="0.35">
      <c r="A1602" t="s">
        <v>8621</v>
      </c>
    </row>
    <row r="1603" spans="1:1" x14ac:dyDescent="0.35">
      <c r="A1603" t="s">
        <v>8624</v>
      </c>
    </row>
    <row r="1604" spans="1:1" x14ac:dyDescent="0.35">
      <c r="A1604" t="s">
        <v>8627</v>
      </c>
    </row>
    <row r="1605" spans="1:1" x14ac:dyDescent="0.35">
      <c r="A1605" t="s">
        <v>8631</v>
      </c>
    </row>
    <row r="1606" spans="1:1" x14ac:dyDescent="0.35">
      <c r="A1606" t="s">
        <v>8635</v>
      </c>
    </row>
    <row r="1607" spans="1:1" x14ac:dyDescent="0.35">
      <c r="A1607" t="s">
        <v>8639</v>
      </c>
    </row>
    <row r="1608" spans="1:1" x14ac:dyDescent="0.35">
      <c r="A1608" t="s">
        <v>8642</v>
      </c>
    </row>
    <row r="1609" spans="1:1" x14ac:dyDescent="0.35">
      <c r="A1609" t="s">
        <v>8645</v>
      </c>
    </row>
    <row r="1610" spans="1:1" x14ac:dyDescent="0.35">
      <c r="A1610" t="s">
        <v>8648</v>
      </c>
    </row>
    <row r="1611" spans="1:1" x14ac:dyDescent="0.35">
      <c r="A1611" t="s">
        <v>8610</v>
      </c>
    </row>
    <row r="1612" spans="1:1" x14ac:dyDescent="0.35">
      <c r="A1612" t="s">
        <v>8614</v>
      </c>
    </row>
    <row r="1613" spans="1:1" x14ac:dyDescent="0.35">
      <c r="A1613" t="s">
        <v>8617</v>
      </c>
    </row>
    <row r="1614" spans="1:1" x14ac:dyDescent="0.35">
      <c r="A1614" t="s">
        <v>8621</v>
      </c>
    </row>
    <row r="1615" spans="1:1" x14ac:dyDescent="0.35">
      <c r="A1615" t="s">
        <v>8624</v>
      </c>
    </row>
    <row r="1616" spans="1:1" x14ac:dyDescent="0.35">
      <c r="A1616" t="s">
        <v>8627</v>
      </c>
    </row>
    <row r="1617" spans="1:1" x14ac:dyDescent="0.35">
      <c r="A1617" t="s">
        <v>8631</v>
      </c>
    </row>
    <row r="1618" spans="1:1" x14ac:dyDescent="0.35">
      <c r="A1618" t="s">
        <v>8635</v>
      </c>
    </row>
    <row r="1619" spans="1:1" x14ac:dyDescent="0.35">
      <c r="A1619" t="s">
        <v>8639</v>
      </c>
    </row>
    <row r="1620" spans="1:1" x14ac:dyDescent="0.35">
      <c r="A1620" t="s">
        <v>8642</v>
      </c>
    </row>
    <row r="1621" spans="1:1" x14ac:dyDescent="0.35">
      <c r="A1621" t="s">
        <v>8645</v>
      </c>
    </row>
    <row r="1622" spans="1:1" x14ac:dyDescent="0.35">
      <c r="A1622" t="s">
        <v>8648</v>
      </c>
    </row>
    <row r="1623" spans="1:1" x14ac:dyDescent="0.35">
      <c r="A1623" t="s">
        <v>8610</v>
      </c>
    </row>
    <row r="1624" spans="1:1" x14ac:dyDescent="0.35">
      <c r="A1624" t="s">
        <v>8614</v>
      </c>
    </row>
    <row r="1625" spans="1:1" x14ac:dyDescent="0.35">
      <c r="A1625" t="s">
        <v>8617</v>
      </c>
    </row>
    <row r="1626" spans="1:1" x14ac:dyDescent="0.35">
      <c r="A1626" t="s">
        <v>8621</v>
      </c>
    </row>
    <row r="1627" spans="1:1" x14ac:dyDescent="0.35">
      <c r="A1627" t="s">
        <v>8624</v>
      </c>
    </row>
    <row r="1628" spans="1:1" x14ac:dyDescent="0.35">
      <c r="A1628" t="s">
        <v>8627</v>
      </c>
    </row>
    <row r="1629" spans="1:1" x14ac:dyDescent="0.35">
      <c r="A1629" t="s">
        <v>8631</v>
      </c>
    </row>
    <row r="1630" spans="1:1" x14ac:dyDescent="0.35">
      <c r="A1630" t="s">
        <v>8635</v>
      </c>
    </row>
    <row r="1631" spans="1:1" x14ac:dyDescent="0.35">
      <c r="A1631" t="s">
        <v>8639</v>
      </c>
    </row>
    <row r="1632" spans="1:1" x14ac:dyDescent="0.35">
      <c r="A1632" t="s">
        <v>8642</v>
      </c>
    </row>
    <row r="1633" spans="1:1" x14ac:dyDescent="0.35">
      <c r="A1633" t="s">
        <v>8645</v>
      </c>
    </row>
    <row r="1634" spans="1:1" x14ac:dyDescent="0.35">
      <c r="A1634" t="s">
        <v>8648</v>
      </c>
    </row>
    <row r="1635" spans="1:1" x14ac:dyDescent="0.35">
      <c r="A1635" t="s">
        <v>8610</v>
      </c>
    </row>
    <row r="1636" spans="1:1" x14ac:dyDescent="0.35">
      <c r="A1636" t="s">
        <v>8614</v>
      </c>
    </row>
    <row r="1637" spans="1:1" x14ac:dyDescent="0.35">
      <c r="A1637" t="s">
        <v>8617</v>
      </c>
    </row>
    <row r="1638" spans="1:1" x14ac:dyDescent="0.35">
      <c r="A1638" t="s">
        <v>8621</v>
      </c>
    </row>
    <row r="1639" spans="1:1" x14ac:dyDescent="0.35">
      <c r="A1639" t="s">
        <v>8624</v>
      </c>
    </row>
    <row r="1640" spans="1:1" x14ac:dyDescent="0.35">
      <c r="A1640" t="s">
        <v>8627</v>
      </c>
    </row>
    <row r="1641" spans="1:1" x14ac:dyDescent="0.35">
      <c r="A1641" t="s">
        <v>8631</v>
      </c>
    </row>
    <row r="1642" spans="1:1" x14ac:dyDescent="0.35">
      <c r="A1642" t="s">
        <v>8635</v>
      </c>
    </row>
    <row r="1643" spans="1:1" x14ac:dyDescent="0.35">
      <c r="A1643" t="s">
        <v>8639</v>
      </c>
    </row>
    <row r="1644" spans="1:1" x14ac:dyDescent="0.35">
      <c r="A1644" t="s">
        <v>8642</v>
      </c>
    </row>
    <row r="1645" spans="1:1" x14ac:dyDescent="0.35">
      <c r="A1645" t="s">
        <v>8645</v>
      </c>
    </row>
    <row r="1646" spans="1:1" x14ac:dyDescent="0.35">
      <c r="A1646" t="s">
        <v>8648</v>
      </c>
    </row>
    <row r="1647" spans="1:1" x14ac:dyDescent="0.35">
      <c r="A1647" t="s">
        <v>8610</v>
      </c>
    </row>
    <row r="1648" spans="1:1" x14ac:dyDescent="0.35">
      <c r="A1648" t="s">
        <v>8614</v>
      </c>
    </row>
    <row r="1649" spans="1:1" x14ac:dyDescent="0.35">
      <c r="A1649" t="s">
        <v>8617</v>
      </c>
    </row>
    <row r="1650" spans="1:1" x14ac:dyDescent="0.35">
      <c r="A1650" t="s">
        <v>8621</v>
      </c>
    </row>
    <row r="1651" spans="1:1" x14ac:dyDescent="0.35">
      <c r="A1651" t="s">
        <v>8624</v>
      </c>
    </row>
    <row r="1652" spans="1:1" x14ac:dyDescent="0.35">
      <c r="A1652" t="s">
        <v>8627</v>
      </c>
    </row>
    <row r="1653" spans="1:1" x14ac:dyDescent="0.35">
      <c r="A1653" t="s">
        <v>8631</v>
      </c>
    </row>
    <row r="1654" spans="1:1" x14ac:dyDescent="0.35">
      <c r="A1654" t="s">
        <v>8635</v>
      </c>
    </row>
    <row r="1655" spans="1:1" x14ac:dyDescent="0.35">
      <c r="A1655" t="s">
        <v>8639</v>
      </c>
    </row>
    <row r="1656" spans="1:1" x14ac:dyDescent="0.35">
      <c r="A1656" t="s">
        <v>8642</v>
      </c>
    </row>
    <row r="1657" spans="1:1" x14ac:dyDescent="0.35">
      <c r="A1657" t="s">
        <v>8645</v>
      </c>
    </row>
    <row r="1658" spans="1:1" x14ac:dyDescent="0.35">
      <c r="A1658" t="s">
        <v>8648</v>
      </c>
    </row>
    <row r="1659" spans="1:1" x14ac:dyDescent="0.35">
      <c r="A1659" t="s">
        <v>8610</v>
      </c>
    </row>
    <row r="1660" spans="1:1" x14ac:dyDescent="0.35">
      <c r="A1660" t="s">
        <v>8614</v>
      </c>
    </row>
    <row r="1661" spans="1:1" x14ac:dyDescent="0.35">
      <c r="A1661" t="s">
        <v>8617</v>
      </c>
    </row>
    <row r="1662" spans="1:1" x14ac:dyDescent="0.35">
      <c r="A1662" t="s">
        <v>8621</v>
      </c>
    </row>
    <row r="1663" spans="1:1" x14ac:dyDescent="0.35">
      <c r="A1663" t="s">
        <v>8624</v>
      </c>
    </row>
    <row r="1664" spans="1:1" x14ac:dyDescent="0.35">
      <c r="A1664" t="s">
        <v>8627</v>
      </c>
    </row>
    <row r="1665" spans="1:1" x14ac:dyDescent="0.35">
      <c r="A1665" t="s">
        <v>8631</v>
      </c>
    </row>
    <row r="1666" spans="1:1" x14ac:dyDescent="0.35">
      <c r="A1666" t="s">
        <v>8635</v>
      </c>
    </row>
    <row r="1667" spans="1:1" x14ac:dyDescent="0.35">
      <c r="A1667" t="s">
        <v>8639</v>
      </c>
    </row>
    <row r="1668" spans="1:1" x14ac:dyDescent="0.35">
      <c r="A1668" t="s">
        <v>8642</v>
      </c>
    </row>
    <row r="1669" spans="1:1" x14ac:dyDescent="0.35">
      <c r="A1669" t="s">
        <v>8645</v>
      </c>
    </row>
    <row r="1670" spans="1:1" x14ac:dyDescent="0.35">
      <c r="A1670" t="s">
        <v>8648</v>
      </c>
    </row>
    <row r="1671" spans="1:1" x14ac:dyDescent="0.35">
      <c r="A1671" t="s">
        <v>8610</v>
      </c>
    </row>
    <row r="1672" spans="1:1" x14ac:dyDescent="0.35">
      <c r="A1672" t="s">
        <v>8614</v>
      </c>
    </row>
    <row r="1673" spans="1:1" x14ac:dyDescent="0.35">
      <c r="A1673" t="s">
        <v>8617</v>
      </c>
    </row>
    <row r="1674" spans="1:1" x14ac:dyDescent="0.35">
      <c r="A1674" t="s">
        <v>8621</v>
      </c>
    </row>
    <row r="1675" spans="1:1" x14ac:dyDescent="0.35">
      <c r="A1675" t="s">
        <v>8624</v>
      </c>
    </row>
    <row r="1676" spans="1:1" x14ac:dyDescent="0.35">
      <c r="A1676" t="s">
        <v>8627</v>
      </c>
    </row>
    <row r="1677" spans="1:1" x14ac:dyDescent="0.35">
      <c r="A1677" t="s">
        <v>8631</v>
      </c>
    </row>
    <row r="1678" spans="1:1" x14ac:dyDescent="0.35">
      <c r="A1678" t="s">
        <v>8635</v>
      </c>
    </row>
    <row r="1679" spans="1:1" x14ac:dyDescent="0.35">
      <c r="A1679" t="s">
        <v>8639</v>
      </c>
    </row>
    <row r="1680" spans="1:1" x14ac:dyDescent="0.35">
      <c r="A1680" t="s">
        <v>8642</v>
      </c>
    </row>
    <row r="1681" spans="1:1" x14ac:dyDescent="0.35">
      <c r="A1681" t="s">
        <v>8645</v>
      </c>
    </row>
    <row r="1682" spans="1:1" x14ac:dyDescent="0.35">
      <c r="A1682" t="s">
        <v>8648</v>
      </c>
    </row>
    <row r="1683" spans="1:1" x14ac:dyDescent="0.35">
      <c r="A1683" t="s">
        <v>8610</v>
      </c>
    </row>
    <row r="1684" spans="1:1" x14ac:dyDescent="0.35">
      <c r="A1684" t="s">
        <v>8614</v>
      </c>
    </row>
    <row r="1685" spans="1:1" x14ac:dyDescent="0.35">
      <c r="A1685" t="s">
        <v>8617</v>
      </c>
    </row>
    <row r="1686" spans="1:1" x14ac:dyDescent="0.35">
      <c r="A1686" t="s">
        <v>8621</v>
      </c>
    </row>
    <row r="1687" spans="1:1" x14ac:dyDescent="0.35">
      <c r="A1687" t="s">
        <v>8624</v>
      </c>
    </row>
    <row r="1688" spans="1:1" x14ac:dyDescent="0.35">
      <c r="A1688" t="s">
        <v>8627</v>
      </c>
    </row>
    <row r="1689" spans="1:1" x14ac:dyDescent="0.35">
      <c r="A1689" t="s">
        <v>8631</v>
      </c>
    </row>
    <row r="1690" spans="1:1" x14ac:dyDescent="0.35">
      <c r="A1690" t="s">
        <v>8635</v>
      </c>
    </row>
    <row r="1691" spans="1:1" x14ac:dyDescent="0.35">
      <c r="A1691" t="s">
        <v>8639</v>
      </c>
    </row>
    <row r="1692" spans="1:1" x14ac:dyDescent="0.35">
      <c r="A1692" t="s">
        <v>8642</v>
      </c>
    </row>
    <row r="1693" spans="1:1" x14ac:dyDescent="0.35">
      <c r="A1693" t="s">
        <v>8645</v>
      </c>
    </row>
    <row r="1694" spans="1:1" x14ac:dyDescent="0.35">
      <c r="A1694" t="s">
        <v>8648</v>
      </c>
    </row>
    <row r="1695" spans="1:1" x14ac:dyDescent="0.35">
      <c r="A1695" t="s">
        <v>8610</v>
      </c>
    </row>
    <row r="1696" spans="1:1" x14ac:dyDescent="0.35">
      <c r="A1696" t="s">
        <v>8614</v>
      </c>
    </row>
    <row r="1697" spans="1:1" x14ac:dyDescent="0.35">
      <c r="A1697" t="s">
        <v>8617</v>
      </c>
    </row>
    <row r="1698" spans="1:1" x14ac:dyDescent="0.35">
      <c r="A1698" t="s">
        <v>8621</v>
      </c>
    </row>
    <row r="1699" spans="1:1" x14ac:dyDescent="0.35">
      <c r="A1699" t="s">
        <v>8624</v>
      </c>
    </row>
    <row r="1700" spans="1:1" x14ac:dyDescent="0.35">
      <c r="A1700" t="s">
        <v>8627</v>
      </c>
    </row>
    <row r="1701" spans="1:1" x14ac:dyDescent="0.35">
      <c r="A1701" t="s">
        <v>8631</v>
      </c>
    </row>
    <row r="1702" spans="1:1" x14ac:dyDescent="0.35">
      <c r="A1702" t="s">
        <v>8635</v>
      </c>
    </row>
    <row r="1703" spans="1:1" x14ac:dyDescent="0.35">
      <c r="A1703" t="s">
        <v>8639</v>
      </c>
    </row>
    <row r="1704" spans="1:1" x14ac:dyDescent="0.35">
      <c r="A1704" t="s">
        <v>8642</v>
      </c>
    </row>
    <row r="1705" spans="1:1" x14ac:dyDescent="0.35">
      <c r="A1705" t="s">
        <v>8645</v>
      </c>
    </row>
    <row r="1706" spans="1:1" x14ac:dyDescent="0.35">
      <c r="A1706" t="s">
        <v>8648</v>
      </c>
    </row>
    <row r="1707" spans="1:1" x14ac:dyDescent="0.35">
      <c r="A1707" t="s">
        <v>8610</v>
      </c>
    </row>
    <row r="1708" spans="1:1" x14ac:dyDescent="0.35">
      <c r="A1708" t="s">
        <v>8614</v>
      </c>
    </row>
    <row r="1709" spans="1:1" x14ac:dyDescent="0.35">
      <c r="A1709" t="s">
        <v>8617</v>
      </c>
    </row>
    <row r="1710" spans="1:1" x14ac:dyDescent="0.35">
      <c r="A1710" t="s">
        <v>8621</v>
      </c>
    </row>
    <row r="1711" spans="1:1" x14ac:dyDescent="0.35">
      <c r="A1711" t="s">
        <v>8624</v>
      </c>
    </row>
    <row r="1712" spans="1:1" x14ac:dyDescent="0.35">
      <c r="A1712" t="s">
        <v>8627</v>
      </c>
    </row>
    <row r="1713" spans="1:1" x14ac:dyDescent="0.35">
      <c r="A1713" t="s">
        <v>8631</v>
      </c>
    </row>
    <row r="1714" spans="1:1" x14ac:dyDescent="0.35">
      <c r="A1714" t="s">
        <v>8635</v>
      </c>
    </row>
    <row r="1715" spans="1:1" x14ac:dyDescent="0.35">
      <c r="A1715" t="s">
        <v>8639</v>
      </c>
    </row>
    <row r="1716" spans="1:1" x14ac:dyDescent="0.35">
      <c r="A1716" t="s">
        <v>8642</v>
      </c>
    </row>
    <row r="1717" spans="1:1" x14ac:dyDescent="0.35">
      <c r="A1717" t="s">
        <v>8645</v>
      </c>
    </row>
    <row r="1718" spans="1:1" x14ac:dyDescent="0.35">
      <c r="A1718" t="s">
        <v>8648</v>
      </c>
    </row>
    <row r="1719" spans="1:1" x14ac:dyDescent="0.35">
      <c r="A1719" t="s">
        <v>8610</v>
      </c>
    </row>
    <row r="1720" spans="1:1" x14ac:dyDescent="0.35">
      <c r="A1720" t="s">
        <v>8614</v>
      </c>
    </row>
    <row r="1721" spans="1:1" x14ac:dyDescent="0.35">
      <c r="A1721" t="s">
        <v>8617</v>
      </c>
    </row>
    <row r="1722" spans="1:1" x14ac:dyDescent="0.35">
      <c r="A1722" t="s">
        <v>8621</v>
      </c>
    </row>
    <row r="1723" spans="1:1" x14ac:dyDescent="0.35">
      <c r="A1723" t="s">
        <v>8624</v>
      </c>
    </row>
    <row r="1724" spans="1:1" x14ac:dyDescent="0.35">
      <c r="A1724" t="s">
        <v>8627</v>
      </c>
    </row>
    <row r="1725" spans="1:1" x14ac:dyDescent="0.35">
      <c r="A1725" t="s">
        <v>8631</v>
      </c>
    </row>
    <row r="1726" spans="1:1" x14ac:dyDescent="0.35">
      <c r="A1726" t="s">
        <v>8635</v>
      </c>
    </row>
    <row r="1727" spans="1:1" x14ac:dyDescent="0.35">
      <c r="A1727" t="s">
        <v>8639</v>
      </c>
    </row>
    <row r="1728" spans="1:1" x14ac:dyDescent="0.35">
      <c r="A1728" t="s">
        <v>8642</v>
      </c>
    </row>
    <row r="1729" spans="1:1" x14ac:dyDescent="0.35">
      <c r="A1729" t="s">
        <v>8645</v>
      </c>
    </row>
    <row r="1730" spans="1:1" x14ac:dyDescent="0.35">
      <c r="A1730" t="s">
        <v>8648</v>
      </c>
    </row>
    <row r="1731" spans="1:1" x14ac:dyDescent="0.35">
      <c r="A1731" t="s">
        <v>8610</v>
      </c>
    </row>
    <row r="1732" spans="1:1" x14ac:dyDescent="0.35">
      <c r="A1732" t="s">
        <v>8614</v>
      </c>
    </row>
    <row r="1733" spans="1:1" x14ac:dyDescent="0.35">
      <c r="A1733" t="s">
        <v>8617</v>
      </c>
    </row>
    <row r="1734" spans="1:1" x14ac:dyDescent="0.35">
      <c r="A1734" t="s">
        <v>8621</v>
      </c>
    </row>
    <row r="1735" spans="1:1" x14ac:dyDescent="0.35">
      <c r="A1735" t="s">
        <v>8624</v>
      </c>
    </row>
    <row r="1736" spans="1:1" x14ac:dyDescent="0.35">
      <c r="A1736" t="s">
        <v>8627</v>
      </c>
    </row>
    <row r="1737" spans="1:1" x14ac:dyDescent="0.35">
      <c r="A1737" t="s">
        <v>8631</v>
      </c>
    </row>
    <row r="1738" spans="1:1" x14ac:dyDescent="0.35">
      <c r="A1738" t="s">
        <v>8635</v>
      </c>
    </row>
    <row r="1739" spans="1:1" x14ac:dyDescent="0.35">
      <c r="A1739" t="s">
        <v>8639</v>
      </c>
    </row>
    <row r="1740" spans="1:1" x14ac:dyDescent="0.35">
      <c r="A1740" t="s">
        <v>8642</v>
      </c>
    </row>
    <row r="1741" spans="1:1" x14ac:dyDescent="0.35">
      <c r="A1741" t="s">
        <v>8645</v>
      </c>
    </row>
    <row r="1742" spans="1:1" x14ac:dyDescent="0.35">
      <c r="A1742" t="s">
        <v>8648</v>
      </c>
    </row>
    <row r="1743" spans="1:1" x14ac:dyDescent="0.35">
      <c r="A1743" t="s">
        <v>8610</v>
      </c>
    </row>
    <row r="1744" spans="1:1" x14ac:dyDescent="0.35">
      <c r="A1744" t="s">
        <v>8614</v>
      </c>
    </row>
    <row r="1745" spans="1:1" x14ac:dyDescent="0.35">
      <c r="A1745" t="s">
        <v>8617</v>
      </c>
    </row>
    <row r="1746" spans="1:1" x14ac:dyDescent="0.35">
      <c r="A1746" t="s">
        <v>8621</v>
      </c>
    </row>
    <row r="1747" spans="1:1" x14ac:dyDescent="0.35">
      <c r="A1747" t="s">
        <v>8624</v>
      </c>
    </row>
    <row r="1748" spans="1:1" x14ac:dyDescent="0.35">
      <c r="A1748" t="s">
        <v>8627</v>
      </c>
    </row>
    <row r="1749" spans="1:1" x14ac:dyDescent="0.35">
      <c r="A1749" t="s">
        <v>8631</v>
      </c>
    </row>
    <row r="1750" spans="1:1" x14ac:dyDescent="0.35">
      <c r="A1750" t="s">
        <v>8635</v>
      </c>
    </row>
    <row r="1751" spans="1:1" x14ac:dyDescent="0.35">
      <c r="A1751" t="s">
        <v>8639</v>
      </c>
    </row>
    <row r="1752" spans="1:1" x14ac:dyDescent="0.35">
      <c r="A1752" t="s">
        <v>8642</v>
      </c>
    </row>
    <row r="1753" spans="1:1" x14ac:dyDescent="0.35">
      <c r="A1753" t="s">
        <v>8645</v>
      </c>
    </row>
    <row r="1754" spans="1:1" x14ac:dyDescent="0.35">
      <c r="A1754" t="s">
        <v>8648</v>
      </c>
    </row>
    <row r="1755" spans="1:1" x14ac:dyDescent="0.35">
      <c r="A1755" t="s">
        <v>8610</v>
      </c>
    </row>
    <row r="1756" spans="1:1" x14ac:dyDescent="0.35">
      <c r="A1756" t="s">
        <v>8614</v>
      </c>
    </row>
    <row r="1757" spans="1:1" x14ac:dyDescent="0.35">
      <c r="A1757" t="s">
        <v>8617</v>
      </c>
    </row>
    <row r="1758" spans="1:1" x14ac:dyDescent="0.35">
      <c r="A1758" t="s">
        <v>8621</v>
      </c>
    </row>
    <row r="1759" spans="1:1" x14ac:dyDescent="0.35">
      <c r="A1759" t="s">
        <v>8624</v>
      </c>
    </row>
    <row r="1760" spans="1:1" x14ac:dyDescent="0.35">
      <c r="A1760" t="s">
        <v>8627</v>
      </c>
    </row>
    <row r="1761" spans="1:1" x14ac:dyDescent="0.35">
      <c r="A1761" t="s">
        <v>8631</v>
      </c>
    </row>
    <row r="1762" spans="1:1" x14ac:dyDescent="0.35">
      <c r="A1762" t="s">
        <v>8635</v>
      </c>
    </row>
    <row r="1763" spans="1:1" x14ac:dyDescent="0.35">
      <c r="A1763" t="s">
        <v>8639</v>
      </c>
    </row>
    <row r="1764" spans="1:1" x14ac:dyDescent="0.35">
      <c r="A1764" t="s">
        <v>8642</v>
      </c>
    </row>
    <row r="1765" spans="1:1" x14ac:dyDescent="0.35">
      <c r="A1765" t="s">
        <v>8645</v>
      </c>
    </row>
    <row r="1766" spans="1:1" x14ac:dyDescent="0.35">
      <c r="A1766" t="s">
        <v>8648</v>
      </c>
    </row>
    <row r="1767" spans="1:1" x14ac:dyDescent="0.35">
      <c r="A1767" t="s">
        <v>8610</v>
      </c>
    </row>
    <row r="1768" spans="1:1" x14ac:dyDescent="0.35">
      <c r="A1768" t="s">
        <v>8614</v>
      </c>
    </row>
    <row r="1769" spans="1:1" x14ac:dyDescent="0.35">
      <c r="A1769" t="s">
        <v>8617</v>
      </c>
    </row>
    <row r="1770" spans="1:1" x14ac:dyDescent="0.35">
      <c r="A1770" t="s">
        <v>8621</v>
      </c>
    </row>
    <row r="1771" spans="1:1" x14ac:dyDescent="0.35">
      <c r="A1771" t="s">
        <v>8624</v>
      </c>
    </row>
    <row r="1772" spans="1:1" x14ac:dyDescent="0.35">
      <c r="A1772" t="s">
        <v>8627</v>
      </c>
    </row>
    <row r="1773" spans="1:1" x14ac:dyDescent="0.35">
      <c r="A1773" t="s">
        <v>8631</v>
      </c>
    </row>
    <row r="1774" spans="1:1" x14ac:dyDescent="0.35">
      <c r="A1774" t="s">
        <v>8635</v>
      </c>
    </row>
    <row r="1775" spans="1:1" x14ac:dyDescent="0.35">
      <c r="A1775" t="s">
        <v>8639</v>
      </c>
    </row>
    <row r="1776" spans="1:1" x14ac:dyDescent="0.35">
      <c r="A1776" t="s">
        <v>8642</v>
      </c>
    </row>
    <row r="1777" spans="1:1" x14ac:dyDescent="0.35">
      <c r="A1777" t="s">
        <v>8645</v>
      </c>
    </row>
    <row r="1778" spans="1:1" x14ac:dyDescent="0.35">
      <c r="A1778" t="s">
        <v>8648</v>
      </c>
    </row>
    <row r="1779" spans="1:1" x14ac:dyDescent="0.35">
      <c r="A1779" t="s">
        <v>8610</v>
      </c>
    </row>
    <row r="1780" spans="1:1" x14ac:dyDescent="0.35">
      <c r="A1780" t="s">
        <v>8614</v>
      </c>
    </row>
    <row r="1781" spans="1:1" x14ac:dyDescent="0.35">
      <c r="A1781" t="s">
        <v>8617</v>
      </c>
    </row>
    <row r="1782" spans="1:1" x14ac:dyDescent="0.35">
      <c r="A1782" t="s">
        <v>8621</v>
      </c>
    </row>
    <row r="1783" spans="1:1" x14ac:dyDescent="0.35">
      <c r="A1783" t="s">
        <v>8624</v>
      </c>
    </row>
    <row r="1784" spans="1:1" x14ac:dyDescent="0.35">
      <c r="A1784" t="s">
        <v>8627</v>
      </c>
    </row>
    <row r="1785" spans="1:1" x14ac:dyDescent="0.35">
      <c r="A1785" t="s">
        <v>8631</v>
      </c>
    </row>
    <row r="1786" spans="1:1" x14ac:dyDescent="0.35">
      <c r="A1786" t="s">
        <v>8635</v>
      </c>
    </row>
    <row r="1787" spans="1:1" x14ac:dyDescent="0.35">
      <c r="A1787" t="s">
        <v>8639</v>
      </c>
    </row>
    <row r="1788" spans="1:1" x14ac:dyDescent="0.35">
      <c r="A1788" t="s">
        <v>8642</v>
      </c>
    </row>
    <row r="1789" spans="1:1" x14ac:dyDescent="0.35">
      <c r="A1789" t="s">
        <v>8645</v>
      </c>
    </row>
    <row r="1790" spans="1:1" x14ac:dyDescent="0.35">
      <c r="A1790" t="s">
        <v>8648</v>
      </c>
    </row>
    <row r="1791" spans="1:1" x14ac:dyDescent="0.35">
      <c r="A1791" t="s">
        <v>8610</v>
      </c>
    </row>
    <row r="1792" spans="1:1" x14ac:dyDescent="0.35">
      <c r="A1792" t="s">
        <v>8614</v>
      </c>
    </row>
    <row r="1793" spans="1:1" x14ac:dyDescent="0.35">
      <c r="A1793" t="s">
        <v>8617</v>
      </c>
    </row>
    <row r="1794" spans="1:1" x14ac:dyDescent="0.35">
      <c r="A1794" t="s">
        <v>8621</v>
      </c>
    </row>
    <row r="1795" spans="1:1" x14ac:dyDescent="0.35">
      <c r="A1795" t="s">
        <v>8624</v>
      </c>
    </row>
    <row r="1796" spans="1:1" x14ac:dyDescent="0.35">
      <c r="A1796" t="s">
        <v>8627</v>
      </c>
    </row>
    <row r="1797" spans="1:1" x14ac:dyDescent="0.35">
      <c r="A1797" t="s">
        <v>8631</v>
      </c>
    </row>
    <row r="1798" spans="1:1" x14ac:dyDescent="0.35">
      <c r="A1798" t="s">
        <v>8635</v>
      </c>
    </row>
    <row r="1799" spans="1:1" x14ac:dyDescent="0.35">
      <c r="A1799" t="s">
        <v>8639</v>
      </c>
    </row>
    <row r="1800" spans="1:1" x14ac:dyDescent="0.35">
      <c r="A1800" t="s">
        <v>8642</v>
      </c>
    </row>
    <row r="1801" spans="1:1" x14ac:dyDescent="0.35">
      <c r="A1801" t="s">
        <v>8645</v>
      </c>
    </row>
    <row r="1802" spans="1:1" x14ac:dyDescent="0.35">
      <c r="A1802" t="s">
        <v>8648</v>
      </c>
    </row>
    <row r="1803" spans="1:1" x14ac:dyDescent="0.35">
      <c r="A1803" t="s">
        <v>8610</v>
      </c>
    </row>
    <row r="1804" spans="1:1" x14ac:dyDescent="0.35">
      <c r="A1804" t="s">
        <v>8614</v>
      </c>
    </row>
    <row r="1805" spans="1:1" x14ac:dyDescent="0.35">
      <c r="A1805" t="s">
        <v>8617</v>
      </c>
    </row>
    <row r="1806" spans="1:1" x14ac:dyDescent="0.35">
      <c r="A1806" t="s">
        <v>8621</v>
      </c>
    </row>
    <row r="1807" spans="1:1" x14ac:dyDescent="0.35">
      <c r="A1807" t="s">
        <v>8624</v>
      </c>
    </row>
    <row r="1808" spans="1:1" x14ac:dyDescent="0.35">
      <c r="A1808" t="s">
        <v>8627</v>
      </c>
    </row>
    <row r="1809" spans="1:1" x14ac:dyDescent="0.35">
      <c r="A1809" t="s">
        <v>8631</v>
      </c>
    </row>
    <row r="1810" spans="1:1" x14ac:dyDescent="0.35">
      <c r="A1810" t="s">
        <v>8635</v>
      </c>
    </row>
    <row r="1811" spans="1:1" x14ac:dyDescent="0.35">
      <c r="A1811" t="s">
        <v>8639</v>
      </c>
    </row>
    <row r="1812" spans="1:1" x14ac:dyDescent="0.35">
      <c r="A1812" t="s">
        <v>8642</v>
      </c>
    </row>
    <row r="1813" spans="1:1" x14ac:dyDescent="0.35">
      <c r="A1813" t="s">
        <v>8645</v>
      </c>
    </row>
    <row r="1814" spans="1:1" x14ac:dyDescent="0.35">
      <c r="A1814" t="s">
        <v>8648</v>
      </c>
    </row>
    <row r="1815" spans="1:1" x14ac:dyDescent="0.35">
      <c r="A1815" t="s">
        <v>8610</v>
      </c>
    </row>
    <row r="1816" spans="1:1" x14ac:dyDescent="0.35">
      <c r="A1816" t="s">
        <v>8614</v>
      </c>
    </row>
    <row r="1817" spans="1:1" x14ac:dyDescent="0.35">
      <c r="A1817" t="s">
        <v>8617</v>
      </c>
    </row>
    <row r="1818" spans="1:1" x14ac:dyDescent="0.35">
      <c r="A1818" t="s">
        <v>8621</v>
      </c>
    </row>
    <row r="1819" spans="1:1" x14ac:dyDescent="0.35">
      <c r="A1819" t="s">
        <v>8624</v>
      </c>
    </row>
    <row r="1820" spans="1:1" x14ac:dyDescent="0.35">
      <c r="A1820" t="s">
        <v>8627</v>
      </c>
    </row>
    <row r="1821" spans="1:1" x14ac:dyDescent="0.35">
      <c r="A1821" t="s">
        <v>8631</v>
      </c>
    </row>
    <row r="1822" spans="1:1" x14ac:dyDescent="0.35">
      <c r="A1822" t="s">
        <v>8635</v>
      </c>
    </row>
    <row r="1823" spans="1:1" x14ac:dyDescent="0.35">
      <c r="A1823" t="s">
        <v>8639</v>
      </c>
    </row>
    <row r="1824" spans="1:1" x14ac:dyDescent="0.35">
      <c r="A1824" t="s">
        <v>8642</v>
      </c>
    </row>
    <row r="1825" spans="1:1" x14ac:dyDescent="0.35">
      <c r="A1825" t="s">
        <v>8645</v>
      </c>
    </row>
    <row r="1826" spans="1:1" x14ac:dyDescent="0.35">
      <c r="A1826" t="s">
        <v>8648</v>
      </c>
    </row>
    <row r="1827" spans="1:1" x14ac:dyDescent="0.35">
      <c r="A1827" t="s">
        <v>8610</v>
      </c>
    </row>
    <row r="1828" spans="1:1" x14ac:dyDescent="0.35">
      <c r="A1828" t="s">
        <v>8614</v>
      </c>
    </row>
    <row r="1829" spans="1:1" x14ac:dyDescent="0.35">
      <c r="A1829" t="s">
        <v>8617</v>
      </c>
    </row>
    <row r="1830" spans="1:1" x14ac:dyDescent="0.35">
      <c r="A1830" t="s">
        <v>8621</v>
      </c>
    </row>
    <row r="1831" spans="1:1" x14ac:dyDescent="0.35">
      <c r="A1831" t="s">
        <v>8624</v>
      </c>
    </row>
    <row r="1832" spans="1:1" x14ac:dyDescent="0.35">
      <c r="A1832" t="s">
        <v>8627</v>
      </c>
    </row>
    <row r="1833" spans="1:1" x14ac:dyDescent="0.35">
      <c r="A1833" t="s">
        <v>8631</v>
      </c>
    </row>
    <row r="1834" spans="1:1" x14ac:dyDescent="0.35">
      <c r="A1834" t="s">
        <v>8635</v>
      </c>
    </row>
    <row r="1835" spans="1:1" x14ac:dyDescent="0.35">
      <c r="A1835" t="s">
        <v>8639</v>
      </c>
    </row>
    <row r="1836" spans="1:1" x14ac:dyDescent="0.35">
      <c r="A1836" t="s">
        <v>8642</v>
      </c>
    </row>
    <row r="1837" spans="1:1" x14ac:dyDescent="0.35">
      <c r="A1837" t="s">
        <v>8645</v>
      </c>
    </row>
    <row r="1838" spans="1:1" x14ac:dyDescent="0.35">
      <c r="A1838" t="s">
        <v>8648</v>
      </c>
    </row>
    <row r="1839" spans="1:1" x14ac:dyDescent="0.35">
      <c r="A1839" t="s">
        <v>8610</v>
      </c>
    </row>
    <row r="1840" spans="1:1" x14ac:dyDescent="0.35">
      <c r="A1840" t="s">
        <v>8614</v>
      </c>
    </row>
    <row r="1841" spans="1:1" x14ac:dyDescent="0.35">
      <c r="A1841" t="s">
        <v>8617</v>
      </c>
    </row>
    <row r="1842" spans="1:1" x14ac:dyDescent="0.35">
      <c r="A1842" t="s">
        <v>8621</v>
      </c>
    </row>
    <row r="1843" spans="1:1" x14ac:dyDescent="0.35">
      <c r="A1843" t="s">
        <v>8624</v>
      </c>
    </row>
    <row r="1844" spans="1:1" x14ac:dyDescent="0.35">
      <c r="A1844" t="s">
        <v>8627</v>
      </c>
    </row>
    <row r="1845" spans="1:1" x14ac:dyDescent="0.35">
      <c r="A1845" t="s">
        <v>8631</v>
      </c>
    </row>
    <row r="1846" spans="1:1" x14ac:dyDescent="0.35">
      <c r="A1846" t="s">
        <v>8635</v>
      </c>
    </row>
    <row r="1847" spans="1:1" x14ac:dyDescent="0.35">
      <c r="A1847" t="s">
        <v>8639</v>
      </c>
    </row>
    <row r="1848" spans="1:1" x14ac:dyDescent="0.35">
      <c r="A1848" t="s">
        <v>8642</v>
      </c>
    </row>
    <row r="1849" spans="1:1" x14ac:dyDescent="0.35">
      <c r="A1849" t="s">
        <v>8645</v>
      </c>
    </row>
    <row r="1850" spans="1:1" x14ac:dyDescent="0.35">
      <c r="A1850" t="s">
        <v>8648</v>
      </c>
    </row>
    <row r="1851" spans="1:1" x14ac:dyDescent="0.35">
      <c r="A1851" t="s">
        <v>8610</v>
      </c>
    </row>
    <row r="1852" spans="1:1" x14ac:dyDescent="0.35">
      <c r="A1852" t="s">
        <v>8614</v>
      </c>
    </row>
    <row r="1853" spans="1:1" x14ac:dyDescent="0.35">
      <c r="A1853" t="s">
        <v>8617</v>
      </c>
    </row>
    <row r="1854" spans="1:1" x14ac:dyDescent="0.35">
      <c r="A1854" t="s">
        <v>8621</v>
      </c>
    </row>
    <row r="1855" spans="1:1" x14ac:dyDescent="0.35">
      <c r="A1855" t="s">
        <v>8624</v>
      </c>
    </row>
    <row r="1856" spans="1:1" x14ac:dyDescent="0.35">
      <c r="A1856" t="s">
        <v>8627</v>
      </c>
    </row>
    <row r="1857" spans="1:1" x14ac:dyDescent="0.35">
      <c r="A1857" t="s">
        <v>8631</v>
      </c>
    </row>
    <row r="1858" spans="1:1" x14ac:dyDescent="0.35">
      <c r="A1858" t="s">
        <v>8635</v>
      </c>
    </row>
    <row r="1859" spans="1:1" x14ac:dyDescent="0.35">
      <c r="A1859" t="s">
        <v>8639</v>
      </c>
    </row>
    <row r="1860" spans="1:1" x14ac:dyDescent="0.35">
      <c r="A1860" t="s">
        <v>8642</v>
      </c>
    </row>
    <row r="1861" spans="1:1" x14ac:dyDescent="0.35">
      <c r="A1861" t="s">
        <v>8645</v>
      </c>
    </row>
    <row r="1862" spans="1:1" x14ac:dyDescent="0.35">
      <c r="A1862" t="s">
        <v>8648</v>
      </c>
    </row>
    <row r="1863" spans="1:1" x14ac:dyDescent="0.35">
      <c r="A1863" t="s">
        <v>8610</v>
      </c>
    </row>
    <row r="1864" spans="1:1" x14ac:dyDescent="0.35">
      <c r="A1864" t="s">
        <v>8614</v>
      </c>
    </row>
    <row r="1865" spans="1:1" x14ac:dyDescent="0.35">
      <c r="A1865" t="s">
        <v>8617</v>
      </c>
    </row>
    <row r="1866" spans="1:1" x14ac:dyDescent="0.35">
      <c r="A1866" t="s">
        <v>8621</v>
      </c>
    </row>
    <row r="1867" spans="1:1" x14ac:dyDescent="0.35">
      <c r="A1867" t="s">
        <v>8624</v>
      </c>
    </row>
    <row r="1868" spans="1:1" x14ac:dyDescent="0.35">
      <c r="A1868" t="s">
        <v>8627</v>
      </c>
    </row>
    <row r="1869" spans="1:1" x14ac:dyDescent="0.35">
      <c r="A1869" t="s">
        <v>8631</v>
      </c>
    </row>
    <row r="1870" spans="1:1" x14ac:dyDescent="0.35">
      <c r="A1870" t="s">
        <v>8635</v>
      </c>
    </row>
    <row r="1871" spans="1:1" x14ac:dyDescent="0.35">
      <c r="A1871" t="s">
        <v>8639</v>
      </c>
    </row>
    <row r="1872" spans="1:1" x14ac:dyDescent="0.35">
      <c r="A1872" t="s">
        <v>8642</v>
      </c>
    </row>
    <row r="1873" spans="1:1" x14ac:dyDescent="0.35">
      <c r="A1873" t="s">
        <v>8645</v>
      </c>
    </row>
    <row r="1874" spans="1:1" x14ac:dyDescent="0.35">
      <c r="A1874" t="s">
        <v>8648</v>
      </c>
    </row>
    <row r="1875" spans="1:1" x14ac:dyDescent="0.35">
      <c r="A1875" t="s">
        <v>8610</v>
      </c>
    </row>
    <row r="1876" spans="1:1" x14ac:dyDescent="0.35">
      <c r="A1876" t="s">
        <v>8614</v>
      </c>
    </row>
    <row r="1877" spans="1:1" x14ac:dyDescent="0.35">
      <c r="A1877" t="s">
        <v>8617</v>
      </c>
    </row>
    <row r="1878" spans="1:1" x14ac:dyDescent="0.35">
      <c r="A1878" t="s">
        <v>8621</v>
      </c>
    </row>
    <row r="1879" spans="1:1" x14ac:dyDescent="0.35">
      <c r="A1879" t="s">
        <v>8624</v>
      </c>
    </row>
    <row r="1880" spans="1:1" x14ac:dyDescent="0.35">
      <c r="A1880" t="s">
        <v>8627</v>
      </c>
    </row>
    <row r="1881" spans="1:1" x14ac:dyDescent="0.35">
      <c r="A1881" t="s">
        <v>8631</v>
      </c>
    </row>
    <row r="1882" spans="1:1" x14ac:dyDescent="0.35">
      <c r="A1882" t="s">
        <v>8635</v>
      </c>
    </row>
    <row r="1883" spans="1:1" x14ac:dyDescent="0.35">
      <c r="A1883" t="s">
        <v>8639</v>
      </c>
    </row>
    <row r="1884" spans="1:1" x14ac:dyDescent="0.35">
      <c r="A1884" t="s">
        <v>8642</v>
      </c>
    </row>
    <row r="1885" spans="1:1" x14ac:dyDescent="0.35">
      <c r="A1885" t="s">
        <v>8645</v>
      </c>
    </row>
    <row r="1886" spans="1:1" x14ac:dyDescent="0.35">
      <c r="A1886" t="s">
        <v>8648</v>
      </c>
    </row>
    <row r="1887" spans="1:1" x14ac:dyDescent="0.35">
      <c r="A1887" t="s">
        <v>8610</v>
      </c>
    </row>
    <row r="1888" spans="1:1" x14ac:dyDescent="0.35">
      <c r="A1888" t="s">
        <v>8614</v>
      </c>
    </row>
    <row r="1889" spans="1:1" x14ac:dyDescent="0.35">
      <c r="A1889" t="s">
        <v>8617</v>
      </c>
    </row>
    <row r="1890" spans="1:1" x14ac:dyDescent="0.35">
      <c r="A1890" t="s">
        <v>8621</v>
      </c>
    </row>
    <row r="1891" spans="1:1" x14ac:dyDescent="0.35">
      <c r="A1891" t="s">
        <v>8624</v>
      </c>
    </row>
    <row r="1892" spans="1:1" x14ac:dyDescent="0.35">
      <c r="A1892" t="s">
        <v>8627</v>
      </c>
    </row>
    <row r="1893" spans="1:1" x14ac:dyDescent="0.35">
      <c r="A1893" t="s">
        <v>8631</v>
      </c>
    </row>
    <row r="1894" spans="1:1" x14ac:dyDescent="0.35">
      <c r="A1894" t="s">
        <v>8635</v>
      </c>
    </row>
    <row r="1895" spans="1:1" x14ac:dyDescent="0.35">
      <c r="A1895" t="s">
        <v>8639</v>
      </c>
    </row>
    <row r="1896" spans="1:1" x14ac:dyDescent="0.35">
      <c r="A1896" t="s">
        <v>8642</v>
      </c>
    </row>
    <row r="1897" spans="1:1" x14ac:dyDescent="0.35">
      <c r="A1897" t="s">
        <v>8645</v>
      </c>
    </row>
    <row r="1898" spans="1:1" x14ac:dyDescent="0.35">
      <c r="A1898" t="s">
        <v>8648</v>
      </c>
    </row>
    <row r="1899" spans="1:1" x14ac:dyDescent="0.35">
      <c r="A1899" t="s">
        <v>8610</v>
      </c>
    </row>
    <row r="1900" spans="1:1" x14ac:dyDescent="0.35">
      <c r="A1900" t="s">
        <v>8614</v>
      </c>
    </row>
    <row r="1901" spans="1:1" x14ac:dyDescent="0.35">
      <c r="A1901" t="s">
        <v>8617</v>
      </c>
    </row>
    <row r="1902" spans="1:1" x14ac:dyDescent="0.35">
      <c r="A1902" t="s">
        <v>8621</v>
      </c>
    </row>
    <row r="1903" spans="1:1" x14ac:dyDescent="0.35">
      <c r="A1903" t="s">
        <v>8624</v>
      </c>
    </row>
    <row r="1904" spans="1:1" x14ac:dyDescent="0.35">
      <c r="A1904" t="s">
        <v>8627</v>
      </c>
    </row>
    <row r="1905" spans="1:1" x14ac:dyDescent="0.35">
      <c r="A1905" t="s">
        <v>8631</v>
      </c>
    </row>
    <row r="1906" spans="1:1" x14ac:dyDescent="0.35">
      <c r="A1906" t="s">
        <v>8635</v>
      </c>
    </row>
    <row r="1907" spans="1:1" x14ac:dyDescent="0.35">
      <c r="A1907" t="s">
        <v>8639</v>
      </c>
    </row>
    <row r="1908" spans="1:1" x14ac:dyDescent="0.35">
      <c r="A1908" t="s">
        <v>8642</v>
      </c>
    </row>
    <row r="1909" spans="1:1" x14ac:dyDescent="0.35">
      <c r="A1909" t="s">
        <v>8645</v>
      </c>
    </row>
    <row r="1910" spans="1:1" x14ac:dyDescent="0.35">
      <c r="A1910" t="s">
        <v>8648</v>
      </c>
    </row>
    <row r="1911" spans="1:1" x14ac:dyDescent="0.35">
      <c r="A1911" t="s">
        <v>8610</v>
      </c>
    </row>
    <row r="1912" spans="1:1" x14ac:dyDescent="0.35">
      <c r="A1912" t="s">
        <v>8614</v>
      </c>
    </row>
    <row r="1913" spans="1:1" x14ac:dyDescent="0.35">
      <c r="A1913" t="s">
        <v>8617</v>
      </c>
    </row>
    <row r="1914" spans="1:1" x14ac:dyDescent="0.35">
      <c r="A1914" t="s">
        <v>8621</v>
      </c>
    </row>
    <row r="1915" spans="1:1" x14ac:dyDescent="0.35">
      <c r="A1915" t="s">
        <v>8624</v>
      </c>
    </row>
    <row r="1916" spans="1:1" x14ac:dyDescent="0.35">
      <c r="A1916" t="s">
        <v>8627</v>
      </c>
    </row>
    <row r="1917" spans="1:1" x14ac:dyDescent="0.35">
      <c r="A1917" t="s">
        <v>8631</v>
      </c>
    </row>
    <row r="1918" spans="1:1" x14ac:dyDescent="0.35">
      <c r="A1918" t="s">
        <v>8635</v>
      </c>
    </row>
    <row r="1919" spans="1:1" x14ac:dyDescent="0.35">
      <c r="A1919" t="s">
        <v>8639</v>
      </c>
    </row>
    <row r="1920" spans="1:1" x14ac:dyDescent="0.35">
      <c r="A1920" t="s">
        <v>8642</v>
      </c>
    </row>
    <row r="1921" spans="1:1" x14ac:dyDescent="0.35">
      <c r="A1921" t="s">
        <v>8645</v>
      </c>
    </row>
    <row r="1922" spans="1:1" x14ac:dyDescent="0.35">
      <c r="A1922" t="s">
        <v>8648</v>
      </c>
    </row>
    <row r="1923" spans="1:1" x14ac:dyDescent="0.35">
      <c r="A1923" t="s">
        <v>8610</v>
      </c>
    </row>
    <row r="1924" spans="1:1" x14ac:dyDescent="0.35">
      <c r="A1924" t="s">
        <v>8614</v>
      </c>
    </row>
    <row r="1925" spans="1:1" x14ac:dyDescent="0.35">
      <c r="A1925" t="s">
        <v>8617</v>
      </c>
    </row>
    <row r="1926" spans="1:1" x14ac:dyDescent="0.35">
      <c r="A1926" t="s">
        <v>8621</v>
      </c>
    </row>
    <row r="1927" spans="1:1" x14ac:dyDescent="0.35">
      <c r="A1927" t="s">
        <v>8624</v>
      </c>
    </row>
    <row r="1928" spans="1:1" x14ac:dyDescent="0.35">
      <c r="A1928" t="s">
        <v>8627</v>
      </c>
    </row>
    <row r="1929" spans="1:1" x14ac:dyDescent="0.35">
      <c r="A1929" t="s">
        <v>8631</v>
      </c>
    </row>
    <row r="1930" spans="1:1" x14ac:dyDescent="0.35">
      <c r="A1930" t="s">
        <v>8635</v>
      </c>
    </row>
    <row r="1931" spans="1:1" x14ac:dyDescent="0.35">
      <c r="A1931" t="s">
        <v>8639</v>
      </c>
    </row>
    <row r="1932" spans="1:1" x14ac:dyDescent="0.35">
      <c r="A1932" t="s">
        <v>8642</v>
      </c>
    </row>
    <row r="1933" spans="1:1" x14ac:dyDescent="0.35">
      <c r="A1933" t="s">
        <v>8645</v>
      </c>
    </row>
    <row r="1934" spans="1:1" x14ac:dyDescent="0.35">
      <c r="A1934" t="s">
        <v>8648</v>
      </c>
    </row>
    <row r="1935" spans="1:1" x14ac:dyDescent="0.35">
      <c r="A1935" t="s">
        <v>8610</v>
      </c>
    </row>
    <row r="1936" spans="1:1" x14ac:dyDescent="0.35">
      <c r="A1936" t="s">
        <v>8614</v>
      </c>
    </row>
    <row r="1937" spans="1:1" x14ac:dyDescent="0.35">
      <c r="A1937" t="s">
        <v>8617</v>
      </c>
    </row>
    <row r="1938" spans="1:1" x14ac:dyDescent="0.35">
      <c r="A1938" t="s">
        <v>8621</v>
      </c>
    </row>
    <row r="1939" spans="1:1" x14ac:dyDescent="0.35">
      <c r="A1939" t="s">
        <v>8624</v>
      </c>
    </row>
    <row r="1940" spans="1:1" x14ac:dyDescent="0.35">
      <c r="A1940" t="s">
        <v>8627</v>
      </c>
    </row>
    <row r="1941" spans="1:1" x14ac:dyDescent="0.35">
      <c r="A1941" t="s">
        <v>8631</v>
      </c>
    </row>
    <row r="1942" spans="1:1" x14ac:dyDescent="0.35">
      <c r="A1942" t="s">
        <v>8635</v>
      </c>
    </row>
    <row r="1943" spans="1:1" x14ac:dyDescent="0.35">
      <c r="A1943" t="s">
        <v>8639</v>
      </c>
    </row>
    <row r="1944" spans="1:1" x14ac:dyDescent="0.35">
      <c r="A1944" t="s">
        <v>8642</v>
      </c>
    </row>
    <row r="1945" spans="1:1" x14ac:dyDescent="0.35">
      <c r="A1945" t="s">
        <v>8645</v>
      </c>
    </row>
    <row r="1946" spans="1:1" x14ac:dyDescent="0.35">
      <c r="A1946" t="s">
        <v>8648</v>
      </c>
    </row>
    <row r="1947" spans="1:1" x14ac:dyDescent="0.35">
      <c r="A1947" t="s">
        <v>8610</v>
      </c>
    </row>
    <row r="1948" spans="1:1" x14ac:dyDescent="0.35">
      <c r="A1948" t="s">
        <v>8614</v>
      </c>
    </row>
    <row r="1949" spans="1:1" x14ac:dyDescent="0.35">
      <c r="A1949" t="s">
        <v>8617</v>
      </c>
    </row>
    <row r="1950" spans="1:1" x14ac:dyDescent="0.35">
      <c r="A1950" t="s">
        <v>8621</v>
      </c>
    </row>
    <row r="1951" spans="1:1" x14ac:dyDescent="0.35">
      <c r="A1951" t="s">
        <v>8624</v>
      </c>
    </row>
    <row r="1952" spans="1:1" x14ac:dyDescent="0.35">
      <c r="A1952" t="s">
        <v>8627</v>
      </c>
    </row>
    <row r="1953" spans="1:1" x14ac:dyDescent="0.35">
      <c r="A1953" t="s">
        <v>8631</v>
      </c>
    </row>
    <row r="1954" spans="1:1" x14ac:dyDescent="0.35">
      <c r="A1954" t="s">
        <v>8635</v>
      </c>
    </row>
    <row r="1955" spans="1:1" x14ac:dyDescent="0.35">
      <c r="A1955" t="s">
        <v>8639</v>
      </c>
    </row>
    <row r="1956" spans="1:1" x14ac:dyDescent="0.35">
      <c r="A1956" t="s">
        <v>8642</v>
      </c>
    </row>
    <row r="1957" spans="1:1" x14ac:dyDescent="0.35">
      <c r="A1957" t="s">
        <v>8645</v>
      </c>
    </row>
    <row r="1958" spans="1:1" x14ac:dyDescent="0.35">
      <c r="A1958" t="s">
        <v>8648</v>
      </c>
    </row>
    <row r="1959" spans="1:1" x14ac:dyDescent="0.35">
      <c r="A1959" t="s">
        <v>8610</v>
      </c>
    </row>
    <row r="1960" spans="1:1" x14ac:dyDescent="0.35">
      <c r="A1960" t="s">
        <v>8614</v>
      </c>
    </row>
    <row r="1961" spans="1:1" x14ac:dyDescent="0.35">
      <c r="A1961" t="s">
        <v>8617</v>
      </c>
    </row>
    <row r="1962" spans="1:1" x14ac:dyDescent="0.35">
      <c r="A1962" t="s">
        <v>8621</v>
      </c>
    </row>
    <row r="1963" spans="1:1" x14ac:dyDescent="0.35">
      <c r="A1963" t="s">
        <v>8624</v>
      </c>
    </row>
    <row r="1964" spans="1:1" x14ac:dyDescent="0.35">
      <c r="A1964" t="s">
        <v>8627</v>
      </c>
    </row>
    <row r="1965" spans="1:1" x14ac:dyDescent="0.35">
      <c r="A1965" t="s">
        <v>8631</v>
      </c>
    </row>
    <row r="1966" spans="1:1" x14ac:dyDescent="0.35">
      <c r="A1966" t="s">
        <v>8635</v>
      </c>
    </row>
    <row r="1967" spans="1:1" x14ac:dyDescent="0.35">
      <c r="A1967" t="s">
        <v>8639</v>
      </c>
    </row>
    <row r="1968" spans="1:1" x14ac:dyDescent="0.35">
      <c r="A1968" t="s">
        <v>8642</v>
      </c>
    </row>
    <row r="1969" spans="1:1" x14ac:dyDescent="0.35">
      <c r="A1969" t="s">
        <v>8645</v>
      </c>
    </row>
    <row r="1970" spans="1:1" x14ac:dyDescent="0.35">
      <c r="A1970" t="s">
        <v>8648</v>
      </c>
    </row>
    <row r="1971" spans="1:1" x14ac:dyDescent="0.35">
      <c r="A1971" t="s">
        <v>8610</v>
      </c>
    </row>
    <row r="1972" spans="1:1" x14ac:dyDescent="0.35">
      <c r="A1972" t="s">
        <v>8614</v>
      </c>
    </row>
    <row r="1973" spans="1:1" x14ac:dyDescent="0.35">
      <c r="A1973" t="s">
        <v>8617</v>
      </c>
    </row>
    <row r="1974" spans="1:1" x14ac:dyDescent="0.35">
      <c r="A1974" t="s">
        <v>8621</v>
      </c>
    </row>
    <row r="1975" spans="1:1" x14ac:dyDescent="0.35">
      <c r="A1975" t="s">
        <v>8624</v>
      </c>
    </row>
    <row r="1976" spans="1:1" x14ac:dyDescent="0.35">
      <c r="A1976" t="s">
        <v>8627</v>
      </c>
    </row>
    <row r="1977" spans="1:1" x14ac:dyDescent="0.35">
      <c r="A1977" t="s">
        <v>8631</v>
      </c>
    </row>
    <row r="1978" spans="1:1" x14ac:dyDescent="0.35">
      <c r="A1978" t="s">
        <v>8635</v>
      </c>
    </row>
    <row r="1979" spans="1:1" x14ac:dyDescent="0.35">
      <c r="A1979" t="s">
        <v>8639</v>
      </c>
    </row>
    <row r="1980" spans="1:1" x14ac:dyDescent="0.35">
      <c r="A1980" t="s">
        <v>8642</v>
      </c>
    </row>
    <row r="1981" spans="1:1" x14ac:dyDescent="0.35">
      <c r="A1981" t="s">
        <v>8645</v>
      </c>
    </row>
    <row r="1982" spans="1:1" x14ac:dyDescent="0.35">
      <c r="A1982" t="s">
        <v>8648</v>
      </c>
    </row>
    <row r="1983" spans="1:1" x14ac:dyDescent="0.35">
      <c r="A1983" t="s">
        <v>8610</v>
      </c>
    </row>
    <row r="1984" spans="1:1" x14ac:dyDescent="0.35">
      <c r="A1984" t="s">
        <v>8614</v>
      </c>
    </row>
    <row r="1985" spans="1:1" x14ac:dyDescent="0.35">
      <c r="A1985" t="s">
        <v>8617</v>
      </c>
    </row>
    <row r="1986" spans="1:1" x14ac:dyDescent="0.35">
      <c r="A1986" t="s">
        <v>8621</v>
      </c>
    </row>
    <row r="1987" spans="1:1" x14ac:dyDescent="0.35">
      <c r="A1987" t="s">
        <v>8624</v>
      </c>
    </row>
    <row r="1988" spans="1:1" x14ac:dyDescent="0.35">
      <c r="A1988" t="s">
        <v>8627</v>
      </c>
    </row>
    <row r="1989" spans="1:1" x14ac:dyDescent="0.35">
      <c r="A1989" t="s">
        <v>8631</v>
      </c>
    </row>
    <row r="1990" spans="1:1" x14ac:dyDescent="0.35">
      <c r="A1990" t="s">
        <v>8635</v>
      </c>
    </row>
    <row r="1991" spans="1:1" x14ac:dyDescent="0.35">
      <c r="A1991" t="s">
        <v>8639</v>
      </c>
    </row>
    <row r="1992" spans="1:1" x14ac:dyDescent="0.35">
      <c r="A1992" t="s">
        <v>8642</v>
      </c>
    </row>
    <row r="1993" spans="1:1" x14ac:dyDescent="0.35">
      <c r="A1993" t="s">
        <v>8645</v>
      </c>
    </row>
    <row r="1994" spans="1:1" x14ac:dyDescent="0.35">
      <c r="A1994" t="s">
        <v>8648</v>
      </c>
    </row>
    <row r="1995" spans="1:1" x14ac:dyDescent="0.35">
      <c r="A1995" t="s">
        <v>8610</v>
      </c>
    </row>
    <row r="1996" spans="1:1" x14ac:dyDescent="0.35">
      <c r="A1996" t="s">
        <v>8614</v>
      </c>
    </row>
    <row r="1997" spans="1:1" x14ac:dyDescent="0.35">
      <c r="A1997" t="s">
        <v>8617</v>
      </c>
    </row>
    <row r="1998" spans="1:1" x14ac:dyDescent="0.35">
      <c r="A1998" t="s">
        <v>8621</v>
      </c>
    </row>
    <row r="1999" spans="1:1" x14ac:dyDescent="0.35">
      <c r="A1999" t="s">
        <v>8624</v>
      </c>
    </row>
    <row r="2000" spans="1:1" x14ac:dyDescent="0.35">
      <c r="A2000" t="s">
        <v>8627</v>
      </c>
    </row>
    <row r="2001" spans="1:1" x14ac:dyDescent="0.35">
      <c r="A2001" t="s">
        <v>8631</v>
      </c>
    </row>
    <row r="2002" spans="1:1" x14ac:dyDescent="0.35">
      <c r="A2002" t="s">
        <v>8635</v>
      </c>
    </row>
    <row r="2003" spans="1:1" x14ac:dyDescent="0.35">
      <c r="A2003" t="s">
        <v>8639</v>
      </c>
    </row>
    <row r="2004" spans="1:1" x14ac:dyDescent="0.35">
      <c r="A2004" t="s">
        <v>8642</v>
      </c>
    </row>
    <row r="2005" spans="1:1" x14ac:dyDescent="0.35">
      <c r="A2005" t="s">
        <v>8645</v>
      </c>
    </row>
    <row r="2006" spans="1:1" x14ac:dyDescent="0.35">
      <c r="A2006" t="s">
        <v>8648</v>
      </c>
    </row>
    <row r="2007" spans="1:1" x14ac:dyDescent="0.35">
      <c r="A2007" t="s">
        <v>8610</v>
      </c>
    </row>
    <row r="2008" spans="1:1" x14ac:dyDescent="0.35">
      <c r="A2008" t="s">
        <v>8614</v>
      </c>
    </row>
    <row r="2009" spans="1:1" x14ac:dyDescent="0.35">
      <c r="A2009" t="s">
        <v>8617</v>
      </c>
    </row>
    <row r="2010" spans="1:1" x14ac:dyDescent="0.35">
      <c r="A2010" t="s">
        <v>8621</v>
      </c>
    </row>
    <row r="2011" spans="1:1" x14ac:dyDescent="0.35">
      <c r="A2011" t="s">
        <v>8624</v>
      </c>
    </row>
    <row r="2012" spans="1:1" x14ac:dyDescent="0.35">
      <c r="A2012" t="s">
        <v>8627</v>
      </c>
    </row>
    <row r="2013" spans="1:1" x14ac:dyDescent="0.35">
      <c r="A2013" t="s">
        <v>8631</v>
      </c>
    </row>
    <row r="2014" spans="1:1" x14ac:dyDescent="0.35">
      <c r="A2014" t="s">
        <v>8635</v>
      </c>
    </row>
    <row r="2015" spans="1:1" x14ac:dyDescent="0.35">
      <c r="A2015" t="s">
        <v>8639</v>
      </c>
    </row>
    <row r="2016" spans="1:1" x14ac:dyDescent="0.35">
      <c r="A2016" t="s">
        <v>8642</v>
      </c>
    </row>
    <row r="2017" spans="1:1" x14ac:dyDescent="0.35">
      <c r="A2017" t="s">
        <v>8645</v>
      </c>
    </row>
    <row r="2018" spans="1:1" x14ac:dyDescent="0.35">
      <c r="A2018" t="s">
        <v>8648</v>
      </c>
    </row>
    <row r="2019" spans="1:1" x14ac:dyDescent="0.35">
      <c r="A2019" t="s">
        <v>8610</v>
      </c>
    </row>
    <row r="2020" spans="1:1" x14ac:dyDescent="0.35">
      <c r="A2020" t="s">
        <v>8614</v>
      </c>
    </row>
    <row r="2021" spans="1:1" x14ac:dyDescent="0.35">
      <c r="A2021" t="s">
        <v>8617</v>
      </c>
    </row>
    <row r="2022" spans="1:1" x14ac:dyDescent="0.35">
      <c r="A2022" t="s">
        <v>8621</v>
      </c>
    </row>
    <row r="2023" spans="1:1" x14ac:dyDescent="0.35">
      <c r="A2023" t="s">
        <v>8624</v>
      </c>
    </row>
    <row r="2024" spans="1:1" x14ac:dyDescent="0.35">
      <c r="A2024" t="s">
        <v>8627</v>
      </c>
    </row>
    <row r="2025" spans="1:1" x14ac:dyDescent="0.35">
      <c r="A2025" t="s">
        <v>8631</v>
      </c>
    </row>
    <row r="2026" spans="1:1" x14ac:dyDescent="0.35">
      <c r="A2026" t="s">
        <v>8635</v>
      </c>
    </row>
    <row r="2027" spans="1:1" x14ac:dyDescent="0.35">
      <c r="A2027" t="s">
        <v>8639</v>
      </c>
    </row>
    <row r="2028" spans="1:1" x14ac:dyDescent="0.35">
      <c r="A2028" t="s">
        <v>8642</v>
      </c>
    </row>
    <row r="2029" spans="1:1" x14ac:dyDescent="0.35">
      <c r="A2029" t="s">
        <v>8645</v>
      </c>
    </row>
    <row r="2030" spans="1:1" x14ac:dyDescent="0.35">
      <c r="A2030" t="s">
        <v>8648</v>
      </c>
    </row>
    <row r="2031" spans="1:1" x14ac:dyDescent="0.35">
      <c r="A2031" t="s">
        <v>8610</v>
      </c>
    </row>
    <row r="2032" spans="1:1" x14ac:dyDescent="0.35">
      <c r="A2032" t="s">
        <v>8614</v>
      </c>
    </row>
    <row r="2033" spans="1:1" x14ac:dyDescent="0.35">
      <c r="A2033" t="s">
        <v>8617</v>
      </c>
    </row>
    <row r="2034" spans="1:1" x14ac:dyDescent="0.35">
      <c r="A2034" t="s">
        <v>8621</v>
      </c>
    </row>
    <row r="2035" spans="1:1" x14ac:dyDescent="0.35">
      <c r="A2035" t="s">
        <v>8624</v>
      </c>
    </row>
    <row r="2036" spans="1:1" x14ac:dyDescent="0.35">
      <c r="A2036" t="s">
        <v>8627</v>
      </c>
    </row>
    <row r="2037" spans="1:1" x14ac:dyDescent="0.35">
      <c r="A2037" t="s">
        <v>8631</v>
      </c>
    </row>
    <row r="2038" spans="1:1" x14ac:dyDescent="0.35">
      <c r="A2038" t="s">
        <v>8635</v>
      </c>
    </row>
    <row r="2039" spans="1:1" x14ac:dyDescent="0.35">
      <c r="A2039" t="s">
        <v>8639</v>
      </c>
    </row>
    <row r="2040" spans="1:1" x14ac:dyDescent="0.35">
      <c r="A2040" t="s">
        <v>8642</v>
      </c>
    </row>
    <row r="2041" spans="1:1" x14ac:dyDescent="0.35">
      <c r="A2041" t="s">
        <v>8645</v>
      </c>
    </row>
    <row r="2042" spans="1:1" x14ac:dyDescent="0.35">
      <c r="A2042" t="s">
        <v>8648</v>
      </c>
    </row>
    <row r="2043" spans="1:1" x14ac:dyDescent="0.35">
      <c r="A2043" t="s">
        <v>8610</v>
      </c>
    </row>
    <row r="2044" spans="1:1" x14ac:dyDescent="0.35">
      <c r="A2044" t="s">
        <v>8614</v>
      </c>
    </row>
    <row r="2045" spans="1:1" x14ac:dyDescent="0.35">
      <c r="A2045" t="s">
        <v>8617</v>
      </c>
    </row>
    <row r="2046" spans="1:1" x14ac:dyDescent="0.35">
      <c r="A2046" t="s">
        <v>8621</v>
      </c>
    </row>
    <row r="2047" spans="1:1" x14ac:dyDescent="0.35">
      <c r="A2047" t="s">
        <v>8624</v>
      </c>
    </row>
    <row r="2048" spans="1:1" x14ac:dyDescent="0.35">
      <c r="A2048" t="s">
        <v>8627</v>
      </c>
    </row>
    <row r="2049" spans="1:1" x14ac:dyDescent="0.35">
      <c r="A2049" t="s">
        <v>8631</v>
      </c>
    </row>
    <row r="2050" spans="1:1" x14ac:dyDescent="0.35">
      <c r="A2050" t="s">
        <v>8635</v>
      </c>
    </row>
    <row r="2051" spans="1:1" x14ac:dyDescent="0.35">
      <c r="A2051" t="s">
        <v>8639</v>
      </c>
    </row>
    <row r="2052" spans="1:1" x14ac:dyDescent="0.35">
      <c r="A2052" t="s">
        <v>8642</v>
      </c>
    </row>
    <row r="2053" spans="1:1" x14ac:dyDescent="0.35">
      <c r="A2053" t="s">
        <v>8645</v>
      </c>
    </row>
    <row r="2054" spans="1:1" x14ac:dyDescent="0.35">
      <c r="A2054" t="s">
        <v>8648</v>
      </c>
    </row>
    <row r="2055" spans="1:1" x14ac:dyDescent="0.35">
      <c r="A2055" t="s">
        <v>8610</v>
      </c>
    </row>
    <row r="2056" spans="1:1" x14ac:dyDescent="0.35">
      <c r="A2056" t="s">
        <v>8614</v>
      </c>
    </row>
    <row r="2057" spans="1:1" x14ac:dyDescent="0.35">
      <c r="A2057" t="s">
        <v>8617</v>
      </c>
    </row>
    <row r="2058" spans="1:1" x14ac:dyDescent="0.35">
      <c r="A2058" t="s">
        <v>8621</v>
      </c>
    </row>
    <row r="2059" spans="1:1" x14ac:dyDescent="0.35">
      <c r="A2059" t="s">
        <v>8624</v>
      </c>
    </row>
    <row r="2060" spans="1:1" x14ac:dyDescent="0.35">
      <c r="A2060" t="s">
        <v>8627</v>
      </c>
    </row>
    <row r="2061" spans="1:1" x14ac:dyDescent="0.35">
      <c r="A2061" t="s">
        <v>8631</v>
      </c>
    </row>
    <row r="2062" spans="1:1" x14ac:dyDescent="0.35">
      <c r="A2062" t="s">
        <v>8635</v>
      </c>
    </row>
    <row r="2063" spans="1:1" x14ac:dyDescent="0.35">
      <c r="A2063" t="s">
        <v>8639</v>
      </c>
    </row>
    <row r="2064" spans="1:1" x14ac:dyDescent="0.35">
      <c r="A2064" t="s">
        <v>8642</v>
      </c>
    </row>
    <row r="2065" spans="1:1" x14ac:dyDescent="0.35">
      <c r="A2065" t="s">
        <v>8645</v>
      </c>
    </row>
    <row r="2066" spans="1:1" x14ac:dyDescent="0.35">
      <c r="A2066" t="s">
        <v>8648</v>
      </c>
    </row>
    <row r="2067" spans="1:1" x14ac:dyDescent="0.35">
      <c r="A2067" t="s">
        <v>8610</v>
      </c>
    </row>
    <row r="2068" spans="1:1" x14ac:dyDescent="0.35">
      <c r="A2068" t="s">
        <v>8614</v>
      </c>
    </row>
    <row r="2069" spans="1:1" x14ac:dyDescent="0.35">
      <c r="A2069" t="s">
        <v>8617</v>
      </c>
    </row>
    <row r="2070" spans="1:1" x14ac:dyDescent="0.35">
      <c r="A2070" t="s">
        <v>8621</v>
      </c>
    </row>
    <row r="2071" spans="1:1" x14ac:dyDescent="0.35">
      <c r="A2071" t="s">
        <v>8624</v>
      </c>
    </row>
    <row r="2072" spans="1:1" x14ac:dyDescent="0.35">
      <c r="A2072" t="s">
        <v>8627</v>
      </c>
    </row>
    <row r="2073" spans="1:1" x14ac:dyDescent="0.35">
      <c r="A2073" t="s">
        <v>8631</v>
      </c>
    </row>
    <row r="2074" spans="1:1" x14ac:dyDescent="0.35">
      <c r="A2074" t="s">
        <v>8635</v>
      </c>
    </row>
    <row r="2075" spans="1:1" x14ac:dyDescent="0.35">
      <c r="A2075" t="s">
        <v>8639</v>
      </c>
    </row>
    <row r="2076" spans="1:1" x14ac:dyDescent="0.35">
      <c r="A2076" t="s">
        <v>8642</v>
      </c>
    </row>
    <row r="2077" spans="1:1" x14ac:dyDescent="0.35">
      <c r="A2077" t="s">
        <v>8645</v>
      </c>
    </row>
    <row r="2078" spans="1:1" x14ac:dyDescent="0.35">
      <c r="A2078" t="s">
        <v>8648</v>
      </c>
    </row>
    <row r="2079" spans="1:1" x14ac:dyDescent="0.35">
      <c r="A2079" t="s">
        <v>8610</v>
      </c>
    </row>
    <row r="2080" spans="1:1" x14ac:dyDescent="0.35">
      <c r="A2080" t="s">
        <v>8614</v>
      </c>
    </row>
    <row r="2081" spans="1:1" x14ac:dyDescent="0.35">
      <c r="A2081" t="s">
        <v>8617</v>
      </c>
    </row>
    <row r="2082" spans="1:1" x14ac:dyDescent="0.35">
      <c r="A2082" t="s">
        <v>8621</v>
      </c>
    </row>
    <row r="2083" spans="1:1" x14ac:dyDescent="0.35">
      <c r="A2083" t="s">
        <v>8624</v>
      </c>
    </row>
    <row r="2084" spans="1:1" x14ac:dyDescent="0.35">
      <c r="A2084" t="s">
        <v>8627</v>
      </c>
    </row>
    <row r="2085" spans="1:1" x14ac:dyDescent="0.35">
      <c r="A2085" t="s">
        <v>8631</v>
      </c>
    </row>
    <row r="2086" spans="1:1" x14ac:dyDescent="0.35">
      <c r="A2086" t="s">
        <v>8635</v>
      </c>
    </row>
    <row r="2087" spans="1:1" x14ac:dyDescent="0.35">
      <c r="A2087" t="s">
        <v>8639</v>
      </c>
    </row>
    <row r="2088" spans="1:1" x14ac:dyDescent="0.35">
      <c r="A2088" t="s">
        <v>8642</v>
      </c>
    </row>
    <row r="2089" spans="1:1" x14ac:dyDescent="0.35">
      <c r="A2089" t="s">
        <v>8645</v>
      </c>
    </row>
    <row r="2090" spans="1:1" x14ac:dyDescent="0.35">
      <c r="A2090" t="s">
        <v>8648</v>
      </c>
    </row>
    <row r="2091" spans="1:1" x14ac:dyDescent="0.35">
      <c r="A2091" t="s">
        <v>8610</v>
      </c>
    </row>
    <row r="2092" spans="1:1" x14ac:dyDescent="0.35">
      <c r="A2092" t="s">
        <v>8614</v>
      </c>
    </row>
    <row r="2093" spans="1:1" x14ac:dyDescent="0.35">
      <c r="A2093" t="s">
        <v>8617</v>
      </c>
    </row>
    <row r="2094" spans="1:1" x14ac:dyDescent="0.35">
      <c r="A2094" t="s">
        <v>8621</v>
      </c>
    </row>
    <row r="2095" spans="1:1" x14ac:dyDescent="0.35">
      <c r="A2095" t="s">
        <v>8624</v>
      </c>
    </row>
    <row r="2096" spans="1:1" x14ac:dyDescent="0.35">
      <c r="A2096" t="s">
        <v>8627</v>
      </c>
    </row>
    <row r="2097" spans="1:1" x14ac:dyDescent="0.35">
      <c r="A2097" t="s">
        <v>8631</v>
      </c>
    </row>
    <row r="2098" spans="1:1" x14ac:dyDescent="0.35">
      <c r="A2098" t="s">
        <v>8635</v>
      </c>
    </row>
    <row r="2099" spans="1:1" x14ac:dyDescent="0.35">
      <c r="A2099" t="s">
        <v>8639</v>
      </c>
    </row>
    <row r="2100" spans="1:1" x14ac:dyDescent="0.35">
      <c r="A2100" t="s">
        <v>8642</v>
      </c>
    </row>
    <row r="2101" spans="1:1" x14ac:dyDescent="0.35">
      <c r="A2101" t="s">
        <v>8645</v>
      </c>
    </row>
    <row r="2102" spans="1:1" x14ac:dyDescent="0.35">
      <c r="A2102" t="s">
        <v>8648</v>
      </c>
    </row>
    <row r="2103" spans="1:1" x14ac:dyDescent="0.35">
      <c r="A2103" t="s">
        <v>8610</v>
      </c>
    </row>
    <row r="2104" spans="1:1" x14ac:dyDescent="0.35">
      <c r="A2104" t="s">
        <v>8614</v>
      </c>
    </row>
    <row r="2105" spans="1:1" x14ac:dyDescent="0.35">
      <c r="A2105" t="s">
        <v>8617</v>
      </c>
    </row>
    <row r="2106" spans="1:1" x14ac:dyDescent="0.35">
      <c r="A2106" t="s">
        <v>8621</v>
      </c>
    </row>
    <row r="2107" spans="1:1" x14ac:dyDescent="0.35">
      <c r="A2107" t="s">
        <v>8624</v>
      </c>
    </row>
    <row r="2108" spans="1:1" x14ac:dyDescent="0.35">
      <c r="A2108" t="s">
        <v>8627</v>
      </c>
    </row>
    <row r="2109" spans="1:1" x14ac:dyDescent="0.35">
      <c r="A2109" t="s">
        <v>8631</v>
      </c>
    </row>
    <row r="2110" spans="1:1" x14ac:dyDescent="0.35">
      <c r="A2110" t="s">
        <v>8635</v>
      </c>
    </row>
    <row r="2111" spans="1:1" x14ac:dyDescent="0.35">
      <c r="A2111" t="s">
        <v>8639</v>
      </c>
    </row>
    <row r="2112" spans="1:1" x14ac:dyDescent="0.35">
      <c r="A2112" t="s">
        <v>8642</v>
      </c>
    </row>
    <row r="2113" spans="1:1" x14ac:dyDescent="0.35">
      <c r="A2113" t="s">
        <v>8645</v>
      </c>
    </row>
    <row r="2114" spans="1:1" x14ac:dyDescent="0.35">
      <c r="A2114" t="s">
        <v>8648</v>
      </c>
    </row>
    <row r="2115" spans="1:1" x14ac:dyDescent="0.35">
      <c r="A2115" t="s">
        <v>8610</v>
      </c>
    </row>
    <row r="2116" spans="1:1" x14ac:dyDescent="0.35">
      <c r="A2116" t="s">
        <v>8614</v>
      </c>
    </row>
    <row r="2117" spans="1:1" x14ac:dyDescent="0.35">
      <c r="A2117" t="s">
        <v>8617</v>
      </c>
    </row>
    <row r="2118" spans="1:1" x14ac:dyDescent="0.35">
      <c r="A2118" t="s">
        <v>8621</v>
      </c>
    </row>
    <row r="2119" spans="1:1" x14ac:dyDescent="0.35">
      <c r="A2119" t="s">
        <v>8624</v>
      </c>
    </row>
    <row r="2120" spans="1:1" x14ac:dyDescent="0.35">
      <c r="A2120" t="s">
        <v>8627</v>
      </c>
    </row>
    <row r="2121" spans="1:1" x14ac:dyDescent="0.35">
      <c r="A2121" t="s">
        <v>8631</v>
      </c>
    </row>
    <row r="2122" spans="1:1" x14ac:dyDescent="0.35">
      <c r="A2122" t="s">
        <v>8635</v>
      </c>
    </row>
    <row r="2123" spans="1:1" x14ac:dyDescent="0.35">
      <c r="A2123" t="s">
        <v>8639</v>
      </c>
    </row>
    <row r="2124" spans="1:1" x14ac:dyDescent="0.35">
      <c r="A2124" t="s">
        <v>8642</v>
      </c>
    </row>
    <row r="2125" spans="1:1" x14ac:dyDescent="0.35">
      <c r="A2125" t="s">
        <v>8645</v>
      </c>
    </row>
    <row r="2126" spans="1:1" x14ac:dyDescent="0.35">
      <c r="A2126" t="s">
        <v>8648</v>
      </c>
    </row>
    <row r="2127" spans="1:1" x14ac:dyDescent="0.35">
      <c r="A2127" t="s">
        <v>8610</v>
      </c>
    </row>
    <row r="2128" spans="1:1" x14ac:dyDescent="0.35">
      <c r="A2128" t="s">
        <v>8614</v>
      </c>
    </row>
    <row r="2129" spans="1:1" x14ac:dyDescent="0.35">
      <c r="A2129" t="s">
        <v>8617</v>
      </c>
    </row>
    <row r="2130" spans="1:1" x14ac:dyDescent="0.35">
      <c r="A2130" t="s">
        <v>8621</v>
      </c>
    </row>
    <row r="2131" spans="1:1" x14ac:dyDescent="0.35">
      <c r="A2131" t="s">
        <v>8624</v>
      </c>
    </row>
    <row r="2132" spans="1:1" x14ac:dyDescent="0.35">
      <c r="A2132" t="s">
        <v>8627</v>
      </c>
    </row>
    <row r="2133" spans="1:1" x14ac:dyDescent="0.35">
      <c r="A2133" t="s">
        <v>8631</v>
      </c>
    </row>
    <row r="2134" spans="1:1" x14ac:dyDescent="0.35">
      <c r="A2134" t="s">
        <v>8635</v>
      </c>
    </row>
    <row r="2135" spans="1:1" x14ac:dyDescent="0.35">
      <c r="A2135" t="s">
        <v>8639</v>
      </c>
    </row>
    <row r="2136" spans="1:1" x14ac:dyDescent="0.35">
      <c r="A2136" t="s">
        <v>8642</v>
      </c>
    </row>
    <row r="2137" spans="1:1" x14ac:dyDescent="0.35">
      <c r="A2137" t="s">
        <v>8645</v>
      </c>
    </row>
    <row r="2138" spans="1:1" x14ac:dyDescent="0.35">
      <c r="A2138" t="s">
        <v>8648</v>
      </c>
    </row>
    <row r="2139" spans="1:1" x14ac:dyDescent="0.35">
      <c r="A2139" t="s">
        <v>8610</v>
      </c>
    </row>
    <row r="2140" spans="1:1" x14ac:dyDescent="0.35">
      <c r="A2140" t="s">
        <v>8614</v>
      </c>
    </row>
    <row r="2141" spans="1:1" x14ac:dyDescent="0.35">
      <c r="A2141" t="s">
        <v>8617</v>
      </c>
    </row>
    <row r="2142" spans="1:1" x14ac:dyDescent="0.35">
      <c r="A2142" t="s">
        <v>8621</v>
      </c>
    </row>
    <row r="2143" spans="1:1" x14ac:dyDescent="0.35">
      <c r="A2143" t="s">
        <v>8624</v>
      </c>
    </row>
    <row r="2144" spans="1:1" x14ac:dyDescent="0.35">
      <c r="A2144" t="s">
        <v>8627</v>
      </c>
    </row>
    <row r="2145" spans="1:1" x14ac:dyDescent="0.35">
      <c r="A2145" t="s">
        <v>8631</v>
      </c>
    </row>
    <row r="2146" spans="1:1" x14ac:dyDescent="0.35">
      <c r="A2146" t="s">
        <v>8635</v>
      </c>
    </row>
    <row r="2147" spans="1:1" x14ac:dyDescent="0.35">
      <c r="A2147" t="s">
        <v>8639</v>
      </c>
    </row>
    <row r="2148" spans="1:1" x14ac:dyDescent="0.35">
      <c r="A2148" t="s">
        <v>8642</v>
      </c>
    </row>
    <row r="2149" spans="1:1" x14ac:dyDescent="0.35">
      <c r="A2149" t="s">
        <v>8645</v>
      </c>
    </row>
    <row r="2150" spans="1:1" x14ac:dyDescent="0.35">
      <c r="A2150" t="s">
        <v>8648</v>
      </c>
    </row>
    <row r="2151" spans="1:1" x14ac:dyDescent="0.35">
      <c r="A2151" t="s">
        <v>8610</v>
      </c>
    </row>
    <row r="2152" spans="1:1" x14ac:dyDescent="0.35">
      <c r="A2152" t="s">
        <v>8614</v>
      </c>
    </row>
    <row r="2153" spans="1:1" x14ac:dyDescent="0.35">
      <c r="A2153" t="s">
        <v>8617</v>
      </c>
    </row>
    <row r="2154" spans="1:1" x14ac:dyDescent="0.35">
      <c r="A2154" t="s">
        <v>8621</v>
      </c>
    </row>
    <row r="2155" spans="1:1" x14ac:dyDescent="0.35">
      <c r="A2155" t="s">
        <v>8624</v>
      </c>
    </row>
    <row r="2156" spans="1:1" x14ac:dyDescent="0.35">
      <c r="A2156" t="s">
        <v>8627</v>
      </c>
    </row>
    <row r="2157" spans="1:1" x14ac:dyDescent="0.35">
      <c r="A2157" t="s">
        <v>8631</v>
      </c>
    </row>
    <row r="2158" spans="1:1" x14ac:dyDescent="0.35">
      <c r="A2158" t="s">
        <v>8635</v>
      </c>
    </row>
    <row r="2159" spans="1:1" x14ac:dyDescent="0.35">
      <c r="A2159" t="s">
        <v>8639</v>
      </c>
    </row>
    <row r="2160" spans="1:1" x14ac:dyDescent="0.35">
      <c r="A2160" t="s">
        <v>8642</v>
      </c>
    </row>
    <row r="2161" spans="1:1" x14ac:dyDescent="0.35">
      <c r="A2161" t="s">
        <v>8645</v>
      </c>
    </row>
    <row r="2162" spans="1:1" x14ac:dyDescent="0.35">
      <c r="A2162" t="s">
        <v>8648</v>
      </c>
    </row>
    <row r="2163" spans="1:1" x14ac:dyDescent="0.35">
      <c r="A2163" t="s">
        <v>8610</v>
      </c>
    </row>
    <row r="2164" spans="1:1" x14ac:dyDescent="0.35">
      <c r="A2164" t="s">
        <v>8614</v>
      </c>
    </row>
    <row r="2165" spans="1:1" x14ac:dyDescent="0.35">
      <c r="A2165" t="s">
        <v>8617</v>
      </c>
    </row>
    <row r="2166" spans="1:1" x14ac:dyDescent="0.35">
      <c r="A2166" t="s">
        <v>8621</v>
      </c>
    </row>
    <row r="2167" spans="1:1" x14ac:dyDescent="0.35">
      <c r="A2167" t="s">
        <v>8624</v>
      </c>
    </row>
    <row r="2168" spans="1:1" x14ac:dyDescent="0.35">
      <c r="A2168" t="s">
        <v>8627</v>
      </c>
    </row>
    <row r="2169" spans="1:1" x14ac:dyDescent="0.35">
      <c r="A2169" t="s">
        <v>8631</v>
      </c>
    </row>
    <row r="2170" spans="1:1" x14ac:dyDescent="0.35">
      <c r="A2170" t="s">
        <v>8635</v>
      </c>
    </row>
    <row r="2171" spans="1:1" x14ac:dyDescent="0.35">
      <c r="A2171" t="s">
        <v>8639</v>
      </c>
    </row>
    <row r="2172" spans="1:1" x14ac:dyDescent="0.35">
      <c r="A2172" t="s">
        <v>8642</v>
      </c>
    </row>
    <row r="2173" spans="1:1" x14ac:dyDescent="0.35">
      <c r="A2173" t="s">
        <v>8645</v>
      </c>
    </row>
    <row r="2174" spans="1:1" x14ac:dyDescent="0.35">
      <c r="A2174" t="s">
        <v>8648</v>
      </c>
    </row>
    <row r="2175" spans="1:1" x14ac:dyDescent="0.35">
      <c r="A2175" t="s">
        <v>8610</v>
      </c>
    </row>
    <row r="2176" spans="1:1" x14ac:dyDescent="0.35">
      <c r="A2176" t="s">
        <v>8614</v>
      </c>
    </row>
    <row r="2177" spans="1:1" x14ac:dyDescent="0.35">
      <c r="A2177" t="s">
        <v>8617</v>
      </c>
    </row>
    <row r="2178" spans="1:1" x14ac:dyDescent="0.35">
      <c r="A2178" t="s">
        <v>8621</v>
      </c>
    </row>
    <row r="2179" spans="1:1" x14ac:dyDescent="0.35">
      <c r="A2179" t="s">
        <v>8624</v>
      </c>
    </row>
    <row r="2180" spans="1:1" x14ac:dyDescent="0.35">
      <c r="A2180" t="s">
        <v>8627</v>
      </c>
    </row>
    <row r="2181" spans="1:1" x14ac:dyDescent="0.35">
      <c r="A2181" t="s">
        <v>8631</v>
      </c>
    </row>
    <row r="2182" spans="1:1" x14ac:dyDescent="0.35">
      <c r="A2182" t="s">
        <v>8635</v>
      </c>
    </row>
    <row r="2183" spans="1:1" x14ac:dyDescent="0.35">
      <c r="A2183" t="s">
        <v>8639</v>
      </c>
    </row>
    <row r="2184" spans="1:1" x14ac:dyDescent="0.35">
      <c r="A2184" t="s">
        <v>8642</v>
      </c>
    </row>
    <row r="2185" spans="1:1" x14ac:dyDescent="0.35">
      <c r="A2185" t="s">
        <v>8645</v>
      </c>
    </row>
    <row r="2186" spans="1:1" x14ac:dyDescent="0.35">
      <c r="A2186" t="s">
        <v>8648</v>
      </c>
    </row>
    <row r="2187" spans="1:1" x14ac:dyDescent="0.35">
      <c r="A2187" t="s">
        <v>8610</v>
      </c>
    </row>
    <row r="2188" spans="1:1" x14ac:dyDescent="0.35">
      <c r="A2188" t="s">
        <v>8614</v>
      </c>
    </row>
    <row r="2189" spans="1:1" x14ac:dyDescent="0.35">
      <c r="A2189" t="s">
        <v>8617</v>
      </c>
    </row>
    <row r="2190" spans="1:1" x14ac:dyDescent="0.35">
      <c r="A2190" t="s">
        <v>8621</v>
      </c>
    </row>
    <row r="2191" spans="1:1" x14ac:dyDescent="0.35">
      <c r="A2191" t="s">
        <v>8624</v>
      </c>
    </row>
    <row r="2192" spans="1:1" x14ac:dyDescent="0.35">
      <c r="A2192" t="s">
        <v>8627</v>
      </c>
    </row>
    <row r="2193" spans="1:1" x14ac:dyDescent="0.35">
      <c r="A2193" t="s">
        <v>8631</v>
      </c>
    </row>
    <row r="2194" spans="1:1" x14ac:dyDescent="0.35">
      <c r="A2194" t="s">
        <v>8635</v>
      </c>
    </row>
    <row r="2195" spans="1:1" x14ac:dyDescent="0.35">
      <c r="A2195" t="s">
        <v>8639</v>
      </c>
    </row>
    <row r="2196" spans="1:1" x14ac:dyDescent="0.35">
      <c r="A2196" t="s">
        <v>8642</v>
      </c>
    </row>
    <row r="2197" spans="1:1" x14ac:dyDescent="0.35">
      <c r="A2197" t="s">
        <v>8645</v>
      </c>
    </row>
    <row r="2198" spans="1:1" x14ac:dyDescent="0.35">
      <c r="A2198" t="s">
        <v>8648</v>
      </c>
    </row>
    <row r="2199" spans="1:1" x14ac:dyDescent="0.35">
      <c r="A2199" t="s">
        <v>8610</v>
      </c>
    </row>
    <row r="2200" spans="1:1" x14ac:dyDescent="0.35">
      <c r="A2200" t="s">
        <v>8614</v>
      </c>
    </row>
    <row r="2201" spans="1:1" x14ac:dyDescent="0.35">
      <c r="A2201" t="s">
        <v>8617</v>
      </c>
    </row>
    <row r="2202" spans="1:1" x14ac:dyDescent="0.35">
      <c r="A2202" t="s">
        <v>8621</v>
      </c>
    </row>
    <row r="2203" spans="1:1" x14ac:dyDescent="0.35">
      <c r="A2203" t="s">
        <v>8624</v>
      </c>
    </row>
    <row r="2204" spans="1:1" x14ac:dyDescent="0.35">
      <c r="A2204" t="s">
        <v>8627</v>
      </c>
    </row>
    <row r="2205" spans="1:1" x14ac:dyDescent="0.35">
      <c r="A2205" t="s">
        <v>8631</v>
      </c>
    </row>
    <row r="2206" spans="1:1" x14ac:dyDescent="0.35">
      <c r="A2206" t="s">
        <v>8635</v>
      </c>
    </row>
    <row r="2207" spans="1:1" x14ac:dyDescent="0.35">
      <c r="A2207" t="s">
        <v>8639</v>
      </c>
    </row>
    <row r="2208" spans="1:1" x14ac:dyDescent="0.35">
      <c r="A2208" t="s">
        <v>8642</v>
      </c>
    </row>
    <row r="2209" spans="1:1" x14ac:dyDescent="0.35">
      <c r="A2209" t="s">
        <v>8645</v>
      </c>
    </row>
    <row r="2210" spans="1:1" x14ac:dyDescent="0.35">
      <c r="A2210" t="s">
        <v>8648</v>
      </c>
    </row>
    <row r="2211" spans="1:1" x14ac:dyDescent="0.35">
      <c r="A2211" t="s">
        <v>8610</v>
      </c>
    </row>
    <row r="2212" spans="1:1" x14ac:dyDescent="0.35">
      <c r="A2212" t="s">
        <v>8614</v>
      </c>
    </row>
    <row r="2213" spans="1:1" x14ac:dyDescent="0.35">
      <c r="A2213" t="s">
        <v>8617</v>
      </c>
    </row>
    <row r="2214" spans="1:1" x14ac:dyDescent="0.35">
      <c r="A2214" t="s">
        <v>8621</v>
      </c>
    </row>
    <row r="2215" spans="1:1" x14ac:dyDescent="0.35">
      <c r="A2215" t="s">
        <v>8624</v>
      </c>
    </row>
    <row r="2216" spans="1:1" x14ac:dyDescent="0.35">
      <c r="A2216" t="s">
        <v>8627</v>
      </c>
    </row>
    <row r="2217" spans="1:1" x14ac:dyDescent="0.35">
      <c r="A2217" t="s">
        <v>8631</v>
      </c>
    </row>
    <row r="2218" spans="1:1" x14ac:dyDescent="0.35">
      <c r="A2218" t="s">
        <v>8635</v>
      </c>
    </row>
    <row r="2219" spans="1:1" x14ac:dyDescent="0.35">
      <c r="A2219" t="s">
        <v>8639</v>
      </c>
    </row>
    <row r="2220" spans="1:1" x14ac:dyDescent="0.35">
      <c r="A2220" t="s">
        <v>8642</v>
      </c>
    </row>
    <row r="2221" spans="1:1" x14ac:dyDescent="0.35">
      <c r="A2221" t="s">
        <v>8645</v>
      </c>
    </row>
    <row r="2222" spans="1:1" x14ac:dyDescent="0.35">
      <c r="A2222" t="s">
        <v>8648</v>
      </c>
    </row>
    <row r="2223" spans="1:1" x14ac:dyDescent="0.35">
      <c r="A2223" t="s">
        <v>8610</v>
      </c>
    </row>
    <row r="2224" spans="1:1" x14ac:dyDescent="0.35">
      <c r="A2224" t="s">
        <v>8614</v>
      </c>
    </row>
    <row r="2225" spans="1:1" x14ac:dyDescent="0.35">
      <c r="A2225" t="s">
        <v>8617</v>
      </c>
    </row>
    <row r="2226" spans="1:1" x14ac:dyDescent="0.35">
      <c r="A2226" t="s">
        <v>8621</v>
      </c>
    </row>
    <row r="2227" spans="1:1" x14ac:dyDescent="0.35">
      <c r="A2227" t="s">
        <v>8624</v>
      </c>
    </row>
    <row r="2228" spans="1:1" x14ac:dyDescent="0.35">
      <c r="A2228" t="s">
        <v>8627</v>
      </c>
    </row>
    <row r="2229" spans="1:1" x14ac:dyDescent="0.35">
      <c r="A2229" t="s">
        <v>8631</v>
      </c>
    </row>
    <row r="2230" spans="1:1" x14ac:dyDescent="0.35">
      <c r="A2230" t="s">
        <v>8635</v>
      </c>
    </row>
    <row r="2231" spans="1:1" x14ac:dyDescent="0.35">
      <c r="A2231" t="s">
        <v>8639</v>
      </c>
    </row>
    <row r="2232" spans="1:1" x14ac:dyDescent="0.35">
      <c r="A2232" t="s">
        <v>8642</v>
      </c>
    </row>
    <row r="2233" spans="1:1" x14ac:dyDescent="0.35">
      <c r="A2233" t="s">
        <v>8645</v>
      </c>
    </row>
    <row r="2234" spans="1:1" x14ac:dyDescent="0.35">
      <c r="A2234" t="s">
        <v>8648</v>
      </c>
    </row>
    <row r="2235" spans="1:1" x14ac:dyDescent="0.35">
      <c r="A2235" t="s">
        <v>8610</v>
      </c>
    </row>
    <row r="2236" spans="1:1" x14ac:dyDescent="0.35">
      <c r="A2236" t="s">
        <v>8614</v>
      </c>
    </row>
    <row r="2237" spans="1:1" x14ac:dyDescent="0.35">
      <c r="A2237" t="s">
        <v>8617</v>
      </c>
    </row>
    <row r="2238" spans="1:1" x14ac:dyDescent="0.35">
      <c r="A2238" t="s">
        <v>8621</v>
      </c>
    </row>
    <row r="2239" spans="1:1" x14ac:dyDescent="0.35">
      <c r="A2239" t="s">
        <v>8624</v>
      </c>
    </row>
    <row r="2240" spans="1:1" x14ac:dyDescent="0.35">
      <c r="A2240" t="s">
        <v>8627</v>
      </c>
    </row>
    <row r="2241" spans="1:1" x14ac:dyDescent="0.35">
      <c r="A2241" t="s">
        <v>8631</v>
      </c>
    </row>
    <row r="2242" spans="1:1" x14ac:dyDescent="0.35">
      <c r="A2242" t="s">
        <v>8635</v>
      </c>
    </row>
    <row r="2243" spans="1:1" x14ac:dyDescent="0.35">
      <c r="A2243" t="s">
        <v>8639</v>
      </c>
    </row>
    <row r="2244" spans="1:1" x14ac:dyDescent="0.35">
      <c r="A2244" t="s">
        <v>8642</v>
      </c>
    </row>
    <row r="2245" spans="1:1" x14ac:dyDescent="0.35">
      <c r="A2245" t="s">
        <v>8645</v>
      </c>
    </row>
    <row r="2246" spans="1:1" x14ac:dyDescent="0.35">
      <c r="A2246" t="s">
        <v>8648</v>
      </c>
    </row>
    <row r="2247" spans="1:1" x14ac:dyDescent="0.35">
      <c r="A2247" t="s">
        <v>8610</v>
      </c>
    </row>
    <row r="2248" spans="1:1" x14ac:dyDescent="0.35">
      <c r="A2248" t="s">
        <v>8614</v>
      </c>
    </row>
    <row r="2249" spans="1:1" x14ac:dyDescent="0.35">
      <c r="A2249" t="s">
        <v>8617</v>
      </c>
    </row>
    <row r="2250" spans="1:1" x14ac:dyDescent="0.35">
      <c r="A2250" t="s">
        <v>8621</v>
      </c>
    </row>
    <row r="2251" spans="1:1" x14ac:dyDescent="0.35">
      <c r="A2251" t="s">
        <v>8624</v>
      </c>
    </row>
    <row r="2252" spans="1:1" x14ac:dyDescent="0.35">
      <c r="A2252" t="s">
        <v>8627</v>
      </c>
    </row>
    <row r="2253" spans="1:1" x14ac:dyDescent="0.35">
      <c r="A2253" t="s">
        <v>8631</v>
      </c>
    </row>
    <row r="2254" spans="1:1" x14ac:dyDescent="0.35">
      <c r="A2254" t="s">
        <v>8635</v>
      </c>
    </row>
    <row r="2255" spans="1:1" x14ac:dyDescent="0.35">
      <c r="A2255" t="s">
        <v>8639</v>
      </c>
    </row>
    <row r="2256" spans="1:1" x14ac:dyDescent="0.35">
      <c r="A2256" t="s">
        <v>8642</v>
      </c>
    </row>
    <row r="2257" spans="1:1" x14ac:dyDescent="0.35">
      <c r="A2257" t="s">
        <v>8645</v>
      </c>
    </row>
    <row r="2258" spans="1:1" x14ac:dyDescent="0.35">
      <c r="A2258" t="s">
        <v>8648</v>
      </c>
    </row>
    <row r="2259" spans="1:1" x14ac:dyDescent="0.35">
      <c r="A2259" t="s">
        <v>8610</v>
      </c>
    </row>
    <row r="2260" spans="1:1" x14ac:dyDescent="0.35">
      <c r="A2260" t="s">
        <v>8614</v>
      </c>
    </row>
    <row r="2261" spans="1:1" x14ac:dyDescent="0.35">
      <c r="A2261" t="s">
        <v>8617</v>
      </c>
    </row>
    <row r="2262" spans="1:1" x14ac:dyDescent="0.35">
      <c r="A2262" t="s">
        <v>8621</v>
      </c>
    </row>
    <row r="2263" spans="1:1" x14ac:dyDescent="0.35">
      <c r="A2263" t="s">
        <v>8624</v>
      </c>
    </row>
    <row r="2264" spans="1:1" x14ac:dyDescent="0.35">
      <c r="A2264" t="s">
        <v>8627</v>
      </c>
    </row>
    <row r="2265" spans="1:1" x14ac:dyDescent="0.35">
      <c r="A2265" t="s">
        <v>8631</v>
      </c>
    </row>
    <row r="2266" spans="1:1" x14ac:dyDescent="0.35">
      <c r="A2266" t="s">
        <v>8635</v>
      </c>
    </row>
    <row r="2267" spans="1:1" x14ac:dyDescent="0.35">
      <c r="A2267" t="s">
        <v>8639</v>
      </c>
    </row>
    <row r="2268" spans="1:1" x14ac:dyDescent="0.35">
      <c r="A2268" t="s">
        <v>8642</v>
      </c>
    </row>
    <row r="2269" spans="1:1" x14ac:dyDescent="0.35">
      <c r="A2269" t="s">
        <v>8645</v>
      </c>
    </row>
    <row r="2270" spans="1:1" x14ac:dyDescent="0.35">
      <c r="A2270" t="s">
        <v>8648</v>
      </c>
    </row>
    <row r="2271" spans="1:1" x14ac:dyDescent="0.35">
      <c r="A2271" t="s">
        <v>8610</v>
      </c>
    </row>
    <row r="2272" spans="1:1" x14ac:dyDescent="0.35">
      <c r="A2272" t="s">
        <v>8614</v>
      </c>
    </row>
    <row r="2273" spans="1:1" x14ac:dyDescent="0.35">
      <c r="A2273" t="s">
        <v>8617</v>
      </c>
    </row>
    <row r="2274" spans="1:1" x14ac:dyDescent="0.35">
      <c r="A2274" t="s">
        <v>8621</v>
      </c>
    </row>
    <row r="2275" spans="1:1" x14ac:dyDescent="0.35">
      <c r="A2275" t="s">
        <v>8624</v>
      </c>
    </row>
    <row r="2276" spans="1:1" x14ac:dyDescent="0.35">
      <c r="A2276" t="s">
        <v>8627</v>
      </c>
    </row>
    <row r="2277" spans="1:1" x14ac:dyDescent="0.35">
      <c r="A2277" t="s">
        <v>8631</v>
      </c>
    </row>
    <row r="2278" spans="1:1" x14ac:dyDescent="0.35">
      <c r="A2278" t="s">
        <v>8635</v>
      </c>
    </row>
    <row r="2279" spans="1:1" x14ac:dyDescent="0.35">
      <c r="A2279" t="s">
        <v>8639</v>
      </c>
    </row>
    <row r="2280" spans="1:1" x14ac:dyDescent="0.35">
      <c r="A2280" t="s">
        <v>8642</v>
      </c>
    </row>
    <row r="2281" spans="1:1" x14ac:dyDescent="0.35">
      <c r="A2281" t="s">
        <v>8645</v>
      </c>
    </row>
    <row r="2282" spans="1:1" x14ac:dyDescent="0.35">
      <c r="A2282" t="s">
        <v>8648</v>
      </c>
    </row>
    <row r="2283" spans="1:1" x14ac:dyDescent="0.35">
      <c r="A2283" t="s">
        <v>8610</v>
      </c>
    </row>
    <row r="2284" spans="1:1" x14ac:dyDescent="0.35">
      <c r="A2284" t="s">
        <v>8614</v>
      </c>
    </row>
    <row r="2285" spans="1:1" x14ac:dyDescent="0.35">
      <c r="A2285" t="s">
        <v>8617</v>
      </c>
    </row>
    <row r="2286" spans="1:1" x14ac:dyDescent="0.35">
      <c r="A2286" t="s">
        <v>8621</v>
      </c>
    </row>
    <row r="2287" spans="1:1" x14ac:dyDescent="0.35">
      <c r="A2287" t="s">
        <v>8624</v>
      </c>
    </row>
    <row r="2288" spans="1:1" x14ac:dyDescent="0.35">
      <c r="A2288" t="s">
        <v>8627</v>
      </c>
    </row>
    <row r="2289" spans="1:1" x14ac:dyDescent="0.35">
      <c r="A2289" t="s">
        <v>8631</v>
      </c>
    </row>
    <row r="2290" spans="1:1" x14ac:dyDescent="0.35">
      <c r="A2290" t="s">
        <v>8635</v>
      </c>
    </row>
    <row r="2291" spans="1:1" x14ac:dyDescent="0.35">
      <c r="A2291" t="s">
        <v>8639</v>
      </c>
    </row>
    <row r="2292" spans="1:1" x14ac:dyDescent="0.35">
      <c r="A2292" t="s">
        <v>8642</v>
      </c>
    </row>
    <row r="2293" spans="1:1" x14ac:dyDescent="0.35">
      <c r="A2293" t="s">
        <v>8645</v>
      </c>
    </row>
    <row r="2294" spans="1:1" x14ac:dyDescent="0.35">
      <c r="A2294" t="s">
        <v>8648</v>
      </c>
    </row>
    <row r="2295" spans="1:1" x14ac:dyDescent="0.35">
      <c r="A2295" t="s">
        <v>8610</v>
      </c>
    </row>
    <row r="2296" spans="1:1" x14ac:dyDescent="0.35">
      <c r="A2296" t="s">
        <v>8614</v>
      </c>
    </row>
    <row r="2297" spans="1:1" x14ac:dyDescent="0.35">
      <c r="A2297" t="s">
        <v>8617</v>
      </c>
    </row>
    <row r="2298" spans="1:1" x14ac:dyDescent="0.35">
      <c r="A2298" t="s">
        <v>8621</v>
      </c>
    </row>
    <row r="2299" spans="1:1" x14ac:dyDescent="0.35">
      <c r="A2299" t="s">
        <v>8624</v>
      </c>
    </row>
    <row r="2300" spans="1:1" x14ac:dyDescent="0.35">
      <c r="A2300" t="s">
        <v>8627</v>
      </c>
    </row>
    <row r="2301" spans="1:1" x14ac:dyDescent="0.35">
      <c r="A2301" t="s">
        <v>8631</v>
      </c>
    </row>
    <row r="2302" spans="1:1" x14ac:dyDescent="0.35">
      <c r="A2302" t="s">
        <v>8635</v>
      </c>
    </row>
    <row r="2303" spans="1:1" x14ac:dyDescent="0.35">
      <c r="A2303" t="s">
        <v>8639</v>
      </c>
    </row>
    <row r="2304" spans="1:1" x14ac:dyDescent="0.35">
      <c r="A2304" t="s">
        <v>8642</v>
      </c>
    </row>
    <row r="2305" spans="1:1" x14ac:dyDescent="0.35">
      <c r="A2305" t="s">
        <v>8645</v>
      </c>
    </row>
    <row r="2306" spans="1:1" x14ac:dyDescent="0.35">
      <c r="A2306" t="s">
        <v>8648</v>
      </c>
    </row>
    <row r="2307" spans="1:1" x14ac:dyDescent="0.35">
      <c r="A2307" t="s">
        <v>8610</v>
      </c>
    </row>
    <row r="2308" spans="1:1" x14ac:dyDescent="0.35">
      <c r="A2308" t="s">
        <v>8614</v>
      </c>
    </row>
    <row r="2309" spans="1:1" x14ac:dyDescent="0.35">
      <c r="A2309" t="s">
        <v>8617</v>
      </c>
    </row>
    <row r="2310" spans="1:1" x14ac:dyDescent="0.35">
      <c r="A2310" t="s">
        <v>8621</v>
      </c>
    </row>
    <row r="2311" spans="1:1" x14ac:dyDescent="0.35">
      <c r="A2311" t="s">
        <v>8624</v>
      </c>
    </row>
    <row r="2312" spans="1:1" x14ac:dyDescent="0.35">
      <c r="A2312" t="s">
        <v>8627</v>
      </c>
    </row>
    <row r="2313" spans="1:1" x14ac:dyDescent="0.35">
      <c r="A2313" t="s">
        <v>8631</v>
      </c>
    </row>
    <row r="2314" spans="1:1" x14ac:dyDescent="0.35">
      <c r="A2314" t="s">
        <v>8635</v>
      </c>
    </row>
    <row r="2315" spans="1:1" x14ac:dyDescent="0.35">
      <c r="A2315" t="s">
        <v>8639</v>
      </c>
    </row>
    <row r="2316" spans="1:1" x14ac:dyDescent="0.35">
      <c r="A2316" t="s">
        <v>8642</v>
      </c>
    </row>
    <row r="2317" spans="1:1" x14ac:dyDescent="0.35">
      <c r="A2317" t="s">
        <v>8645</v>
      </c>
    </row>
    <row r="2318" spans="1:1" x14ac:dyDescent="0.35">
      <c r="A2318" t="s">
        <v>8648</v>
      </c>
    </row>
    <row r="2319" spans="1:1" x14ac:dyDescent="0.35">
      <c r="A2319" t="s">
        <v>8610</v>
      </c>
    </row>
    <row r="2320" spans="1:1" x14ac:dyDescent="0.35">
      <c r="A2320" t="s">
        <v>8614</v>
      </c>
    </row>
    <row r="2321" spans="1:1" x14ac:dyDescent="0.35">
      <c r="A2321" t="s">
        <v>8617</v>
      </c>
    </row>
    <row r="2322" spans="1:1" x14ac:dyDescent="0.35">
      <c r="A2322" t="s">
        <v>8621</v>
      </c>
    </row>
    <row r="2323" spans="1:1" x14ac:dyDescent="0.35">
      <c r="A2323" t="s">
        <v>8624</v>
      </c>
    </row>
    <row r="2324" spans="1:1" x14ac:dyDescent="0.35">
      <c r="A2324" t="s">
        <v>8627</v>
      </c>
    </row>
    <row r="2325" spans="1:1" x14ac:dyDescent="0.35">
      <c r="A2325" t="s">
        <v>8631</v>
      </c>
    </row>
    <row r="2326" spans="1:1" x14ac:dyDescent="0.35">
      <c r="A2326" t="s">
        <v>8635</v>
      </c>
    </row>
    <row r="2327" spans="1:1" x14ac:dyDescent="0.35">
      <c r="A2327" t="s">
        <v>8639</v>
      </c>
    </row>
    <row r="2328" spans="1:1" x14ac:dyDescent="0.35">
      <c r="A2328" t="s">
        <v>8642</v>
      </c>
    </row>
    <row r="2329" spans="1:1" x14ac:dyDescent="0.35">
      <c r="A2329" t="s">
        <v>8645</v>
      </c>
    </row>
    <row r="2330" spans="1:1" x14ac:dyDescent="0.35">
      <c r="A2330" t="s">
        <v>8648</v>
      </c>
    </row>
    <row r="2331" spans="1:1" x14ac:dyDescent="0.35">
      <c r="A2331" t="s">
        <v>8610</v>
      </c>
    </row>
    <row r="2332" spans="1:1" x14ac:dyDescent="0.35">
      <c r="A2332" t="s">
        <v>8614</v>
      </c>
    </row>
    <row r="2333" spans="1:1" x14ac:dyDescent="0.35">
      <c r="A2333" t="s">
        <v>8617</v>
      </c>
    </row>
    <row r="2334" spans="1:1" x14ac:dyDescent="0.35">
      <c r="A2334" t="s">
        <v>8621</v>
      </c>
    </row>
    <row r="2335" spans="1:1" x14ac:dyDescent="0.35">
      <c r="A2335" t="s">
        <v>8624</v>
      </c>
    </row>
    <row r="2336" spans="1:1" x14ac:dyDescent="0.35">
      <c r="A2336" t="s">
        <v>8627</v>
      </c>
    </row>
    <row r="2337" spans="1:1" x14ac:dyDescent="0.35">
      <c r="A2337" t="s">
        <v>8631</v>
      </c>
    </row>
    <row r="2338" spans="1:1" x14ac:dyDescent="0.35">
      <c r="A2338" t="s">
        <v>8635</v>
      </c>
    </row>
    <row r="2339" spans="1:1" x14ac:dyDescent="0.35">
      <c r="A2339" t="s">
        <v>8639</v>
      </c>
    </row>
    <row r="2340" spans="1:1" x14ac:dyDescent="0.35">
      <c r="A2340" t="s">
        <v>8642</v>
      </c>
    </row>
    <row r="2341" spans="1:1" x14ac:dyDescent="0.35">
      <c r="A2341" t="s">
        <v>8645</v>
      </c>
    </row>
    <row r="2342" spans="1:1" x14ac:dyDescent="0.35">
      <c r="A2342" t="s">
        <v>8648</v>
      </c>
    </row>
    <row r="2343" spans="1:1" x14ac:dyDescent="0.35">
      <c r="A2343" t="s">
        <v>8610</v>
      </c>
    </row>
    <row r="2344" spans="1:1" x14ac:dyDescent="0.35">
      <c r="A2344" t="s">
        <v>8614</v>
      </c>
    </row>
    <row r="2345" spans="1:1" x14ac:dyDescent="0.35">
      <c r="A2345" t="s">
        <v>8617</v>
      </c>
    </row>
    <row r="2346" spans="1:1" x14ac:dyDescent="0.35">
      <c r="A2346" t="s">
        <v>8621</v>
      </c>
    </row>
    <row r="2347" spans="1:1" x14ac:dyDescent="0.35">
      <c r="A2347" t="s">
        <v>8624</v>
      </c>
    </row>
    <row r="2348" spans="1:1" x14ac:dyDescent="0.35">
      <c r="A2348" t="s">
        <v>8627</v>
      </c>
    </row>
    <row r="2349" spans="1:1" x14ac:dyDescent="0.35">
      <c r="A2349" t="s">
        <v>8631</v>
      </c>
    </row>
    <row r="2350" spans="1:1" x14ac:dyDescent="0.35">
      <c r="A2350" t="s">
        <v>8635</v>
      </c>
    </row>
    <row r="2351" spans="1:1" x14ac:dyDescent="0.35">
      <c r="A2351" t="s">
        <v>8639</v>
      </c>
    </row>
    <row r="2352" spans="1:1" x14ac:dyDescent="0.35">
      <c r="A2352" t="s">
        <v>8642</v>
      </c>
    </row>
    <row r="2353" spans="1:1" x14ac:dyDescent="0.35">
      <c r="A2353" t="s">
        <v>8645</v>
      </c>
    </row>
    <row r="2354" spans="1:1" x14ac:dyDescent="0.35">
      <c r="A2354" t="s">
        <v>8648</v>
      </c>
    </row>
    <row r="2355" spans="1:1" x14ac:dyDescent="0.35">
      <c r="A2355" t="s">
        <v>8610</v>
      </c>
    </row>
    <row r="2356" spans="1:1" x14ac:dyDescent="0.35">
      <c r="A2356" t="s">
        <v>8614</v>
      </c>
    </row>
    <row r="2357" spans="1:1" x14ac:dyDescent="0.35">
      <c r="A2357" t="s">
        <v>8617</v>
      </c>
    </row>
    <row r="2358" spans="1:1" x14ac:dyDescent="0.35">
      <c r="A2358" t="s">
        <v>8621</v>
      </c>
    </row>
    <row r="2359" spans="1:1" x14ac:dyDescent="0.35">
      <c r="A2359" t="s">
        <v>8624</v>
      </c>
    </row>
    <row r="2360" spans="1:1" x14ac:dyDescent="0.35">
      <c r="A2360" t="s">
        <v>8627</v>
      </c>
    </row>
    <row r="2361" spans="1:1" x14ac:dyDescent="0.35">
      <c r="A2361" t="s">
        <v>8631</v>
      </c>
    </row>
    <row r="2362" spans="1:1" x14ac:dyDescent="0.35">
      <c r="A2362" t="s">
        <v>8635</v>
      </c>
    </row>
    <row r="2363" spans="1:1" x14ac:dyDescent="0.35">
      <c r="A2363" t="s">
        <v>8639</v>
      </c>
    </row>
    <row r="2364" spans="1:1" x14ac:dyDescent="0.35">
      <c r="A2364" t="s">
        <v>8642</v>
      </c>
    </row>
    <row r="2365" spans="1:1" x14ac:dyDescent="0.35">
      <c r="A2365" t="s">
        <v>8645</v>
      </c>
    </row>
    <row r="2366" spans="1:1" x14ac:dyDescent="0.35">
      <c r="A2366" t="s">
        <v>8648</v>
      </c>
    </row>
    <row r="2367" spans="1:1" x14ac:dyDescent="0.35">
      <c r="A2367" t="s">
        <v>8610</v>
      </c>
    </row>
    <row r="2368" spans="1:1" x14ac:dyDescent="0.35">
      <c r="A2368" t="s">
        <v>8614</v>
      </c>
    </row>
    <row r="2369" spans="1:1" x14ac:dyDescent="0.35">
      <c r="A2369" t="s">
        <v>8617</v>
      </c>
    </row>
    <row r="2370" spans="1:1" x14ac:dyDescent="0.35">
      <c r="A2370" t="s">
        <v>8621</v>
      </c>
    </row>
    <row r="2371" spans="1:1" x14ac:dyDescent="0.35">
      <c r="A2371" t="s">
        <v>8624</v>
      </c>
    </row>
    <row r="2372" spans="1:1" x14ac:dyDescent="0.35">
      <c r="A2372" t="s">
        <v>8627</v>
      </c>
    </row>
    <row r="2373" spans="1:1" x14ac:dyDescent="0.35">
      <c r="A2373" t="s">
        <v>8631</v>
      </c>
    </row>
    <row r="2374" spans="1:1" x14ac:dyDescent="0.35">
      <c r="A2374" t="s">
        <v>8635</v>
      </c>
    </row>
    <row r="2375" spans="1:1" x14ac:dyDescent="0.35">
      <c r="A2375" t="s">
        <v>8639</v>
      </c>
    </row>
    <row r="2376" spans="1:1" x14ac:dyDescent="0.35">
      <c r="A2376" t="s">
        <v>8642</v>
      </c>
    </row>
    <row r="2377" spans="1:1" x14ac:dyDescent="0.35">
      <c r="A2377" t="s">
        <v>8645</v>
      </c>
    </row>
    <row r="2378" spans="1:1" x14ac:dyDescent="0.35">
      <c r="A2378" t="s">
        <v>8648</v>
      </c>
    </row>
    <row r="2379" spans="1:1" x14ac:dyDescent="0.35">
      <c r="A2379" t="s">
        <v>8610</v>
      </c>
    </row>
    <row r="2380" spans="1:1" x14ac:dyDescent="0.35">
      <c r="A2380" t="s">
        <v>8614</v>
      </c>
    </row>
    <row r="2381" spans="1:1" x14ac:dyDescent="0.35">
      <c r="A2381" t="s">
        <v>8617</v>
      </c>
    </row>
    <row r="2382" spans="1:1" x14ac:dyDescent="0.35">
      <c r="A2382" t="s">
        <v>8621</v>
      </c>
    </row>
    <row r="2383" spans="1:1" x14ac:dyDescent="0.35">
      <c r="A2383" t="s">
        <v>8624</v>
      </c>
    </row>
    <row r="2384" spans="1:1" x14ac:dyDescent="0.35">
      <c r="A2384" t="s">
        <v>8627</v>
      </c>
    </row>
    <row r="2385" spans="1:1" x14ac:dyDescent="0.35">
      <c r="A2385" t="s">
        <v>8631</v>
      </c>
    </row>
    <row r="2386" spans="1:1" x14ac:dyDescent="0.35">
      <c r="A2386" t="s">
        <v>8635</v>
      </c>
    </row>
    <row r="2387" spans="1:1" x14ac:dyDescent="0.35">
      <c r="A2387" t="s">
        <v>8639</v>
      </c>
    </row>
    <row r="2388" spans="1:1" x14ac:dyDescent="0.35">
      <c r="A2388" t="s">
        <v>8642</v>
      </c>
    </row>
    <row r="2389" spans="1:1" x14ac:dyDescent="0.35">
      <c r="A2389" t="s">
        <v>8645</v>
      </c>
    </row>
    <row r="2390" spans="1:1" x14ac:dyDescent="0.35">
      <c r="A2390" t="s">
        <v>8648</v>
      </c>
    </row>
    <row r="2391" spans="1:1" x14ac:dyDescent="0.35">
      <c r="A2391" t="s">
        <v>8610</v>
      </c>
    </row>
    <row r="2392" spans="1:1" x14ac:dyDescent="0.35">
      <c r="A2392" t="s">
        <v>8614</v>
      </c>
    </row>
    <row r="2393" spans="1:1" x14ac:dyDescent="0.35">
      <c r="A2393" t="s">
        <v>8617</v>
      </c>
    </row>
    <row r="2394" spans="1:1" x14ac:dyDescent="0.35">
      <c r="A2394" t="s">
        <v>8621</v>
      </c>
    </row>
    <row r="2395" spans="1:1" x14ac:dyDescent="0.35">
      <c r="A2395" t="s">
        <v>8624</v>
      </c>
    </row>
    <row r="2396" spans="1:1" x14ac:dyDescent="0.35">
      <c r="A2396" t="s">
        <v>8627</v>
      </c>
    </row>
    <row r="2397" spans="1:1" x14ac:dyDescent="0.35">
      <c r="A2397" t="s">
        <v>8631</v>
      </c>
    </row>
    <row r="2398" spans="1:1" x14ac:dyDescent="0.35">
      <c r="A2398" t="s">
        <v>8635</v>
      </c>
    </row>
    <row r="2399" spans="1:1" x14ac:dyDescent="0.35">
      <c r="A2399" t="s">
        <v>8639</v>
      </c>
    </row>
    <row r="2400" spans="1:1" x14ac:dyDescent="0.35">
      <c r="A2400" t="s">
        <v>8642</v>
      </c>
    </row>
    <row r="2401" spans="1:1" x14ac:dyDescent="0.35">
      <c r="A2401" t="s">
        <v>8645</v>
      </c>
    </row>
    <row r="2402" spans="1:1" x14ac:dyDescent="0.35">
      <c r="A2402" t="s">
        <v>8648</v>
      </c>
    </row>
    <row r="2403" spans="1:1" x14ac:dyDescent="0.35">
      <c r="A2403" t="s">
        <v>8610</v>
      </c>
    </row>
    <row r="2404" spans="1:1" x14ac:dyDescent="0.35">
      <c r="A2404" t="s">
        <v>8614</v>
      </c>
    </row>
    <row r="2405" spans="1:1" x14ac:dyDescent="0.35">
      <c r="A2405" t="s">
        <v>8617</v>
      </c>
    </row>
    <row r="2406" spans="1:1" x14ac:dyDescent="0.35">
      <c r="A2406" t="s">
        <v>8621</v>
      </c>
    </row>
    <row r="2407" spans="1:1" x14ac:dyDescent="0.35">
      <c r="A2407" t="s">
        <v>8624</v>
      </c>
    </row>
    <row r="2408" spans="1:1" x14ac:dyDescent="0.35">
      <c r="A2408" t="s">
        <v>8627</v>
      </c>
    </row>
    <row r="2409" spans="1:1" x14ac:dyDescent="0.35">
      <c r="A2409" t="s">
        <v>8631</v>
      </c>
    </row>
    <row r="2410" spans="1:1" x14ac:dyDescent="0.35">
      <c r="A2410" t="s">
        <v>8635</v>
      </c>
    </row>
    <row r="2411" spans="1:1" x14ac:dyDescent="0.35">
      <c r="A2411" t="s">
        <v>8639</v>
      </c>
    </row>
    <row r="2412" spans="1:1" x14ac:dyDescent="0.35">
      <c r="A2412" t="s">
        <v>8642</v>
      </c>
    </row>
    <row r="2413" spans="1:1" x14ac:dyDescent="0.35">
      <c r="A2413" t="s">
        <v>8645</v>
      </c>
    </row>
    <row r="2414" spans="1:1" x14ac:dyDescent="0.35">
      <c r="A2414" t="s">
        <v>8648</v>
      </c>
    </row>
    <row r="2415" spans="1:1" x14ac:dyDescent="0.35">
      <c r="A2415" t="s">
        <v>8610</v>
      </c>
    </row>
    <row r="2416" spans="1:1" x14ac:dyDescent="0.35">
      <c r="A2416" t="s">
        <v>8614</v>
      </c>
    </row>
    <row r="2417" spans="1:1" x14ac:dyDescent="0.35">
      <c r="A2417" t="s">
        <v>8617</v>
      </c>
    </row>
    <row r="2418" spans="1:1" x14ac:dyDescent="0.35">
      <c r="A2418" t="s">
        <v>8621</v>
      </c>
    </row>
    <row r="2419" spans="1:1" x14ac:dyDescent="0.35">
      <c r="A2419" t="s">
        <v>8624</v>
      </c>
    </row>
    <row r="2420" spans="1:1" x14ac:dyDescent="0.35">
      <c r="A2420" t="s">
        <v>8627</v>
      </c>
    </row>
    <row r="2421" spans="1:1" x14ac:dyDescent="0.35">
      <c r="A2421" t="s">
        <v>8631</v>
      </c>
    </row>
    <row r="2422" spans="1:1" x14ac:dyDescent="0.35">
      <c r="A2422" t="s">
        <v>8635</v>
      </c>
    </row>
    <row r="2423" spans="1:1" x14ac:dyDescent="0.35">
      <c r="A2423" t="s">
        <v>8639</v>
      </c>
    </row>
    <row r="2424" spans="1:1" x14ac:dyDescent="0.35">
      <c r="A2424" t="s">
        <v>8642</v>
      </c>
    </row>
    <row r="2425" spans="1:1" x14ac:dyDescent="0.35">
      <c r="A2425" t="s">
        <v>8645</v>
      </c>
    </row>
    <row r="2426" spans="1:1" x14ac:dyDescent="0.35">
      <c r="A2426" t="s">
        <v>8648</v>
      </c>
    </row>
    <row r="2427" spans="1:1" x14ac:dyDescent="0.35">
      <c r="A2427" t="s">
        <v>8610</v>
      </c>
    </row>
    <row r="2428" spans="1:1" x14ac:dyDescent="0.35">
      <c r="A2428" t="s">
        <v>8614</v>
      </c>
    </row>
    <row r="2429" spans="1:1" x14ac:dyDescent="0.35">
      <c r="A2429" t="s">
        <v>8617</v>
      </c>
    </row>
    <row r="2430" spans="1:1" x14ac:dyDescent="0.35">
      <c r="A2430" t="s">
        <v>8621</v>
      </c>
    </row>
    <row r="2431" spans="1:1" x14ac:dyDescent="0.35">
      <c r="A2431" t="s">
        <v>8624</v>
      </c>
    </row>
    <row r="2432" spans="1:1" x14ac:dyDescent="0.35">
      <c r="A2432" t="s">
        <v>8627</v>
      </c>
    </row>
    <row r="2433" spans="1:1" x14ac:dyDescent="0.35">
      <c r="A2433" t="s">
        <v>8631</v>
      </c>
    </row>
    <row r="2434" spans="1:1" x14ac:dyDescent="0.35">
      <c r="A2434" t="s">
        <v>8635</v>
      </c>
    </row>
    <row r="2435" spans="1:1" x14ac:dyDescent="0.35">
      <c r="A2435" t="s">
        <v>8639</v>
      </c>
    </row>
    <row r="2436" spans="1:1" x14ac:dyDescent="0.35">
      <c r="A2436" t="s">
        <v>8642</v>
      </c>
    </row>
    <row r="2437" spans="1:1" x14ac:dyDescent="0.35">
      <c r="A2437" t="s">
        <v>8645</v>
      </c>
    </row>
    <row r="2438" spans="1:1" x14ac:dyDescent="0.35">
      <c r="A2438" t="s">
        <v>8648</v>
      </c>
    </row>
    <row r="2439" spans="1:1" x14ac:dyDescent="0.35">
      <c r="A2439" t="s">
        <v>8610</v>
      </c>
    </row>
    <row r="2440" spans="1:1" x14ac:dyDescent="0.35">
      <c r="A2440" t="s">
        <v>8614</v>
      </c>
    </row>
    <row r="2441" spans="1:1" x14ac:dyDescent="0.35">
      <c r="A2441" t="s">
        <v>8617</v>
      </c>
    </row>
    <row r="2442" spans="1:1" x14ac:dyDescent="0.35">
      <c r="A2442" t="s">
        <v>8621</v>
      </c>
    </row>
    <row r="2443" spans="1:1" x14ac:dyDescent="0.35">
      <c r="A2443" t="s">
        <v>8624</v>
      </c>
    </row>
    <row r="2444" spans="1:1" x14ac:dyDescent="0.35">
      <c r="A2444" t="s">
        <v>8627</v>
      </c>
    </row>
    <row r="2445" spans="1:1" x14ac:dyDescent="0.35">
      <c r="A2445" t="s">
        <v>8631</v>
      </c>
    </row>
    <row r="2446" spans="1:1" x14ac:dyDescent="0.35">
      <c r="A2446" t="s">
        <v>8635</v>
      </c>
    </row>
    <row r="2447" spans="1:1" x14ac:dyDescent="0.35">
      <c r="A2447" t="s">
        <v>8639</v>
      </c>
    </row>
    <row r="2448" spans="1:1" x14ac:dyDescent="0.35">
      <c r="A2448" t="s">
        <v>8642</v>
      </c>
    </row>
    <row r="2449" spans="1:1" x14ac:dyDescent="0.35">
      <c r="A2449" t="s">
        <v>8645</v>
      </c>
    </row>
    <row r="2450" spans="1:1" x14ac:dyDescent="0.35">
      <c r="A2450" t="s">
        <v>8648</v>
      </c>
    </row>
    <row r="2451" spans="1:1" x14ac:dyDescent="0.35">
      <c r="A2451" t="s">
        <v>8610</v>
      </c>
    </row>
    <row r="2452" spans="1:1" x14ac:dyDescent="0.35">
      <c r="A2452" t="s">
        <v>8614</v>
      </c>
    </row>
    <row r="2453" spans="1:1" x14ac:dyDescent="0.35">
      <c r="A2453" t="s">
        <v>8617</v>
      </c>
    </row>
    <row r="2454" spans="1:1" x14ac:dyDescent="0.35">
      <c r="A2454" t="s">
        <v>8621</v>
      </c>
    </row>
    <row r="2455" spans="1:1" x14ac:dyDescent="0.35">
      <c r="A2455" t="s">
        <v>8624</v>
      </c>
    </row>
    <row r="2456" spans="1:1" x14ac:dyDescent="0.35">
      <c r="A2456" t="s">
        <v>8627</v>
      </c>
    </row>
    <row r="2457" spans="1:1" x14ac:dyDescent="0.35">
      <c r="A2457" t="s">
        <v>8631</v>
      </c>
    </row>
    <row r="2458" spans="1:1" x14ac:dyDescent="0.35">
      <c r="A2458" t="s">
        <v>8635</v>
      </c>
    </row>
    <row r="2459" spans="1:1" x14ac:dyDescent="0.35">
      <c r="A2459" t="s">
        <v>8639</v>
      </c>
    </row>
    <row r="2460" spans="1:1" x14ac:dyDescent="0.35">
      <c r="A2460" t="s">
        <v>8642</v>
      </c>
    </row>
    <row r="2461" spans="1:1" x14ac:dyDescent="0.35">
      <c r="A2461" t="s">
        <v>8645</v>
      </c>
    </row>
    <row r="2462" spans="1:1" x14ac:dyDescent="0.35">
      <c r="A2462" t="s">
        <v>8648</v>
      </c>
    </row>
    <row r="2463" spans="1:1" x14ac:dyDescent="0.35">
      <c r="A2463" t="s">
        <v>8610</v>
      </c>
    </row>
    <row r="2464" spans="1:1" x14ac:dyDescent="0.35">
      <c r="A2464" t="s">
        <v>8614</v>
      </c>
    </row>
    <row r="2465" spans="1:1" x14ac:dyDescent="0.35">
      <c r="A2465" t="s">
        <v>8617</v>
      </c>
    </row>
    <row r="2466" spans="1:1" x14ac:dyDescent="0.35">
      <c r="A2466" t="s">
        <v>8621</v>
      </c>
    </row>
    <row r="2467" spans="1:1" x14ac:dyDescent="0.35">
      <c r="A2467" t="s">
        <v>8624</v>
      </c>
    </row>
    <row r="2468" spans="1:1" x14ac:dyDescent="0.35">
      <c r="A2468" t="s">
        <v>8627</v>
      </c>
    </row>
    <row r="2469" spans="1:1" x14ac:dyDescent="0.35">
      <c r="A2469" t="s">
        <v>8631</v>
      </c>
    </row>
    <row r="2470" spans="1:1" x14ac:dyDescent="0.35">
      <c r="A2470" t="s">
        <v>8635</v>
      </c>
    </row>
    <row r="2471" spans="1:1" x14ac:dyDescent="0.35">
      <c r="A2471" t="s">
        <v>8639</v>
      </c>
    </row>
    <row r="2472" spans="1:1" x14ac:dyDescent="0.35">
      <c r="A2472" t="s">
        <v>8642</v>
      </c>
    </row>
    <row r="2473" spans="1:1" x14ac:dyDescent="0.35">
      <c r="A2473" t="s">
        <v>8645</v>
      </c>
    </row>
    <row r="2474" spans="1:1" x14ac:dyDescent="0.35">
      <c r="A2474" t="s">
        <v>8648</v>
      </c>
    </row>
    <row r="2475" spans="1:1" x14ac:dyDescent="0.35">
      <c r="A2475" t="s">
        <v>8610</v>
      </c>
    </row>
    <row r="2476" spans="1:1" x14ac:dyDescent="0.35">
      <c r="A2476" t="s">
        <v>8614</v>
      </c>
    </row>
    <row r="2477" spans="1:1" x14ac:dyDescent="0.35">
      <c r="A2477" t="s">
        <v>8617</v>
      </c>
    </row>
    <row r="2478" spans="1:1" x14ac:dyDescent="0.35">
      <c r="A2478" t="s">
        <v>8621</v>
      </c>
    </row>
    <row r="2479" spans="1:1" x14ac:dyDescent="0.35">
      <c r="A2479" t="s">
        <v>8624</v>
      </c>
    </row>
    <row r="2480" spans="1:1" x14ac:dyDescent="0.35">
      <c r="A2480" t="s">
        <v>8627</v>
      </c>
    </row>
    <row r="2481" spans="1:1" x14ac:dyDescent="0.35">
      <c r="A2481" t="s">
        <v>8631</v>
      </c>
    </row>
    <row r="2482" spans="1:1" x14ac:dyDescent="0.35">
      <c r="A2482" t="s">
        <v>8635</v>
      </c>
    </row>
    <row r="2483" spans="1:1" x14ac:dyDescent="0.35">
      <c r="A2483" t="s">
        <v>8639</v>
      </c>
    </row>
    <row r="2484" spans="1:1" x14ac:dyDescent="0.35">
      <c r="A2484" t="s">
        <v>8642</v>
      </c>
    </row>
    <row r="2485" spans="1:1" x14ac:dyDescent="0.35">
      <c r="A2485" t="s">
        <v>8645</v>
      </c>
    </row>
    <row r="2486" spans="1:1" x14ac:dyDescent="0.35">
      <c r="A2486" t="s">
        <v>8648</v>
      </c>
    </row>
    <row r="2487" spans="1:1" x14ac:dyDescent="0.35">
      <c r="A2487" t="s">
        <v>8610</v>
      </c>
    </row>
    <row r="2488" spans="1:1" x14ac:dyDescent="0.35">
      <c r="A2488" t="s">
        <v>8614</v>
      </c>
    </row>
    <row r="2489" spans="1:1" x14ac:dyDescent="0.35">
      <c r="A2489" t="s">
        <v>8617</v>
      </c>
    </row>
    <row r="2490" spans="1:1" x14ac:dyDescent="0.35">
      <c r="A2490" t="s">
        <v>8621</v>
      </c>
    </row>
    <row r="2491" spans="1:1" x14ac:dyDescent="0.35">
      <c r="A2491" t="s">
        <v>8624</v>
      </c>
    </row>
    <row r="2492" spans="1:1" x14ac:dyDescent="0.35">
      <c r="A2492" t="s">
        <v>8627</v>
      </c>
    </row>
    <row r="2493" spans="1:1" x14ac:dyDescent="0.35">
      <c r="A2493" t="s">
        <v>8631</v>
      </c>
    </row>
    <row r="2494" spans="1:1" x14ac:dyDescent="0.35">
      <c r="A2494" t="s">
        <v>8635</v>
      </c>
    </row>
    <row r="2495" spans="1:1" x14ac:dyDescent="0.35">
      <c r="A2495" t="s">
        <v>8639</v>
      </c>
    </row>
    <row r="2496" spans="1:1" x14ac:dyDescent="0.35">
      <c r="A2496" t="s">
        <v>8642</v>
      </c>
    </row>
    <row r="2497" spans="1:1" x14ac:dyDescent="0.35">
      <c r="A2497" t="s">
        <v>8645</v>
      </c>
    </row>
    <row r="2498" spans="1:1" x14ac:dyDescent="0.35">
      <c r="A2498" t="s">
        <v>8648</v>
      </c>
    </row>
    <row r="2499" spans="1:1" x14ac:dyDescent="0.35">
      <c r="A2499" t="s">
        <v>8610</v>
      </c>
    </row>
    <row r="2500" spans="1:1" x14ac:dyDescent="0.35">
      <c r="A2500" t="s">
        <v>8614</v>
      </c>
    </row>
    <row r="2501" spans="1:1" x14ac:dyDescent="0.35">
      <c r="A2501" t="s">
        <v>8617</v>
      </c>
    </row>
    <row r="2502" spans="1:1" x14ac:dyDescent="0.35">
      <c r="A2502" t="s">
        <v>8621</v>
      </c>
    </row>
    <row r="2503" spans="1:1" x14ac:dyDescent="0.35">
      <c r="A2503" t="s">
        <v>8624</v>
      </c>
    </row>
    <row r="2504" spans="1:1" x14ac:dyDescent="0.35">
      <c r="A2504" t="s">
        <v>8627</v>
      </c>
    </row>
    <row r="2505" spans="1:1" x14ac:dyDescent="0.35">
      <c r="A2505" t="s">
        <v>8631</v>
      </c>
    </row>
    <row r="2506" spans="1:1" x14ac:dyDescent="0.35">
      <c r="A2506" t="s">
        <v>8635</v>
      </c>
    </row>
    <row r="2507" spans="1:1" x14ac:dyDescent="0.35">
      <c r="A2507" t="s">
        <v>8639</v>
      </c>
    </row>
    <row r="2508" spans="1:1" x14ac:dyDescent="0.35">
      <c r="A2508" t="s">
        <v>8642</v>
      </c>
    </row>
    <row r="2509" spans="1:1" x14ac:dyDescent="0.35">
      <c r="A2509" t="s">
        <v>8645</v>
      </c>
    </row>
    <row r="2510" spans="1:1" x14ac:dyDescent="0.35">
      <c r="A2510" t="s">
        <v>8648</v>
      </c>
    </row>
    <row r="2511" spans="1:1" x14ac:dyDescent="0.35">
      <c r="A2511" t="s">
        <v>8610</v>
      </c>
    </row>
    <row r="2512" spans="1:1" x14ac:dyDescent="0.35">
      <c r="A2512" t="s">
        <v>8614</v>
      </c>
    </row>
    <row r="2513" spans="1:1" x14ac:dyDescent="0.35">
      <c r="A2513" t="s">
        <v>8617</v>
      </c>
    </row>
    <row r="2514" spans="1:1" x14ac:dyDescent="0.35">
      <c r="A2514" t="s">
        <v>8621</v>
      </c>
    </row>
    <row r="2515" spans="1:1" x14ac:dyDescent="0.35">
      <c r="A2515" t="s">
        <v>8624</v>
      </c>
    </row>
    <row r="2516" spans="1:1" x14ac:dyDescent="0.35">
      <c r="A2516" t="s">
        <v>8627</v>
      </c>
    </row>
    <row r="2517" spans="1:1" x14ac:dyDescent="0.35">
      <c r="A2517" t="s">
        <v>8631</v>
      </c>
    </row>
    <row r="2518" spans="1:1" x14ac:dyDescent="0.35">
      <c r="A2518" t="s">
        <v>8635</v>
      </c>
    </row>
    <row r="2519" spans="1:1" x14ac:dyDescent="0.35">
      <c r="A2519" t="s">
        <v>8639</v>
      </c>
    </row>
    <row r="2520" spans="1:1" x14ac:dyDescent="0.35">
      <c r="A2520" t="s">
        <v>8642</v>
      </c>
    </row>
    <row r="2521" spans="1:1" x14ac:dyDescent="0.35">
      <c r="A2521" t="s">
        <v>8645</v>
      </c>
    </row>
    <row r="2522" spans="1:1" x14ac:dyDescent="0.35">
      <c r="A2522" t="s">
        <v>8648</v>
      </c>
    </row>
    <row r="2523" spans="1:1" x14ac:dyDescent="0.35">
      <c r="A2523" t="s">
        <v>8610</v>
      </c>
    </row>
    <row r="2524" spans="1:1" x14ac:dyDescent="0.35">
      <c r="A2524" t="s">
        <v>8614</v>
      </c>
    </row>
    <row r="2525" spans="1:1" x14ac:dyDescent="0.35">
      <c r="A2525" t="s">
        <v>8617</v>
      </c>
    </row>
    <row r="2526" spans="1:1" x14ac:dyDescent="0.35">
      <c r="A2526" t="s">
        <v>8621</v>
      </c>
    </row>
    <row r="2527" spans="1:1" x14ac:dyDescent="0.35">
      <c r="A2527" t="s">
        <v>8624</v>
      </c>
    </row>
    <row r="2528" spans="1:1" x14ac:dyDescent="0.35">
      <c r="A2528" t="s">
        <v>8627</v>
      </c>
    </row>
    <row r="2529" spans="1:1" x14ac:dyDescent="0.35">
      <c r="A2529" t="s">
        <v>8631</v>
      </c>
    </row>
    <row r="2530" spans="1:1" x14ac:dyDescent="0.35">
      <c r="A2530" t="s">
        <v>8635</v>
      </c>
    </row>
    <row r="2531" spans="1:1" x14ac:dyDescent="0.35">
      <c r="A2531" t="s">
        <v>8639</v>
      </c>
    </row>
    <row r="2532" spans="1:1" x14ac:dyDescent="0.35">
      <c r="A2532" t="s">
        <v>8642</v>
      </c>
    </row>
    <row r="2533" spans="1:1" x14ac:dyDescent="0.35">
      <c r="A2533" t="s">
        <v>8645</v>
      </c>
    </row>
    <row r="2534" spans="1:1" x14ac:dyDescent="0.35">
      <c r="A2534" t="s">
        <v>8648</v>
      </c>
    </row>
    <row r="2535" spans="1:1" x14ac:dyDescent="0.35">
      <c r="A2535" t="s">
        <v>8610</v>
      </c>
    </row>
    <row r="2536" spans="1:1" x14ac:dyDescent="0.35">
      <c r="A2536" t="s">
        <v>8614</v>
      </c>
    </row>
    <row r="2537" spans="1:1" x14ac:dyDescent="0.35">
      <c r="A2537" t="s">
        <v>8617</v>
      </c>
    </row>
    <row r="2538" spans="1:1" x14ac:dyDescent="0.35">
      <c r="A2538" t="s">
        <v>8621</v>
      </c>
    </row>
    <row r="2539" spans="1:1" x14ac:dyDescent="0.35">
      <c r="A2539" t="s">
        <v>8624</v>
      </c>
    </row>
    <row r="2540" spans="1:1" x14ac:dyDescent="0.35">
      <c r="A2540" t="s">
        <v>8627</v>
      </c>
    </row>
    <row r="2541" spans="1:1" x14ac:dyDescent="0.35">
      <c r="A2541" t="s">
        <v>8631</v>
      </c>
    </row>
    <row r="2542" spans="1:1" x14ac:dyDescent="0.35">
      <c r="A2542" t="s">
        <v>8635</v>
      </c>
    </row>
    <row r="2543" spans="1:1" x14ac:dyDescent="0.35">
      <c r="A2543" t="s">
        <v>8639</v>
      </c>
    </row>
    <row r="2544" spans="1:1" x14ac:dyDescent="0.35">
      <c r="A2544" t="s">
        <v>8642</v>
      </c>
    </row>
    <row r="2545" spans="1:1" x14ac:dyDescent="0.35">
      <c r="A2545" t="s">
        <v>8645</v>
      </c>
    </row>
    <row r="2546" spans="1:1" x14ac:dyDescent="0.35">
      <c r="A2546" t="s">
        <v>8648</v>
      </c>
    </row>
    <row r="2547" spans="1:1" x14ac:dyDescent="0.35">
      <c r="A2547" t="s">
        <v>8610</v>
      </c>
    </row>
    <row r="2548" spans="1:1" x14ac:dyDescent="0.35">
      <c r="A2548" t="s">
        <v>8614</v>
      </c>
    </row>
    <row r="2549" spans="1:1" x14ac:dyDescent="0.35">
      <c r="A2549" t="s">
        <v>8617</v>
      </c>
    </row>
    <row r="2550" spans="1:1" x14ac:dyDescent="0.35">
      <c r="A2550" t="s">
        <v>8621</v>
      </c>
    </row>
    <row r="2551" spans="1:1" x14ac:dyDescent="0.35">
      <c r="A2551" t="s">
        <v>8624</v>
      </c>
    </row>
    <row r="2552" spans="1:1" x14ac:dyDescent="0.35">
      <c r="A2552" t="s">
        <v>8627</v>
      </c>
    </row>
    <row r="2553" spans="1:1" x14ac:dyDescent="0.35">
      <c r="A2553" t="s">
        <v>8631</v>
      </c>
    </row>
    <row r="2554" spans="1:1" x14ac:dyDescent="0.35">
      <c r="A2554" t="s">
        <v>8635</v>
      </c>
    </row>
    <row r="2555" spans="1:1" x14ac:dyDescent="0.35">
      <c r="A2555" t="s">
        <v>8639</v>
      </c>
    </row>
    <row r="2556" spans="1:1" x14ac:dyDescent="0.35">
      <c r="A2556" t="s">
        <v>8642</v>
      </c>
    </row>
    <row r="2557" spans="1:1" x14ac:dyDescent="0.35">
      <c r="A2557" t="s">
        <v>8645</v>
      </c>
    </row>
    <row r="2558" spans="1:1" x14ac:dyDescent="0.35">
      <c r="A2558" t="s">
        <v>8648</v>
      </c>
    </row>
    <row r="2559" spans="1:1" x14ac:dyDescent="0.35">
      <c r="A2559" t="s">
        <v>8610</v>
      </c>
    </row>
    <row r="2560" spans="1:1" x14ac:dyDescent="0.35">
      <c r="A2560" t="s">
        <v>8614</v>
      </c>
    </row>
    <row r="2561" spans="1:1" x14ac:dyDescent="0.35">
      <c r="A2561" t="s">
        <v>8617</v>
      </c>
    </row>
    <row r="2562" spans="1:1" x14ac:dyDescent="0.35">
      <c r="A2562" t="s">
        <v>8621</v>
      </c>
    </row>
    <row r="2563" spans="1:1" x14ac:dyDescent="0.35">
      <c r="A2563" t="s">
        <v>8624</v>
      </c>
    </row>
    <row r="2564" spans="1:1" x14ac:dyDescent="0.35">
      <c r="A2564" t="s">
        <v>8627</v>
      </c>
    </row>
    <row r="2565" spans="1:1" x14ac:dyDescent="0.35">
      <c r="A2565" t="s">
        <v>8631</v>
      </c>
    </row>
    <row r="2566" spans="1:1" x14ac:dyDescent="0.35">
      <c r="A2566" t="s">
        <v>8635</v>
      </c>
    </row>
    <row r="2567" spans="1:1" x14ac:dyDescent="0.35">
      <c r="A2567" t="s">
        <v>8639</v>
      </c>
    </row>
    <row r="2568" spans="1:1" x14ac:dyDescent="0.35">
      <c r="A2568" t="s">
        <v>8642</v>
      </c>
    </row>
    <row r="2569" spans="1:1" x14ac:dyDescent="0.35">
      <c r="A2569" t="s">
        <v>8645</v>
      </c>
    </row>
    <row r="2570" spans="1:1" x14ac:dyDescent="0.35">
      <c r="A2570" t="s">
        <v>8648</v>
      </c>
    </row>
    <row r="2571" spans="1:1" x14ac:dyDescent="0.35">
      <c r="A2571" t="s">
        <v>8610</v>
      </c>
    </row>
    <row r="2572" spans="1:1" x14ac:dyDescent="0.35">
      <c r="A2572" t="s">
        <v>8614</v>
      </c>
    </row>
    <row r="2573" spans="1:1" x14ac:dyDescent="0.35">
      <c r="A2573" t="s">
        <v>8617</v>
      </c>
    </row>
    <row r="2574" spans="1:1" x14ac:dyDescent="0.35">
      <c r="A2574" t="s">
        <v>8621</v>
      </c>
    </row>
    <row r="2575" spans="1:1" x14ac:dyDescent="0.35">
      <c r="A2575" t="s">
        <v>8624</v>
      </c>
    </row>
    <row r="2576" spans="1:1" x14ac:dyDescent="0.35">
      <c r="A2576" t="s">
        <v>8627</v>
      </c>
    </row>
    <row r="2577" spans="1:1" x14ac:dyDescent="0.35">
      <c r="A2577" t="s">
        <v>8631</v>
      </c>
    </row>
    <row r="2578" spans="1:1" x14ac:dyDescent="0.35">
      <c r="A2578" t="s">
        <v>8635</v>
      </c>
    </row>
    <row r="2579" spans="1:1" x14ac:dyDescent="0.35">
      <c r="A2579" t="s">
        <v>8639</v>
      </c>
    </row>
    <row r="2580" spans="1:1" x14ac:dyDescent="0.35">
      <c r="A2580" t="s">
        <v>8642</v>
      </c>
    </row>
    <row r="2581" spans="1:1" x14ac:dyDescent="0.35">
      <c r="A2581" t="s">
        <v>8645</v>
      </c>
    </row>
    <row r="2582" spans="1:1" x14ac:dyDescent="0.35">
      <c r="A2582" t="s">
        <v>8648</v>
      </c>
    </row>
    <row r="2583" spans="1:1" x14ac:dyDescent="0.35">
      <c r="A2583" t="s">
        <v>8610</v>
      </c>
    </row>
    <row r="2584" spans="1:1" x14ac:dyDescent="0.35">
      <c r="A2584" t="s">
        <v>8614</v>
      </c>
    </row>
    <row r="2585" spans="1:1" x14ac:dyDescent="0.35">
      <c r="A2585" t="s">
        <v>8617</v>
      </c>
    </row>
    <row r="2586" spans="1:1" x14ac:dyDescent="0.35">
      <c r="A2586" t="s">
        <v>8621</v>
      </c>
    </row>
    <row r="2587" spans="1:1" x14ac:dyDescent="0.35">
      <c r="A2587" t="s">
        <v>8624</v>
      </c>
    </row>
    <row r="2588" spans="1:1" x14ac:dyDescent="0.35">
      <c r="A2588" t="s">
        <v>8627</v>
      </c>
    </row>
    <row r="2589" spans="1:1" x14ac:dyDescent="0.35">
      <c r="A2589" t="s">
        <v>8631</v>
      </c>
    </row>
    <row r="2590" spans="1:1" x14ac:dyDescent="0.35">
      <c r="A2590" t="s">
        <v>8635</v>
      </c>
    </row>
    <row r="2591" spans="1:1" x14ac:dyDescent="0.35">
      <c r="A2591" t="s">
        <v>8639</v>
      </c>
    </row>
    <row r="2592" spans="1:1" x14ac:dyDescent="0.35">
      <c r="A2592" t="s">
        <v>8642</v>
      </c>
    </row>
    <row r="2593" spans="1:1" x14ac:dyDescent="0.35">
      <c r="A2593" t="s">
        <v>8645</v>
      </c>
    </row>
    <row r="2594" spans="1:1" x14ac:dyDescent="0.35">
      <c r="A2594" t="s">
        <v>8648</v>
      </c>
    </row>
    <row r="2595" spans="1:1" x14ac:dyDescent="0.35">
      <c r="A2595" t="s">
        <v>8610</v>
      </c>
    </row>
    <row r="2596" spans="1:1" x14ac:dyDescent="0.35">
      <c r="A2596" t="s">
        <v>8614</v>
      </c>
    </row>
    <row r="2597" spans="1:1" x14ac:dyDescent="0.35">
      <c r="A2597" t="s">
        <v>8617</v>
      </c>
    </row>
    <row r="2598" spans="1:1" x14ac:dyDescent="0.35">
      <c r="A2598" t="s">
        <v>8621</v>
      </c>
    </row>
    <row r="2599" spans="1:1" x14ac:dyDescent="0.35">
      <c r="A2599" t="s">
        <v>8624</v>
      </c>
    </row>
    <row r="2600" spans="1:1" x14ac:dyDescent="0.35">
      <c r="A2600" t="s">
        <v>8627</v>
      </c>
    </row>
    <row r="2601" spans="1:1" x14ac:dyDescent="0.35">
      <c r="A2601" t="s">
        <v>8631</v>
      </c>
    </row>
    <row r="2602" spans="1:1" x14ac:dyDescent="0.35">
      <c r="A2602" t="s">
        <v>8635</v>
      </c>
    </row>
    <row r="2603" spans="1:1" x14ac:dyDescent="0.35">
      <c r="A2603" t="s">
        <v>8639</v>
      </c>
    </row>
    <row r="2604" spans="1:1" x14ac:dyDescent="0.35">
      <c r="A2604" t="s">
        <v>8642</v>
      </c>
    </row>
    <row r="2605" spans="1:1" x14ac:dyDescent="0.35">
      <c r="A2605" t="s">
        <v>8645</v>
      </c>
    </row>
    <row r="2606" spans="1:1" x14ac:dyDescent="0.35">
      <c r="A2606" t="s">
        <v>8648</v>
      </c>
    </row>
    <row r="2607" spans="1:1" x14ac:dyDescent="0.35">
      <c r="A2607" t="s">
        <v>8610</v>
      </c>
    </row>
    <row r="2608" spans="1:1" x14ac:dyDescent="0.35">
      <c r="A2608" t="s">
        <v>8614</v>
      </c>
    </row>
    <row r="2609" spans="1:1" x14ac:dyDescent="0.35">
      <c r="A2609" t="s">
        <v>8617</v>
      </c>
    </row>
    <row r="2610" spans="1:1" x14ac:dyDescent="0.35">
      <c r="A2610" t="s">
        <v>8621</v>
      </c>
    </row>
    <row r="2611" spans="1:1" x14ac:dyDescent="0.35">
      <c r="A2611" t="s">
        <v>8624</v>
      </c>
    </row>
    <row r="2612" spans="1:1" x14ac:dyDescent="0.35">
      <c r="A2612" t="s">
        <v>8627</v>
      </c>
    </row>
    <row r="2613" spans="1:1" x14ac:dyDescent="0.35">
      <c r="A2613" t="s">
        <v>8631</v>
      </c>
    </row>
    <row r="2614" spans="1:1" x14ac:dyDescent="0.35">
      <c r="A2614" t="s">
        <v>8635</v>
      </c>
    </row>
    <row r="2615" spans="1:1" x14ac:dyDescent="0.35">
      <c r="A2615" t="s">
        <v>8639</v>
      </c>
    </row>
    <row r="2616" spans="1:1" x14ac:dyDescent="0.35">
      <c r="A2616" t="s">
        <v>8642</v>
      </c>
    </row>
    <row r="2617" spans="1:1" x14ac:dyDescent="0.35">
      <c r="A2617" t="s">
        <v>8645</v>
      </c>
    </row>
    <row r="2618" spans="1:1" x14ac:dyDescent="0.35">
      <c r="A2618" t="s">
        <v>8648</v>
      </c>
    </row>
    <row r="2619" spans="1:1" x14ac:dyDescent="0.35">
      <c r="A2619" t="s">
        <v>8610</v>
      </c>
    </row>
    <row r="2620" spans="1:1" x14ac:dyDescent="0.35">
      <c r="A2620" t="s">
        <v>8614</v>
      </c>
    </row>
    <row r="2621" spans="1:1" x14ac:dyDescent="0.35">
      <c r="A2621" t="s">
        <v>8617</v>
      </c>
    </row>
    <row r="2622" spans="1:1" x14ac:dyDescent="0.35">
      <c r="A2622" t="s">
        <v>8621</v>
      </c>
    </row>
    <row r="2623" spans="1:1" x14ac:dyDescent="0.35">
      <c r="A2623" t="s">
        <v>8624</v>
      </c>
    </row>
    <row r="2624" spans="1:1" x14ac:dyDescent="0.35">
      <c r="A2624" t="s">
        <v>8627</v>
      </c>
    </row>
    <row r="2625" spans="1:1" x14ac:dyDescent="0.35">
      <c r="A2625" t="s">
        <v>8631</v>
      </c>
    </row>
    <row r="2626" spans="1:1" x14ac:dyDescent="0.35">
      <c r="A2626" t="s">
        <v>8635</v>
      </c>
    </row>
    <row r="2627" spans="1:1" x14ac:dyDescent="0.35">
      <c r="A2627" t="s">
        <v>8639</v>
      </c>
    </row>
    <row r="2628" spans="1:1" x14ac:dyDescent="0.35">
      <c r="A2628" t="s">
        <v>8642</v>
      </c>
    </row>
    <row r="2629" spans="1:1" x14ac:dyDescent="0.35">
      <c r="A2629" t="s">
        <v>8645</v>
      </c>
    </row>
    <row r="2630" spans="1:1" x14ac:dyDescent="0.35">
      <c r="A2630" t="s">
        <v>8648</v>
      </c>
    </row>
    <row r="2631" spans="1:1" x14ac:dyDescent="0.35">
      <c r="A2631" t="s">
        <v>8610</v>
      </c>
    </row>
    <row r="2632" spans="1:1" x14ac:dyDescent="0.35">
      <c r="A2632" t="s">
        <v>8614</v>
      </c>
    </row>
    <row r="2633" spans="1:1" x14ac:dyDescent="0.35">
      <c r="A2633" t="s">
        <v>8617</v>
      </c>
    </row>
    <row r="2634" spans="1:1" x14ac:dyDescent="0.35">
      <c r="A2634" t="s">
        <v>8621</v>
      </c>
    </row>
    <row r="2635" spans="1:1" x14ac:dyDescent="0.35">
      <c r="A2635" t="s">
        <v>8624</v>
      </c>
    </row>
    <row r="2636" spans="1:1" x14ac:dyDescent="0.35">
      <c r="A2636" t="s">
        <v>8627</v>
      </c>
    </row>
    <row r="2637" spans="1:1" x14ac:dyDescent="0.35">
      <c r="A2637" t="s">
        <v>8631</v>
      </c>
    </row>
    <row r="2638" spans="1:1" x14ac:dyDescent="0.35">
      <c r="A2638" t="s">
        <v>8635</v>
      </c>
    </row>
    <row r="2639" spans="1:1" x14ac:dyDescent="0.35">
      <c r="A2639" t="s">
        <v>8639</v>
      </c>
    </row>
    <row r="2640" spans="1:1" x14ac:dyDescent="0.35">
      <c r="A2640" t="s">
        <v>8642</v>
      </c>
    </row>
    <row r="2641" spans="1:1" x14ac:dyDescent="0.35">
      <c r="A2641" t="s">
        <v>8645</v>
      </c>
    </row>
    <row r="2642" spans="1:1" x14ac:dyDescent="0.35">
      <c r="A2642" t="s">
        <v>8648</v>
      </c>
    </row>
    <row r="2643" spans="1:1" x14ac:dyDescent="0.35">
      <c r="A2643" t="s">
        <v>8610</v>
      </c>
    </row>
    <row r="2644" spans="1:1" x14ac:dyDescent="0.35">
      <c r="A2644" t="s">
        <v>8614</v>
      </c>
    </row>
    <row r="2645" spans="1:1" x14ac:dyDescent="0.35">
      <c r="A2645" t="s">
        <v>8617</v>
      </c>
    </row>
    <row r="2646" spans="1:1" x14ac:dyDescent="0.35">
      <c r="A2646" t="s">
        <v>8621</v>
      </c>
    </row>
    <row r="2647" spans="1:1" x14ac:dyDescent="0.35">
      <c r="A2647" t="s">
        <v>8624</v>
      </c>
    </row>
    <row r="2648" spans="1:1" x14ac:dyDescent="0.35">
      <c r="A2648" t="s">
        <v>8627</v>
      </c>
    </row>
    <row r="2649" spans="1:1" x14ac:dyDescent="0.35">
      <c r="A2649" t="s">
        <v>8631</v>
      </c>
    </row>
    <row r="2650" spans="1:1" x14ac:dyDescent="0.35">
      <c r="A2650" t="s">
        <v>8635</v>
      </c>
    </row>
    <row r="2651" spans="1:1" x14ac:dyDescent="0.35">
      <c r="A2651" t="s">
        <v>8639</v>
      </c>
    </row>
    <row r="2652" spans="1:1" x14ac:dyDescent="0.35">
      <c r="A2652" t="s">
        <v>8642</v>
      </c>
    </row>
    <row r="2653" spans="1:1" x14ac:dyDescent="0.35">
      <c r="A2653" t="s">
        <v>8645</v>
      </c>
    </row>
    <row r="2654" spans="1:1" x14ac:dyDescent="0.35">
      <c r="A2654" t="s">
        <v>8648</v>
      </c>
    </row>
    <row r="2655" spans="1:1" x14ac:dyDescent="0.35">
      <c r="A2655" t="s">
        <v>8610</v>
      </c>
    </row>
    <row r="2656" spans="1:1" x14ac:dyDescent="0.35">
      <c r="A2656" t="s">
        <v>8614</v>
      </c>
    </row>
    <row r="2657" spans="1:1" x14ac:dyDescent="0.35">
      <c r="A2657" t="s">
        <v>8617</v>
      </c>
    </row>
    <row r="2658" spans="1:1" x14ac:dyDescent="0.35">
      <c r="A2658" t="s">
        <v>8621</v>
      </c>
    </row>
    <row r="2659" spans="1:1" x14ac:dyDescent="0.35">
      <c r="A2659" t="s">
        <v>8624</v>
      </c>
    </row>
    <row r="2660" spans="1:1" x14ac:dyDescent="0.35">
      <c r="A2660" t="s">
        <v>8627</v>
      </c>
    </row>
    <row r="2661" spans="1:1" x14ac:dyDescent="0.35">
      <c r="A2661" t="s">
        <v>8631</v>
      </c>
    </row>
    <row r="2662" spans="1:1" x14ac:dyDescent="0.35">
      <c r="A2662" t="s">
        <v>8635</v>
      </c>
    </row>
    <row r="2663" spans="1:1" x14ac:dyDescent="0.35">
      <c r="A2663" t="s">
        <v>8639</v>
      </c>
    </row>
    <row r="2664" spans="1:1" x14ac:dyDescent="0.35">
      <c r="A2664" t="s">
        <v>8642</v>
      </c>
    </row>
    <row r="2665" spans="1:1" x14ac:dyDescent="0.35">
      <c r="A2665" t="s">
        <v>8645</v>
      </c>
    </row>
    <row r="2666" spans="1:1" x14ac:dyDescent="0.35">
      <c r="A2666" t="s">
        <v>8648</v>
      </c>
    </row>
    <row r="2667" spans="1:1" x14ac:dyDescent="0.35">
      <c r="A2667" t="s">
        <v>8610</v>
      </c>
    </row>
    <row r="2668" spans="1:1" x14ac:dyDescent="0.35">
      <c r="A2668" t="s">
        <v>8614</v>
      </c>
    </row>
    <row r="2669" spans="1:1" x14ac:dyDescent="0.35">
      <c r="A2669" t="s">
        <v>8617</v>
      </c>
    </row>
    <row r="2670" spans="1:1" x14ac:dyDescent="0.35">
      <c r="A2670" t="s">
        <v>8621</v>
      </c>
    </row>
    <row r="2671" spans="1:1" x14ac:dyDescent="0.35">
      <c r="A2671" t="s">
        <v>8624</v>
      </c>
    </row>
    <row r="2672" spans="1:1" x14ac:dyDescent="0.35">
      <c r="A2672" t="s">
        <v>8627</v>
      </c>
    </row>
    <row r="2673" spans="1:1" x14ac:dyDescent="0.35">
      <c r="A2673" t="s">
        <v>8631</v>
      </c>
    </row>
    <row r="2674" spans="1:1" x14ac:dyDescent="0.35">
      <c r="A2674" t="s">
        <v>8635</v>
      </c>
    </row>
    <row r="2675" spans="1:1" x14ac:dyDescent="0.35">
      <c r="A2675" t="s">
        <v>8639</v>
      </c>
    </row>
    <row r="2676" spans="1:1" x14ac:dyDescent="0.35">
      <c r="A2676" t="s">
        <v>8642</v>
      </c>
    </row>
    <row r="2677" spans="1:1" x14ac:dyDescent="0.35">
      <c r="A2677" t="s">
        <v>8645</v>
      </c>
    </row>
    <row r="2678" spans="1:1" x14ac:dyDescent="0.35">
      <c r="A2678" t="s">
        <v>8648</v>
      </c>
    </row>
    <row r="2679" spans="1:1" x14ac:dyDescent="0.35">
      <c r="A2679" t="s">
        <v>8610</v>
      </c>
    </row>
    <row r="2680" spans="1:1" x14ac:dyDescent="0.35">
      <c r="A2680" t="s">
        <v>8614</v>
      </c>
    </row>
    <row r="2681" spans="1:1" x14ac:dyDescent="0.35">
      <c r="A2681" t="s">
        <v>8617</v>
      </c>
    </row>
    <row r="2682" spans="1:1" x14ac:dyDescent="0.35">
      <c r="A2682" t="s">
        <v>8621</v>
      </c>
    </row>
    <row r="2683" spans="1:1" x14ac:dyDescent="0.35">
      <c r="A2683" t="s">
        <v>8624</v>
      </c>
    </row>
    <row r="2684" spans="1:1" x14ac:dyDescent="0.35">
      <c r="A2684" t="s">
        <v>8627</v>
      </c>
    </row>
    <row r="2685" spans="1:1" x14ac:dyDescent="0.35">
      <c r="A2685" t="s">
        <v>8631</v>
      </c>
    </row>
    <row r="2686" spans="1:1" x14ac:dyDescent="0.35">
      <c r="A2686" t="s">
        <v>8635</v>
      </c>
    </row>
    <row r="2687" spans="1:1" x14ac:dyDescent="0.35">
      <c r="A2687" t="s">
        <v>8639</v>
      </c>
    </row>
    <row r="2688" spans="1:1" x14ac:dyDescent="0.35">
      <c r="A2688" t="s">
        <v>8642</v>
      </c>
    </row>
    <row r="2689" spans="1:1" x14ac:dyDescent="0.35">
      <c r="A2689" t="s">
        <v>8645</v>
      </c>
    </row>
    <row r="2690" spans="1:1" x14ac:dyDescent="0.35">
      <c r="A2690" t="s">
        <v>8648</v>
      </c>
    </row>
    <row r="2691" spans="1:1" x14ac:dyDescent="0.35">
      <c r="A2691" t="s">
        <v>8610</v>
      </c>
    </row>
    <row r="2692" spans="1:1" x14ac:dyDescent="0.35">
      <c r="A2692" t="s">
        <v>8614</v>
      </c>
    </row>
    <row r="2693" spans="1:1" x14ac:dyDescent="0.35">
      <c r="A2693" t="s">
        <v>8617</v>
      </c>
    </row>
    <row r="2694" spans="1:1" x14ac:dyDescent="0.35">
      <c r="A2694" t="s">
        <v>8621</v>
      </c>
    </row>
    <row r="2695" spans="1:1" x14ac:dyDescent="0.35">
      <c r="A2695" t="s">
        <v>8624</v>
      </c>
    </row>
    <row r="2696" spans="1:1" x14ac:dyDescent="0.35">
      <c r="A2696" t="s">
        <v>8627</v>
      </c>
    </row>
    <row r="2697" spans="1:1" x14ac:dyDescent="0.35">
      <c r="A2697" t="s">
        <v>8631</v>
      </c>
    </row>
    <row r="2698" spans="1:1" x14ac:dyDescent="0.35">
      <c r="A2698" t="s">
        <v>8635</v>
      </c>
    </row>
    <row r="2699" spans="1:1" x14ac:dyDescent="0.35">
      <c r="A2699" t="s">
        <v>8639</v>
      </c>
    </row>
    <row r="2700" spans="1:1" x14ac:dyDescent="0.35">
      <c r="A2700" t="s">
        <v>8642</v>
      </c>
    </row>
    <row r="2701" spans="1:1" x14ac:dyDescent="0.35">
      <c r="A2701" t="s">
        <v>8645</v>
      </c>
    </row>
    <row r="2702" spans="1:1" x14ac:dyDescent="0.35">
      <c r="A2702" t="s">
        <v>8648</v>
      </c>
    </row>
    <row r="2703" spans="1:1" x14ac:dyDescent="0.35">
      <c r="A2703" t="s">
        <v>8610</v>
      </c>
    </row>
    <row r="2704" spans="1:1" x14ac:dyDescent="0.35">
      <c r="A2704" t="s">
        <v>8614</v>
      </c>
    </row>
    <row r="2705" spans="1:1" x14ac:dyDescent="0.35">
      <c r="A2705" t="s">
        <v>8617</v>
      </c>
    </row>
    <row r="2706" spans="1:1" x14ac:dyDescent="0.35">
      <c r="A2706" t="s">
        <v>8621</v>
      </c>
    </row>
    <row r="2707" spans="1:1" x14ac:dyDescent="0.35">
      <c r="A2707" t="s">
        <v>8624</v>
      </c>
    </row>
    <row r="2708" spans="1:1" x14ac:dyDescent="0.35">
      <c r="A2708" t="s">
        <v>8627</v>
      </c>
    </row>
    <row r="2709" spans="1:1" x14ac:dyDescent="0.35">
      <c r="A2709" t="s">
        <v>8631</v>
      </c>
    </row>
    <row r="2710" spans="1:1" x14ac:dyDescent="0.35">
      <c r="A2710" t="s">
        <v>8635</v>
      </c>
    </row>
    <row r="2711" spans="1:1" x14ac:dyDescent="0.35">
      <c r="A2711" t="s">
        <v>8639</v>
      </c>
    </row>
    <row r="2712" spans="1:1" x14ac:dyDescent="0.35">
      <c r="A2712" t="s">
        <v>8642</v>
      </c>
    </row>
    <row r="2713" spans="1:1" x14ac:dyDescent="0.35">
      <c r="A2713" t="s">
        <v>8645</v>
      </c>
    </row>
    <row r="2714" spans="1:1" x14ac:dyDescent="0.35">
      <c r="A2714" t="s">
        <v>8648</v>
      </c>
    </row>
    <row r="2715" spans="1:1" x14ac:dyDescent="0.35">
      <c r="A2715" t="s">
        <v>8610</v>
      </c>
    </row>
    <row r="2716" spans="1:1" x14ac:dyDescent="0.35">
      <c r="A2716" t="s">
        <v>8614</v>
      </c>
    </row>
    <row r="2717" spans="1:1" x14ac:dyDescent="0.35">
      <c r="A2717" t="s">
        <v>8617</v>
      </c>
    </row>
    <row r="2718" spans="1:1" x14ac:dyDescent="0.35">
      <c r="A2718" t="s">
        <v>8621</v>
      </c>
    </row>
    <row r="2719" spans="1:1" x14ac:dyDescent="0.35">
      <c r="A2719" t="s">
        <v>8624</v>
      </c>
    </row>
    <row r="2720" spans="1:1" x14ac:dyDescent="0.35">
      <c r="A2720" t="s">
        <v>8627</v>
      </c>
    </row>
    <row r="2721" spans="1:1" x14ac:dyDescent="0.35">
      <c r="A2721" t="s">
        <v>8631</v>
      </c>
    </row>
    <row r="2722" spans="1:1" x14ac:dyDescent="0.35">
      <c r="A2722" t="s">
        <v>8635</v>
      </c>
    </row>
    <row r="2723" spans="1:1" x14ac:dyDescent="0.35">
      <c r="A2723" t="s">
        <v>8639</v>
      </c>
    </row>
    <row r="2724" spans="1:1" x14ac:dyDescent="0.35">
      <c r="A2724" t="s">
        <v>8642</v>
      </c>
    </row>
    <row r="2725" spans="1:1" x14ac:dyDescent="0.35">
      <c r="A2725" t="s">
        <v>8645</v>
      </c>
    </row>
    <row r="2726" spans="1:1" x14ac:dyDescent="0.35">
      <c r="A2726" t="s">
        <v>8648</v>
      </c>
    </row>
    <row r="2727" spans="1:1" x14ac:dyDescent="0.35">
      <c r="A2727" t="s">
        <v>8610</v>
      </c>
    </row>
    <row r="2728" spans="1:1" x14ac:dyDescent="0.35">
      <c r="A2728" t="s">
        <v>8614</v>
      </c>
    </row>
    <row r="2729" spans="1:1" x14ac:dyDescent="0.35">
      <c r="A2729" t="s">
        <v>8617</v>
      </c>
    </row>
    <row r="2730" spans="1:1" x14ac:dyDescent="0.35">
      <c r="A2730" t="s">
        <v>8621</v>
      </c>
    </row>
    <row r="2731" spans="1:1" x14ac:dyDescent="0.35">
      <c r="A2731" t="s">
        <v>8624</v>
      </c>
    </row>
    <row r="2732" spans="1:1" x14ac:dyDescent="0.35">
      <c r="A2732" t="s">
        <v>8627</v>
      </c>
    </row>
    <row r="2733" spans="1:1" x14ac:dyDescent="0.35">
      <c r="A2733" t="s">
        <v>8631</v>
      </c>
    </row>
    <row r="2734" spans="1:1" x14ac:dyDescent="0.35">
      <c r="A2734" t="s">
        <v>8635</v>
      </c>
    </row>
    <row r="2735" spans="1:1" x14ac:dyDescent="0.35">
      <c r="A2735" t="s">
        <v>8639</v>
      </c>
    </row>
    <row r="2736" spans="1:1" x14ac:dyDescent="0.35">
      <c r="A2736" t="s">
        <v>8642</v>
      </c>
    </row>
    <row r="2737" spans="1:1" x14ac:dyDescent="0.35">
      <c r="A2737" t="s">
        <v>8645</v>
      </c>
    </row>
    <row r="2738" spans="1:1" x14ac:dyDescent="0.35">
      <c r="A2738" t="s">
        <v>8648</v>
      </c>
    </row>
    <row r="2739" spans="1:1" x14ac:dyDescent="0.35">
      <c r="A2739" t="s">
        <v>8610</v>
      </c>
    </row>
    <row r="2740" spans="1:1" x14ac:dyDescent="0.35">
      <c r="A2740" t="s">
        <v>8614</v>
      </c>
    </row>
    <row r="2741" spans="1:1" x14ac:dyDescent="0.35">
      <c r="A2741" t="s">
        <v>8617</v>
      </c>
    </row>
    <row r="2742" spans="1:1" x14ac:dyDescent="0.35">
      <c r="A2742" t="s">
        <v>8621</v>
      </c>
    </row>
    <row r="2743" spans="1:1" x14ac:dyDescent="0.35">
      <c r="A2743" t="s">
        <v>8624</v>
      </c>
    </row>
    <row r="2744" spans="1:1" x14ac:dyDescent="0.35">
      <c r="A2744" t="s">
        <v>8627</v>
      </c>
    </row>
    <row r="2745" spans="1:1" x14ac:dyDescent="0.35">
      <c r="A2745" t="s">
        <v>8631</v>
      </c>
    </row>
    <row r="2746" spans="1:1" x14ac:dyDescent="0.35">
      <c r="A2746" t="s">
        <v>8635</v>
      </c>
    </row>
    <row r="2747" spans="1:1" x14ac:dyDescent="0.35">
      <c r="A2747" t="s">
        <v>8639</v>
      </c>
    </row>
    <row r="2748" spans="1:1" x14ac:dyDescent="0.35">
      <c r="A2748" t="s">
        <v>8642</v>
      </c>
    </row>
    <row r="2749" spans="1:1" x14ac:dyDescent="0.35">
      <c r="A2749" t="s">
        <v>8645</v>
      </c>
    </row>
    <row r="2750" spans="1:1" x14ac:dyDescent="0.35">
      <c r="A2750" t="s">
        <v>8648</v>
      </c>
    </row>
    <row r="2751" spans="1:1" x14ac:dyDescent="0.35">
      <c r="A2751" t="s">
        <v>8610</v>
      </c>
    </row>
    <row r="2752" spans="1:1" x14ac:dyDescent="0.35">
      <c r="A2752" t="s">
        <v>8614</v>
      </c>
    </row>
    <row r="2753" spans="1:1" x14ac:dyDescent="0.35">
      <c r="A2753" t="s">
        <v>8617</v>
      </c>
    </row>
    <row r="2754" spans="1:1" x14ac:dyDescent="0.35">
      <c r="A2754" t="s">
        <v>8621</v>
      </c>
    </row>
    <row r="2755" spans="1:1" x14ac:dyDescent="0.35">
      <c r="A2755" t="s">
        <v>8624</v>
      </c>
    </row>
    <row r="2756" spans="1:1" x14ac:dyDescent="0.35">
      <c r="A2756" t="s">
        <v>8627</v>
      </c>
    </row>
    <row r="2757" spans="1:1" x14ac:dyDescent="0.35">
      <c r="A2757" t="s">
        <v>8631</v>
      </c>
    </row>
    <row r="2758" spans="1:1" x14ac:dyDescent="0.35">
      <c r="A2758" t="s">
        <v>8635</v>
      </c>
    </row>
    <row r="2759" spans="1:1" x14ac:dyDescent="0.35">
      <c r="A2759" t="s">
        <v>8639</v>
      </c>
    </row>
    <row r="2760" spans="1:1" x14ac:dyDescent="0.35">
      <c r="A2760" t="s">
        <v>8642</v>
      </c>
    </row>
    <row r="2761" spans="1:1" x14ac:dyDescent="0.35">
      <c r="A2761" t="s">
        <v>8645</v>
      </c>
    </row>
    <row r="2762" spans="1:1" x14ac:dyDescent="0.35">
      <c r="A2762" t="s">
        <v>8648</v>
      </c>
    </row>
    <row r="2763" spans="1:1" x14ac:dyDescent="0.35">
      <c r="A2763" t="s">
        <v>8610</v>
      </c>
    </row>
    <row r="2764" spans="1:1" x14ac:dyDescent="0.35">
      <c r="A2764" t="s">
        <v>8614</v>
      </c>
    </row>
    <row r="2765" spans="1:1" x14ac:dyDescent="0.35">
      <c r="A2765" t="s">
        <v>8617</v>
      </c>
    </row>
    <row r="2766" spans="1:1" x14ac:dyDescent="0.35">
      <c r="A2766" t="s">
        <v>8621</v>
      </c>
    </row>
    <row r="2767" spans="1:1" x14ac:dyDescent="0.35">
      <c r="A2767" t="s">
        <v>8624</v>
      </c>
    </row>
    <row r="2768" spans="1:1" x14ac:dyDescent="0.35">
      <c r="A2768" t="s">
        <v>8627</v>
      </c>
    </row>
    <row r="2769" spans="1:1" x14ac:dyDescent="0.35">
      <c r="A2769" t="s">
        <v>8631</v>
      </c>
    </row>
    <row r="2770" spans="1:1" x14ac:dyDescent="0.35">
      <c r="A2770" t="s">
        <v>8635</v>
      </c>
    </row>
    <row r="2771" spans="1:1" x14ac:dyDescent="0.35">
      <c r="A2771" t="s">
        <v>8639</v>
      </c>
    </row>
    <row r="2772" spans="1:1" x14ac:dyDescent="0.35">
      <c r="A2772" t="s">
        <v>8642</v>
      </c>
    </row>
    <row r="2773" spans="1:1" x14ac:dyDescent="0.35">
      <c r="A2773" t="s">
        <v>8645</v>
      </c>
    </row>
    <row r="2774" spans="1:1" x14ac:dyDescent="0.35">
      <c r="A2774" t="s">
        <v>8648</v>
      </c>
    </row>
    <row r="2775" spans="1:1" x14ac:dyDescent="0.35">
      <c r="A2775" t="s">
        <v>8610</v>
      </c>
    </row>
    <row r="2776" spans="1:1" x14ac:dyDescent="0.35">
      <c r="A2776" t="s">
        <v>8614</v>
      </c>
    </row>
    <row r="2777" spans="1:1" x14ac:dyDescent="0.35">
      <c r="A2777" t="s">
        <v>8617</v>
      </c>
    </row>
    <row r="2778" spans="1:1" x14ac:dyDescent="0.35">
      <c r="A2778" t="s">
        <v>8621</v>
      </c>
    </row>
    <row r="2779" spans="1:1" x14ac:dyDescent="0.35">
      <c r="A2779" t="s">
        <v>8624</v>
      </c>
    </row>
    <row r="2780" spans="1:1" x14ac:dyDescent="0.35">
      <c r="A2780" t="s">
        <v>8627</v>
      </c>
    </row>
    <row r="2781" spans="1:1" x14ac:dyDescent="0.35">
      <c r="A2781" t="s">
        <v>8631</v>
      </c>
    </row>
    <row r="2782" spans="1:1" x14ac:dyDescent="0.35">
      <c r="A2782" t="s">
        <v>8635</v>
      </c>
    </row>
    <row r="2783" spans="1:1" x14ac:dyDescent="0.35">
      <c r="A2783" t="s">
        <v>8639</v>
      </c>
    </row>
    <row r="2784" spans="1:1" x14ac:dyDescent="0.35">
      <c r="A2784" t="s">
        <v>8642</v>
      </c>
    </row>
    <row r="2785" spans="1:1" x14ac:dyDescent="0.35">
      <c r="A2785" t="s">
        <v>8645</v>
      </c>
    </row>
    <row r="2786" spans="1:1" x14ac:dyDescent="0.35">
      <c r="A2786" t="s">
        <v>8648</v>
      </c>
    </row>
    <row r="2787" spans="1:1" x14ac:dyDescent="0.35">
      <c r="A2787" t="s">
        <v>8610</v>
      </c>
    </row>
    <row r="2788" spans="1:1" x14ac:dyDescent="0.35">
      <c r="A2788" t="s">
        <v>8614</v>
      </c>
    </row>
    <row r="2789" spans="1:1" x14ac:dyDescent="0.35">
      <c r="A2789" t="s">
        <v>8617</v>
      </c>
    </row>
    <row r="2790" spans="1:1" x14ac:dyDescent="0.35">
      <c r="A2790" t="s">
        <v>8621</v>
      </c>
    </row>
    <row r="2791" spans="1:1" x14ac:dyDescent="0.35">
      <c r="A2791" t="s">
        <v>8624</v>
      </c>
    </row>
    <row r="2792" spans="1:1" x14ac:dyDescent="0.35">
      <c r="A2792" t="s">
        <v>8627</v>
      </c>
    </row>
    <row r="2793" spans="1:1" x14ac:dyDescent="0.35">
      <c r="A2793" t="s">
        <v>8631</v>
      </c>
    </row>
    <row r="2794" spans="1:1" x14ac:dyDescent="0.35">
      <c r="A2794" t="s">
        <v>8635</v>
      </c>
    </row>
    <row r="2795" spans="1:1" x14ac:dyDescent="0.35">
      <c r="A2795" t="s">
        <v>8639</v>
      </c>
    </row>
    <row r="2796" spans="1:1" x14ac:dyDescent="0.35">
      <c r="A2796" t="s">
        <v>8642</v>
      </c>
    </row>
    <row r="2797" spans="1:1" x14ac:dyDescent="0.35">
      <c r="A2797" t="s">
        <v>8645</v>
      </c>
    </row>
    <row r="2798" spans="1:1" x14ac:dyDescent="0.35">
      <c r="A2798" t="s">
        <v>8648</v>
      </c>
    </row>
    <row r="2799" spans="1:1" x14ac:dyDescent="0.35">
      <c r="A2799" t="s">
        <v>8610</v>
      </c>
    </row>
    <row r="2800" spans="1:1" x14ac:dyDescent="0.35">
      <c r="A2800" t="s">
        <v>8614</v>
      </c>
    </row>
    <row r="2801" spans="1:1" x14ac:dyDescent="0.35">
      <c r="A2801" t="s">
        <v>8617</v>
      </c>
    </row>
    <row r="2802" spans="1:1" x14ac:dyDescent="0.35">
      <c r="A2802" t="s">
        <v>8621</v>
      </c>
    </row>
    <row r="2803" spans="1:1" x14ac:dyDescent="0.35">
      <c r="A2803" t="s">
        <v>8624</v>
      </c>
    </row>
    <row r="2804" spans="1:1" x14ac:dyDescent="0.35">
      <c r="A2804" t="s">
        <v>8627</v>
      </c>
    </row>
    <row r="2805" spans="1:1" x14ac:dyDescent="0.35">
      <c r="A2805" t="s">
        <v>8631</v>
      </c>
    </row>
    <row r="2806" spans="1:1" x14ac:dyDescent="0.35">
      <c r="A2806" t="s">
        <v>8635</v>
      </c>
    </row>
    <row r="2807" spans="1:1" x14ac:dyDescent="0.35">
      <c r="A2807" t="s">
        <v>8639</v>
      </c>
    </row>
    <row r="2808" spans="1:1" x14ac:dyDescent="0.35">
      <c r="A2808" t="s">
        <v>8642</v>
      </c>
    </row>
    <row r="2809" spans="1:1" x14ac:dyDescent="0.35">
      <c r="A2809" t="s">
        <v>8645</v>
      </c>
    </row>
    <row r="2810" spans="1:1" x14ac:dyDescent="0.35">
      <c r="A2810" t="s">
        <v>8648</v>
      </c>
    </row>
    <row r="2811" spans="1:1" x14ac:dyDescent="0.35">
      <c r="A2811" t="s">
        <v>8610</v>
      </c>
    </row>
    <row r="2812" spans="1:1" x14ac:dyDescent="0.35">
      <c r="A2812" t="s">
        <v>8614</v>
      </c>
    </row>
    <row r="2813" spans="1:1" x14ac:dyDescent="0.35">
      <c r="A2813" t="s">
        <v>8617</v>
      </c>
    </row>
    <row r="2814" spans="1:1" x14ac:dyDescent="0.35">
      <c r="A2814" t="s">
        <v>8621</v>
      </c>
    </row>
    <row r="2815" spans="1:1" x14ac:dyDescent="0.35">
      <c r="A2815" t="s">
        <v>8624</v>
      </c>
    </row>
    <row r="2816" spans="1:1" x14ac:dyDescent="0.35">
      <c r="A2816" t="s">
        <v>8627</v>
      </c>
    </row>
    <row r="2817" spans="1:1" x14ac:dyDescent="0.35">
      <c r="A2817" t="s">
        <v>8631</v>
      </c>
    </row>
    <row r="2818" spans="1:1" x14ac:dyDescent="0.35">
      <c r="A2818" t="s">
        <v>8635</v>
      </c>
    </row>
    <row r="2819" spans="1:1" x14ac:dyDescent="0.35">
      <c r="A2819" t="s">
        <v>8639</v>
      </c>
    </row>
    <row r="2820" spans="1:1" x14ac:dyDescent="0.35">
      <c r="A2820" t="s">
        <v>8642</v>
      </c>
    </row>
    <row r="2821" spans="1:1" x14ac:dyDescent="0.35">
      <c r="A2821" t="s">
        <v>8645</v>
      </c>
    </row>
    <row r="2822" spans="1:1" x14ac:dyDescent="0.35">
      <c r="A2822" t="s">
        <v>8648</v>
      </c>
    </row>
    <row r="2823" spans="1:1" x14ac:dyDescent="0.35">
      <c r="A2823" t="s">
        <v>8610</v>
      </c>
    </row>
    <row r="2824" spans="1:1" x14ac:dyDescent="0.35">
      <c r="A2824" t="s">
        <v>8614</v>
      </c>
    </row>
    <row r="2825" spans="1:1" x14ac:dyDescent="0.35">
      <c r="A2825" t="s">
        <v>8617</v>
      </c>
    </row>
    <row r="2826" spans="1:1" x14ac:dyDescent="0.35">
      <c r="A2826" t="s">
        <v>8621</v>
      </c>
    </row>
    <row r="2827" spans="1:1" x14ac:dyDescent="0.35">
      <c r="A2827" t="s">
        <v>8624</v>
      </c>
    </row>
    <row r="2828" spans="1:1" x14ac:dyDescent="0.35">
      <c r="A2828" t="s">
        <v>8627</v>
      </c>
    </row>
    <row r="2829" spans="1:1" x14ac:dyDescent="0.35">
      <c r="A2829" t="s">
        <v>8631</v>
      </c>
    </row>
    <row r="2830" spans="1:1" x14ac:dyDescent="0.35">
      <c r="A2830" t="s">
        <v>8635</v>
      </c>
    </row>
    <row r="2831" spans="1:1" x14ac:dyDescent="0.35">
      <c r="A2831" t="s">
        <v>8639</v>
      </c>
    </row>
    <row r="2832" spans="1:1" x14ac:dyDescent="0.35">
      <c r="A2832" t="s">
        <v>8642</v>
      </c>
    </row>
    <row r="2833" spans="1:1" x14ac:dyDescent="0.35">
      <c r="A2833" t="s">
        <v>8645</v>
      </c>
    </row>
    <row r="2834" spans="1:1" x14ac:dyDescent="0.35">
      <c r="A2834" t="s">
        <v>8648</v>
      </c>
    </row>
    <row r="2835" spans="1:1" x14ac:dyDescent="0.35">
      <c r="A2835" t="s">
        <v>8610</v>
      </c>
    </row>
    <row r="2836" spans="1:1" x14ac:dyDescent="0.35">
      <c r="A2836" t="s">
        <v>8614</v>
      </c>
    </row>
    <row r="2837" spans="1:1" x14ac:dyDescent="0.35">
      <c r="A2837" t="s">
        <v>8617</v>
      </c>
    </row>
    <row r="2838" spans="1:1" x14ac:dyDescent="0.35">
      <c r="A2838" t="s">
        <v>8621</v>
      </c>
    </row>
    <row r="2839" spans="1:1" x14ac:dyDescent="0.35">
      <c r="A2839" t="s">
        <v>8624</v>
      </c>
    </row>
    <row r="2840" spans="1:1" x14ac:dyDescent="0.35">
      <c r="A2840" t="s">
        <v>8627</v>
      </c>
    </row>
    <row r="2841" spans="1:1" x14ac:dyDescent="0.35">
      <c r="A2841" t="s">
        <v>8631</v>
      </c>
    </row>
    <row r="2842" spans="1:1" x14ac:dyDescent="0.35">
      <c r="A2842" t="s">
        <v>8635</v>
      </c>
    </row>
    <row r="2843" spans="1:1" x14ac:dyDescent="0.35">
      <c r="A2843" t="s">
        <v>8639</v>
      </c>
    </row>
    <row r="2844" spans="1:1" x14ac:dyDescent="0.35">
      <c r="A2844" t="s">
        <v>8642</v>
      </c>
    </row>
    <row r="2845" spans="1:1" x14ac:dyDescent="0.35">
      <c r="A2845" t="s">
        <v>8645</v>
      </c>
    </row>
    <row r="2846" spans="1:1" x14ac:dyDescent="0.35">
      <c r="A2846" t="s">
        <v>8648</v>
      </c>
    </row>
    <row r="2847" spans="1:1" x14ac:dyDescent="0.35">
      <c r="A2847" t="s">
        <v>8610</v>
      </c>
    </row>
    <row r="2848" spans="1:1" x14ac:dyDescent="0.35">
      <c r="A2848" t="s">
        <v>8614</v>
      </c>
    </row>
    <row r="2849" spans="1:1" x14ac:dyDescent="0.35">
      <c r="A2849" t="s">
        <v>8617</v>
      </c>
    </row>
    <row r="2850" spans="1:1" x14ac:dyDescent="0.35">
      <c r="A2850" t="s">
        <v>8621</v>
      </c>
    </row>
    <row r="2851" spans="1:1" x14ac:dyDescent="0.35">
      <c r="A2851" t="s">
        <v>8624</v>
      </c>
    </row>
    <row r="2852" spans="1:1" x14ac:dyDescent="0.35">
      <c r="A2852" t="s">
        <v>8627</v>
      </c>
    </row>
    <row r="2853" spans="1:1" x14ac:dyDescent="0.35">
      <c r="A2853" t="s">
        <v>8631</v>
      </c>
    </row>
    <row r="2854" spans="1:1" x14ac:dyDescent="0.35">
      <c r="A2854" t="s">
        <v>8635</v>
      </c>
    </row>
    <row r="2855" spans="1:1" x14ac:dyDescent="0.35">
      <c r="A2855" t="s">
        <v>8639</v>
      </c>
    </row>
    <row r="2856" spans="1:1" x14ac:dyDescent="0.35">
      <c r="A2856" t="s">
        <v>8642</v>
      </c>
    </row>
    <row r="2857" spans="1:1" x14ac:dyDescent="0.35">
      <c r="A2857" t="s">
        <v>8645</v>
      </c>
    </row>
    <row r="2858" spans="1:1" x14ac:dyDescent="0.35">
      <c r="A2858" t="s">
        <v>8648</v>
      </c>
    </row>
    <row r="2859" spans="1:1" x14ac:dyDescent="0.35">
      <c r="A2859" t="s">
        <v>8610</v>
      </c>
    </row>
    <row r="2860" spans="1:1" x14ac:dyDescent="0.35">
      <c r="A2860" t="s">
        <v>8614</v>
      </c>
    </row>
    <row r="2861" spans="1:1" x14ac:dyDescent="0.35">
      <c r="A2861" t="s">
        <v>8617</v>
      </c>
    </row>
    <row r="2862" spans="1:1" x14ac:dyDescent="0.35">
      <c r="A2862" t="s">
        <v>8621</v>
      </c>
    </row>
    <row r="2863" spans="1:1" x14ac:dyDescent="0.35">
      <c r="A2863" t="s">
        <v>8624</v>
      </c>
    </row>
    <row r="2864" spans="1:1" x14ac:dyDescent="0.35">
      <c r="A2864" t="s">
        <v>8627</v>
      </c>
    </row>
    <row r="2865" spans="1:1" x14ac:dyDescent="0.35">
      <c r="A2865" t="s">
        <v>8631</v>
      </c>
    </row>
    <row r="2866" spans="1:1" x14ac:dyDescent="0.35">
      <c r="A2866" t="s">
        <v>8635</v>
      </c>
    </row>
    <row r="2867" spans="1:1" x14ac:dyDescent="0.35">
      <c r="A2867" t="s">
        <v>8639</v>
      </c>
    </row>
    <row r="2868" spans="1:1" x14ac:dyDescent="0.35">
      <c r="A2868" t="s">
        <v>8642</v>
      </c>
    </row>
    <row r="2869" spans="1:1" x14ac:dyDescent="0.35">
      <c r="A2869" t="s">
        <v>8645</v>
      </c>
    </row>
    <row r="2870" spans="1:1" x14ac:dyDescent="0.35">
      <c r="A2870" t="s">
        <v>8648</v>
      </c>
    </row>
    <row r="2871" spans="1:1" x14ac:dyDescent="0.35">
      <c r="A2871" t="s">
        <v>8610</v>
      </c>
    </row>
    <row r="2872" spans="1:1" x14ac:dyDescent="0.35">
      <c r="A2872" t="s">
        <v>8614</v>
      </c>
    </row>
    <row r="2873" spans="1:1" x14ac:dyDescent="0.35">
      <c r="A2873" t="s">
        <v>8617</v>
      </c>
    </row>
    <row r="2874" spans="1:1" x14ac:dyDescent="0.35">
      <c r="A2874" t="s">
        <v>8621</v>
      </c>
    </row>
    <row r="2875" spans="1:1" x14ac:dyDescent="0.35">
      <c r="A2875" t="s">
        <v>8624</v>
      </c>
    </row>
    <row r="2876" spans="1:1" x14ac:dyDescent="0.35">
      <c r="A2876" t="s">
        <v>8627</v>
      </c>
    </row>
    <row r="2877" spans="1:1" x14ac:dyDescent="0.35">
      <c r="A2877" t="s">
        <v>8631</v>
      </c>
    </row>
    <row r="2878" spans="1:1" x14ac:dyDescent="0.35">
      <c r="A2878" t="s">
        <v>8635</v>
      </c>
    </row>
    <row r="2879" spans="1:1" x14ac:dyDescent="0.35">
      <c r="A2879" t="s">
        <v>8639</v>
      </c>
    </row>
    <row r="2880" spans="1:1" x14ac:dyDescent="0.35">
      <c r="A2880" t="s">
        <v>8642</v>
      </c>
    </row>
    <row r="2881" spans="1:1" x14ac:dyDescent="0.35">
      <c r="A2881" t="s">
        <v>8645</v>
      </c>
    </row>
    <row r="2882" spans="1:1" x14ac:dyDescent="0.35">
      <c r="A2882" t="s">
        <v>8648</v>
      </c>
    </row>
    <row r="2883" spans="1:1" x14ac:dyDescent="0.35">
      <c r="A2883" t="s">
        <v>8610</v>
      </c>
    </row>
    <row r="2884" spans="1:1" x14ac:dyDescent="0.35">
      <c r="A2884" t="s">
        <v>8614</v>
      </c>
    </row>
    <row r="2885" spans="1:1" x14ac:dyDescent="0.35">
      <c r="A2885" t="s">
        <v>8617</v>
      </c>
    </row>
    <row r="2886" spans="1:1" x14ac:dyDescent="0.35">
      <c r="A2886" t="s">
        <v>8621</v>
      </c>
    </row>
    <row r="2887" spans="1:1" x14ac:dyDescent="0.35">
      <c r="A2887" t="s">
        <v>8624</v>
      </c>
    </row>
    <row r="2888" spans="1:1" x14ac:dyDescent="0.35">
      <c r="A2888" t="s">
        <v>8627</v>
      </c>
    </row>
    <row r="2889" spans="1:1" x14ac:dyDescent="0.35">
      <c r="A2889" t="s">
        <v>8631</v>
      </c>
    </row>
    <row r="2890" spans="1:1" x14ac:dyDescent="0.35">
      <c r="A2890" t="s">
        <v>8635</v>
      </c>
    </row>
    <row r="2891" spans="1:1" x14ac:dyDescent="0.35">
      <c r="A2891" t="s">
        <v>8639</v>
      </c>
    </row>
    <row r="2892" spans="1:1" x14ac:dyDescent="0.35">
      <c r="A2892" t="s">
        <v>8642</v>
      </c>
    </row>
    <row r="2893" spans="1:1" x14ac:dyDescent="0.35">
      <c r="A2893" t="s">
        <v>8645</v>
      </c>
    </row>
    <row r="2894" spans="1:1" x14ac:dyDescent="0.35">
      <c r="A2894" t="s">
        <v>8648</v>
      </c>
    </row>
    <row r="2895" spans="1:1" x14ac:dyDescent="0.35">
      <c r="A2895" t="s">
        <v>8610</v>
      </c>
    </row>
    <row r="2896" spans="1:1" x14ac:dyDescent="0.35">
      <c r="A2896" t="s">
        <v>8614</v>
      </c>
    </row>
    <row r="2897" spans="1:1" x14ac:dyDescent="0.35">
      <c r="A2897" t="s">
        <v>8617</v>
      </c>
    </row>
    <row r="2898" spans="1:1" x14ac:dyDescent="0.35">
      <c r="A2898" t="s">
        <v>8621</v>
      </c>
    </row>
    <row r="2899" spans="1:1" x14ac:dyDescent="0.35">
      <c r="A2899" t="s">
        <v>8624</v>
      </c>
    </row>
    <row r="2900" spans="1:1" x14ac:dyDescent="0.35">
      <c r="A2900" t="s">
        <v>8627</v>
      </c>
    </row>
    <row r="2901" spans="1:1" x14ac:dyDescent="0.35">
      <c r="A2901" t="s">
        <v>8631</v>
      </c>
    </row>
    <row r="2902" spans="1:1" x14ac:dyDescent="0.35">
      <c r="A2902" t="s">
        <v>8635</v>
      </c>
    </row>
    <row r="2903" spans="1:1" x14ac:dyDescent="0.35">
      <c r="A2903" t="s">
        <v>8639</v>
      </c>
    </row>
    <row r="2904" spans="1:1" x14ac:dyDescent="0.35">
      <c r="A2904" t="s">
        <v>8642</v>
      </c>
    </row>
    <row r="2905" spans="1:1" x14ac:dyDescent="0.35">
      <c r="A2905" t="s">
        <v>8645</v>
      </c>
    </row>
    <row r="2906" spans="1:1" x14ac:dyDescent="0.35">
      <c r="A2906" t="s">
        <v>8648</v>
      </c>
    </row>
    <row r="2907" spans="1:1" x14ac:dyDescent="0.35">
      <c r="A2907" t="s">
        <v>8610</v>
      </c>
    </row>
    <row r="2908" spans="1:1" x14ac:dyDescent="0.35">
      <c r="A2908" t="s">
        <v>8614</v>
      </c>
    </row>
    <row r="2909" spans="1:1" x14ac:dyDescent="0.35">
      <c r="A2909" t="s">
        <v>8617</v>
      </c>
    </row>
    <row r="2910" spans="1:1" x14ac:dyDescent="0.35">
      <c r="A2910" t="s">
        <v>8621</v>
      </c>
    </row>
    <row r="2911" spans="1:1" x14ac:dyDescent="0.35">
      <c r="A2911" t="s">
        <v>8624</v>
      </c>
    </row>
    <row r="2912" spans="1:1" x14ac:dyDescent="0.35">
      <c r="A2912" t="s">
        <v>8627</v>
      </c>
    </row>
    <row r="2913" spans="1:1" x14ac:dyDescent="0.35">
      <c r="A2913" t="s">
        <v>8631</v>
      </c>
    </row>
    <row r="2914" spans="1:1" x14ac:dyDescent="0.35">
      <c r="A2914" t="s">
        <v>8635</v>
      </c>
    </row>
    <row r="2915" spans="1:1" x14ac:dyDescent="0.35">
      <c r="A2915" t="s">
        <v>8639</v>
      </c>
    </row>
    <row r="2916" spans="1:1" x14ac:dyDescent="0.35">
      <c r="A2916" t="s">
        <v>8642</v>
      </c>
    </row>
    <row r="2917" spans="1:1" x14ac:dyDescent="0.35">
      <c r="A2917" t="s">
        <v>8645</v>
      </c>
    </row>
    <row r="2918" spans="1:1" x14ac:dyDescent="0.35">
      <c r="A2918" t="s">
        <v>8648</v>
      </c>
    </row>
    <row r="2919" spans="1:1" x14ac:dyDescent="0.35">
      <c r="A2919" t="s">
        <v>8610</v>
      </c>
    </row>
    <row r="2920" spans="1:1" x14ac:dyDescent="0.35">
      <c r="A2920" t="s">
        <v>8614</v>
      </c>
    </row>
    <row r="2921" spans="1:1" x14ac:dyDescent="0.35">
      <c r="A2921" t="s">
        <v>8617</v>
      </c>
    </row>
    <row r="2922" spans="1:1" x14ac:dyDescent="0.35">
      <c r="A2922" t="s">
        <v>8621</v>
      </c>
    </row>
    <row r="2923" spans="1:1" x14ac:dyDescent="0.35">
      <c r="A2923" t="s">
        <v>8624</v>
      </c>
    </row>
    <row r="2924" spans="1:1" x14ac:dyDescent="0.35">
      <c r="A2924" t="s">
        <v>8627</v>
      </c>
    </row>
    <row r="2925" spans="1:1" x14ac:dyDescent="0.35">
      <c r="A2925" t="s">
        <v>8631</v>
      </c>
    </row>
    <row r="2926" spans="1:1" x14ac:dyDescent="0.35">
      <c r="A2926" t="s">
        <v>8635</v>
      </c>
    </row>
    <row r="2927" spans="1:1" x14ac:dyDescent="0.35">
      <c r="A2927" t="s">
        <v>8639</v>
      </c>
    </row>
    <row r="2928" spans="1:1" x14ac:dyDescent="0.35">
      <c r="A2928" t="s">
        <v>8642</v>
      </c>
    </row>
    <row r="2929" spans="1:1" x14ac:dyDescent="0.35">
      <c r="A2929" t="s">
        <v>8645</v>
      </c>
    </row>
    <row r="2930" spans="1:1" x14ac:dyDescent="0.35">
      <c r="A2930" t="s">
        <v>8648</v>
      </c>
    </row>
    <row r="2931" spans="1:1" x14ac:dyDescent="0.35">
      <c r="A2931" t="s">
        <v>8610</v>
      </c>
    </row>
    <row r="2932" spans="1:1" x14ac:dyDescent="0.35">
      <c r="A2932" t="s">
        <v>8614</v>
      </c>
    </row>
    <row r="2933" spans="1:1" x14ac:dyDescent="0.35">
      <c r="A2933" t="s">
        <v>8617</v>
      </c>
    </row>
    <row r="2934" spans="1:1" x14ac:dyDescent="0.35">
      <c r="A2934" t="s">
        <v>8621</v>
      </c>
    </row>
    <row r="2935" spans="1:1" x14ac:dyDescent="0.35">
      <c r="A2935" t="s">
        <v>8624</v>
      </c>
    </row>
    <row r="2936" spans="1:1" x14ac:dyDescent="0.35">
      <c r="A2936" t="s">
        <v>8627</v>
      </c>
    </row>
    <row r="2937" spans="1:1" x14ac:dyDescent="0.35">
      <c r="A2937" t="s">
        <v>8631</v>
      </c>
    </row>
    <row r="2938" spans="1:1" x14ac:dyDescent="0.35">
      <c r="A2938" t="s">
        <v>8635</v>
      </c>
    </row>
    <row r="2939" spans="1:1" x14ac:dyDescent="0.35">
      <c r="A2939" t="s">
        <v>8639</v>
      </c>
    </row>
    <row r="2940" spans="1:1" x14ac:dyDescent="0.35">
      <c r="A2940" t="s">
        <v>8642</v>
      </c>
    </row>
    <row r="2941" spans="1:1" x14ac:dyDescent="0.35">
      <c r="A2941" t="s">
        <v>8645</v>
      </c>
    </row>
    <row r="2942" spans="1:1" x14ac:dyDescent="0.35">
      <c r="A2942" t="s">
        <v>8648</v>
      </c>
    </row>
    <row r="2943" spans="1:1" x14ac:dyDescent="0.35">
      <c r="A2943" t="s">
        <v>8610</v>
      </c>
    </row>
    <row r="2944" spans="1:1" x14ac:dyDescent="0.35">
      <c r="A2944" t="s">
        <v>8614</v>
      </c>
    </row>
    <row r="2945" spans="1:1" x14ac:dyDescent="0.35">
      <c r="A2945" t="s">
        <v>8617</v>
      </c>
    </row>
    <row r="2946" spans="1:1" x14ac:dyDescent="0.35">
      <c r="A2946" t="s">
        <v>8621</v>
      </c>
    </row>
    <row r="2947" spans="1:1" x14ac:dyDescent="0.35">
      <c r="A2947" t="s">
        <v>8624</v>
      </c>
    </row>
    <row r="2948" spans="1:1" x14ac:dyDescent="0.35">
      <c r="A2948" t="s">
        <v>8627</v>
      </c>
    </row>
    <row r="2949" spans="1:1" x14ac:dyDescent="0.35">
      <c r="A2949" t="s">
        <v>8631</v>
      </c>
    </row>
    <row r="2950" spans="1:1" x14ac:dyDescent="0.35">
      <c r="A2950" t="s">
        <v>8635</v>
      </c>
    </row>
    <row r="2951" spans="1:1" x14ac:dyDescent="0.35">
      <c r="A2951" t="s">
        <v>8639</v>
      </c>
    </row>
    <row r="2952" spans="1:1" x14ac:dyDescent="0.35">
      <c r="A2952" t="s">
        <v>8642</v>
      </c>
    </row>
    <row r="2953" spans="1:1" x14ac:dyDescent="0.35">
      <c r="A2953" t="s">
        <v>8645</v>
      </c>
    </row>
    <row r="2954" spans="1:1" x14ac:dyDescent="0.35">
      <c r="A2954" t="s">
        <v>8648</v>
      </c>
    </row>
    <row r="2955" spans="1:1" x14ac:dyDescent="0.35">
      <c r="A2955" t="s">
        <v>8610</v>
      </c>
    </row>
    <row r="2956" spans="1:1" x14ac:dyDescent="0.35">
      <c r="A2956" t="s">
        <v>8614</v>
      </c>
    </row>
    <row r="2957" spans="1:1" x14ac:dyDescent="0.35">
      <c r="A2957" t="s">
        <v>8617</v>
      </c>
    </row>
    <row r="2958" spans="1:1" x14ac:dyDescent="0.35">
      <c r="A2958" t="s">
        <v>8621</v>
      </c>
    </row>
    <row r="2959" spans="1:1" x14ac:dyDescent="0.35">
      <c r="A2959" t="s">
        <v>8624</v>
      </c>
    </row>
    <row r="2960" spans="1:1" x14ac:dyDescent="0.35">
      <c r="A2960" t="s">
        <v>8627</v>
      </c>
    </row>
    <row r="2961" spans="1:1" x14ac:dyDescent="0.35">
      <c r="A2961" t="s">
        <v>8631</v>
      </c>
    </row>
    <row r="2962" spans="1:1" x14ac:dyDescent="0.35">
      <c r="A2962" t="s">
        <v>8635</v>
      </c>
    </row>
    <row r="2963" spans="1:1" x14ac:dyDescent="0.35">
      <c r="A2963" t="s">
        <v>8639</v>
      </c>
    </row>
    <row r="2964" spans="1:1" x14ac:dyDescent="0.35">
      <c r="A2964" t="s">
        <v>8642</v>
      </c>
    </row>
    <row r="2965" spans="1:1" x14ac:dyDescent="0.35">
      <c r="A2965" t="s">
        <v>8645</v>
      </c>
    </row>
    <row r="2966" spans="1:1" x14ac:dyDescent="0.35">
      <c r="A2966" t="s">
        <v>8648</v>
      </c>
    </row>
    <row r="2967" spans="1:1" x14ac:dyDescent="0.35">
      <c r="A2967" t="s">
        <v>8610</v>
      </c>
    </row>
    <row r="2968" spans="1:1" x14ac:dyDescent="0.35">
      <c r="A2968" t="s">
        <v>8614</v>
      </c>
    </row>
    <row r="2969" spans="1:1" x14ac:dyDescent="0.35">
      <c r="A2969" t="s">
        <v>8617</v>
      </c>
    </row>
    <row r="2970" spans="1:1" x14ac:dyDescent="0.35">
      <c r="A2970" t="s">
        <v>8621</v>
      </c>
    </row>
    <row r="2971" spans="1:1" x14ac:dyDescent="0.35">
      <c r="A2971" t="s">
        <v>8624</v>
      </c>
    </row>
    <row r="2972" spans="1:1" x14ac:dyDescent="0.35">
      <c r="A2972" t="s">
        <v>8627</v>
      </c>
    </row>
    <row r="2973" spans="1:1" x14ac:dyDescent="0.35">
      <c r="A2973" t="s">
        <v>8631</v>
      </c>
    </row>
    <row r="2974" spans="1:1" x14ac:dyDescent="0.35">
      <c r="A2974" t="s">
        <v>8635</v>
      </c>
    </row>
    <row r="2975" spans="1:1" x14ac:dyDescent="0.35">
      <c r="A2975" t="s">
        <v>8639</v>
      </c>
    </row>
    <row r="2976" spans="1:1" x14ac:dyDescent="0.35">
      <c r="A2976" t="s">
        <v>8642</v>
      </c>
    </row>
    <row r="2977" spans="1:1" x14ac:dyDescent="0.35">
      <c r="A2977" t="s">
        <v>8645</v>
      </c>
    </row>
    <row r="2978" spans="1:1" x14ac:dyDescent="0.35">
      <c r="A2978" t="s">
        <v>8648</v>
      </c>
    </row>
    <row r="2979" spans="1:1" x14ac:dyDescent="0.35">
      <c r="A2979" t="s">
        <v>8610</v>
      </c>
    </row>
    <row r="2980" spans="1:1" x14ac:dyDescent="0.35">
      <c r="A2980" t="s">
        <v>8614</v>
      </c>
    </row>
    <row r="2981" spans="1:1" x14ac:dyDescent="0.35">
      <c r="A2981" t="s">
        <v>8617</v>
      </c>
    </row>
    <row r="2982" spans="1:1" x14ac:dyDescent="0.35">
      <c r="A2982" t="s">
        <v>8621</v>
      </c>
    </row>
    <row r="2983" spans="1:1" x14ac:dyDescent="0.35">
      <c r="A2983" t="s">
        <v>8624</v>
      </c>
    </row>
    <row r="2984" spans="1:1" x14ac:dyDescent="0.35">
      <c r="A2984" t="s">
        <v>8627</v>
      </c>
    </row>
    <row r="2985" spans="1:1" x14ac:dyDescent="0.35">
      <c r="A2985" t="s">
        <v>8631</v>
      </c>
    </row>
    <row r="2986" spans="1:1" x14ac:dyDescent="0.35">
      <c r="A2986" t="s">
        <v>8635</v>
      </c>
    </row>
    <row r="2987" spans="1:1" x14ac:dyDescent="0.35">
      <c r="A2987" t="s">
        <v>8639</v>
      </c>
    </row>
    <row r="2988" spans="1:1" x14ac:dyDescent="0.35">
      <c r="A2988" t="s">
        <v>8642</v>
      </c>
    </row>
    <row r="2989" spans="1:1" x14ac:dyDescent="0.35">
      <c r="A2989" t="s">
        <v>8645</v>
      </c>
    </row>
    <row r="2990" spans="1:1" x14ac:dyDescent="0.35">
      <c r="A2990" t="s">
        <v>8648</v>
      </c>
    </row>
    <row r="2991" spans="1:1" x14ac:dyDescent="0.35">
      <c r="A2991" t="s">
        <v>8610</v>
      </c>
    </row>
    <row r="2992" spans="1:1" x14ac:dyDescent="0.35">
      <c r="A2992" t="s">
        <v>8614</v>
      </c>
    </row>
    <row r="2993" spans="1:1" x14ac:dyDescent="0.35">
      <c r="A2993" t="s">
        <v>8617</v>
      </c>
    </row>
    <row r="2994" spans="1:1" x14ac:dyDescent="0.35">
      <c r="A2994" t="s">
        <v>8621</v>
      </c>
    </row>
    <row r="2995" spans="1:1" x14ac:dyDescent="0.35">
      <c r="A2995" t="s">
        <v>8624</v>
      </c>
    </row>
    <row r="2996" spans="1:1" x14ac:dyDescent="0.35">
      <c r="A2996" t="s">
        <v>8627</v>
      </c>
    </row>
    <row r="2997" spans="1:1" x14ac:dyDescent="0.35">
      <c r="A2997" t="s">
        <v>8631</v>
      </c>
    </row>
    <row r="2998" spans="1:1" x14ac:dyDescent="0.35">
      <c r="A2998" t="s">
        <v>8635</v>
      </c>
    </row>
    <row r="2999" spans="1:1" x14ac:dyDescent="0.35">
      <c r="A2999" t="s">
        <v>8639</v>
      </c>
    </row>
    <row r="3000" spans="1:1" x14ac:dyDescent="0.35">
      <c r="A3000" t="s">
        <v>8642</v>
      </c>
    </row>
    <row r="3001" spans="1:1" x14ac:dyDescent="0.35">
      <c r="A3001" t="s">
        <v>8645</v>
      </c>
    </row>
    <row r="3002" spans="1:1" x14ac:dyDescent="0.35">
      <c r="A3002" t="s">
        <v>8648</v>
      </c>
    </row>
    <row r="3003" spans="1:1" x14ac:dyDescent="0.35">
      <c r="A3003" t="s">
        <v>8610</v>
      </c>
    </row>
    <row r="3004" spans="1:1" x14ac:dyDescent="0.35">
      <c r="A3004" t="s">
        <v>8614</v>
      </c>
    </row>
    <row r="3005" spans="1:1" x14ac:dyDescent="0.35">
      <c r="A3005" t="s">
        <v>8617</v>
      </c>
    </row>
    <row r="3006" spans="1:1" x14ac:dyDescent="0.35">
      <c r="A3006" t="s">
        <v>8621</v>
      </c>
    </row>
    <row r="3007" spans="1:1" x14ac:dyDescent="0.35">
      <c r="A3007" t="s">
        <v>8624</v>
      </c>
    </row>
    <row r="3008" spans="1:1" x14ac:dyDescent="0.35">
      <c r="A3008" t="s">
        <v>8627</v>
      </c>
    </row>
    <row r="3009" spans="1:1" x14ac:dyDescent="0.35">
      <c r="A3009" t="s">
        <v>8631</v>
      </c>
    </row>
    <row r="3010" spans="1:1" x14ac:dyDescent="0.35">
      <c r="A3010" t="s">
        <v>8635</v>
      </c>
    </row>
    <row r="3011" spans="1:1" x14ac:dyDescent="0.35">
      <c r="A3011" t="s">
        <v>8639</v>
      </c>
    </row>
    <row r="3012" spans="1:1" x14ac:dyDescent="0.35">
      <c r="A3012" t="s">
        <v>8642</v>
      </c>
    </row>
    <row r="3013" spans="1:1" x14ac:dyDescent="0.35">
      <c r="A3013" t="s">
        <v>8645</v>
      </c>
    </row>
    <row r="3014" spans="1:1" x14ac:dyDescent="0.35">
      <c r="A3014" t="s">
        <v>8648</v>
      </c>
    </row>
    <row r="3015" spans="1:1" x14ac:dyDescent="0.35">
      <c r="A3015" t="s">
        <v>8610</v>
      </c>
    </row>
    <row r="3016" spans="1:1" x14ac:dyDescent="0.35">
      <c r="A3016" t="s">
        <v>8614</v>
      </c>
    </row>
    <row r="3017" spans="1:1" x14ac:dyDescent="0.35">
      <c r="A3017" t="s">
        <v>8617</v>
      </c>
    </row>
    <row r="3018" spans="1:1" x14ac:dyDescent="0.35">
      <c r="A3018" t="s">
        <v>8621</v>
      </c>
    </row>
    <row r="3019" spans="1:1" x14ac:dyDescent="0.35">
      <c r="A3019" t="s">
        <v>8624</v>
      </c>
    </row>
    <row r="3020" spans="1:1" x14ac:dyDescent="0.35">
      <c r="A3020" t="s">
        <v>8627</v>
      </c>
    </row>
    <row r="3021" spans="1:1" x14ac:dyDescent="0.35">
      <c r="A3021" t="s">
        <v>8631</v>
      </c>
    </row>
    <row r="3022" spans="1:1" x14ac:dyDescent="0.35">
      <c r="A3022" t="s">
        <v>8635</v>
      </c>
    </row>
    <row r="3023" spans="1:1" x14ac:dyDescent="0.35">
      <c r="A3023" t="s">
        <v>8639</v>
      </c>
    </row>
    <row r="3024" spans="1:1" x14ac:dyDescent="0.35">
      <c r="A3024" t="s">
        <v>8642</v>
      </c>
    </row>
    <row r="3025" spans="1:1" x14ac:dyDescent="0.35">
      <c r="A3025" t="s">
        <v>8645</v>
      </c>
    </row>
    <row r="3026" spans="1:1" x14ac:dyDescent="0.35">
      <c r="A3026" t="s">
        <v>8648</v>
      </c>
    </row>
    <row r="3027" spans="1:1" x14ac:dyDescent="0.35">
      <c r="A3027" t="s">
        <v>8610</v>
      </c>
    </row>
    <row r="3028" spans="1:1" x14ac:dyDescent="0.35">
      <c r="A3028" t="s">
        <v>8614</v>
      </c>
    </row>
    <row r="3029" spans="1:1" x14ac:dyDescent="0.35">
      <c r="A3029" t="s">
        <v>8617</v>
      </c>
    </row>
    <row r="3030" spans="1:1" x14ac:dyDescent="0.35">
      <c r="A3030" t="s">
        <v>8621</v>
      </c>
    </row>
    <row r="3031" spans="1:1" x14ac:dyDescent="0.35">
      <c r="A3031" t="s">
        <v>8624</v>
      </c>
    </row>
    <row r="3032" spans="1:1" x14ac:dyDescent="0.35">
      <c r="A3032" t="s">
        <v>8627</v>
      </c>
    </row>
    <row r="3033" spans="1:1" x14ac:dyDescent="0.35">
      <c r="A3033" t="s">
        <v>8631</v>
      </c>
    </row>
    <row r="3034" spans="1:1" x14ac:dyDescent="0.35">
      <c r="A3034" t="s">
        <v>8635</v>
      </c>
    </row>
    <row r="3035" spans="1:1" x14ac:dyDescent="0.35">
      <c r="A3035" t="s">
        <v>8639</v>
      </c>
    </row>
    <row r="3036" spans="1:1" x14ac:dyDescent="0.35">
      <c r="A3036" t="s">
        <v>8642</v>
      </c>
    </row>
    <row r="3037" spans="1:1" x14ac:dyDescent="0.35">
      <c r="A3037" t="s">
        <v>8645</v>
      </c>
    </row>
    <row r="3038" spans="1:1" x14ac:dyDescent="0.35">
      <c r="A3038" t="s">
        <v>8648</v>
      </c>
    </row>
    <row r="3039" spans="1:1" x14ac:dyDescent="0.35">
      <c r="A3039" t="s">
        <v>8610</v>
      </c>
    </row>
    <row r="3040" spans="1:1" x14ac:dyDescent="0.35">
      <c r="A3040" t="s">
        <v>8614</v>
      </c>
    </row>
    <row r="3041" spans="1:1" x14ac:dyDescent="0.35">
      <c r="A3041" t="s">
        <v>8617</v>
      </c>
    </row>
    <row r="3042" spans="1:1" x14ac:dyDescent="0.35">
      <c r="A3042" t="s">
        <v>8621</v>
      </c>
    </row>
    <row r="3043" spans="1:1" x14ac:dyDescent="0.35">
      <c r="A3043" t="s">
        <v>8624</v>
      </c>
    </row>
    <row r="3044" spans="1:1" x14ac:dyDescent="0.35">
      <c r="A3044" t="s">
        <v>8627</v>
      </c>
    </row>
    <row r="3045" spans="1:1" x14ac:dyDescent="0.35">
      <c r="A3045" t="s">
        <v>8631</v>
      </c>
    </row>
    <row r="3046" spans="1:1" x14ac:dyDescent="0.35">
      <c r="A3046" t="s">
        <v>8635</v>
      </c>
    </row>
    <row r="3047" spans="1:1" x14ac:dyDescent="0.35">
      <c r="A3047" t="s">
        <v>8639</v>
      </c>
    </row>
    <row r="3048" spans="1:1" x14ac:dyDescent="0.35">
      <c r="A3048" t="s">
        <v>8642</v>
      </c>
    </row>
    <row r="3049" spans="1:1" x14ac:dyDescent="0.35">
      <c r="A3049" t="s">
        <v>8645</v>
      </c>
    </row>
    <row r="3050" spans="1:1" x14ac:dyDescent="0.35">
      <c r="A3050" t="s">
        <v>8648</v>
      </c>
    </row>
    <row r="3051" spans="1:1" x14ac:dyDescent="0.35">
      <c r="A3051" t="s">
        <v>8610</v>
      </c>
    </row>
    <row r="3052" spans="1:1" x14ac:dyDescent="0.35">
      <c r="A3052" t="s">
        <v>8614</v>
      </c>
    </row>
    <row r="3053" spans="1:1" x14ac:dyDescent="0.35">
      <c r="A3053" t="s">
        <v>8617</v>
      </c>
    </row>
    <row r="3054" spans="1:1" x14ac:dyDescent="0.35">
      <c r="A3054" t="s">
        <v>8621</v>
      </c>
    </row>
    <row r="3055" spans="1:1" x14ac:dyDescent="0.35">
      <c r="A3055" t="s">
        <v>8624</v>
      </c>
    </row>
    <row r="3056" spans="1:1" x14ac:dyDescent="0.35">
      <c r="A3056" t="s">
        <v>8627</v>
      </c>
    </row>
    <row r="3057" spans="1:1" x14ac:dyDescent="0.35">
      <c r="A3057" t="s">
        <v>8631</v>
      </c>
    </row>
    <row r="3058" spans="1:1" x14ac:dyDescent="0.35">
      <c r="A3058" t="s">
        <v>8635</v>
      </c>
    </row>
    <row r="3059" spans="1:1" x14ac:dyDescent="0.35">
      <c r="A3059" t="s">
        <v>8639</v>
      </c>
    </row>
    <row r="3060" spans="1:1" x14ac:dyDescent="0.35">
      <c r="A3060" t="s">
        <v>8642</v>
      </c>
    </row>
    <row r="3061" spans="1:1" x14ac:dyDescent="0.35">
      <c r="A3061" t="s">
        <v>8645</v>
      </c>
    </row>
    <row r="3062" spans="1:1" x14ac:dyDescent="0.35">
      <c r="A3062" t="s">
        <v>8648</v>
      </c>
    </row>
    <row r="3063" spans="1:1" x14ac:dyDescent="0.35">
      <c r="A3063" t="s">
        <v>8610</v>
      </c>
    </row>
    <row r="3064" spans="1:1" x14ac:dyDescent="0.35">
      <c r="A3064" t="s">
        <v>8614</v>
      </c>
    </row>
    <row r="3065" spans="1:1" x14ac:dyDescent="0.35">
      <c r="A3065" t="s">
        <v>8617</v>
      </c>
    </row>
    <row r="3066" spans="1:1" x14ac:dyDescent="0.35">
      <c r="A3066" t="s">
        <v>8621</v>
      </c>
    </row>
    <row r="3067" spans="1:1" x14ac:dyDescent="0.35">
      <c r="A3067" t="s">
        <v>8624</v>
      </c>
    </row>
    <row r="3068" spans="1:1" x14ac:dyDescent="0.35">
      <c r="A3068" t="s">
        <v>8627</v>
      </c>
    </row>
    <row r="3069" spans="1:1" x14ac:dyDescent="0.35">
      <c r="A3069" t="s">
        <v>8631</v>
      </c>
    </row>
    <row r="3070" spans="1:1" x14ac:dyDescent="0.35">
      <c r="A3070" t="s">
        <v>8635</v>
      </c>
    </row>
    <row r="3071" spans="1:1" x14ac:dyDescent="0.35">
      <c r="A3071" t="s">
        <v>8639</v>
      </c>
    </row>
    <row r="3072" spans="1:1" x14ac:dyDescent="0.35">
      <c r="A3072" t="s">
        <v>8642</v>
      </c>
    </row>
    <row r="3073" spans="1:1" x14ac:dyDescent="0.35">
      <c r="A3073" t="s">
        <v>8645</v>
      </c>
    </row>
    <row r="3074" spans="1:1" x14ac:dyDescent="0.35">
      <c r="A3074" t="s">
        <v>8648</v>
      </c>
    </row>
    <row r="3075" spans="1:1" x14ac:dyDescent="0.35">
      <c r="A3075" t="s">
        <v>8610</v>
      </c>
    </row>
    <row r="3076" spans="1:1" x14ac:dyDescent="0.35">
      <c r="A3076" t="s">
        <v>8614</v>
      </c>
    </row>
    <row r="3077" spans="1:1" x14ac:dyDescent="0.35">
      <c r="A3077" t="s">
        <v>8617</v>
      </c>
    </row>
    <row r="3078" spans="1:1" x14ac:dyDescent="0.35">
      <c r="A3078" t="s">
        <v>8621</v>
      </c>
    </row>
    <row r="3079" spans="1:1" x14ac:dyDescent="0.35">
      <c r="A3079" t="s">
        <v>8624</v>
      </c>
    </row>
    <row r="3080" spans="1:1" x14ac:dyDescent="0.35">
      <c r="A3080" t="s">
        <v>8627</v>
      </c>
    </row>
    <row r="3081" spans="1:1" x14ac:dyDescent="0.35">
      <c r="A3081" t="s">
        <v>8631</v>
      </c>
    </row>
    <row r="3082" spans="1:1" x14ac:dyDescent="0.35">
      <c r="A3082" t="s">
        <v>8635</v>
      </c>
    </row>
    <row r="3083" spans="1:1" x14ac:dyDescent="0.35">
      <c r="A3083" t="s">
        <v>8639</v>
      </c>
    </row>
    <row r="3084" spans="1:1" x14ac:dyDescent="0.35">
      <c r="A3084" t="s">
        <v>8642</v>
      </c>
    </row>
    <row r="3085" spans="1:1" x14ac:dyDescent="0.35">
      <c r="A3085" t="s">
        <v>8645</v>
      </c>
    </row>
    <row r="3086" spans="1:1" x14ac:dyDescent="0.35">
      <c r="A3086" t="s">
        <v>8648</v>
      </c>
    </row>
    <row r="3087" spans="1:1" x14ac:dyDescent="0.35">
      <c r="A3087" t="s">
        <v>8610</v>
      </c>
    </row>
    <row r="3088" spans="1:1" x14ac:dyDescent="0.35">
      <c r="A3088" t="s">
        <v>8614</v>
      </c>
    </row>
    <row r="3089" spans="1:1" x14ac:dyDescent="0.35">
      <c r="A3089" t="s">
        <v>8617</v>
      </c>
    </row>
    <row r="3090" spans="1:1" x14ac:dyDescent="0.35">
      <c r="A3090" t="s">
        <v>8621</v>
      </c>
    </row>
    <row r="3091" spans="1:1" x14ac:dyDescent="0.35">
      <c r="A3091" t="s">
        <v>8624</v>
      </c>
    </row>
    <row r="3092" spans="1:1" x14ac:dyDescent="0.35">
      <c r="A3092" t="s">
        <v>8627</v>
      </c>
    </row>
    <row r="3093" spans="1:1" x14ac:dyDescent="0.35">
      <c r="A3093" t="s">
        <v>8631</v>
      </c>
    </row>
    <row r="3094" spans="1:1" x14ac:dyDescent="0.35">
      <c r="A3094" t="s">
        <v>8635</v>
      </c>
    </row>
    <row r="3095" spans="1:1" x14ac:dyDescent="0.35">
      <c r="A3095" t="s">
        <v>8639</v>
      </c>
    </row>
    <row r="3096" spans="1:1" x14ac:dyDescent="0.35">
      <c r="A3096" t="s">
        <v>8642</v>
      </c>
    </row>
    <row r="3097" spans="1:1" x14ac:dyDescent="0.35">
      <c r="A3097" t="s">
        <v>8645</v>
      </c>
    </row>
    <row r="3098" spans="1:1" x14ac:dyDescent="0.35">
      <c r="A3098" t="s">
        <v>8648</v>
      </c>
    </row>
    <row r="3099" spans="1:1" x14ac:dyDescent="0.35">
      <c r="A3099" t="s">
        <v>8610</v>
      </c>
    </row>
    <row r="3100" spans="1:1" x14ac:dyDescent="0.35">
      <c r="A3100" t="s">
        <v>8614</v>
      </c>
    </row>
    <row r="3101" spans="1:1" x14ac:dyDescent="0.35">
      <c r="A3101" t="s">
        <v>8617</v>
      </c>
    </row>
    <row r="3102" spans="1:1" x14ac:dyDescent="0.35">
      <c r="A3102" t="s">
        <v>8621</v>
      </c>
    </row>
    <row r="3103" spans="1:1" x14ac:dyDescent="0.35">
      <c r="A3103" t="s">
        <v>8624</v>
      </c>
    </row>
    <row r="3104" spans="1:1" x14ac:dyDescent="0.35">
      <c r="A3104" t="s">
        <v>8627</v>
      </c>
    </row>
    <row r="3105" spans="1:1" x14ac:dyDescent="0.35">
      <c r="A3105" t="s">
        <v>8631</v>
      </c>
    </row>
    <row r="3106" spans="1:1" x14ac:dyDescent="0.35">
      <c r="A3106" t="s">
        <v>8635</v>
      </c>
    </row>
    <row r="3107" spans="1:1" x14ac:dyDescent="0.35">
      <c r="A3107" t="s">
        <v>8639</v>
      </c>
    </row>
    <row r="3108" spans="1:1" x14ac:dyDescent="0.35">
      <c r="A3108" t="s">
        <v>8642</v>
      </c>
    </row>
    <row r="3109" spans="1:1" x14ac:dyDescent="0.35">
      <c r="A3109" t="s">
        <v>8645</v>
      </c>
    </row>
    <row r="3110" spans="1:1" x14ac:dyDescent="0.35">
      <c r="A3110" t="s">
        <v>8648</v>
      </c>
    </row>
    <row r="3111" spans="1:1" x14ac:dyDescent="0.35">
      <c r="A3111" t="s">
        <v>8610</v>
      </c>
    </row>
    <row r="3112" spans="1:1" x14ac:dyDescent="0.35">
      <c r="A3112" t="s">
        <v>8614</v>
      </c>
    </row>
    <row r="3113" spans="1:1" x14ac:dyDescent="0.35">
      <c r="A3113" t="s">
        <v>8617</v>
      </c>
    </row>
    <row r="3114" spans="1:1" x14ac:dyDescent="0.35">
      <c r="A3114" t="s">
        <v>8621</v>
      </c>
    </row>
    <row r="3115" spans="1:1" x14ac:dyDescent="0.35">
      <c r="A3115" t="s">
        <v>8624</v>
      </c>
    </row>
    <row r="3116" spans="1:1" x14ac:dyDescent="0.35">
      <c r="A3116" t="s">
        <v>8627</v>
      </c>
    </row>
    <row r="3117" spans="1:1" x14ac:dyDescent="0.35">
      <c r="A3117" t="s">
        <v>8631</v>
      </c>
    </row>
    <row r="3118" spans="1:1" x14ac:dyDescent="0.35">
      <c r="A3118" t="s">
        <v>8635</v>
      </c>
    </row>
    <row r="3119" spans="1:1" x14ac:dyDescent="0.35">
      <c r="A3119" t="s">
        <v>8639</v>
      </c>
    </row>
    <row r="3120" spans="1:1" x14ac:dyDescent="0.35">
      <c r="A3120" t="s">
        <v>8642</v>
      </c>
    </row>
    <row r="3121" spans="1:1" x14ac:dyDescent="0.35">
      <c r="A3121" t="s">
        <v>8645</v>
      </c>
    </row>
    <row r="3122" spans="1:1" x14ac:dyDescent="0.35">
      <c r="A3122" t="s">
        <v>8648</v>
      </c>
    </row>
    <row r="3123" spans="1:1" x14ac:dyDescent="0.35">
      <c r="A3123" t="s">
        <v>8610</v>
      </c>
    </row>
    <row r="3124" spans="1:1" x14ac:dyDescent="0.35">
      <c r="A3124" t="s">
        <v>8614</v>
      </c>
    </row>
    <row r="3125" spans="1:1" x14ac:dyDescent="0.35">
      <c r="A3125" t="s">
        <v>8617</v>
      </c>
    </row>
    <row r="3126" spans="1:1" x14ac:dyDescent="0.35">
      <c r="A3126" t="s">
        <v>8621</v>
      </c>
    </row>
    <row r="3127" spans="1:1" x14ac:dyDescent="0.35">
      <c r="A3127" t="s">
        <v>8624</v>
      </c>
    </row>
    <row r="3128" spans="1:1" x14ac:dyDescent="0.35">
      <c r="A3128" t="s">
        <v>8627</v>
      </c>
    </row>
    <row r="3129" spans="1:1" x14ac:dyDescent="0.35">
      <c r="A3129" t="s">
        <v>8631</v>
      </c>
    </row>
    <row r="3130" spans="1:1" x14ac:dyDescent="0.35">
      <c r="A3130" t="s">
        <v>8635</v>
      </c>
    </row>
    <row r="3131" spans="1:1" x14ac:dyDescent="0.35">
      <c r="A3131" t="s">
        <v>8639</v>
      </c>
    </row>
    <row r="3132" spans="1:1" x14ac:dyDescent="0.35">
      <c r="A3132" t="s">
        <v>8642</v>
      </c>
    </row>
    <row r="3133" spans="1:1" x14ac:dyDescent="0.35">
      <c r="A3133" t="s">
        <v>8645</v>
      </c>
    </row>
    <row r="3134" spans="1:1" x14ac:dyDescent="0.35">
      <c r="A3134" t="s">
        <v>8648</v>
      </c>
    </row>
    <row r="3135" spans="1:1" x14ac:dyDescent="0.35">
      <c r="A3135" t="s">
        <v>8610</v>
      </c>
    </row>
    <row r="3136" spans="1:1" x14ac:dyDescent="0.35">
      <c r="A3136" t="s">
        <v>8614</v>
      </c>
    </row>
    <row r="3137" spans="1:1" x14ac:dyDescent="0.35">
      <c r="A3137" t="s">
        <v>8617</v>
      </c>
    </row>
    <row r="3138" spans="1:1" x14ac:dyDescent="0.35">
      <c r="A3138" t="s">
        <v>8621</v>
      </c>
    </row>
    <row r="3139" spans="1:1" x14ac:dyDescent="0.35">
      <c r="A3139" t="s">
        <v>8624</v>
      </c>
    </row>
    <row r="3140" spans="1:1" x14ac:dyDescent="0.35">
      <c r="A3140" t="s">
        <v>8627</v>
      </c>
    </row>
    <row r="3141" spans="1:1" x14ac:dyDescent="0.35">
      <c r="A3141" t="s">
        <v>8631</v>
      </c>
    </row>
    <row r="3142" spans="1:1" x14ac:dyDescent="0.35">
      <c r="A3142" t="s">
        <v>8635</v>
      </c>
    </row>
    <row r="3143" spans="1:1" x14ac:dyDescent="0.35">
      <c r="A3143" t="s">
        <v>8639</v>
      </c>
    </row>
    <row r="3144" spans="1:1" x14ac:dyDescent="0.35">
      <c r="A3144" t="s">
        <v>8642</v>
      </c>
    </row>
    <row r="3145" spans="1:1" x14ac:dyDescent="0.35">
      <c r="A3145" t="s">
        <v>8645</v>
      </c>
    </row>
    <row r="3146" spans="1:1" x14ac:dyDescent="0.35">
      <c r="A3146" t="s">
        <v>8648</v>
      </c>
    </row>
    <row r="3147" spans="1:1" x14ac:dyDescent="0.35">
      <c r="A3147" t="s">
        <v>8610</v>
      </c>
    </row>
    <row r="3148" spans="1:1" x14ac:dyDescent="0.35">
      <c r="A3148" t="s">
        <v>8614</v>
      </c>
    </row>
    <row r="3149" spans="1:1" x14ac:dyDescent="0.35">
      <c r="A3149" t="s">
        <v>8617</v>
      </c>
    </row>
    <row r="3150" spans="1:1" x14ac:dyDescent="0.35">
      <c r="A3150" t="s">
        <v>8621</v>
      </c>
    </row>
    <row r="3151" spans="1:1" x14ac:dyDescent="0.35">
      <c r="A3151" t="s">
        <v>8624</v>
      </c>
    </row>
    <row r="3152" spans="1:1" x14ac:dyDescent="0.35">
      <c r="A3152" t="s">
        <v>8627</v>
      </c>
    </row>
    <row r="3153" spans="1:1" x14ac:dyDescent="0.35">
      <c r="A3153" t="s">
        <v>8631</v>
      </c>
    </row>
    <row r="3154" spans="1:1" x14ac:dyDescent="0.35">
      <c r="A3154" t="s">
        <v>8635</v>
      </c>
    </row>
    <row r="3155" spans="1:1" x14ac:dyDescent="0.35">
      <c r="A3155" t="s">
        <v>8639</v>
      </c>
    </row>
    <row r="3156" spans="1:1" x14ac:dyDescent="0.35">
      <c r="A3156" t="s">
        <v>8642</v>
      </c>
    </row>
    <row r="3157" spans="1:1" x14ac:dyDescent="0.35">
      <c r="A3157" t="s">
        <v>8645</v>
      </c>
    </row>
    <row r="3158" spans="1:1" x14ac:dyDescent="0.35">
      <c r="A3158" t="s">
        <v>8648</v>
      </c>
    </row>
    <row r="3159" spans="1:1" x14ac:dyDescent="0.35">
      <c r="A3159" t="s">
        <v>8610</v>
      </c>
    </row>
    <row r="3160" spans="1:1" x14ac:dyDescent="0.35">
      <c r="A3160" t="s">
        <v>8614</v>
      </c>
    </row>
    <row r="3161" spans="1:1" x14ac:dyDescent="0.35">
      <c r="A3161" t="s">
        <v>8617</v>
      </c>
    </row>
    <row r="3162" spans="1:1" x14ac:dyDescent="0.35">
      <c r="A3162" t="s">
        <v>8621</v>
      </c>
    </row>
    <row r="3163" spans="1:1" x14ac:dyDescent="0.35">
      <c r="A3163" t="s">
        <v>8624</v>
      </c>
    </row>
    <row r="3164" spans="1:1" x14ac:dyDescent="0.35">
      <c r="A3164" t="s">
        <v>8627</v>
      </c>
    </row>
    <row r="3165" spans="1:1" x14ac:dyDescent="0.35">
      <c r="A3165" t="s">
        <v>8631</v>
      </c>
    </row>
    <row r="3166" spans="1:1" x14ac:dyDescent="0.35">
      <c r="A3166" t="s">
        <v>8635</v>
      </c>
    </row>
    <row r="3167" spans="1:1" x14ac:dyDescent="0.35">
      <c r="A3167" t="s">
        <v>8639</v>
      </c>
    </row>
    <row r="3168" spans="1:1" x14ac:dyDescent="0.35">
      <c r="A3168" t="s">
        <v>8642</v>
      </c>
    </row>
    <row r="3169" spans="1:1" x14ac:dyDescent="0.35">
      <c r="A3169" t="s">
        <v>8645</v>
      </c>
    </row>
    <row r="3170" spans="1:1" x14ac:dyDescent="0.35">
      <c r="A3170" t="s">
        <v>8648</v>
      </c>
    </row>
    <row r="3171" spans="1:1" x14ac:dyDescent="0.35">
      <c r="A3171" t="s">
        <v>8610</v>
      </c>
    </row>
    <row r="3172" spans="1:1" x14ac:dyDescent="0.35">
      <c r="A3172" t="s">
        <v>8614</v>
      </c>
    </row>
    <row r="3173" spans="1:1" x14ac:dyDescent="0.35">
      <c r="A3173" t="s">
        <v>8617</v>
      </c>
    </row>
    <row r="3174" spans="1:1" x14ac:dyDescent="0.35">
      <c r="A3174" t="s">
        <v>8621</v>
      </c>
    </row>
    <row r="3175" spans="1:1" x14ac:dyDescent="0.35">
      <c r="A3175" t="s">
        <v>8624</v>
      </c>
    </row>
    <row r="3176" spans="1:1" x14ac:dyDescent="0.35">
      <c r="A3176" t="s">
        <v>8627</v>
      </c>
    </row>
    <row r="3177" spans="1:1" x14ac:dyDescent="0.35">
      <c r="A3177" t="s">
        <v>8631</v>
      </c>
    </row>
    <row r="3178" spans="1:1" x14ac:dyDescent="0.35">
      <c r="A3178" t="s">
        <v>8635</v>
      </c>
    </row>
    <row r="3179" spans="1:1" x14ac:dyDescent="0.35">
      <c r="A3179" t="s">
        <v>8639</v>
      </c>
    </row>
    <row r="3180" spans="1:1" x14ac:dyDescent="0.35">
      <c r="A3180" t="s">
        <v>8642</v>
      </c>
    </row>
    <row r="3181" spans="1:1" x14ac:dyDescent="0.35">
      <c r="A3181" t="s">
        <v>8645</v>
      </c>
    </row>
    <row r="3182" spans="1:1" x14ac:dyDescent="0.35">
      <c r="A3182" t="s">
        <v>8648</v>
      </c>
    </row>
    <row r="3183" spans="1:1" x14ac:dyDescent="0.35">
      <c r="A3183" t="s">
        <v>8610</v>
      </c>
    </row>
    <row r="3184" spans="1:1" x14ac:dyDescent="0.35">
      <c r="A3184" t="s">
        <v>8614</v>
      </c>
    </row>
    <row r="3185" spans="1:1" x14ac:dyDescent="0.35">
      <c r="A3185" t="s">
        <v>8617</v>
      </c>
    </row>
    <row r="3186" spans="1:1" x14ac:dyDescent="0.35">
      <c r="A3186" t="s">
        <v>8621</v>
      </c>
    </row>
    <row r="3187" spans="1:1" x14ac:dyDescent="0.35">
      <c r="A3187" t="s">
        <v>8624</v>
      </c>
    </row>
    <row r="3188" spans="1:1" x14ac:dyDescent="0.35">
      <c r="A3188" t="s">
        <v>8627</v>
      </c>
    </row>
    <row r="3189" spans="1:1" x14ac:dyDescent="0.35">
      <c r="A3189" t="s">
        <v>8631</v>
      </c>
    </row>
    <row r="3190" spans="1:1" x14ac:dyDescent="0.35">
      <c r="A3190" t="s">
        <v>8635</v>
      </c>
    </row>
    <row r="3191" spans="1:1" x14ac:dyDescent="0.35">
      <c r="A3191" t="s">
        <v>8639</v>
      </c>
    </row>
    <row r="3192" spans="1:1" x14ac:dyDescent="0.35">
      <c r="A3192" t="s">
        <v>8642</v>
      </c>
    </row>
    <row r="3193" spans="1:1" x14ac:dyDescent="0.35">
      <c r="A3193" t="s">
        <v>8645</v>
      </c>
    </row>
    <row r="3194" spans="1:1" x14ac:dyDescent="0.35">
      <c r="A3194" t="s">
        <v>8648</v>
      </c>
    </row>
    <row r="3195" spans="1:1" x14ac:dyDescent="0.35">
      <c r="A3195" t="s">
        <v>8610</v>
      </c>
    </row>
    <row r="3196" spans="1:1" x14ac:dyDescent="0.35">
      <c r="A3196" t="s">
        <v>8614</v>
      </c>
    </row>
    <row r="3197" spans="1:1" x14ac:dyDescent="0.35">
      <c r="A3197" t="s">
        <v>8617</v>
      </c>
    </row>
    <row r="3198" spans="1:1" x14ac:dyDescent="0.35">
      <c r="A3198" t="s">
        <v>8621</v>
      </c>
    </row>
    <row r="3199" spans="1:1" x14ac:dyDescent="0.35">
      <c r="A3199" t="s">
        <v>8624</v>
      </c>
    </row>
    <row r="3200" spans="1:1" x14ac:dyDescent="0.35">
      <c r="A3200" t="s">
        <v>8627</v>
      </c>
    </row>
    <row r="3201" spans="1:1" x14ac:dyDescent="0.35">
      <c r="A3201" t="s">
        <v>8631</v>
      </c>
    </row>
    <row r="3202" spans="1:1" x14ac:dyDescent="0.35">
      <c r="A3202" t="s">
        <v>8635</v>
      </c>
    </row>
    <row r="3203" spans="1:1" x14ac:dyDescent="0.35">
      <c r="A3203" t="s">
        <v>8639</v>
      </c>
    </row>
    <row r="3204" spans="1:1" x14ac:dyDescent="0.35">
      <c r="A3204" t="s">
        <v>8642</v>
      </c>
    </row>
    <row r="3205" spans="1:1" x14ac:dyDescent="0.35">
      <c r="A3205" t="s">
        <v>8645</v>
      </c>
    </row>
    <row r="3206" spans="1:1" x14ac:dyDescent="0.35">
      <c r="A3206" t="s">
        <v>8648</v>
      </c>
    </row>
    <row r="3207" spans="1:1" x14ac:dyDescent="0.35">
      <c r="A3207" t="s">
        <v>8610</v>
      </c>
    </row>
    <row r="3208" spans="1:1" x14ac:dyDescent="0.35">
      <c r="A3208" t="s">
        <v>8614</v>
      </c>
    </row>
    <row r="3209" spans="1:1" x14ac:dyDescent="0.35">
      <c r="A3209" t="s">
        <v>8617</v>
      </c>
    </row>
    <row r="3210" spans="1:1" x14ac:dyDescent="0.35">
      <c r="A3210" t="s">
        <v>8621</v>
      </c>
    </row>
    <row r="3211" spans="1:1" x14ac:dyDescent="0.35">
      <c r="A3211" t="s">
        <v>8624</v>
      </c>
    </row>
    <row r="3212" spans="1:1" x14ac:dyDescent="0.35">
      <c r="A3212" t="s">
        <v>8627</v>
      </c>
    </row>
    <row r="3213" spans="1:1" x14ac:dyDescent="0.35">
      <c r="A3213" t="s">
        <v>8631</v>
      </c>
    </row>
    <row r="3214" spans="1:1" x14ac:dyDescent="0.35">
      <c r="A3214" t="s">
        <v>8635</v>
      </c>
    </row>
    <row r="3215" spans="1:1" x14ac:dyDescent="0.35">
      <c r="A3215" t="s">
        <v>8639</v>
      </c>
    </row>
    <row r="3216" spans="1:1" x14ac:dyDescent="0.35">
      <c r="A3216" t="s">
        <v>8642</v>
      </c>
    </row>
    <row r="3217" spans="1:1" x14ac:dyDescent="0.35">
      <c r="A3217" t="s">
        <v>8645</v>
      </c>
    </row>
    <row r="3218" spans="1:1" x14ac:dyDescent="0.35">
      <c r="A3218" t="s">
        <v>8648</v>
      </c>
    </row>
    <row r="3219" spans="1:1" x14ac:dyDescent="0.35">
      <c r="A3219" t="s">
        <v>8610</v>
      </c>
    </row>
    <row r="3220" spans="1:1" x14ac:dyDescent="0.35">
      <c r="A3220" t="s">
        <v>8614</v>
      </c>
    </row>
    <row r="3221" spans="1:1" x14ac:dyDescent="0.35">
      <c r="A3221" t="s">
        <v>8617</v>
      </c>
    </row>
    <row r="3222" spans="1:1" x14ac:dyDescent="0.35">
      <c r="A3222" t="s">
        <v>8621</v>
      </c>
    </row>
    <row r="3223" spans="1:1" x14ac:dyDescent="0.35">
      <c r="A3223" t="s">
        <v>8624</v>
      </c>
    </row>
    <row r="3224" spans="1:1" x14ac:dyDescent="0.35">
      <c r="A3224" t="s">
        <v>8627</v>
      </c>
    </row>
    <row r="3225" spans="1:1" x14ac:dyDescent="0.35">
      <c r="A3225" t="s">
        <v>8631</v>
      </c>
    </row>
    <row r="3226" spans="1:1" x14ac:dyDescent="0.35">
      <c r="A3226" t="s">
        <v>8635</v>
      </c>
    </row>
    <row r="3227" spans="1:1" x14ac:dyDescent="0.35">
      <c r="A3227" t="s">
        <v>8639</v>
      </c>
    </row>
    <row r="3228" spans="1:1" x14ac:dyDescent="0.35">
      <c r="A3228" t="s">
        <v>8642</v>
      </c>
    </row>
    <row r="3229" spans="1:1" x14ac:dyDescent="0.35">
      <c r="A3229" t="s">
        <v>8645</v>
      </c>
    </row>
    <row r="3230" spans="1:1" x14ac:dyDescent="0.35">
      <c r="A3230" t="s">
        <v>8648</v>
      </c>
    </row>
    <row r="3231" spans="1:1" x14ac:dyDescent="0.35">
      <c r="A3231" t="s">
        <v>8610</v>
      </c>
    </row>
    <row r="3232" spans="1:1" x14ac:dyDescent="0.35">
      <c r="A3232" t="s">
        <v>8614</v>
      </c>
    </row>
    <row r="3233" spans="1:1" x14ac:dyDescent="0.35">
      <c r="A3233" t="s">
        <v>8617</v>
      </c>
    </row>
    <row r="3234" spans="1:1" x14ac:dyDescent="0.35">
      <c r="A3234" t="s">
        <v>8621</v>
      </c>
    </row>
    <row r="3235" spans="1:1" x14ac:dyDescent="0.35">
      <c r="A3235" t="s">
        <v>8624</v>
      </c>
    </row>
    <row r="3236" spans="1:1" x14ac:dyDescent="0.35">
      <c r="A3236" t="s">
        <v>8627</v>
      </c>
    </row>
    <row r="3237" spans="1:1" x14ac:dyDescent="0.35">
      <c r="A3237" t="s">
        <v>8631</v>
      </c>
    </row>
    <row r="3238" spans="1:1" x14ac:dyDescent="0.35">
      <c r="A3238" t="s">
        <v>8635</v>
      </c>
    </row>
    <row r="3239" spans="1:1" x14ac:dyDescent="0.35">
      <c r="A3239" t="s">
        <v>8639</v>
      </c>
    </row>
    <row r="3240" spans="1:1" x14ac:dyDescent="0.35">
      <c r="A3240" t="s">
        <v>8642</v>
      </c>
    </row>
    <row r="3241" spans="1:1" x14ac:dyDescent="0.35">
      <c r="A3241" t="s">
        <v>8645</v>
      </c>
    </row>
    <row r="3242" spans="1:1" x14ac:dyDescent="0.35">
      <c r="A3242" t="s">
        <v>8648</v>
      </c>
    </row>
    <row r="3243" spans="1:1" x14ac:dyDescent="0.35">
      <c r="A3243" t="s">
        <v>8610</v>
      </c>
    </row>
    <row r="3244" spans="1:1" x14ac:dyDescent="0.35">
      <c r="A3244" t="s">
        <v>8614</v>
      </c>
    </row>
    <row r="3245" spans="1:1" x14ac:dyDescent="0.35">
      <c r="A3245" t="s">
        <v>8617</v>
      </c>
    </row>
    <row r="3246" spans="1:1" x14ac:dyDescent="0.35">
      <c r="A3246" t="s">
        <v>8621</v>
      </c>
    </row>
    <row r="3247" spans="1:1" x14ac:dyDescent="0.35">
      <c r="A3247" t="s">
        <v>8624</v>
      </c>
    </row>
    <row r="3248" spans="1:1" x14ac:dyDescent="0.35">
      <c r="A3248" t="s">
        <v>8627</v>
      </c>
    </row>
    <row r="3249" spans="1:1" x14ac:dyDescent="0.35">
      <c r="A3249" t="s">
        <v>8631</v>
      </c>
    </row>
    <row r="3250" spans="1:1" x14ac:dyDescent="0.35">
      <c r="A3250" t="s">
        <v>8635</v>
      </c>
    </row>
    <row r="3251" spans="1:1" x14ac:dyDescent="0.35">
      <c r="A3251" t="s">
        <v>8639</v>
      </c>
    </row>
    <row r="3252" spans="1:1" x14ac:dyDescent="0.35">
      <c r="A3252" t="s">
        <v>8642</v>
      </c>
    </row>
    <row r="3253" spans="1:1" x14ac:dyDescent="0.35">
      <c r="A3253" t="s">
        <v>8645</v>
      </c>
    </row>
    <row r="3254" spans="1:1" x14ac:dyDescent="0.35">
      <c r="A3254" t="s">
        <v>8648</v>
      </c>
    </row>
    <row r="3255" spans="1:1" x14ac:dyDescent="0.35">
      <c r="A3255" t="s">
        <v>8610</v>
      </c>
    </row>
    <row r="3256" spans="1:1" x14ac:dyDescent="0.35">
      <c r="A3256" t="s">
        <v>8614</v>
      </c>
    </row>
    <row r="3257" spans="1:1" x14ac:dyDescent="0.35">
      <c r="A3257" t="s">
        <v>8617</v>
      </c>
    </row>
    <row r="3258" spans="1:1" x14ac:dyDescent="0.35">
      <c r="A3258" t="s">
        <v>8621</v>
      </c>
    </row>
    <row r="3259" spans="1:1" x14ac:dyDescent="0.35">
      <c r="A3259" t="s">
        <v>8624</v>
      </c>
    </row>
    <row r="3260" spans="1:1" x14ac:dyDescent="0.35">
      <c r="A3260" t="s">
        <v>8627</v>
      </c>
    </row>
    <row r="3261" spans="1:1" x14ac:dyDescent="0.35">
      <c r="A3261" t="s">
        <v>8631</v>
      </c>
    </row>
    <row r="3262" spans="1:1" x14ac:dyDescent="0.35">
      <c r="A3262" t="s">
        <v>8635</v>
      </c>
    </row>
    <row r="3263" spans="1:1" x14ac:dyDescent="0.35">
      <c r="A3263" t="s">
        <v>8639</v>
      </c>
    </row>
    <row r="3264" spans="1:1" x14ac:dyDescent="0.35">
      <c r="A3264" t="s">
        <v>8642</v>
      </c>
    </row>
    <row r="3265" spans="1:1" x14ac:dyDescent="0.35">
      <c r="A3265" t="s">
        <v>8645</v>
      </c>
    </row>
    <row r="3266" spans="1:1" x14ac:dyDescent="0.35">
      <c r="A3266" t="s">
        <v>8648</v>
      </c>
    </row>
    <row r="3267" spans="1:1" x14ac:dyDescent="0.35">
      <c r="A3267" t="s">
        <v>8610</v>
      </c>
    </row>
    <row r="3268" spans="1:1" x14ac:dyDescent="0.35">
      <c r="A3268" t="s">
        <v>8614</v>
      </c>
    </row>
    <row r="3269" spans="1:1" x14ac:dyDescent="0.35">
      <c r="A3269" t="s">
        <v>8617</v>
      </c>
    </row>
    <row r="3270" spans="1:1" x14ac:dyDescent="0.35">
      <c r="A3270" t="s">
        <v>8621</v>
      </c>
    </row>
    <row r="3271" spans="1:1" x14ac:dyDescent="0.35">
      <c r="A3271" t="s">
        <v>8624</v>
      </c>
    </row>
    <row r="3272" spans="1:1" x14ac:dyDescent="0.35">
      <c r="A3272" t="s">
        <v>8627</v>
      </c>
    </row>
    <row r="3273" spans="1:1" x14ac:dyDescent="0.35">
      <c r="A3273" t="s">
        <v>8631</v>
      </c>
    </row>
    <row r="3274" spans="1:1" x14ac:dyDescent="0.35">
      <c r="A3274" t="s">
        <v>8635</v>
      </c>
    </row>
    <row r="3275" spans="1:1" x14ac:dyDescent="0.35">
      <c r="A3275" t="s">
        <v>8639</v>
      </c>
    </row>
    <row r="3276" spans="1:1" x14ac:dyDescent="0.35">
      <c r="A3276" t="s">
        <v>8642</v>
      </c>
    </row>
    <row r="3277" spans="1:1" x14ac:dyDescent="0.35">
      <c r="A3277" t="s">
        <v>8645</v>
      </c>
    </row>
    <row r="3278" spans="1:1" x14ac:dyDescent="0.35">
      <c r="A3278" t="s">
        <v>8648</v>
      </c>
    </row>
    <row r="3279" spans="1:1" x14ac:dyDescent="0.35">
      <c r="A3279" t="s">
        <v>8610</v>
      </c>
    </row>
    <row r="3280" spans="1:1" x14ac:dyDescent="0.35">
      <c r="A3280" t="s">
        <v>8614</v>
      </c>
    </row>
    <row r="3281" spans="1:1" x14ac:dyDescent="0.35">
      <c r="A3281" t="s">
        <v>8617</v>
      </c>
    </row>
    <row r="3282" spans="1:1" x14ac:dyDescent="0.35">
      <c r="A3282" t="s">
        <v>8621</v>
      </c>
    </row>
    <row r="3283" spans="1:1" x14ac:dyDescent="0.35">
      <c r="A3283" t="s">
        <v>8624</v>
      </c>
    </row>
    <row r="3284" spans="1:1" x14ac:dyDescent="0.35">
      <c r="A3284" t="s">
        <v>8627</v>
      </c>
    </row>
    <row r="3285" spans="1:1" x14ac:dyDescent="0.35">
      <c r="A3285" t="s">
        <v>8631</v>
      </c>
    </row>
    <row r="3286" spans="1:1" x14ac:dyDescent="0.35">
      <c r="A3286" t="s">
        <v>8635</v>
      </c>
    </row>
    <row r="3287" spans="1:1" x14ac:dyDescent="0.35">
      <c r="A3287" t="s">
        <v>8639</v>
      </c>
    </row>
    <row r="3288" spans="1:1" x14ac:dyDescent="0.35">
      <c r="A3288" t="s">
        <v>8642</v>
      </c>
    </row>
    <row r="3289" spans="1:1" x14ac:dyDescent="0.35">
      <c r="A3289" t="s">
        <v>8645</v>
      </c>
    </row>
    <row r="3290" spans="1:1" x14ac:dyDescent="0.35">
      <c r="A3290" t="s">
        <v>8648</v>
      </c>
    </row>
    <row r="3291" spans="1:1" x14ac:dyDescent="0.35">
      <c r="A3291" t="s">
        <v>8610</v>
      </c>
    </row>
    <row r="3292" spans="1:1" x14ac:dyDescent="0.35">
      <c r="A3292" t="s">
        <v>8614</v>
      </c>
    </row>
    <row r="3293" spans="1:1" x14ac:dyDescent="0.35">
      <c r="A3293" t="s">
        <v>8617</v>
      </c>
    </row>
    <row r="3294" spans="1:1" x14ac:dyDescent="0.35">
      <c r="A3294" t="s">
        <v>8621</v>
      </c>
    </row>
    <row r="3295" spans="1:1" x14ac:dyDescent="0.35">
      <c r="A3295" t="s">
        <v>8624</v>
      </c>
    </row>
    <row r="3296" spans="1:1" x14ac:dyDescent="0.35">
      <c r="A3296" t="s">
        <v>8627</v>
      </c>
    </row>
    <row r="3297" spans="1:1" x14ac:dyDescent="0.35">
      <c r="A3297" t="s">
        <v>8631</v>
      </c>
    </row>
    <row r="3298" spans="1:1" x14ac:dyDescent="0.35">
      <c r="A3298" t="s">
        <v>8635</v>
      </c>
    </row>
    <row r="3299" spans="1:1" x14ac:dyDescent="0.35">
      <c r="A3299" t="s">
        <v>8639</v>
      </c>
    </row>
    <row r="3300" spans="1:1" x14ac:dyDescent="0.35">
      <c r="A3300" t="s">
        <v>8642</v>
      </c>
    </row>
    <row r="3301" spans="1:1" x14ac:dyDescent="0.35">
      <c r="A3301" t="s">
        <v>8645</v>
      </c>
    </row>
    <row r="3302" spans="1:1" x14ac:dyDescent="0.35">
      <c r="A3302" t="s">
        <v>8648</v>
      </c>
    </row>
    <row r="3303" spans="1:1" x14ac:dyDescent="0.35">
      <c r="A3303" t="s">
        <v>8610</v>
      </c>
    </row>
    <row r="3304" spans="1:1" x14ac:dyDescent="0.35">
      <c r="A3304" t="s">
        <v>8614</v>
      </c>
    </row>
    <row r="3305" spans="1:1" x14ac:dyDescent="0.35">
      <c r="A3305" t="s">
        <v>8617</v>
      </c>
    </row>
    <row r="3306" spans="1:1" x14ac:dyDescent="0.35">
      <c r="A3306" t="s">
        <v>8621</v>
      </c>
    </row>
    <row r="3307" spans="1:1" x14ac:dyDescent="0.35">
      <c r="A3307" t="s">
        <v>8624</v>
      </c>
    </row>
    <row r="3308" spans="1:1" x14ac:dyDescent="0.35">
      <c r="A3308" t="s">
        <v>8627</v>
      </c>
    </row>
    <row r="3309" spans="1:1" x14ac:dyDescent="0.35">
      <c r="A3309" t="s">
        <v>8631</v>
      </c>
    </row>
    <row r="3310" spans="1:1" x14ac:dyDescent="0.35">
      <c r="A3310" t="s">
        <v>8635</v>
      </c>
    </row>
    <row r="3311" spans="1:1" x14ac:dyDescent="0.35">
      <c r="A3311" t="s">
        <v>8639</v>
      </c>
    </row>
    <row r="3312" spans="1:1" x14ac:dyDescent="0.35">
      <c r="A3312" t="s">
        <v>8642</v>
      </c>
    </row>
    <row r="3313" spans="1:1" x14ac:dyDescent="0.35">
      <c r="A3313" t="s">
        <v>8645</v>
      </c>
    </row>
    <row r="3314" spans="1:1" x14ac:dyDescent="0.35">
      <c r="A3314" t="s">
        <v>8648</v>
      </c>
    </row>
    <row r="3315" spans="1:1" x14ac:dyDescent="0.35">
      <c r="A3315" t="s">
        <v>8610</v>
      </c>
    </row>
    <row r="3316" spans="1:1" x14ac:dyDescent="0.35">
      <c r="A3316" t="s">
        <v>8614</v>
      </c>
    </row>
    <row r="3317" spans="1:1" x14ac:dyDescent="0.35">
      <c r="A3317" t="s">
        <v>8617</v>
      </c>
    </row>
    <row r="3318" spans="1:1" x14ac:dyDescent="0.35">
      <c r="A3318" t="s">
        <v>8621</v>
      </c>
    </row>
    <row r="3319" spans="1:1" x14ac:dyDescent="0.35">
      <c r="A3319" t="s">
        <v>8624</v>
      </c>
    </row>
    <row r="3320" spans="1:1" x14ac:dyDescent="0.35">
      <c r="A3320" t="s">
        <v>8627</v>
      </c>
    </row>
    <row r="3321" spans="1:1" x14ac:dyDescent="0.35">
      <c r="A3321" t="s">
        <v>8631</v>
      </c>
    </row>
    <row r="3322" spans="1:1" x14ac:dyDescent="0.35">
      <c r="A3322" t="s">
        <v>8635</v>
      </c>
    </row>
    <row r="3323" spans="1:1" x14ac:dyDescent="0.35">
      <c r="A3323" t="s">
        <v>8639</v>
      </c>
    </row>
    <row r="3324" spans="1:1" x14ac:dyDescent="0.35">
      <c r="A3324" t="s">
        <v>8642</v>
      </c>
    </row>
    <row r="3325" spans="1:1" x14ac:dyDescent="0.35">
      <c r="A3325" t="s">
        <v>8645</v>
      </c>
    </row>
    <row r="3326" spans="1:1" x14ac:dyDescent="0.35">
      <c r="A3326" t="s">
        <v>8648</v>
      </c>
    </row>
    <row r="3327" spans="1:1" x14ac:dyDescent="0.35">
      <c r="A3327" t="s">
        <v>8610</v>
      </c>
    </row>
    <row r="3328" spans="1:1" x14ac:dyDescent="0.35">
      <c r="A3328" t="s">
        <v>8614</v>
      </c>
    </row>
    <row r="3329" spans="1:1" x14ac:dyDescent="0.35">
      <c r="A3329" t="s">
        <v>8617</v>
      </c>
    </row>
    <row r="3330" spans="1:1" x14ac:dyDescent="0.35">
      <c r="A3330" t="s">
        <v>8621</v>
      </c>
    </row>
    <row r="3331" spans="1:1" x14ac:dyDescent="0.35">
      <c r="A3331" t="s">
        <v>8624</v>
      </c>
    </row>
    <row r="3332" spans="1:1" x14ac:dyDescent="0.35">
      <c r="A3332" t="s">
        <v>8627</v>
      </c>
    </row>
    <row r="3333" spans="1:1" x14ac:dyDescent="0.35">
      <c r="A3333" t="s">
        <v>8631</v>
      </c>
    </row>
    <row r="3334" spans="1:1" x14ac:dyDescent="0.35">
      <c r="A3334" t="s">
        <v>8635</v>
      </c>
    </row>
    <row r="3335" spans="1:1" x14ac:dyDescent="0.35">
      <c r="A3335" t="s">
        <v>8639</v>
      </c>
    </row>
    <row r="3336" spans="1:1" x14ac:dyDescent="0.35">
      <c r="A3336" t="s">
        <v>8642</v>
      </c>
    </row>
    <row r="3337" spans="1:1" x14ac:dyDescent="0.35">
      <c r="A3337" t="s">
        <v>8645</v>
      </c>
    </row>
    <row r="3338" spans="1:1" x14ac:dyDescent="0.35">
      <c r="A3338" t="s">
        <v>8648</v>
      </c>
    </row>
    <row r="3339" spans="1:1" x14ac:dyDescent="0.35">
      <c r="A3339" t="s">
        <v>8610</v>
      </c>
    </row>
    <row r="3340" spans="1:1" x14ac:dyDescent="0.35">
      <c r="A3340" t="s">
        <v>8614</v>
      </c>
    </row>
    <row r="3341" spans="1:1" x14ac:dyDescent="0.35">
      <c r="A3341" t="s">
        <v>8617</v>
      </c>
    </row>
    <row r="3342" spans="1:1" x14ac:dyDescent="0.35">
      <c r="A3342" t="s">
        <v>8621</v>
      </c>
    </row>
    <row r="3343" spans="1:1" x14ac:dyDescent="0.35">
      <c r="A3343" t="s">
        <v>8624</v>
      </c>
    </row>
    <row r="3344" spans="1:1" x14ac:dyDescent="0.35">
      <c r="A3344" t="s">
        <v>8627</v>
      </c>
    </row>
    <row r="3345" spans="1:1" x14ac:dyDescent="0.35">
      <c r="A3345" t="s">
        <v>8631</v>
      </c>
    </row>
    <row r="3346" spans="1:1" x14ac:dyDescent="0.35">
      <c r="A3346" t="s">
        <v>8635</v>
      </c>
    </row>
    <row r="3347" spans="1:1" x14ac:dyDescent="0.35">
      <c r="A3347" t="s">
        <v>8639</v>
      </c>
    </row>
    <row r="3348" spans="1:1" x14ac:dyDescent="0.35">
      <c r="A3348" t="s">
        <v>8642</v>
      </c>
    </row>
    <row r="3349" spans="1:1" x14ac:dyDescent="0.35">
      <c r="A3349" t="s">
        <v>8645</v>
      </c>
    </row>
    <row r="3350" spans="1:1" x14ac:dyDescent="0.35">
      <c r="A3350" t="s">
        <v>8648</v>
      </c>
    </row>
    <row r="3351" spans="1:1" x14ac:dyDescent="0.35">
      <c r="A3351" t="s">
        <v>8610</v>
      </c>
    </row>
    <row r="3352" spans="1:1" x14ac:dyDescent="0.35">
      <c r="A3352" t="s">
        <v>8614</v>
      </c>
    </row>
    <row r="3353" spans="1:1" x14ac:dyDescent="0.35">
      <c r="A3353" t="s">
        <v>8617</v>
      </c>
    </row>
    <row r="3354" spans="1:1" x14ac:dyDescent="0.35">
      <c r="A3354" t="s">
        <v>8621</v>
      </c>
    </row>
    <row r="3355" spans="1:1" x14ac:dyDescent="0.35">
      <c r="A3355" t="s">
        <v>8624</v>
      </c>
    </row>
    <row r="3356" spans="1:1" x14ac:dyDescent="0.35">
      <c r="A3356" t="s">
        <v>8627</v>
      </c>
    </row>
    <row r="3357" spans="1:1" x14ac:dyDescent="0.35">
      <c r="A3357" t="s">
        <v>8631</v>
      </c>
    </row>
    <row r="3358" spans="1:1" x14ac:dyDescent="0.35">
      <c r="A3358" t="s">
        <v>8635</v>
      </c>
    </row>
    <row r="3359" spans="1:1" x14ac:dyDescent="0.35">
      <c r="A3359" t="s">
        <v>8639</v>
      </c>
    </row>
    <row r="3360" spans="1:1" x14ac:dyDescent="0.35">
      <c r="A3360" t="s">
        <v>8642</v>
      </c>
    </row>
    <row r="3361" spans="1:1" x14ac:dyDescent="0.35">
      <c r="A3361" t="s">
        <v>8645</v>
      </c>
    </row>
    <row r="3362" spans="1:1" x14ac:dyDescent="0.35">
      <c r="A3362" t="s">
        <v>8648</v>
      </c>
    </row>
    <row r="3363" spans="1:1" x14ac:dyDescent="0.35">
      <c r="A3363" t="s">
        <v>8610</v>
      </c>
    </row>
    <row r="3364" spans="1:1" x14ac:dyDescent="0.35">
      <c r="A3364" t="s">
        <v>8614</v>
      </c>
    </row>
    <row r="3365" spans="1:1" x14ac:dyDescent="0.35">
      <c r="A3365" t="s">
        <v>8617</v>
      </c>
    </row>
    <row r="3366" spans="1:1" x14ac:dyDescent="0.35">
      <c r="A3366" t="s">
        <v>8621</v>
      </c>
    </row>
    <row r="3367" spans="1:1" x14ac:dyDescent="0.35">
      <c r="A3367" t="s">
        <v>8624</v>
      </c>
    </row>
    <row r="3368" spans="1:1" x14ac:dyDescent="0.35">
      <c r="A3368" t="s">
        <v>8627</v>
      </c>
    </row>
    <row r="3369" spans="1:1" x14ac:dyDescent="0.35">
      <c r="A3369" t="s">
        <v>8631</v>
      </c>
    </row>
    <row r="3370" spans="1:1" x14ac:dyDescent="0.35">
      <c r="A3370" t="s">
        <v>8635</v>
      </c>
    </row>
    <row r="3371" spans="1:1" x14ac:dyDescent="0.35">
      <c r="A3371" t="s">
        <v>8639</v>
      </c>
    </row>
    <row r="3372" spans="1:1" x14ac:dyDescent="0.35">
      <c r="A3372" t="s">
        <v>8642</v>
      </c>
    </row>
    <row r="3373" spans="1:1" x14ac:dyDescent="0.35">
      <c r="A3373" t="s">
        <v>8645</v>
      </c>
    </row>
    <row r="3374" spans="1:1" x14ac:dyDescent="0.35">
      <c r="A3374" t="s">
        <v>8648</v>
      </c>
    </row>
    <row r="3375" spans="1:1" x14ac:dyDescent="0.35">
      <c r="A3375" t="s">
        <v>8610</v>
      </c>
    </row>
    <row r="3376" spans="1:1" x14ac:dyDescent="0.35">
      <c r="A3376" t="s">
        <v>8614</v>
      </c>
    </row>
    <row r="3377" spans="1:1" x14ac:dyDescent="0.35">
      <c r="A3377" t="s">
        <v>8617</v>
      </c>
    </row>
    <row r="3378" spans="1:1" x14ac:dyDescent="0.35">
      <c r="A3378" t="s">
        <v>8621</v>
      </c>
    </row>
    <row r="3379" spans="1:1" x14ac:dyDescent="0.35">
      <c r="A3379" t="s">
        <v>8624</v>
      </c>
    </row>
    <row r="3380" spans="1:1" x14ac:dyDescent="0.35">
      <c r="A3380" t="s">
        <v>8627</v>
      </c>
    </row>
    <row r="3381" spans="1:1" x14ac:dyDescent="0.35">
      <c r="A3381" t="s">
        <v>8631</v>
      </c>
    </row>
    <row r="3382" spans="1:1" x14ac:dyDescent="0.35">
      <c r="A3382" t="s">
        <v>8635</v>
      </c>
    </row>
    <row r="3383" spans="1:1" x14ac:dyDescent="0.35">
      <c r="A3383" t="s">
        <v>8639</v>
      </c>
    </row>
    <row r="3384" spans="1:1" x14ac:dyDescent="0.35">
      <c r="A3384" t="s">
        <v>8642</v>
      </c>
    </row>
    <row r="3385" spans="1:1" x14ac:dyDescent="0.35">
      <c r="A3385" t="s">
        <v>8645</v>
      </c>
    </row>
    <row r="3386" spans="1:1" x14ac:dyDescent="0.35">
      <c r="A3386" t="s">
        <v>8648</v>
      </c>
    </row>
    <row r="3387" spans="1:1" x14ac:dyDescent="0.35">
      <c r="A3387" t="s">
        <v>8610</v>
      </c>
    </row>
    <row r="3388" spans="1:1" x14ac:dyDescent="0.35">
      <c r="A3388" t="s">
        <v>8614</v>
      </c>
    </row>
    <row r="3389" spans="1:1" x14ac:dyDescent="0.35">
      <c r="A3389" t="s">
        <v>8617</v>
      </c>
    </row>
    <row r="3390" spans="1:1" x14ac:dyDescent="0.35">
      <c r="A3390" t="s">
        <v>8621</v>
      </c>
    </row>
    <row r="3391" spans="1:1" x14ac:dyDescent="0.35">
      <c r="A3391" t="s">
        <v>8624</v>
      </c>
    </row>
    <row r="3392" spans="1:1" x14ac:dyDescent="0.35">
      <c r="A3392" t="s">
        <v>8627</v>
      </c>
    </row>
    <row r="3393" spans="1:1" x14ac:dyDescent="0.35">
      <c r="A3393" t="s">
        <v>8631</v>
      </c>
    </row>
    <row r="3394" spans="1:1" x14ac:dyDescent="0.35">
      <c r="A3394" t="s">
        <v>8635</v>
      </c>
    </row>
    <row r="3395" spans="1:1" x14ac:dyDescent="0.35">
      <c r="A3395" t="s">
        <v>8639</v>
      </c>
    </row>
    <row r="3396" spans="1:1" x14ac:dyDescent="0.35">
      <c r="A3396" t="s">
        <v>8642</v>
      </c>
    </row>
    <row r="3397" spans="1:1" x14ac:dyDescent="0.35">
      <c r="A3397" t="s">
        <v>8645</v>
      </c>
    </row>
    <row r="3398" spans="1:1" x14ac:dyDescent="0.35">
      <c r="A3398" t="s">
        <v>8648</v>
      </c>
    </row>
    <row r="3399" spans="1:1" x14ac:dyDescent="0.35">
      <c r="A3399" t="s">
        <v>8610</v>
      </c>
    </row>
    <row r="3400" spans="1:1" x14ac:dyDescent="0.35">
      <c r="A3400" t="s">
        <v>8614</v>
      </c>
    </row>
    <row r="3401" spans="1:1" x14ac:dyDescent="0.35">
      <c r="A3401" t="s">
        <v>8617</v>
      </c>
    </row>
    <row r="3402" spans="1:1" x14ac:dyDescent="0.35">
      <c r="A3402" t="s">
        <v>8621</v>
      </c>
    </row>
    <row r="3403" spans="1:1" x14ac:dyDescent="0.35">
      <c r="A3403" t="s">
        <v>8624</v>
      </c>
    </row>
    <row r="3404" spans="1:1" x14ac:dyDescent="0.35">
      <c r="A3404" t="s">
        <v>8627</v>
      </c>
    </row>
    <row r="3405" spans="1:1" x14ac:dyDescent="0.35">
      <c r="A3405" t="s">
        <v>8631</v>
      </c>
    </row>
    <row r="3406" spans="1:1" x14ac:dyDescent="0.35">
      <c r="A3406" t="s">
        <v>8635</v>
      </c>
    </row>
    <row r="3407" spans="1:1" x14ac:dyDescent="0.35">
      <c r="A3407" t="s">
        <v>8639</v>
      </c>
    </row>
    <row r="3408" spans="1:1" x14ac:dyDescent="0.35">
      <c r="A3408" t="s">
        <v>8642</v>
      </c>
    </row>
    <row r="3409" spans="1:1" x14ac:dyDescent="0.35">
      <c r="A3409" t="s">
        <v>8645</v>
      </c>
    </row>
    <row r="3410" spans="1:1" x14ac:dyDescent="0.35">
      <c r="A3410" t="s">
        <v>8648</v>
      </c>
    </row>
    <row r="3411" spans="1:1" x14ac:dyDescent="0.35">
      <c r="A3411" t="s">
        <v>8610</v>
      </c>
    </row>
    <row r="3412" spans="1:1" x14ac:dyDescent="0.35">
      <c r="A3412" t="s">
        <v>8614</v>
      </c>
    </row>
    <row r="3413" spans="1:1" x14ac:dyDescent="0.35">
      <c r="A3413" t="s">
        <v>8617</v>
      </c>
    </row>
    <row r="3414" spans="1:1" x14ac:dyDescent="0.35">
      <c r="A3414" t="s">
        <v>8621</v>
      </c>
    </row>
    <row r="3415" spans="1:1" x14ac:dyDescent="0.35">
      <c r="A3415" t="s">
        <v>8624</v>
      </c>
    </row>
    <row r="3416" spans="1:1" x14ac:dyDescent="0.35">
      <c r="A3416" t="s">
        <v>8627</v>
      </c>
    </row>
    <row r="3417" spans="1:1" x14ac:dyDescent="0.35">
      <c r="A3417" t="s">
        <v>8631</v>
      </c>
    </row>
    <row r="3418" spans="1:1" x14ac:dyDescent="0.35">
      <c r="A3418" t="s">
        <v>8635</v>
      </c>
    </row>
    <row r="3419" spans="1:1" x14ac:dyDescent="0.35">
      <c r="A3419" t="s">
        <v>8639</v>
      </c>
    </row>
    <row r="3420" spans="1:1" x14ac:dyDescent="0.35">
      <c r="A3420" t="s">
        <v>8642</v>
      </c>
    </row>
    <row r="3421" spans="1:1" x14ac:dyDescent="0.35">
      <c r="A3421" t="s">
        <v>8645</v>
      </c>
    </row>
    <row r="3422" spans="1:1" x14ac:dyDescent="0.35">
      <c r="A3422" t="s">
        <v>8648</v>
      </c>
    </row>
    <row r="3423" spans="1:1" x14ac:dyDescent="0.35">
      <c r="A3423" t="s">
        <v>8610</v>
      </c>
    </row>
    <row r="3424" spans="1:1" x14ac:dyDescent="0.35">
      <c r="A3424" t="s">
        <v>8614</v>
      </c>
    </row>
    <row r="3425" spans="1:1" x14ac:dyDescent="0.35">
      <c r="A3425" t="s">
        <v>8617</v>
      </c>
    </row>
    <row r="3426" spans="1:1" x14ac:dyDescent="0.35">
      <c r="A3426" t="s">
        <v>8621</v>
      </c>
    </row>
    <row r="3427" spans="1:1" x14ac:dyDescent="0.35">
      <c r="A3427" t="s">
        <v>8624</v>
      </c>
    </row>
    <row r="3428" spans="1:1" x14ac:dyDescent="0.35">
      <c r="A3428" t="s">
        <v>8627</v>
      </c>
    </row>
    <row r="3429" spans="1:1" x14ac:dyDescent="0.35">
      <c r="A3429" t="s">
        <v>8631</v>
      </c>
    </row>
    <row r="3430" spans="1:1" x14ac:dyDescent="0.35">
      <c r="A3430" t="s">
        <v>8635</v>
      </c>
    </row>
    <row r="3431" spans="1:1" x14ac:dyDescent="0.35">
      <c r="A3431" t="s">
        <v>8639</v>
      </c>
    </row>
    <row r="3432" spans="1:1" x14ac:dyDescent="0.35">
      <c r="A3432" t="s">
        <v>8642</v>
      </c>
    </row>
    <row r="3433" spans="1:1" x14ac:dyDescent="0.35">
      <c r="A3433" t="s">
        <v>8645</v>
      </c>
    </row>
    <row r="3434" spans="1:1" x14ac:dyDescent="0.35">
      <c r="A3434" t="s">
        <v>8648</v>
      </c>
    </row>
    <row r="3435" spans="1:1" x14ac:dyDescent="0.35">
      <c r="A3435" t="s">
        <v>8610</v>
      </c>
    </row>
    <row r="3436" spans="1:1" x14ac:dyDescent="0.35">
      <c r="A3436" t="s">
        <v>8614</v>
      </c>
    </row>
    <row r="3437" spans="1:1" x14ac:dyDescent="0.35">
      <c r="A3437" t="s">
        <v>8617</v>
      </c>
    </row>
    <row r="3438" spans="1:1" x14ac:dyDescent="0.35">
      <c r="A3438" t="s">
        <v>8621</v>
      </c>
    </row>
    <row r="3439" spans="1:1" x14ac:dyDescent="0.35">
      <c r="A3439" t="s">
        <v>8624</v>
      </c>
    </row>
    <row r="3440" spans="1:1" x14ac:dyDescent="0.35">
      <c r="A3440" t="s">
        <v>8627</v>
      </c>
    </row>
    <row r="3441" spans="1:1" x14ac:dyDescent="0.35">
      <c r="A3441" t="s">
        <v>8631</v>
      </c>
    </row>
    <row r="3442" spans="1:1" x14ac:dyDescent="0.35">
      <c r="A3442" t="s">
        <v>8635</v>
      </c>
    </row>
    <row r="3443" spans="1:1" x14ac:dyDescent="0.35">
      <c r="A3443" t="s">
        <v>8639</v>
      </c>
    </row>
    <row r="3444" spans="1:1" x14ac:dyDescent="0.35">
      <c r="A3444" t="s">
        <v>8642</v>
      </c>
    </row>
    <row r="3445" spans="1:1" x14ac:dyDescent="0.35">
      <c r="A3445" t="s">
        <v>8645</v>
      </c>
    </row>
    <row r="3446" spans="1:1" x14ac:dyDescent="0.35">
      <c r="A3446" t="s">
        <v>8648</v>
      </c>
    </row>
    <row r="3447" spans="1:1" x14ac:dyDescent="0.35">
      <c r="A3447" t="s">
        <v>8610</v>
      </c>
    </row>
    <row r="3448" spans="1:1" x14ac:dyDescent="0.35">
      <c r="A3448" t="s">
        <v>8614</v>
      </c>
    </row>
    <row r="3449" spans="1:1" x14ac:dyDescent="0.35">
      <c r="A3449" t="s">
        <v>8617</v>
      </c>
    </row>
    <row r="3450" spans="1:1" x14ac:dyDescent="0.35">
      <c r="A3450" t="s">
        <v>8621</v>
      </c>
    </row>
    <row r="3451" spans="1:1" x14ac:dyDescent="0.35">
      <c r="A3451" t="s">
        <v>8624</v>
      </c>
    </row>
    <row r="3452" spans="1:1" x14ac:dyDescent="0.35">
      <c r="A3452" t="s">
        <v>8627</v>
      </c>
    </row>
    <row r="3453" spans="1:1" x14ac:dyDescent="0.35">
      <c r="A3453" t="s">
        <v>8631</v>
      </c>
    </row>
    <row r="3454" spans="1:1" x14ac:dyDescent="0.35">
      <c r="A3454" t="s">
        <v>8635</v>
      </c>
    </row>
    <row r="3455" spans="1:1" x14ac:dyDescent="0.35">
      <c r="A3455" t="s">
        <v>8639</v>
      </c>
    </row>
    <row r="3456" spans="1:1" x14ac:dyDescent="0.35">
      <c r="A3456" t="s">
        <v>8642</v>
      </c>
    </row>
    <row r="3457" spans="1:1" x14ac:dyDescent="0.35">
      <c r="A3457" t="s">
        <v>8645</v>
      </c>
    </row>
    <row r="3458" spans="1:1" x14ac:dyDescent="0.35">
      <c r="A3458" t="s">
        <v>8648</v>
      </c>
    </row>
    <row r="3459" spans="1:1" x14ac:dyDescent="0.35">
      <c r="A3459" t="s">
        <v>8610</v>
      </c>
    </row>
    <row r="3460" spans="1:1" x14ac:dyDescent="0.35">
      <c r="A3460" t="s">
        <v>8614</v>
      </c>
    </row>
    <row r="3461" spans="1:1" x14ac:dyDescent="0.35">
      <c r="A3461" t="s">
        <v>8617</v>
      </c>
    </row>
    <row r="3462" spans="1:1" x14ac:dyDescent="0.35">
      <c r="A3462" t="s">
        <v>8621</v>
      </c>
    </row>
    <row r="3463" spans="1:1" x14ac:dyDescent="0.35">
      <c r="A3463" t="s">
        <v>8624</v>
      </c>
    </row>
    <row r="3464" spans="1:1" x14ac:dyDescent="0.35">
      <c r="A3464" t="s">
        <v>8627</v>
      </c>
    </row>
    <row r="3465" spans="1:1" x14ac:dyDescent="0.35">
      <c r="A3465" t="s">
        <v>8631</v>
      </c>
    </row>
    <row r="3466" spans="1:1" x14ac:dyDescent="0.35">
      <c r="A3466" t="s">
        <v>8635</v>
      </c>
    </row>
    <row r="3467" spans="1:1" x14ac:dyDescent="0.35">
      <c r="A3467" t="s">
        <v>8639</v>
      </c>
    </row>
    <row r="3468" spans="1:1" x14ac:dyDescent="0.35">
      <c r="A3468" t="s">
        <v>8642</v>
      </c>
    </row>
    <row r="3469" spans="1:1" x14ac:dyDescent="0.35">
      <c r="A3469" t="s">
        <v>8645</v>
      </c>
    </row>
    <row r="3470" spans="1:1" x14ac:dyDescent="0.35">
      <c r="A3470" t="s">
        <v>8648</v>
      </c>
    </row>
    <row r="3471" spans="1:1" x14ac:dyDescent="0.35">
      <c r="A3471" t="s">
        <v>8610</v>
      </c>
    </row>
    <row r="3472" spans="1:1" x14ac:dyDescent="0.35">
      <c r="A3472" t="s">
        <v>8614</v>
      </c>
    </row>
    <row r="3473" spans="1:1" x14ac:dyDescent="0.35">
      <c r="A3473" t="s">
        <v>8617</v>
      </c>
    </row>
    <row r="3474" spans="1:1" x14ac:dyDescent="0.35">
      <c r="A3474" t="s">
        <v>8621</v>
      </c>
    </row>
    <row r="3475" spans="1:1" x14ac:dyDescent="0.35">
      <c r="A3475" t="s">
        <v>8624</v>
      </c>
    </row>
    <row r="3476" spans="1:1" x14ac:dyDescent="0.35">
      <c r="A3476" t="s">
        <v>8627</v>
      </c>
    </row>
    <row r="3477" spans="1:1" x14ac:dyDescent="0.35">
      <c r="A3477" t="s">
        <v>8631</v>
      </c>
    </row>
    <row r="3478" spans="1:1" x14ac:dyDescent="0.35">
      <c r="A3478" t="s">
        <v>8635</v>
      </c>
    </row>
    <row r="3479" spans="1:1" x14ac:dyDescent="0.35">
      <c r="A3479" t="s">
        <v>8639</v>
      </c>
    </row>
    <row r="3480" spans="1:1" x14ac:dyDescent="0.35">
      <c r="A3480" t="s">
        <v>8642</v>
      </c>
    </row>
    <row r="3481" spans="1:1" x14ac:dyDescent="0.35">
      <c r="A3481" t="s">
        <v>8645</v>
      </c>
    </row>
    <row r="3482" spans="1:1" x14ac:dyDescent="0.35">
      <c r="A3482" t="s">
        <v>8648</v>
      </c>
    </row>
    <row r="3483" spans="1:1" x14ac:dyDescent="0.35">
      <c r="A3483" t="s">
        <v>8610</v>
      </c>
    </row>
    <row r="3484" spans="1:1" x14ac:dyDescent="0.35">
      <c r="A3484" t="s">
        <v>8614</v>
      </c>
    </row>
    <row r="3485" spans="1:1" x14ac:dyDescent="0.35">
      <c r="A3485" t="s">
        <v>8617</v>
      </c>
    </row>
    <row r="3486" spans="1:1" x14ac:dyDescent="0.35">
      <c r="A3486" t="s">
        <v>8621</v>
      </c>
    </row>
    <row r="3487" spans="1:1" x14ac:dyDescent="0.35">
      <c r="A3487" t="s">
        <v>8624</v>
      </c>
    </row>
    <row r="3488" spans="1:1" x14ac:dyDescent="0.35">
      <c r="A3488" t="s">
        <v>8627</v>
      </c>
    </row>
    <row r="3489" spans="1:1" x14ac:dyDescent="0.35">
      <c r="A3489" t="s">
        <v>8631</v>
      </c>
    </row>
    <row r="3490" spans="1:1" x14ac:dyDescent="0.35">
      <c r="A3490" t="s">
        <v>8635</v>
      </c>
    </row>
    <row r="3491" spans="1:1" x14ac:dyDescent="0.35">
      <c r="A3491" t="s">
        <v>8639</v>
      </c>
    </row>
    <row r="3492" spans="1:1" x14ac:dyDescent="0.35">
      <c r="A3492" t="s">
        <v>8642</v>
      </c>
    </row>
    <row r="3493" spans="1:1" x14ac:dyDescent="0.35">
      <c r="A3493" t="s">
        <v>8645</v>
      </c>
    </row>
    <row r="3494" spans="1:1" x14ac:dyDescent="0.35">
      <c r="A3494" t="s">
        <v>8648</v>
      </c>
    </row>
    <row r="3495" spans="1:1" x14ac:dyDescent="0.35">
      <c r="A3495" t="s">
        <v>8610</v>
      </c>
    </row>
    <row r="3496" spans="1:1" x14ac:dyDescent="0.35">
      <c r="A3496" t="s">
        <v>8614</v>
      </c>
    </row>
    <row r="3497" spans="1:1" x14ac:dyDescent="0.35">
      <c r="A3497" t="s">
        <v>8617</v>
      </c>
    </row>
    <row r="3498" spans="1:1" x14ac:dyDescent="0.35">
      <c r="A3498" t="s">
        <v>8621</v>
      </c>
    </row>
    <row r="3499" spans="1:1" x14ac:dyDescent="0.35">
      <c r="A3499" t="s">
        <v>8624</v>
      </c>
    </row>
    <row r="3500" spans="1:1" x14ac:dyDescent="0.35">
      <c r="A3500" t="s">
        <v>8627</v>
      </c>
    </row>
    <row r="3501" spans="1:1" x14ac:dyDescent="0.35">
      <c r="A3501" t="s">
        <v>8631</v>
      </c>
    </row>
    <row r="3502" spans="1:1" x14ac:dyDescent="0.35">
      <c r="A3502" t="s">
        <v>8635</v>
      </c>
    </row>
    <row r="3503" spans="1:1" x14ac:dyDescent="0.35">
      <c r="A3503" t="s">
        <v>8639</v>
      </c>
    </row>
    <row r="3504" spans="1:1" x14ac:dyDescent="0.35">
      <c r="A3504" t="s">
        <v>8642</v>
      </c>
    </row>
    <row r="3505" spans="1:1" x14ac:dyDescent="0.35">
      <c r="A3505" t="s">
        <v>8645</v>
      </c>
    </row>
    <row r="3506" spans="1:1" x14ac:dyDescent="0.35">
      <c r="A3506" t="s">
        <v>8648</v>
      </c>
    </row>
    <row r="3507" spans="1:1" x14ac:dyDescent="0.35">
      <c r="A3507" t="s">
        <v>8610</v>
      </c>
    </row>
    <row r="3508" spans="1:1" x14ac:dyDescent="0.35">
      <c r="A3508" t="s">
        <v>8614</v>
      </c>
    </row>
    <row r="3509" spans="1:1" x14ac:dyDescent="0.35">
      <c r="A3509" t="s">
        <v>8617</v>
      </c>
    </row>
    <row r="3510" spans="1:1" x14ac:dyDescent="0.35">
      <c r="A3510" t="s">
        <v>8621</v>
      </c>
    </row>
    <row r="3511" spans="1:1" x14ac:dyDescent="0.35">
      <c r="A3511" t="s">
        <v>8624</v>
      </c>
    </row>
    <row r="3512" spans="1:1" x14ac:dyDescent="0.35">
      <c r="A3512" t="s">
        <v>8627</v>
      </c>
    </row>
    <row r="3513" spans="1:1" x14ac:dyDescent="0.35">
      <c r="A3513" t="s">
        <v>8631</v>
      </c>
    </row>
    <row r="3514" spans="1:1" x14ac:dyDescent="0.35">
      <c r="A3514" t="s">
        <v>8635</v>
      </c>
    </row>
    <row r="3515" spans="1:1" x14ac:dyDescent="0.35">
      <c r="A3515" t="s">
        <v>8639</v>
      </c>
    </row>
    <row r="3516" spans="1:1" x14ac:dyDescent="0.35">
      <c r="A3516" t="s">
        <v>8642</v>
      </c>
    </row>
    <row r="3517" spans="1:1" x14ac:dyDescent="0.35">
      <c r="A3517" t="s">
        <v>8645</v>
      </c>
    </row>
    <row r="3518" spans="1:1" x14ac:dyDescent="0.35">
      <c r="A3518" t="s">
        <v>8648</v>
      </c>
    </row>
    <row r="3519" spans="1:1" x14ac:dyDescent="0.35">
      <c r="A3519" t="s">
        <v>8610</v>
      </c>
    </row>
    <row r="3520" spans="1:1" x14ac:dyDescent="0.35">
      <c r="A3520" t="s">
        <v>8614</v>
      </c>
    </row>
    <row r="3521" spans="1:1" x14ac:dyDescent="0.35">
      <c r="A3521" t="s">
        <v>8617</v>
      </c>
    </row>
    <row r="3522" spans="1:1" x14ac:dyDescent="0.35">
      <c r="A3522" t="s">
        <v>8621</v>
      </c>
    </row>
    <row r="3523" spans="1:1" x14ac:dyDescent="0.35">
      <c r="A3523" t="s">
        <v>8624</v>
      </c>
    </row>
    <row r="3524" spans="1:1" x14ac:dyDescent="0.35">
      <c r="A3524" t="s">
        <v>8627</v>
      </c>
    </row>
    <row r="3525" spans="1:1" x14ac:dyDescent="0.35">
      <c r="A3525" t="s">
        <v>8631</v>
      </c>
    </row>
    <row r="3526" spans="1:1" x14ac:dyDescent="0.35">
      <c r="A3526" t="s">
        <v>8635</v>
      </c>
    </row>
    <row r="3527" spans="1:1" x14ac:dyDescent="0.35">
      <c r="A3527" t="s">
        <v>8639</v>
      </c>
    </row>
    <row r="3528" spans="1:1" x14ac:dyDescent="0.35">
      <c r="A3528" t="s">
        <v>8642</v>
      </c>
    </row>
    <row r="3529" spans="1:1" x14ac:dyDescent="0.35">
      <c r="A3529" t="s">
        <v>8645</v>
      </c>
    </row>
    <row r="3530" spans="1:1" x14ac:dyDescent="0.35">
      <c r="A3530" t="s">
        <v>8648</v>
      </c>
    </row>
    <row r="3531" spans="1:1" x14ac:dyDescent="0.35">
      <c r="A3531" t="s">
        <v>8610</v>
      </c>
    </row>
    <row r="3532" spans="1:1" x14ac:dyDescent="0.35">
      <c r="A3532" t="s">
        <v>8614</v>
      </c>
    </row>
    <row r="3533" spans="1:1" x14ac:dyDescent="0.35">
      <c r="A3533" t="s">
        <v>8617</v>
      </c>
    </row>
    <row r="3534" spans="1:1" x14ac:dyDescent="0.35">
      <c r="A3534" t="s">
        <v>8621</v>
      </c>
    </row>
    <row r="3535" spans="1:1" x14ac:dyDescent="0.35">
      <c r="A3535" t="s">
        <v>8624</v>
      </c>
    </row>
    <row r="3536" spans="1:1" x14ac:dyDescent="0.35">
      <c r="A3536" t="s">
        <v>8627</v>
      </c>
    </row>
    <row r="3537" spans="1:1" x14ac:dyDescent="0.35">
      <c r="A3537" t="s">
        <v>8631</v>
      </c>
    </row>
    <row r="3538" spans="1:1" x14ac:dyDescent="0.35">
      <c r="A3538" t="s">
        <v>8635</v>
      </c>
    </row>
    <row r="3539" spans="1:1" x14ac:dyDescent="0.35">
      <c r="A3539" t="s">
        <v>8639</v>
      </c>
    </row>
    <row r="3540" spans="1:1" x14ac:dyDescent="0.35">
      <c r="A3540" t="s">
        <v>8642</v>
      </c>
    </row>
    <row r="3541" spans="1:1" x14ac:dyDescent="0.35">
      <c r="A3541" t="s">
        <v>8645</v>
      </c>
    </row>
    <row r="3542" spans="1:1" x14ac:dyDescent="0.35">
      <c r="A3542" t="s">
        <v>8648</v>
      </c>
    </row>
    <row r="3543" spans="1:1" x14ac:dyDescent="0.35">
      <c r="A3543" t="s">
        <v>8610</v>
      </c>
    </row>
    <row r="3544" spans="1:1" x14ac:dyDescent="0.35">
      <c r="A3544" t="s">
        <v>8614</v>
      </c>
    </row>
    <row r="3545" spans="1:1" x14ac:dyDescent="0.35">
      <c r="A3545" t="s">
        <v>8617</v>
      </c>
    </row>
    <row r="3546" spans="1:1" x14ac:dyDescent="0.35">
      <c r="A3546" t="s">
        <v>8621</v>
      </c>
    </row>
    <row r="3547" spans="1:1" x14ac:dyDescent="0.35">
      <c r="A3547" t="s">
        <v>8624</v>
      </c>
    </row>
    <row r="3548" spans="1:1" x14ac:dyDescent="0.35">
      <c r="A3548" t="s">
        <v>8627</v>
      </c>
    </row>
    <row r="3549" spans="1:1" x14ac:dyDescent="0.35">
      <c r="A3549" t="s">
        <v>8631</v>
      </c>
    </row>
    <row r="3550" spans="1:1" x14ac:dyDescent="0.35">
      <c r="A3550" t="s">
        <v>8635</v>
      </c>
    </row>
    <row r="3551" spans="1:1" x14ac:dyDescent="0.35">
      <c r="A3551" t="s">
        <v>8639</v>
      </c>
    </row>
    <row r="3552" spans="1:1" x14ac:dyDescent="0.35">
      <c r="A3552" t="s">
        <v>8642</v>
      </c>
    </row>
    <row r="3553" spans="1:1" x14ac:dyDescent="0.35">
      <c r="A3553" t="s">
        <v>8645</v>
      </c>
    </row>
    <row r="3554" spans="1:1" x14ac:dyDescent="0.35">
      <c r="A3554" t="s">
        <v>8648</v>
      </c>
    </row>
    <row r="3555" spans="1:1" x14ac:dyDescent="0.35">
      <c r="A3555" t="s">
        <v>8610</v>
      </c>
    </row>
    <row r="3556" spans="1:1" x14ac:dyDescent="0.35">
      <c r="A3556" t="s">
        <v>8614</v>
      </c>
    </row>
    <row r="3557" spans="1:1" x14ac:dyDescent="0.35">
      <c r="A3557" t="s">
        <v>8617</v>
      </c>
    </row>
    <row r="3558" spans="1:1" x14ac:dyDescent="0.35">
      <c r="A3558" t="s">
        <v>8621</v>
      </c>
    </row>
    <row r="3559" spans="1:1" x14ac:dyDescent="0.35">
      <c r="A3559" t="s">
        <v>8624</v>
      </c>
    </row>
    <row r="3560" spans="1:1" x14ac:dyDescent="0.35">
      <c r="A3560" t="s">
        <v>8627</v>
      </c>
    </row>
    <row r="3561" spans="1:1" x14ac:dyDescent="0.35">
      <c r="A3561" t="s">
        <v>8631</v>
      </c>
    </row>
    <row r="3562" spans="1:1" x14ac:dyDescent="0.35">
      <c r="A3562" t="s">
        <v>8635</v>
      </c>
    </row>
    <row r="3563" spans="1:1" x14ac:dyDescent="0.35">
      <c r="A3563" t="s">
        <v>8639</v>
      </c>
    </row>
    <row r="3564" spans="1:1" x14ac:dyDescent="0.35">
      <c r="A3564" t="s">
        <v>8642</v>
      </c>
    </row>
    <row r="3565" spans="1:1" x14ac:dyDescent="0.35">
      <c r="A3565" t="s">
        <v>8645</v>
      </c>
    </row>
    <row r="3566" spans="1:1" x14ac:dyDescent="0.35">
      <c r="A3566" t="s">
        <v>8648</v>
      </c>
    </row>
    <row r="3567" spans="1:1" x14ac:dyDescent="0.35">
      <c r="A3567" t="s">
        <v>8610</v>
      </c>
    </row>
    <row r="3568" spans="1:1" x14ac:dyDescent="0.35">
      <c r="A3568" t="s">
        <v>8614</v>
      </c>
    </row>
    <row r="3569" spans="1:1" x14ac:dyDescent="0.35">
      <c r="A3569" t="s">
        <v>8617</v>
      </c>
    </row>
    <row r="3570" spans="1:1" x14ac:dyDescent="0.35">
      <c r="A3570" t="s">
        <v>8621</v>
      </c>
    </row>
    <row r="3571" spans="1:1" x14ac:dyDescent="0.35">
      <c r="A3571" t="s">
        <v>8624</v>
      </c>
    </row>
    <row r="3572" spans="1:1" x14ac:dyDescent="0.35">
      <c r="A3572" t="s">
        <v>8627</v>
      </c>
    </row>
    <row r="3573" spans="1:1" x14ac:dyDescent="0.35">
      <c r="A3573" t="s">
        <v>8631</v>
      </c>
    </row>
    <row r="3574" spans="1:1" x14ac:dyDescent="0.35">
      <c r="A3574" t="s">
        <v>8635</v>
      </c>
    </row>
    <row r="3575" spans="1:1" x14ac:dyDescent="0.35">
      <c r="A3575" t="s">
        <v>8639</v>
      </c>
    </row>
    <row r="3576" spans="1:1" x14ac:dyDescent="0.35">
      <c r="A3576" t="s">
        <v>8642</v>
      </c>
    </row>
    <row r="3577" spans="1:1" x14ac:dyDescent="0.35">
      <c r="A3577" t="s">
        <v>8645</v>
      </c>
    </row>
    <row r="3578" spans="1:1" x14ac:dyDescent="0.35">
      <c r="A3578" t="s">
        <v>8648</v>
      </c>
    </row>
    <row r="3579" spans="1:1" x14ac:dyDescent="0.35">
      <c r="A3579" t="s">
        <v>8610</v>
      </c>
    </row>
    <row r="3580" spans="1:1" x14ac:dyDescent="0.35">
      <c r="A3580" t="s">
        <v>8614</v>
      </c>
    </row>
    <row r="3581" spans="1:1" x14ac:dyDescent="0.35">
      <c r="A3581" t="s">
        <v>8617</v>
      </c>
    </row>
    <row r="3582" spans="1:1" x14ac:dyDescent="0.35">
      <c r="A3582" t="s">
        <v>8621</v>
      </c>
    </row>
    <row r="3583" spans="1:1" x14ac:dyDescent="0.35">
      <c r="A3583" t="s">
        <v>8624</v>
      </c>
    </row>
    <row r="3584" spans="1:1" x14ac:dyDescent="0.35">
      <c r="A3584" t="s">
        <v>8627</v>
      </c>
    </row>
    <row r="3585" spans="1:1" x14ac:dyDescent="0.35">
      <c r="A3585" t="s">
        <v>8631</v>
      </c>
    </row>
    <row r="3586" spans="1:1" x14ac:dyDescent="0.35">
      <c r="A3586" t="s">
        <v>8635</v>
      </c>
    </row>
    <row r="3587" spans="1:1" x14ac:dyDescent="0.35">
      <c r="A3587" t="s">
        <v>8639</v>
      </c>
    </row>
    <row r="3588" spans="1:1" x14ac:dyDescent="0.35">
      <c r="A3588" t="s">
        <v>8642</v>
      </c>
    </row>
    <row r="3589" spans="1:1" x14ac:dyDescent="0.35">
      <c r="A3589" t="s">
        <v>8645</v>
      </c>
    </row>
    <row r="3590" spans="1:1" x14ac:dyDescent="0.35">
      <c r="A3590" t="s">
        <v>8648</v>
      </c>
    </row>
    <row r="3591" spans="1:1" x14ac:dyDescent="0.35">
      <c r="A3591" t="s">
        <v>8610</v>
      </c>
    </row>
    <row r="3592" spans="1:1" x14ac:dyDescent="0.35">
      <c r="A3592" t="s">
        <v>8614</v>
      </c>
    </row>
    <row r="3593" spans="1:1" x14ac:dyDescent="0.35">
      <c r="A3593" t="s">
        <v>8617</v>
      </c>
    </row>
    <row r="3594" spans="1:1" x14ac:dyDescent="0.35">
      <c r="A3594" t="s">
        <v>8621</v>
      </c>
    </row>
    <row r="3595" spans="1:1" x14ac:dyDescent="0.35">
      <c r="A3595" t="s">
        <v>8624</v>
      </c>
    </row>
    <row r="3596" spans="1:1" x14ac:dyDescent="0.35">
      <c r="A3596" t="s">
        <v>8627</v>
      </c>
    </row>
    <row r="3597" spans="1:1" x14ac:dyDescent="0.35">
      <c r="A3597" t="s">
        <v>8631</v>
      </c>
    </row>
    <row r="3598" spans="1:1" x14ac:dyDescent="0.35">
      <c r="A3598" t="s">
        <v>8635</v>
      </c>
    </row>
    <row r="3599" spans="1:1" x14ac:dyDescent="0.35">
      <c r="A3599" t="s">
        <v>8639</v>
      </c>
    </row>
    <row r="3600" spans="1:1" x14ac:dyDescent="0.35">
      <c r="A3600" t="s">
        <v>8642</v>
      </c>
    </row>
    <row r="3601" spans="1:1" x14ac:dyDescent="0.35">
      <c r="A3601" t="s">
        <v>8645</v>
      </c>
    </row>
    <row r="3602" spans="1:1" x14ac:dyDescent="0.35">
      <c r="A3602" t="s">
        <v>8648</v>
      </c>
    </row>
    <row r="3603" spans="1:1" x14ac:dyDescent="0.35">
      <c r="A3603" t="s">
        <v>8610</v>
      </c>
    </row>
    <row r="3604" spans="1:1" x14ac:dyDescent="0.35">
      <c r="A3604" t="s">
        <v>8614</v>
      </c>
    </row>
    <row r="3605" spans="1:1" x14ac:dyDescent="0.35">
      <c r="A3605" t="s">
        <v>8617</v>
      </c>
    </row>
    <row r="3606" spans="1:1" x14ac:dyDescent="0.35">
      <c r="A3606" t="s">
        <v>8621</v>
      </c>
    </row>
    <row r="3607" spans="1:1" x14ac:dyDescent="0.35">
      <c r="A3607" t="s">
        <v>8624</v>
      </c>
    </row>
    <row r="3608" spans="1:1" x14ac:dyDescent="0.35">
      <c r="A3608" t="s">
        <v>8627</v>
      </c>
    </row>
    <row r="3609" spans="1:1" x14ac:dyDescent="0.35">
      <c r="A3609" t="s">
        <v>8631</v>
      </c>
    </row>
    <row r="3610" spans="1:1" x14ac:dyDescent="0.35">
      <c r="A3610" t="s">
        <v>8635</v>
      </c>
    </row>
    <row r="3611" spans="1:1" x14ac:dyDescent="0.35">
      <c r="A3611" t="s">
        <v>8639</v>
      </c>
    </row>
    <row r="3612" spans="1:1" x14ac:dyDescent="0.35">
      <c r="A3612" t="s">
        <v>8642</v>
      </c>
    </row>
    <row r="3613" spans="1:1" x14ac:dyDescent="0.35">
      <c r="A3613" t="s">
        <v>8645</v>
      </c>
    </row>
    <row r="3614" spans="1:1" x14ac:dyDescent="0.35">
      <c r="A3614" t="s">
        <v>8648</v>
      </c>
    </row>
    <row r="3615" spans="1:1" x14ac:dyDescent="0.35">
      <c r="A3615" t="s">
        <v>8610</v>
      </c>
    </row>
    <row r="3616" spans="1:1" x14ac:dyDescent="0.35">
      <c r="A3616" t="s">
        <v>8614</v>
      </c>
    </row>
    <row r="3617" spans="1:1" x14ac:dyDescent="0.35">
      <c r="A3617" t="s">
        <v>8617</v>
      </c>
    </row>
    <row r="3618" spans="1:1" x14ac:dyDescent="0.35">
      <c r="A3618" t="s">
        <v>8621</v>
      </c>
    </row>
    <row r="3619" spans="1:1" x14ac:dyDescent="0.35">
      <c r="A3619" t="s">
        <v>8624</v>
      </c>
    </row>
    <row r="3620" spans="1:1" x14ac:dyDescent="0.35">
      <c r="A3620" t="s">
        <v>8627</v>
      </c>
    </row>
    <row r="3621" spans="1:1" x14ac:dyDescent="0.35">
      <c r="A3621" t="s">
        <v>8631</v>
      </c>
    </row>
    <row r="3622" spans="1:1" x14ac:dyDescent="0.35">
      <c r="A3622" t="s">
        <v>8635</v>
      </c>
    </row>
    <row r="3623" spans="1:1" x14ac:dyDescent="0.35">
      <c r="A3623" t="s">
        <v>8639</v>
      </c>
    </row>
    <row r="3624" spans="1:1" x14ac:dyDescent="0.35">
      <c r="A3624" t="s">
        <v>8642</v>
      </c>
    </row>
    <row r="3625" spans="1:1" x14ac:dyDescent="0.35">
      <c r="A3625" t="s">
        <v>8645</v>
      </c>
    </row>
    <row r="3626" spans="1:1" x14ac:dyDescent="0.35">
      <c r="A3626" t="s">
        <v>8648</v>
      </c>
    </row>
    <row r="3627" spans="1:1" x14ac:dyDescent="0.35">
      <c r="A3627" t="s">
        <v>8610</v>
      </c>
    </row>
    <row r="3628" spans="1:1" x14ac:dyDescent="0.35">
      <c r="A3628" t="s">
        <v>8614</v>
      </c>
    </row>
    <row r="3629" spans="1:1" x14ac:dyDescent="0.35">
      <c r="A3629" t="s">
        <v>8617</v>
      </c>
    </row>
    <row r="3630" spans="1:1" x14ac:dyDescent="0.35">
      <c r="A3630" t="s">
        <v>8621</v>
      </c>
    </row>
    <row r="3631" spans="1:1" x14ac:dyDescent="0.35">
      <c r="A3631" t="s">
        <v>8624</v>
      </c>
    </row>
    <row r="3632" spans="1:1" x14ac:dyDescent="0.35">
      <c r="A3632" t="s">
        <v>8627</v>
      </c>
    </row>
    <row r="3633" spans="1:1" x14ac:dyDescent="0.35">
      <c r="A3633" t="s">
        <v>8631</v>
      </c>
    </row>
    <row r="3634" spans="1:1" x14ac:dyDescent="0.35">
      <c r="A3634" t="s">
        <v>8635</v>
      </c>
    </row>
    <row r="3635" spans="1:1" x14ac:dyDescent="0.35">
      <c r="A3635" t="s">
        <v>8639</v>
      </c>
    </row>
    <row r="3636" spans="1:1" x14ac:dyDescent="0.35">
      <c r="A3636" t="s">
        <v>8642</v>
      </c>
    </row>
    <row r="3637" spans="1:1" x14ac:dyDescent="0.35">
      <c r="A3637" t="s">
        <v>8645</v>
      </c>
    </row>
    <row r="3638" spans="1:1" x14ac:dyDescent="0.35">
      <c r="A3638" t="s">
        <v>8648</v>
      </c>
    </row>
    <row r="3639" spans="1:1" x14ac:dyDescent="0.35">
      <c r="A3639" t="s">
        <v>8610</v>
      </c>
    </row>
    <row r="3640" spans="1:1" x14ac:dyDescent="0.35">
      <c r="A3640" t="s">
        <v>8614</v>
      </c>
    </row>
    <row r="3641" spans="1:1" x14ac:dyDescent="0.35">
      <c r="A3641" t="s">
        <v>8617</v>
      </c>
    </row>
    <row r="3642" spans="1:1" x14ac:dyDescent="0.35">
      <c r="A3642" t="s">
        <v>8621</v>
      </c>
    </row>
    <row r="3643" spans="1:1" x14ac:dyDescent="0.35">
      <c r="A3643" t="s">
        <v>8624</v>
      </c>
    </row>
    <row r="3644" spans="1:1" x14ac:dyDescent="0.35">
      <c r="A3644" t="s">
        <v>8627</v>
      </c>
    </row>
    <row r="3645" spans="1:1" x14ac:dyDescent="0.35">
      <c r="A3645" t="s">
        <v>8631</v>
      </c>
    </row>
    <row r="3646" spans="1:1" x14ac:dyDescent="0.35">
      <c r="A3646" t="s">
        <v>8635</v>
      </c>
    </row>
    <row r="3647" spans="1:1" x14ac:dyDescent="0.35">
      <c r="A3647" t="s">
        <v>8639</v>
      </c>
    </row>
    <row r="3648" spans="1:1" x14ac:dyDescent="0.35">
      <c r="A3648" t="s">
        <v>8642</v>
      </c>
    </row>
    <row r="3649" spans="1:1" x14ac:dyDescent="0.35">
      <c r="A3649" t="s">
        <v>8645</v>
      </c>
    </row>
    <row r="3650" spans="1:1" x14ac:dyDescent="0.35">
      <c r="A3650" t="s">
        <v>8648</v>
      </c>
    </row>
    <row r="3651" spans="1:1" x14ac:dyDescent="0.35">
      <c r="A3651" t="s">
        <v>8610</v>
      </c>
    </row>
    <row r="3652" spans="1:1" x14ac:dyDescent="0.35">
      <c r="A3652" t="s">
        <v>8614</v>
      </c>
    </row>
    <row r="3653" spans="1:1" x14ac:dyDescent="0.35">
      <c r="A3653" t="s">
        <v>8617</v>
      </c>
    </row>
    <row r="3654" spans="1:1" x14ac:dyDescent="0.35">
      <c r="A3654" t="s">
        <v>8621</v>
      </c>
    </row>
    <row r="3655" spans="1:1" x14ac:dyDescent="0.35">
      <c r="A3655" t="s">
        <v>8624</v>
      </c>
    </row>
    <row r="3656" spans="1:1" x14ac:dyDescent="0.35">
      <c r="A3656" t="s">
        <v>8627</v>
      </c>
    </row>
    <row r="3657" spans="1:1" x14ac:dyDescent="0.35">
      <c r="A3657" t="s">
        <v>8631</v>
      </c>
    </row>
    <row r="3658" spans="1:1" x14ac:dyDescent="0.35">
      <c r="A3658" t="s">
        <v>8635</v>
      </c>
    </row>
    <row r="3659" spans="1:1" x14ac:dyDescent="0.35">
      <c r="A3659" t="s">
        <v>8639</v>
      </c>
    </row>
    <row r="3660" spans="1:1" x14ac:dyDescent="0.35">
      <c r="A3660" t="s">
        <v>8642</v>
      </c>
    </row>
    <row r="3661" spans="1:1" x14ac:dyDescent="0.35">
      <c r="A3661" t="s">
        <v>8645</v>
      </c>
    </row>
    <row r="3662" spans="1:1" x14ac:dyDescent="0.35">
      <c r="A3662" t="s">
        <v>8648</v>
      </c>
    </row>
    <row r="3663" spans="1:1" x14ac:dyDescent="0.35">
      <c r="A3663" t="s">
        <v>8610</v>
      </c>
    </row>
    <row r="3664" spans="1:1" x14ac:dyDescent="0.35">
      <c r="A3664" t="s">
        <v>8614</v>
      </c>
    </row>
    <row r="3665" spans="1:1" x14ac:dyDescent="0.35">
      <c r="A3665" t="s">
        <v>8617</v>
      </c>
    </row>
    <row r="3666" spans="1:1" x14ac:dyDescent="0.35">
      <c r="A3666" t="s">
        <v>8621</v>
      </c>
    </row>
    <row r="3667" spans="1:1" x14ac:dyDescent="0.35">
      <c r="A3667" t="s">
        <v>8624</v>
      </c>
    </row>
    <row r="3668" spans="1:1" x14ac:dyDescent="0.35">
      <c r="A3668" t="s">
        <v>8627</v>
      </c>
    </row>
    <row r="3669" spans="1:1" x14ac:dyDescent="0.35">
      <c r="A3669" t="s">
        <v>8631</v>
      </c>
    </row>
    <row r="3670" spans="1:1" x14ac:dyDescent="0.35">
      <c r="A3670" t="s">
        <v>8635</v>
      </c>
    </row>
    <row r="3671" spans="1:1" x14ac:dyDescent="0.35">
      <c r="A3671" t="s">
        <v>8639</v>
      </c>
    </row>
    <row r="3672" spans="1:1" x14ac:dyDescent="0.35">
      <c r="A3672" t="s">
        <v>8642</v>
      </c>
    </row>
    <row r="3673" spans="1:1" x14ac:dyDescent="0.35">
      <c r="A3673" t="s">
        <v>8645</v>
      </c>
    </row>
    <row r="3674" spans="1:1" x14ac:dyDescent="0.35">
      <c r="A3674" t="s">
        <v>8648</v>
      </c>
    </row>
    <row r="3675" spans="1:1" x14ac:dyDescent="0.35">
      <c r="A3675" t="s">
        <v>8610</v>
      </c>
    </row>
    <row r="3676" spans="1:1" x14ac:dyDescent="0.35">
      <c r="A3676" t="s">
        <v>8614</v>
      </c>
    </row>
    <row r="3677" spans="1:1" x14ac:dyDescent="0.35">
      <c r="A3677" t="s">
        <v>8617</v>
      </c>
    </row>
    <row r="3678" spans="1:1" x14ac:dyDescent="0.35">
      <c r="A3678" t="s">
        <v>8621</v>
      </c>
    </row>
    <row r="3679" spans="1:1" x14ac:dyDescent="0.35">
      <c r="A3679" t="s">
        <v>8624</v>
      </c>
    </row>
    <row r="3680" spans="1:1" x14ac:dyDescent="0.35">
      <c r="A3680" t="s">
        <v>8627</v>
      </c>
    </row>
    <row r="3681" spans="1:1" x14ac:dyDescent="0.35">
      <c r="A3681" t="s">
        <v>8631</v>
      </c>
    </row>
    <row r="3682" spans="1:1" x14ac:dyDescent="0.35">
      <c r="A3682" t="s">
        <v>8635</v>
      </c>
    </row>
    <row r="3683" spans="1:1" x14ac:dyDescent="0.35">
      <c r="A3683" t="s">
        <v>8639</v>
      </c>
    </row>
    <row r="3684" spans="1:1" x14ac:dyDescent="0.35">
      <c r="A3684" t="s">
        <v>8642</v>
      </c>
    </row>
    <row r="3685" spans="1:1" x14ac:dyDescent="0.35">
      <c r="A3685" t="s">
        <v>8645</v>
      </c>
    </row>
    <row r="3686" spans="1:1" x14ac:dyDescent="0.35">
      <c r="A3686" t="s">
        <v>8648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FC2A-95A7-4FDB-9A62-C6E15176DC7D}">
  <dimension ref="A1:L23"/>
  <sheetViews>
    <sheetView workbookViewId="0">
      <selection activeCell="D24" sqref="D24"/>
    </sheetView>
  </sheetViews>
  <sheetFormatPr defaultRowHeight="14.5" x14ac:dyDescent="0.35"/>
  <cols>
    <col min="1" max="1" width="16.54296875" customWidth="1"/>
    <col min="2" max="2" width="73.453125" bestFit="1" customWidth="1"/>
    <col min="3" max="3" width="25.81640625" bestFit="1" customWidth="1"/>
    <col min="4" max="5" width="62.81640625" bestFit="1" customWidth="1"/>
    <col min="6" max="6" width="37.54296875" bestFit="1" customWidth="1"/>
    <col min="7" max="7" width="13.453125" customWidth="1"/>
    <col min="8" max="8" width="12.1796875" customWidth="1"/>
    <col min="9" max="9" width="16.54296875" customWidth="1"/>
    <col min="10" max="10" width="30.81640625" bestFit="1" customWidth="1"/>
    <col min="11" max="11" width="13.1796875" bestFit="1" customWidth="1"/>
    <col min="12" max="12" width="59.26953125" bestFit="1" customWidth="1"/>
  </cols>
  <sheetData>
    <row r="1" spans="1:12" x14ac:dyDescent="0.35">
      <c r="A1" s="36" t="s">
        <v>9292</v>
      </c>
    </row>
    <row r="2" spans="1:12" x14ac:dyDescent="0.35">
      <c r="A2" s="30" t="s">
        <v>211</v>
      </c>
      <c r="B2" s="30" t="s">
        <v>219</v>
      </c>
      <c r="C2" s="31" t="s">
        <v>220</v>
      </c>
      <c r="D2" s="30" t="s">
        <v>221</v>
      </c>
      <c r="E2" s="30" t="s">
        <v>222</v>
      </c>
      <c r="F2" s="30" t="s">
        <v>225</v>
      </c>
    </row>
    <row r="3" spans="1:12" x14ac:dyDescent="0.35">
      <c r="A3" s="32" t="s">
        <v>2403</v>
      </c>
      <c r="B3" s="32" t="s">
        <v>2823</v>
      </c>
      <c r="C3" s="32" t="s">
        <v>2824</v>
      </c>
      <c r="D3" s="32" t="s">
        <v>2825</v>
      </c>
      <c r="E3" s="32" t="s">
        <v>229</v>
      </c>
      <c r="F3" s="33" t="s">
        <v>2826</v>
      </c>
      <c r="G3" s="32"/>
      <c r="H3" s="32"/>
      <c r="I3" s="32"/>
      <c r="J3" s="32"/>
      <c r="K3" s="32"/>
      <c r="L3" s="33" t="s">
        <v>2826</v>
      </c>
    </row>
    <row r="4" spans="1:12" x14ac:dyDescent="0.35">
      <c r="A4" t="s">
        <v>154</v>
      </c>
      <c r="B4" s="32" t="s">
        <v>1430</v>
      </c>
      <c r="C4" s="32" t="s">
        <v>241</v>
      </c>
      <c r="D4" s="32" t="s">
        <v>1431</v>
      </c>
      <c r="E4" s="32" t="s">
        <v>1432</v>
      </c>
      <c r="F4" s="33" t="s">
        <v>1433</v>
      </c>
    </row>
    <row r="5" spans="1:12" x14ac:dyDescent="0.35">
      <c r="B5" s="32"/>
      <c r="C5" s="32"/>
      <c r="D5" s="32"/>
      <c r="E5" s="32"/>
      <c r="F5" s="33"/>
    </row>
    <row r="6" spans="1:12" x14ac:dyDescent="0.35">
      <c r="A6" s="36" t="s">
        <v>9293</v>
      </c>
      <c r="B6" s="33"/>
      <c r="C6" s="18"/>
    </row>
    <row r="7" spans="1:12" x14ac:dyDescent="0.35">
      <c r="A7" s="30" t="s">
        <v>211</v>
      </c>
      <c r="B7" s="30" t="s">
        <v>219</v>
      </c>
      <c r="C7" s="31" t="s">
        <v>220</v>
      </c>
      <c r="D7" s="30" t="s">
        <v>221</v>
      </c>
      <c r="E7" s="30" t="s">
        <v>222</v>
      </c>
      <c r="F7" s="30" t="s">
        <v>225</v>
      </c>
    </row>
    <row r="8" spans="1:12" x14ac:dyDescent="0.35">
      <c r="A8" s="32" t="s">
        <v>8520</v>
      </c>
      <c r="B8" s="34" t="s">
        <v>8608</v>
      </c>
      <c r="C8" s="32" t="s">
        <v>229</v>
      </c>
      <c r="D8" s="32" t="s">
        <v>8609</v>
      </c>
      <c r="E8" s="32" t="s">
        <v>8610</v>
      </c>
      <c r="F8" s="33" t="s">
        <v>8658</v>
      </c>
    </row>
    <row r="9" spans="1:12" x14ac:dyDescent="0.35">
      <c r="A9" s="32" t="s">
        <v>1334</v>
      </c>
      <c r="B9" s="32" t="s">
        <v>4408</v>
      </c>
      <c r="C9" s="32" t="s">
        <v>4409</v>
      </c>
      <c r="D9" s="32" t="s">
        <v>4410</v>
      </c>
      <c r="E9" s="32" t="s">
        <v>229</v>
      </c>
      <c r="F9" s="33" t="s">
        <v>1400</v>
      </c>
    </row>
    <row r="11" spans="1:12" x14ac:dyDescent="0.35">
      <c r="A11" s="36" t="s">
        <v>9294</v>
      </c>
    </row>
    <row r="12" spans="1:12" x14ac:dyDescent="0.35">
      <c r="A12" s="32" t="s">
        <v>1334</v>
      </c>
      <c r="B12" s="32" t="s">
        <v>1312</v>
      </c>
      <c r="C12" s="32" t="s">
        <v>1313</v>
      </c>
      <c r="D12" s="32" t="s">
        <v>1314</v>
      </c>
      <c r="E12" s="32" t="s">
        <v>1315</v>
      </c>
      <c r="F12" s="24" t="s">
        <v>9139</v>
      </c>
    </row>
    <row r="13" spans="1:12" x14ac:dyDescent="0.35">
      <c r="A13" s="32" t="s">
        <v>2403</v>
      </c>
      <c r="B13" s="32" t="s">
        <v>2388</v>
      </c>
      <c r="C13" s="32" t="s">
        <v>2798</v>
      </c>
      <c r="D13" s="32" t="s">
        <v>2799</v>
      </c>
      <c r="E13" s="32" t="s">
        <v>229</v>
      </c>
      <c r="F13" s="33" t="s">
        <v>2800</v>
      </c>
    </row>
    <row r="16" spans="1:12" ht="18" customHeight="1" x14ac:dyDescent="0.35">
      <c r="A16" s="39" t="s">
        <v>9309</v>
      </c>
      <c r="B16" s="36" t="s">
        <v>9313</v>
      </c>
      <c r="C16" s="36" t="s">
        <v>9314</v>
      </c>
    </row>
    <row r="17" spans="1:3" x14ac:dyDescent="0.35">
      <c r="A17" t="s">
        <v>9310</v>
      </c>
      <c r="B17" t="s">
        <v>9311</v>
      </c>
      <c r="C17" t="s">
        <v>9315</v>
      </c>
    </row>
    <row r="18" spans="1:3" x14ac:dyDescent="0.35">
      <c r="A18" t="s">
        <v>2389</v>
      </c>
      <c r="B18" t="s">
        <v>9312</v>
      </c>
      <c r="C18" t="s">
        <v>9315</v>
      </c>
    </row>
    <row r="19" spans="1:3" x14ac:dyDescent="0.35">
      <c r="A19" t="s">
        <v>9316</v>
      </c>
      <c r="B19" t="s">
        <v>9317</v>
      </c>
      <c r="C19" t="s">
        <v>9315</v>
      </c>
    </row>
    <row r="20" spans="1:3" x14ac:dyDescent="0.35">
      <c r="A20" t="s">
        <v>7927</v>
      </c>
      <c r="B20" t="s">
        <v>9318</v>
      </c>
      <c r="C20" t="s">
        <v>9319</v>
      </c>
    </row>
    <row r="22" spans="1:3" x14ac:dyDescent="0.35">
      <c r="A22" s="36" t="s">
        <v>215</v>
      </c>
    </row>
    <row r="23" spans="1:3" x14ac:dyDescent="0.35">
      <c r="A23" t="s">
        <v>9295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76A90859526244834D91517DB01CE7" ma:contentTypeVersion="15" ma:contentTypeDescription="Create a new document." ma:contentTypeScope="" ma:versionID="97e68ac9441c2ee9e144a847917b317c">
  <xsd:schema xmlns:xsd="http://www.w3.org/2001/XMLSchema" xmlns:xs="http://www.w3.org/2001/XMLSchema" xmlns:p="http://schemas.microsoft.com/office/2006/metadata/properties" xmlns:ns2="a50e9230-d55a-46ee-801a-33d2c26eed7d" xmlns:ns3="5817475a-42eb-42cb-9dca-fb6a4fffb0be" xmlns:ns4="4243d5be-521d-4052-81ca-f0f31ea6f2da" targetNamespace="http://schemas.microsoft.com/office/2006/metadata/properties" ma:root="true" ma:fieldsID="1a1293316d990c3edb049b7f1d3b2fd0" ns2:_="" ns3:_="" ns4:_="">
    <xsd:import namespace="a50e9230-d55a-46ee-801a-33d2c26eed7d"/>
    <xsd:import namespace="5817475a-42eb-42cb-9dca-fb6a4fffb0be"/>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4: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0e9230-d55a-46ee-801a-33d2c26eed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17475a-42eb-42cb-9dca-fb6a4fffb0b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a0eb3ea-52cd-4cfe-b65e-cbd421f63159}" ma:internalName="TaxCatchAll" ma:showField="CatchAllData" ma:web="5817475a-42eb-42cb-9dca-fb6a4fffb0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0e9230-d55a-46ee-801a-33d2c26eed7d">
      <Terms xmlns="http://schemas.microsoft.com/office/infopath/2007/PartnerControls"/>
    </lcf76f155ced4ddcb4097134ff3c332f>
    <TaxCatchAll xmlns="4243d5be-521d-4052-81ca-f0f31ea6f2da" xsi:nil="true"/>
  </documentManagement>
</p:properties>
</file>

<file path=customXml/itemProps1.xml><?xml version="1.0" encoding="utf-8"?>
<ds:datastoreItem xmlns:ds="http://schemas.openxmlformats.org/officeDocument/2006/customXml" ds:itemID="{7128513B-E318-4613-AF71-968BA06C506F}">
  <ds:schemaRefs>
    <ds:schemaRef ds:uri="http://schemas.microsoft.com/sharepoint/v3/contenttype/forms"/>
  </ds:schemaRefs>
</ds:datastoreItem>
</file>

<file path=customXml/itemProps2.xml><?xml version="1.0" encoding="utf-8"?>
<ds:datastoreItem xmlns:ds="http://schemas.openxmlformats.org/officeDocument/2006/customXml" ds:itemID="{F3042979-FD04-4FEA-9450-4CB22888D9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0e9230-d55a-46ee-801a-33d2c26eed7d"/>
    <ds:schemaRef ds:uri="5817475a-42eb-42cb-9dca-fb6a4fffb0be"/>
    <ds:schemaRef ds:uri="4243d5be-521d-4052-81ca-f0f31ea6f2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96D8D2-CA08-40E9-AD2D-5FC96D3703C9}">
  <ds:schemaRefs>
    <ds:schemaRef ds:uri="http://purl.org/dc/dcmitype/"/>
    <ds:schemaRef ds:uri="http://purl.org/dc/elements/1.1/"/>
    <ds:schemaRef ds:uri="http://schemas.microsoft.com/office/infopath/2007/PartnerControls"/>
    <ds:schemaRef ds:uri="http://schemas.microsoft.com/office/2006/metadata/properties"/>
    <ds:schemaRef ds:uri="http://schemas.microsoft.com/office/2006/documentManagement/types"/>
    <ds:schemaRef ds:uri="http://purl.org/dc/terms/"/>
    <ds:schemaRef ds:uri="http://schemas.openxmlformats.org/package/2006/metadata/core-properties"/>
    <ds:schemaRef ds:uri="4243d5be-521d-4052-81ca-f0f31ea6f2da"/>
    <ds:schemaRef ds:uri="5817475a-42eb-42cb-9dca-fb6a4fffb0be"/>
    <ds:schemaRef ds:uri="a50e9230-d55a-46ee-801a-33d2c26eed7d"/>
    <ds:schemaRef ds:uri="http://www.w3.org/XML/1998/namespace"/>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Glossary WIP</vt:lpstr>
      <vt:lpstr>13F</vt:lpstr>
      <vt:lpstr>N-PORT</vt:lpstr>
      <vt:lpstr>N-CEN</vt:lpstr>
      <vt:lpstr>Business Definitions</vt:lpstr>
      <vt:lpstr>Template Identifiers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Yeh, Tse Yi J</dc:creator>
  <cp:keywords/>
  <dc:description/>
  <cp:lastModifiedBy>Khuu, Cody</cp:lastModifiedBy>
  <cp:revision/>
  <dcterms:created xsi:type="dcterms:W3CDTF">2025-06-24T22:30:35Z</dcterms:created>
  <dcterms:modified xsi:type="dcterms:W3CDTF">2025-07-16T22:54:24Z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0x010100D976A90859526244834D91517DB01CE7</vt:lpwstr>
  </property>
  <property fmtid="{D5CDD505-2E9C-101B-9397-08002B2CF9AE}" pid="3" name="MediaServiceImageTags">
    <vt:lpwstr/>
  </property>
</Properties>
</file>